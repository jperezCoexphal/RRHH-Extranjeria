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licers/slicer3.xml" ContentType="application/vnd.ms-excel.slicer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slicers/slicer4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192.168.1.12\Coexdatos\juncal\EXTRANJERIA\"/>
    </mc:Choice>
  </mc:AlternateContent>
  <xr:revisionPtr revIDLastSave="0" documentId="13_ncr:1_{17EB070C-310E-4FFC-90EC-0BE412E74AB8}" xr6:coauthVersionLast="47" xr6:coauthVersionMax="47" xr10:uidLastSave="{00000000-0000-0000-0000-000000000000}"/>
  <bookViews>
    <workbookView xWindow="-120" yWindow="-120" windowWidth="29040" windowHeight="15840" tabRatio="590" firstSheet="4" activeTab="8" xr2:uid="{00000000-000D-0000-FFFF-FFFF00000000}"/>
  </bookViews>
  <sheets>
    <sheet name="EXPT. EXTRANJERIA 17" sheetId="7" r:id="rId1"/>
    <sheet name="EXPT. EXTRANJERIA 18" sheetId="8" r:id="rId2"/>
    <sheet name="EXPT. EXTRANJERIA 19" sheetId="9" r:id="rId3"/>
    <sheet name="EXPT.EXTRANJERIA 20" sheetId="10" r:id="rId4"/>
    <sheet name="EXPT. EXTRANJERIA 21" sheetId="11" r:id="rId5"/>
    <sheet name="EXPT. EXTRANJERIA 22" sheetId="13" r:id="rId6"/>
    <sheet name="EXPT. EXTRANJERIA 23" sheetId="14" r:id="rId7"/>
    <sheet name="EXPT. EXTRANJERIA 24" sheetId="15" r:id="rId8"/>
    <sheet name="EXPT. EXTRANJERIA 25" sheetId="16" r:id="rId9"/>
  </sheets>
  <definedNames>
    <definedName name="__Anonymous_Sheet_DB__1">#REF!</definedName>
    <definedName name="_xlnm._FilterDatabase" localSheetId="0" hidden="1">'EXPT. EXTRANJERIA 17'!$A$1:$AK$218</definedName>
    <definedName name="_xlnm._FilterDatabase" localSheetId="1" hidden="1">'EXPT. EXTRANJERIA 18'!$A$1:$AM$227</definedName>
    <definedName name="_xlnm._FilterDatabase" localSheetId="2" hidden="1">'EXPT. EXTRANJERIA 19'!$A$1:$AM$252</definedName>
    <definedName name="_xlnm._FilterDatabase" localSheetId="4" hidden="1">'EXPT. EXTRANJERIA 21'!$A$1:$AM$401</definedName>
    <definedName name="_xlnm._FilterDatabase" localSheetId="5" hidden="1">'EXPT. EXTRANJERIA 22'!$A$1:$AN$424</definedName>
    <definedName name="_xlnm._FilterDatabase" localSheetId="3" hidden="1">'EXPT.EXTRANJERIA 20'!$A$1:$AM$265</definedName>
    <definedName name="_xlnm.Print_Area" localSheetId="4">'EXPT. EXTRANJERIA 21'!$A$1:$AG$54</definedName>
    <definedName name="_xlnm.Print_Area" localSheetId="5">'EXPT. EXTRANJERIA 22'!$A$1:$AI$56</definedName>
    <definedName name="SegmentaciónDeDatos_Asociado">#N/A</definedName>
    <definedName name="SegmentaciónDeDatos_Asociado1">#N/A</definedName>
    <definedName name="SegmentaciónDeDatos_Asociado11">#N/A</definedName>
    <definedName name="SegmentaciónDeDatos_Asociado111">#N/A</definedName>
    <definedName name="SegmentaciónDeDatos_Nombre_Cliente">#N/A</definedName>
    <definedName name="SegmentaciónDeDatos_Nombre_Cliente1">#N/A</definedName>
    <definedName name="SegmentaciónDeDatos_Nombre_Cliente11">#N/A</definedName>
    <definedName name="SegmentaciónDeDatos_Nombre_Cliente111">#N/A</definedName>
    <definedName name="SegmentaciónDeDatos_Tipo_trámite">#N/A</definedName>
    <definedName name="SegmentaciónDeDatos_Tipo_trámite1">#N/A</definedName>
    <definedName name="SegmentaciónDeDatos_Tipo_trámite11">#N/A</definedName>
    <definedName name="_xlnm.Print_Titles" localSheetId="2">'EXPT. EXTRANJERIA 19'!$1:$1</definedName>
  </definedNames>
  <calcPr calcId="191029"/>
  <fileRecoveryPr autoRecover="0"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08" i="16" l="1"/>
  <c r="V507" i="16"/>
  <c r="V506" i="16"/>
  <c r="V505" i="16"/>
  <c r="V504" i="16"/>
  <c r="V503" i="16"/>
  <c r="V502" i="16"/>
  <c r="U509" i="16"/>
  <c r="V509" i="16"/>
  <c r="U510" i="16"/>
  <c r="U511" i="16"/>
  <c r="U512" i="16"/>
  <c r="U513" i="16"/>
  <c r="V510" i="16"/>
  <c r="V511" i="16"/>
  <c r="V512" i="16"/>
  <c r="V513" i="16"/>
  <c r="V500" i="16"/>
  <c r="V499" i="16"/>
  <c r="V498" i="16"/>
  <c r="V497" i="16"/>
  <c r="V496" i="16"/>
  <c r="V495" i="16"/>
  <c r="V494" i="16"/>
  <c r="V493" i="16"/>
  <c r="V492" i="16"/>
  <c r="V491" i="16"/>
  <c r="V490" i="16"/>
  <c r="V489" i="16"/>
  <c r="V488" i="16"/>
  <c r="V487" i="16"/>
  <c r="V486" i="16"/>
  <c r="V485" i="16"/>
  <c r="V484" i="16"/>
  <c r="V483" i="16"/>
  <c r="V482" i="16"/>
  <c r="V481" i="16"/>
  <c r="V480" i="16"/>
  <c r="V479" i="16"/>
  <c r="V478" i="16"/>
  <c r="V477" i="16"/>
  <c r="V476" i="16"/>
  <c r="V475" i="16" l="1"/>
  <c r="V474" i="16"/>
  <c r="V473" i="16"/>
  <c r="V472" i="16"/>
  <c r="V471" i="16"/>
  <c r="V470" i="16"/>
  <c r="V469" i="16"/>
  <c r="V468" i="16"/>
  <c r="V467" i="16"/>
  <c r="V466" i="16"/>
  <c r="V465" i="16"/>
  <c r="V464" i="16"/>
  <c r="V463" i="16"/>
  <c r="V462" i="16"/>
  <c r="V461" i="16"/>
  <c r="V460" i="16"/>
  <c r="V459" i="16" l="1"/>
  <c r="V458" i="16"/>
  <c r="V457" i="16"/>
  <c r="V456" i="16"/>
  <c r="V455" i="16"/>
  <c r="V454" i="16"/>
  <c r="U514" i="16"/>
  <c r="V501" i="16"/>
  <c r="V514" i="16"/>
  <c r="V453" i="16"/>
  <c r="V452" i="16"/>
  <c r="V451" i="16"/>
  <c r="V450" i="16"/>
  <c r="V449" i="16"/>
  <c r="V448" i="16"/>
  <c r="V447" i="16"/>
  <c r="V446" i="16"/>
  <c r="V445" i="16"/>
  <c r="V444" i="16"/>
  <c r="V442" i="16"/>
  <c r="V441" i="16"/>
  <c r="V440" i="16"/>
  <c r="V439" i="16"/>
  <c r="V438" i="16"/>
  <c r="V437" i="16"/>
  <c r="V436" i="16"/>
  <c r="V435" i="16"/>
  <c r="V434" i="16"/>
  <c r="V433" i="16"/>
  <c r="V443" i="16"/>
  <c r="V432" i="16"/>
  <c r="V431" i="16"/>
  <c r="V430" i="16"/>
  <c r="V429" i="16"/>
  <c r="V428" i="16"/>
  <c r="V427" i="16"/>
  <c r="V426" i="16"/>
  <c r="V425" i="16"/>
  <c r="V424" i="16"/>
  <c r="V423" i="16" l="1"/>
  <c r="V422" i="16"/>
  <c r="V421" i="16"/>
  <c r="V420" i="16"/>
  <c r="V419" i="16"/>
  <c r="V418" i="16"/>
  <c r="V417" i="16"/>
  <c r="V416" i="16"/>
  <c r="V415" i="16" l="1"/>
  <c r="V414" i="16"/>
  <c r="V413" i="16" l="1"/>
  <c r="V412" i="16"/>
  <c r="V411" i="16"/>
  <c r="V410" i="16"/>
  <c r="V408" i="16" l="1"/>
  <c r="V407" i="16"/>
  <c r="V406" i="16"/>
  <c r="V405" i="16"/>
  <c r="V404" i="16"/>
  <c r="V402" i="16"/>
  <c r="V401" i="16"/>
  <c r="V400" i="16"/>
  <c r="V399" i="16"/>
  <c r="V398" i="16"/>
  <c r="V397" i="16"/>
  <c r="V396" i="16" l="1"/>
  <c r="V395" i="16" l="1"/>
  <c r="V394" i="16"/>
  <c r="V403" i="16"/>
  <c r="V409" i="16"/>
  <c r="V393" i="16"/>
  <c r="V392" i="16"/>
  <c r="V391" i="16" l="1"/>
  <c r="V390" i="16"/>
  <c r="V389" i="16"/>
  <c r="V388" i="16"/>
  <c r="V387" i="16"/>
  <c r="V386" i="16"/>
  <c r="V385" i="16"/>
  <c r="V384" i="16"/>
  <c r="V382" i="16"/>
  <c r="V381" i="16"/>
  <c r="V383" i="16"/>
  <c r="V380" i="16"/>
  <c r="V379" i="16" l="1"/>
  <c r="V378" i="16"/>
  <c r="V377" i="16"/>
  <c r="V376" i="16"/>
  <c r="V375" i="16"/>
  <c r="V374" i="16"/>
  <c r="V373" i="16"/>
  <c r="V372" i="16"/>
  <c r="V371" i="16"/>
  <c r="V370" i="16"/>
  <c r="V369" i="16"/>
  <c r="V368" i="16"/>
  <c r="V367" i="16"/>
  <c r="V366" i="16"/>
  <c r="V365" i="16"/>
  <c r="V364" i="16"/>
  <c r="V363" i="16"/>
  <c r="V362" i="16"/>
  <c r="V361" i="16" l="1"/>
  <c r="V359" i="16"/>
  <c r="V358" i="16"/>
  <c r="V357" i="16"/>
  <c r="V356" i="16"/>
  <c r="V355" i="16"/>
  <c r="V354" i="16"/>
  <c r="V360" i="16"/>
  <c r="V353" i="16"/>
  <c r="V352" i="16"/>
  <c r="V351" i="16"/>
  <c r="V349" i="16"/>
  <c r="V350" i="16"/>
  <c r="V348" i="16"/>
  <c r="V347" i="16"/>
  <c r="V346" i="16"/>
  <c r="V345" i="16"/>
  <c r="V344" i="16"/>
  <c r="V343" i="16"/>
  <c r="V342" i="16"/>
  <c r="V341" i="16"/>
  <c r="V515" i="16"/>
  <c r="V340" i="16"/>
  <c r="V339" i="16"/>
  <c r="V338" i="16"/>
  <c r="V337" i="16"/>
  <c r="V336" i="16"/>
  <c r="V335" i="16"/>
  <c r="V334" i="16"/>
  <c r="V333" i="16"/>
  <c r="V332" i="16"/>
  <c r="V331" i="16"/>
  <c r="V330" i="16"/>
  <c r="V329" i="16" l="1"/>
  <c r="V328" i="16"/>
  <c r="V327" i="16"/>
  <c r="V326" i="16"/>
  <c r="V325" i="16" l="1"/>
  <c r="V324" i="16"/>
  <c r="V323" i="16"/>
  <c r="V321" i="16"/>
  <c r="V320" i="16"/>
  <c r="V319" i="16"/>
  <c r="V318" i="16"/>
  <c r="V317" i="16"/>
  <c r="V316" i="16"/>
  <c r="V315" i="16"/>
  <c r="V314" i="16"/>
  <c r="V313" i="16"/>
  <c r="V312" i="16"/>
  <c r="V311" i="16"/>
  <c r="V310" i="16"/>
  <c r="V309" i="16"/>
  <c r="V308" i="16"/>
  <c r="V307" i="16"/>
  <c r="V322" i="16"/>
  <c r="V306" i="16"/>
  <c r="V305" i="16"/>
  <c r="V304" i="16"/>
  <c r="V303" i="16"/>
  <c r="V302" i="16"/>
  <c r="V300" i="16"/>
  <c r="V299" i="16"/>
  <c r="V301" i="16"/>
  <c r="V298" i="16"/>
  <c r="V297" i="16"/>
  <c r="V296" i="16"/>
  <c r="V295" i="16"/>
  <c r="V294" i="16"/>
  <c r="V293" i="16"/>
  <c r="V292" i="16"/>
  <c r="V291" i="16" l="1"/>
  <c r="V289" i="16"/>
  <c r="V287" i="16"/>
  <c r="V286" i="16"/>
  <c r="V285" i="16"/>
  <c r="V284" i="16"/>
  <c r="V283" i="16"/>
  <c r="V282" i="16"/>
  <c r="V280" i="16"/>
  <c r="V279" i="16"/>
  <c r="V281" i="16"/>
  <c r="V288" i="16"/>
  <c r="V290" i="16"/>
  <c r="V278" i="16"/>
  <c r="V277" i="16"/>
  <c r="V276" i="16"/>
  <c r="V275" i="16"/>
  <c r="V274" i="16"/>
  <c r="V273" i="16"/>
  <c r="V272" i="16"/>
  <c r="V271" i="16"/>
  <c r="V270" i="16"/>
  <c r="V269" i="16"/>
  <c r="V268" i="16"/>
  <c r="V267" i="16"/>
  <c r="V266" i="16"/>
  <c r="V265" i="16"/>
  <c r="V264" i="16"/>
  <c r="V263" i="16"/>
  <c r="V262" i="16"/>
  <c r="V261" i="16"/>
  <c r="V260" i="16"/>
  <c r="V259" i="16"/>
  <c r="V258" i="16"/>
  <c r="V256" i="16" l="1"/>
  <c r="V255" i="16"/>
  <c r="V257" i="16" l="1"/>
  <c r="V254" i="16"/>
  <c r="V253" i="16"/>
  <c r="V251" i="16"/>
  <c r="V250" i="16"/>
  <c r="V252" i="16"/>
  <c r="V249" i="16"/>
  <c r="V248" i="16"/>
  <c r="V247" i="16"/>
  <c r="V244" i="16"/>
  <c r="V243" i="16" l="1"/>
  <c r="V242" i="16"/>
  <c r="V241" i="16" l="1"/>
  <c r="V240" i="16"/>
  <c r="V239" i="16"/>
  <c r="V245" i="16" l="1"/>
  <c r="V238" i="16"/>
  <c r="V246" i="16" l="1"/>
  <c r="V237" i="16"/>
  <c r="V236" i="16"/>
  <c r="V235" i="16"/>
  <c r="V234" i="16"/>
  <c r="V233" i="16"/>
  <c r="V232" i="16"/>
  <c r="V231" i="16"/>
  <c r="V230" i="16"/>
  <c r="V229" i="16"/>
  <c r="V228" i="16"/>
  <c r="V227" i="16"/>
  <c r="V226" i="16"/>
  <c r="V225" i="16"/>
  <c r="V224" i="16"/>
  <c r="V223" i="16"/>
  <c r="V222" i="16" l="1"/>
  <c r="V221" i="16"/>
  <c r="V212" i="16"/>
  <c r="V220" i="16" l="1"/>
  <c r="V219" i="16" l="1"/>
  <c r="V218" i="16"/>
  <c r="V217" i="16"/>
  <c r="V215" i="16"/>
  <c r="V214" i="16"/>
  <c r="V211" i="16" l="1"/>
  <c r="V210" i="16"/>
  <c r="V213" i="16"/>
  <c r="V216" i="16"/>
  <c r="V209" i="16"/>
  <c r="V208" i="16"/>
  <c r="V207" i="16"/>
  <c r="V201" i="16"/>
  <c r="V206" i="16" l="1"/>
  <c r="V205" i="16"/>
  <c r="V204" i="16"/>
  <c r="V199" i="16" l="1"/>
  <c r="V198" i="16"/>
  <c r="V196" i="16"/>
  <c r="V195" i="16"/>
  <c r="V194" i="16"/>
  <c r="V193" i="16"/>
  <c r="V192" i="16"/>
  <c r="V191" i="16"/>
  <c r="V197" i="16"/>
  <c r="V200" i="16"/>
  <c r="V202" i="16"/>
  <c r="V203" i="16"/>
  <c r="V190" i="16"/>
  <c r="V189" i="16"/>
  <c r="V188" i="16"/>
  <c r="V187" i="16"/>
  <c r="V186" i="16"/>
  <c r="V185" i="16" l="1"/>
  <c r="V184" i="16"/>
  <c r="V183" i="16"/>
  <c r="V182" i="16" l="1"/>
  <c r="V181" i="16"/>
  <c r="V180" i="16"/>
  <c r="V179" i="16"/>
  <c r="V178" i="16"/>
  <c r="V176" i="16"/>
  <c r="V177" i="16"/>
  <c r="V175" i="16"/>
  <c r="V174" i="16"/>
  <c r="V173" i="16"/>
  <c r="V172" i="16" l="1"/>
  <c r="V171" i="16" l="1"/>
  <c r="V170" i="16" l="1"/>
  <c r="V168" i="16" l="1"/>
  <c r="V167" i="16"/>
  <c r="V169" i="16"/>
  <c r="V156" i="16"/>
  <c r="V166" i="16"/>
  <c r="V165" i="16"/>
  <c r="V164" i="16"/>
  <c r="V163" i="16"/>
  <c r="V162" i="16"/>
  <c r="V161" i="16"/>
  <c r="V160" i="16"/>
  <c r="V159" i="16"/>
  <c r="V158" i="16"/>
  <c r="V157" i="16"/>
  <c r="V155" i="16"/>
  <c r="V154" i="16"/>
  <c r="V153" i="16"/>
  <c r="V152" i="16"/>
  <c r="V150" i="16"/>
  <c r="V147" i="16" l="1"/>
  <c r="V146" i="16" l="1"/>
  <c r="V145" i="16"/>
  <c r="V144" i="16" l="1"/>
  <c r="V148" i="16"/>
  <c r="V149" i="16"/>
  <c r="V143" i="16"/>
  <c r="V142" i="16"/>
  <c r="V141" i="16"/>
  <c r="V140" i="16"/>
  <c r="V139" i="16" l="1"/>
  <c r="V138" i="16"/>
  <c r="V137" i="16" l="1"/>
  <c r="V151" i="16"/>
  <c r="V136" i="16"/>
  <c r="V135" i="16"/>
  <c r="V134" i="16"/>
  <c r="V131" i="16" l="1"/>
  <c r="V132" i="16" l="1"/>
  <c r="V133" i="16"/>
  <c r="V125" i="16"/>
  <c r="V121" i="16" l="1"/>
  <c r="V122" i="16"/>
  <c r="V123" i="16"/>
  <c r="V124" i="16"/>
  <c r="V126" i="16"/>
  <c r="V127" i="16"/>
  <c r="V128" i="16"/>
  <c r="V129" i="16"/>
  <c r="V120" i="16"/>
  <c r="V119" i="16"/>
  <c r="V118" i="16"/>
  <c r="V116" i="16"/>
  <c r="V114" i="16" l="1"/>
  <c r="V113" i="16"/>
  <c r="V112" i="16" l="1"/>
  <c r="V115" i="16"/>
  <c r="V117" i="16"/>
  <c r="V111" i="16"/>
  <c r="V109" i="16"/>
  <c r="V108" i="16" l="1"/>
  <c r="V107" i="16"/>
  <c r="V106" i="16"/>
  <c r="V103" i="16"/>
  <c r="V102" i="16"/>
  <c r="V101" i="16"/>
  <c r="V104" i="16"/>
  <c r="V105" i="16"/>
  <c r="V100" i="16" l="1"/>
  <c r="V110" i="16"/>
  <c r="V99" i="16" l="1"/>
  <c r="V98" i="16" l="1"/>
  <c r="V97" i="16"/>
  <c r="V95" i="16"/>
  <c r="V94" i="16" l="1"/>
  <c r="V92" i="16" l="1"/>
  <c r="V93" i="16"/>
  <c r="V96" i="16"/>
  <c r="V91" i="16"/>
  <c r="V90" i="16"/>
  <c r="V89" i="16"/>
  <c r="V88" i="16"/>
  <c r="V86" i="16"/>
  <c r="V85" i="16"/>
  <c r="V84" i="16"/>
  <c r="V83" i="16"/>
  <c r="V82" i="16" l="1"/>
  <c r="V81" i="16"/>
  <c r="V80" i="16"/>
  <c r="V79" i="16"/>
  <c r="V87" i="16"/>
  <c r="V78" i="16" l="1"/>
  <c r="V77" i="16"/>
  <c r="V76" i="16"/>
  <c r="V75" i="16"/>
  <c r="V73" i="16"/>
  <c r="V72" i="16"/>
  <c r="V71" i="16"/>
  <c r="V70" i="16"/>
  <c r="V69" i="16"/>
  <c r="V68" i="16"/>
  <c r="V67" i="16"/>
  <c r="V66" i="16"/>
  <c r="V65" i="16" l="1"/>
  <c r="V64" i="16"/>
  <c r="V63" i="16"/>
  <c r="V62" i="16"/>
  <c r="V61" i="16" l="1"/>
  <c r="V59" i="16" l="1"/>
  <c r="V57" i="16"/>
  <c r="V56" i="16"/>
  <c r="V54" i="16"/>
  <c r="V53" i="16" l="1"/>
  <c r="V51" i="16"/>
  <c r="V50" i="16" l="1"/>
  <c r="V49" i="16"/>
  <c r="V48" i="16" l="1"/>
  <c r="V46" i="16"/>
  <c r="V45" i="16"/>
  <c r="V44" i="16"/>
  <c r="V43" i="16" l="1"/>
  <c r="V42" i="16" l="1"/>
  <c r="V47" i="16"/>
  <c r="V52" i="16"/>
  <c r="V55" i="16"/>
  <c r="V58" i="16"/>
  <c r="V60" i="16"/>
  <c r="V74" i="16"/>
  <c r="V41" i="16"/>
  <c r="V39" i="16"/>
  <c r="V38" i="16"/>
  <c r="V37" i="16"/>
  <c r="V36" i="16"/>
  <c r="V35" i="16"/>
  <c r="V34" i="16"/>
  <c r="V33" i="16"/>
  <c r="V32" i="16"/>
  <c r="V31" i="16"/>
  <c r="V30" i="16"/>
  <c r="V29" i="16"/>
  <c r="V28" i="16"/>
  <c r="V27" i="16"/>
  <c r="V26" i="16"/>
  <c r="V2" i="16" l="1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40" i="16"/>
  <c r="V25" i="16"/>
  <c r="V130" i="16"/>
  <c r="V516" i="16"/>
  <c r="AO517" i="16" l="1"/>
  <c r="V517" i="16" l="1"/>
  <c r="V424" i="15"/>
  <c r="V425" i="15"/>
  <c r="V426" i="15"/>
  <c r="V427" i="15"/>
  <c r="V419" i="15"/>
  <c r="V420" i="15"/>
  <c r="V421" i="15"/>
  <c r="V422" i="15"/>
  <c r="V423" i="15"/>
  <c r="V418" i="15"/>
  <c r="U428" i="15"/>
  <c r="V417" i="15"/>
  <c r="V416" i="15"/>
  <c r="V415" i="15"/>
  <c r="V414" i="15"/>
  <c r="V413" i="15"/>
  <c r="V412" i="15"/>
  <c r="V411" i="15"/>
  <c r="V410" i="15"/>
  <c r="V408" i="15"/>
  <c r="V407" i="15"/>
  <c r="V406" i="15"/>
  <c r="V409" i="15"/>
  <c r="V405" i="15"/>
  <c r="V391" i="15" l="1"/>
  <c r="V404" i="15"/>
  <c r="V403" i="15"/>
  <c r="V401" i="15"/>
  <c r="V400" i="15"/>
  <c r="V399" i="15"/>
  <c r="V402" i="15"/>
  <c r="V398" i="15"/>
  <c r="V397" i="15"/>
  <c r="V395" i="15"/>
  <c r="V394" i="15"/>
  <c r="V393" i="15"/>
  <c r="V392" i="15"/>
  <c r="V390" i="15" l="1"/>
  <c r="V389" i="15" l="1"/>
  <c r="V388" i="15"/>
  <c r="V387" i="15"/>
  <c r="V386" i="15"/>
  <c r="V385" i="15"/>
  <c r="V396" i="15"/>
  <c r="V384" i="15"/>
  <c r="V383" i="15" l="1"/>
  <c r="V382" i="15"/>
  <c r="V381" i="15"/>
  <c r="V379" i="15"/>
  <c r="V378" i="15"/>
  <c r="V377" i="15"/>
  <c r="V380" i="15"/>
  <c r="V376" i="15"/>
  <c r="V375" i="15"/>
  <c r="V374" i="15" l="1"/>
  <c r="V428" i="15"/>
  <c r="V373" i="15"/>
  <c r="V372" i="15" l="1"/>
  <c r="V371" i="15"/>
  <c r="V370" i="15"/>
  <c r="V369" i="15"/>
  <c r="V368" i="15"/>
  <c r="V367" i="15"/>
  <c r="V366" i="15"/>
  <c r="V363" i="15" l="1"/>
  <c r="V362" i="15"/>
  <c r="V361" i="15"/>
  <c r="V360" i="15"/>
  <c r="V358" i="15"/>
  <c r="V359" i="15"/>
  <c r="V364" i="15"/>
  <c r="V365" i="15"/>
  <c r="V357" i="15"/>
  <c r="V356" i="15"/>
  <c r="V355" i="15"/>
  <c r="V353" i="15"/>
  <c r="V352" i="15" l="1"/>
  <c r="V351" i="15" l="1"/>
  <c r="V349" i="15"/>
  <c r="V348" i="15"/>
  <c r="V347" i="15" l="1"/>
  <c r="V346" i="15"/>
  <c r="V350" i="15"/>
  <c r="V354" i="15"/>
  <c r="V345" i="15"/>
  <c r="V344" i="15"/>
  <c r="V342" i="15"/>
  <c r="V341" i="15"/>
  <c r="V340" i="15"/>
  <c r="V343" i="15"/>
  <c r="V337" i="15" l="1"/>
  <c r="V336" i="15"/>
  <c r="V338" i="15"/>
  <c r="V339" i="15"/>
  <c r="V335" i="15" l="1"/>
  <c r="V334" i="15"/>
  <c r="V333" i="15"/>
  <c r="V332" i="15"/>
  <c r="V331" i="15" l="1"/>
  <c r="V330" i="15"/>
  <c r="V328" i="15"/>
  <c r="V327" i="15"/>
  <c r="V325" i="15"/>
  <c r="V324" i="15" l="1"/>
  <c r="V321" i="15"/>
  <c r="V322" i="15"/>
  <c r="V323" i="15"/>
  <c r="V326" i="15"/>
  <c r="V329" i="15"/>
  <c r="V320" i="15"/>
  <c r="V319" i="15"/>
  <c r="V318" i="15" l="1"/>
  <c r="V316" i="15" l="1"/>
  <c r="V315" i="15"/>
  <c r="V317" i="15" l="1"/>
  <c r="V310" i="15" l="1"/>
  <c r="V309" i="15"/>
  <c r="V308" i="15"/>
  <c r="V307" i="15"/>
  <c r="V311" i="15"/>
  <c r="V312" i="15"/>
  <c r="V313" i="15"/>
  <c r="V314" i="15"/>
  <c r="V305" i="15" l="1"/>
  <c r="V303" i="15" l="1"/>
  <c r="V302" i="15"/>
  <c r="V301" i="15"/>
  <c r="V300" i="15"/>
  <c r="V298" i="15" l="1"/>
  <c r="V299" i="15"/>
  <c r="V297" i="15"/>
  <c r="V296" i="15"/>
  <c r="V293" i="15" l="1"/>
  <c r="V294" i="15"/>
  <c r="V295" i="15"/>
  <c r="V304" i="15"/>
  <c r="V306" i="15"/>
  <c r="V292" i="15"/>
  <c r="V290" i="15"/>
  <c r="V289" i="15"/>
  <c r="V288" i="15"/>
  <c r="V287" i="15"/>
  <c r="V283" i="15" l="1"/>
  <c r="V281" i="15"/>
  <c r="V279" i="15" l="1"/>
  <c r="V280" i="15"/>
  <c r="V282" i="15"/>
  <c r="V284" i="15"/>
  <c r="V285" i="15"/>
  <c r="V278" i="15"/>
  <c r="V277" i="15"/>
  <c r="V291" i="15"/>
  <c r="V275" i="15"/>
  <c r="V274" i="15" l="1"/>
  <c r="V273" i="15"/>
  <c r="V272" i="15"/>
  <c r="V271" i="15"/>
  <c r="V269" i="15" l="1"/>
  <c r="V267" i="15" l="1"/>
  <c r="V265" i="15" l="1"/>
  <c r="V264" i="15"/>
  <c r="V266" i="15"/>
  <c r="V268" i="15"/>
  <c r="V270" i="15"/>
  <c r="V276" i="15"/>
  <c r="V247" i="15" l="1"/>
  <c r="V286" i="15" l="1"/>
  <c r="V263" i="15"/>
  <c r="V262" i="15"/>
  <c r="V261" i="15"/>
  <c r="V260" i="15"/>
  <c r="V251" i="15" l="1"/>
  <c r="V259" i="15" l="1"/>
  <c r="V258" i="15"/>
  <c r="V256" i="15"/>
  <c r="V255" i="15"/>
  <c r="V254" i="15"/>
  <c r="V257" i="15"/>
  <c r="V252" i="15"/>
  <c r="V250" i="15" l="1"/>
  <c r="V249" i="15" l="1"/>
  <c r="V248" i="15"/>
  <c r="V246" i="15"/>
  <c r="V244" i="15"/>
  <c r="V245" i="15"/>
  <c r="V253" i="15"/>
  <c r="V243" i="15"/>
  <c r="V242" i="15"/>
  <c r="V240" i="15"/>
  <c r="V239" i="15"/>
  <c r="V241" i="15"/>
  <c r="V238" i="15"/>
  <c r="V237" i="15"/>
  <c r="V236" i="15"/>
  <c r="V234" i="15"/>
  <c r="V235" i="15"/>
  <c r="V231" i="15"/>
  <c r="V229" i="15"/>
  <c r="V228" i="15"/>
  <c r="V227" i="15"/>
  <c r="V225" i="15"/>
  <c r="V224" i="15"/>
  <c r="V223" i="15"/>
  <c r="V219" i="15"/>
  <c r="V220" i="15"/>
  <c r="V221" i="15"/>
  <c r="V222" i="15"/>
  <c r="V226" i="15"/>
  <c r="V216" i="15" l="1"/>
  <c r="V232" i="15" l="1"/>
  <c r="V233" i="15"/>
  <c r="V213" i="15"/>
  <c r="V212" i="15" l="1"/>
  <c r="V211" i="15"/>
  <c r="V210" i="15"/>
  <c r="V209" i="15"/>
  <c r="V208" i="15"/>
  <c r="V207" i="15"/>
  <c r="V205" i="15" l="1"/>
  <c r="V204" i="15"/>
  <c r="V200" i="15"/>
  <c r="V199" i="15"/>
  <c r="V198" i="15"/>
  <c r="V194" i="15" l="1"/>
  <c r="V193" i="15"/>
  <c r="V192" i="15" l="1"/>
  <c r="V189" i="15"/>
  <c r="V190" i="15"/>
  <c r="V191" i="15"/>
  <c r="V195" i="15"/>
  <c r="V196" i="15"/>
  <c r="V197" i="15"/>
  <c r="V201" i="15"/>
  <c r="V202" i="15"/>
  <c r="V203" i="15"/>
  <c r="V206" i="15"/>
  <c r="V187" i="15" l="1"/>
  <c r="V186" i="15"/>
  <c r="V185" i="15"/>
  <c r="V184" i="15"/>
  <c r="V183" i="15"/>
  <c r="V182" i="15"/>
  <c r="V179" i="15"/>
  <c r="V178" i="15"/>
  <c r="V177" i="15"/>
  <c r="V180" i="15"/>
  <c r="V188" i="15"/>
  <c r="V176" i="15"/>
  <c r="V174" i="15"/>
  <c r="V173" i="15"/>
  <c r="V172" i="15"/>
  <c r="V171" i="15"/>
  <c r="V169" i="15"/>
  <c r="V168" i="15"/>
  <c r="V167" i="15"/>
  <c r="V166" i="15"/>
  <c r="V164" i="15"/>
  <c r="V163" i="15"/>
  <c r="V170" i="15"/>
  <c r="V175" i="15"/>
  <c r="V165" i="15"/>
  <c r="V162" i="15"/>
  <c r="V161" i="15"/>
  <c r="V160" i="15"/>
  <c r="V157" i="15"/>
  <c r="V155" i="15" l="1"/>
  <c r="V153" i="15"/>
  <c r="V152" i="15"/>
  <c r="V154" i="15"/>
  <c r="V156" i="15"/>
  <c r="V158" i="15"/>
  <c r="V159" i="15"/>
  <c r="V151" i="15"/>
  <c r="V149" i="15"/>
  <c r="V150" i="15"/>
  <c r="V148" i="15"/>
  <c r="V146" i="15"/>
  <c r="V147" i="15"/>
  <c r="V144" i="15"/>
  <c r="V143" i="15"/>
  <c r="V142" i="15"/>
  <c r="V141" i="15"/>
  <c r="V140" i="15"/>
  <c r="V139" i="15"/>
  <c r="V138" i="15" l="1"/>
  <c r="V137" i="15"/>
  <c r="V145" i="15"/>
  <c r="V135" i="15" l="1"/>
  <c r="V133" i="15"/>
  <c r="V132" i="15"/>
  <c r="V134" i="15"/>
  <c r="V131" i="15"/>
  <c r="V130" i="15"/>
  <c r="V128" i="15"/>
  <c r="V127" i="15"/>
  <c r="V126" i="15"/>
  <c r="V125" i="15"/>
  <c r="V124" i="15"/>
  <c r="V123" i="15"/>
  <c r="V121" i="15"/>
  <c r="V120" i="15"/>
  <c r="V119" i="15"/>
  <c r="V118" i="15"/>
  <c r="V122" i="15"/>
  <c r="V129" i="15"/>
  <c r="V117" i="15"/>
  <c r="V116" i="15"/>
  <c r="V114" i="15"/>
  <c r="V112" i="15"/>
  <c r="V110" i="15" l="1"/>
  <c r="V109" i="15"/>
  <c r="V108" i="15" l="1"/>
  <c r="V107" i="15"/>
  <c r="V106" i="15"/>
  <c r="V104" i="15"/>
  <c r="V105" i="15"/>
  <c r="V111" i="15"/>
  <c r="V113" i="15"/>
  <c r="V115" i="15"/>
  <c r="V103" i="15"/>
  <c r="V102" i="15"/>
  <c r="V101" i="15"/>
  <c r="V100" i="15"/>
  <c r="V99" i="15" l="1"/>
  <c r="V97" i="15"/>
  <c r="V96" i="15"/>
  <c r="V95" i="15"/>
  <c r="V93" i="15"/>
  <c r="V91" i="15"/>
  <c r="V87" i="15" l="1"/>
  <c r="V88" i="15"/>
  <c r="V89" i="15"/>
  <c r="V90" i="15"/>
  <c r="V92" i="15"/>
  <c r="V94" i="15"/>
  <c r="V98" i="15"/>
  <c r="V429" i="15"/>
  <c r="V81" i="15" l="1"/>
  <c r="V80" i="15"/>
  <c r="V82" i="15"/>
  <c r="V83" i="15"/>
  <c r="V77" i="15"/>
  <c r="V76" i="15"/>
  <c r="V78" i="15"/>
  <c r="V79" i="15"/>
  <c r="V84" i="15"/>
  <c r="V85" i="15"/>
  <c r="V86" i="15"/>
  <c r="V75" i="15"/>
  <c r="V73" i="15"/>
  <c r="V72" i="15"/>
  <c r="V71" i="15"/>
  <c r="V70" i="15"/>
  <c r="V69" i="15"/>
  <c r="V68" i="15"/>
  <c r="V67" i="15"/>
  <c r="V74" i="15"/>
  <c r="V64" i="15"/>
  <c r="V62" i="15" l="1"/>
  <c r="V63" i="15" l="1"/>
  <c r="V65" i="15"/>
  <c r="V66" i="15"/>
  <c r="V61" i="15"/>
  <c r="V60" i="15"/>
  <c r="V58" i="15"/>
  <c r="V57" i="15"/>
  <c r="V56" i="15"/>
  <c r="V54" i="15"/>
  <c r="V55" i="15"/>
  <c r="V59" i="15"/>
  <c r="V53" i="15"/>
  <c r="V52" i="15" l="1"/>
  <c r="V51" i="15"/>
  <c r="V50" i="15"/>
  <c r="V49" i="15"/>
  <c r="V48" i="15"/>
  <c r="V47" i="15"/>
  <c r="V44" i="15"/>
  <c r="V43" i="15"/>
  <c r="V41" i="15"/>
  <c r="V42" i="15"/>
  <c r="V40" i="15"/>
  <c r="V45" i="15" l="1"/>
  <c r="V46" i="15"/>
  <c r="V39" i="15"/>
  <c r="V38" i="15"/>
  <c r="V37" i="15"/>
  <c r="V36" i="15"/>
  <c r="V35" i="15"/>
  <c r="V34" i="15"/>
  <c r="V31" i="15"/>
  <c r="V29" i="15"/>
  <c r="V28" i="15"/>
  <c r="V27" i="15"/>
  <c r="V26" i="15"/>
  <c r="V23" i="15" l="1"/>
  <c r="V25" i="15"/>
  <c r="V30" i="15"/>
  <c r="V32" i="15"/>
  <c r="V33" i="15"/>
  <c r="V18" i="15"/>
  <c r="V2" i="15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24" i="15"/>
  <c r="V422" i="14" l="1"/>
  <c r="V414" i="14" l="1"/>
  <c r="AO430" i="15"/>
  <c r="V421" i="14"/>
  <c r="V189" i="14"/>
  <c r="V419" i="14"/>
  <c r="V420" i="14"/>
  <c r="V423" i="14"/>
  <c r="V424" i="14"/>
  <c r="V418" i="14"/>
  <c r="V430" i="15" l="1"/>
  <c r="V416" i="14"/>
  <c r="V413" i="14"/>
  <c r="V415" i="14"/>
  <c r="V412" i="14"/>
  <c r="V411" i="14"/>
  <c r="V408" i="14" l="1"/>
  <c r="V407" i="14"/>
  <c r="V406" i="14"/>
  <c r="V405" i="14"/>
  <c r="V404" i="14"/>
  <c r="V403" i="14"/>
  <c r="V402" i="14"/>
  <c r="V401" i="14"/>
  <c r="V400" i="14"/>
  <c r="V399" i="14"/>
  <c r="V397" i="14"/>
  <c r="V396" i="14"/>
  <c r="V395" i="14"/>
  <c r="V394" i="14"/>
  <c r="V393" i="14"/>
  <c r="V391" i="14"/>
  <c r="V392" i="14"/>
  <c r="V398" i="14"/>
  <c r="V388" i="14"/>
  <c r="V386" i="14"/>
  <c r="V385" i="14"/>
  <c r="V384" i="14"/>
  <c r="V383" i="14" l="1"/>
  <c r="V380" i="14"/>
  <c r="V379" i="14"/>
  <c r="V378" i="14"/>
  <c r="V382" i="14"/>
  <c r="V387" i="14"/>
  <c r="V389" i="14"/>
  <c r="V390" i="14"/>
  <c r="V409" i="14"/>
  <c r="V410" i="14"/>
  <c r="V417" i="14"/>
  <c r="V425" i="14"/>
  <c r="V381" i="14"/>
  <c r="V377" i="14"/>
  <c r="V375" i="14" l="1"/>
  <c r="V373" i="14"/>
  <c r="V372" i="14"/>
  <c r="V371" i="14"/>
  <c r="V369" i="14"/>
  <c r="V368" i="14"/>
  <c r="V367" i="14"/>
  <c r="V364" i="14"/>
  <c r="V365" i="14"/>
  <c r="V363" i="14"/>
  <c r="V362" i="14"/>
  <c r="V370" i="14"/>
  <c r="V374" i="14"/>
  <c r="V361" i="14"/>
  <c r="V359" i="14"/>
  <c r="V358" i="14"/>
  <c r="V356" i="14"/>
  <c r="V355" i="14"/>
  <c r="V354" i="14"/>
  <c r="V357" i="14"/>
  <c r="V360" i="14"/>
  <c r="V351" i="14"/>
  <c r="V350" i="14"/>
  <c r="V349" i="14"/>
  <c r="V348" i="14"/>
  <c r="V347" i="14"/>
  <c r="V346" i="14"/>
  <c r="V345" i="14"/>
  <c r="V344" i="14"/>
  <c r="V343" i="14"/>
  <c r="V352" i="14"/>
  <c r="V353" i="14"/>
  <c r="V376" i="14"/>
  <c r="V342" i="14"/>
  <c r="V341" i="14"/>
  <c r="V340" i="14"/>
  <c r="V339" i="14"/>
  <c r="V338" i="14"/>
  <c r="V337" i="14"/>
  <c r="V336" i="14"/>
  <c r="V335" i="14"/>
  <c r="V332" i="14"/>
  <c r="V333" i="14"/>
  <c r="V334" i="14"/>
  <c r="V331" i="14"/>
  <c r="V329" i="14"/>
  <c r="V327" i="14"/>
  <c r="V328" i="14"/>
  <c r="V330" i="14"/>
  <c r="V326" i="14"/>
  <c r="V325" i="14"/>
  <c r="V324" i="14" l="1"/>
  <c r="V323" i="14"/>
  <c r="V320" i="14"/>
  <c r="V321" i="14" l="1"/>
  <c r="V322" i="14"/>
  <c r="V319" i="14"/>
  <c r="V318" i="14"/>
  <c r="V314" i="14"/>
  <c r="V313" i="14"/>
  <c r="V312" i="14" l="1"/>
  <c r="V311" i="14"/>
  <c r="V315" i="14"/>
  <c r="V316" i="14"/>
  <c r="V317" i="14"/>
  <c r="V308" i="14"/>
  <c r="V306" i="14"/>
  <c r="V307" i="14"/>
  <c r="V304" i="14"/>
  <c r="V305" i="14"/>
  <c r="V310" i="14"/>
  <c r="V301" i="14"/>
  <c r="V300" i="14"/>
  <c r="V298" i="14"/>
  <c r="V299" i="14"/>
  <c r="V302" i="14"/>
  <c r="V303" i="14"/>
  <c r="V297" i="14"/>
  <c r="V291" i="14"/>
  <c r="V292" i="14"/>
  <c r="V293" i="14"/>
  <c r="V294" i="14"/>
  <c r="V290" i="14"/>
  <c r="V289" i="14"/>
  <c r="V295" i="14"/>
  <c r="V286" i="14" l="1"/>
  <c r="V285" i="14"/>
  <c r="V280" i="14"/>
  <c r="V281" i="14"/>
  <c r="V282" i="14"/>
  <c r="V283" i="14"/>
  <c r="V284" i="14"/>
  <c r="V287" i="14"/>
  <c r="V288" i="14"/>
  <c r="V296" i="14"/>
  <c r="V279" i="14"/>
  <c r="V278" i="14"/>
  <c r="V277" i="14"/>
  <c r="V276" i="14"/>
  <c r="V274" i="14"/>
  <c r="V273" i="14"/>
  <c r="V275" i="14"/>
  <c r="V271" i="14"/>
  <c r="V270" i="14"/>
  <c r="V272" i="14"/>
  <c r="V266" i="14"/>
  <c r="V267" i="14"/>
  <c r="V268" i="14"/>
  <c r="V269" i="14"/>
  <c r="V264" i="14"/>
  <c r="V265" i="14"/>
  <c r="V263" i="14"/>
  <c r="V262" i="14"/>
  <c r="V261" i="14"/>
  <c r="V260" i="14"/>
  <c r="V258" i="14"/>
  <c r="V257" i="14"/>
  <c r="V259" i="14"/>
  <c r="V255" i="14"/>
  <c r="V254" i="14"/>
  <c r="V256" i="14"/>
  <c r="V253" i="14"/>
  <c r="V248" i="14"/>
  <c r="V243" i="14"/>
  <c r="V244" i="14"/>
  <c r="V245" i="14"/>
  <c r="V246" i="14"/>
  <c r="V247" i="14"/>
  <c r="V249" i="14"/>
  <c r="V250" i="14"/>
  <c r="V241" i="14"/>
  <c r="V240" i="14"/>
  <c r="V239" i="14"/>
  <c r="V238" i="14"/>
  <c r="V242" i="14"/>
  <c r="V237" i="14"/>
  <c r="V236" i="14"/>
  <c r="V235" i="14"/>
  <c r="V233" i="14"/>
  <c r="V232" i="14"/>
  <c r="V231" i="14"/>
  <c r="V230" i="14" l="1"/>
  <c r="V229" i="14"/>
  <c r="V228" i="14"/>
  <c r="V234" i="14"/>
  <c r="V225" i="14"/>
  <c r="V223" i="14" l="1"/>
  <c r="V224" i="14"/>
  <c r="V226" i="14"/>
  <c r="V227" i="14"/>
  <c r="V222" i="14"/>
  <c r="V221" i="14"/>
  <c r="V219" i="14"/>
  <c r="V218" i="14"/>
  <c r="V217" i="14"/>
  <c r="V216" i="14"/>
  <c r="V215" i="14"/>
  <c r="V214" i="14"/>
  <c r="V212" i="14"/>
  <c r="V213" i="14"/>
  <c r="V209" i="14"/>
  <c r="V207" i="14"/>
  <c r="V206" i="14"/>
  <c r="V208" i="14"/>
  <c r="V210" i="14"/>
  <c r="V211" i="14"/>
  <c r="V205" i="14" l="1"/>
  <c r="V204" i="14"/>
  <c r="V203" i="14" l="1"/>
  <c r="V202" i="14"/>
  <c r="V201" i="14"/>
  <c r="V220" i="14"/>
  <c r="V200" i="14"/>
  <c r="V199" i="14"/>
  <c r="V198" i="14"/>
  <c r="V195" i="14"/>
  <c r="V196" i="14"/>
  <c r="V197" i="14"/>
  <c r="V194" i="14"/>
  <c r="V192" i="14"/>
  <c r="V191" i="14"/>
  <c r="V190" i="14"/>
  <c r="V193" i="14"/>
  <c r="V188" i="14"/>
  <c r="V187" i="14"/>
  <c r="V186" i="14" l="1"/>
  <c r="V183" i="14"/>
  <c r="V182" i="14"/>
  <c r="V181" i="14"/>
  <c r="V180" i="14"/>
  <c r="V184" i="14"/>
  <c r="V185" i="14"/>
  <c r="V179" i="14"/>
  <c r="V2" i="14"/>
  <c r="V3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AO426" i="14" l="1"/>
  <c r="V377" i="13" l="1"/>
  <c r="V426" i="14" l="1"/>
  <c r="V173" i="13"/>
  <c r="V2" i="13"/>
  <c r="V378" i="13"/>
  <c r="V379" i="13"/>
  <c r="V380" i="13"/>
  <c r="V381" i="13"/>
  <c r="V374" i="13"/>
  <c r="V372" i="13"/>
  <c r="V373" i="13"/>
  <c r="V375" i="13"/>
  <c r="V376" i="13"/>
  <c r="V371" i="13"/>
  <c r="V370" i="13"/>
  <c r="V369" i="13"/>
  <c r="V368" i="13"/>
  <c r="V367" i="13"/>
  <c r="V366" i="13"/>
  <c r="V365" i="13"/>
  <c r="V364" i="13"/>
  <c r="V363" i="13"/>
  <c r="V362" i="13"/>
  <c r="V361" i="13"/>
  <c r="V359" i="13"/>
  <c r="V358" i="13"/>
  <c r="V356" i="13"/>
  <c r="V355" i="13"/>
  <c r="V354" i="13"/>
  <c r="V352" i="13"/>
  <c r="V351" i="13"/>
  <c r="V350" i="13"/>
  <c r="V349" i="13"/>
  <c r="V348" i="13"/>
  <c r="V347" i="13"/>
  <c r="V346" i="13"/>
  <c r="V345" i="13"/>
  <c r="V344" i="13"/>
  <c r="V343" i="13"/>
  <c r="V353" i="13"/>
  <c r="V357" i="13"/>
  <c r="V360" i="13"/>
  <c r="V339" i="13"/>
  <c r="V342" i="13"/>
  <c r="V338" i="13"/>
  <c r="V337" i="13"/>
  <c r="V336" i="13"/>
  <c r="V335" i="13"/>
  <c r="V334" i="13"/>
  <c r="V333" i="13"/>
  <c r="V332" i="13"/>
  <c r="V331" i="13"/>
  <c r="V330" i="13"/>
  <c r="V329" i="13"/>
  <c r="V328" i="13"/>
  <c r="V327" i="13"/>
  <c r="V291" i="13"/>
  <c r="V326" i="13"/>
  <c r="V325" i="13"/>
  <c r="V324" i="13"/>
  <c r="V323" i="13"/>
  <c r="V32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227" i="13"/>
  <c r="V228" i="13"/>
  <c r="V229" i="13"/>
  <c r="V230" i="13"/>
  <c r="V231" i="13"/>
  <c r="V232" i="13"/>
  <c r="V165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6" i="13"/>
  <c r="V167" i="13"/>
  <c r="V168" i="13"/>
  <c r="V169" i="13"/>
  <c r="V170" i="13"/>
  <c r="V171" i="13"/>
  <c r="V172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2" i="13"/>
  <c r="V223" i="13"/>
  <c r="V224" i="13"/>
  <c r="V225" i="13"/>
  <c r="V226" i="13"/>
  <c r="T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T197" i="11"/>
  <c r="T198" i="11"/>
  <c r="T199" i="11"/>
  <c r="T200" i="11"/>
  <c r="T201" i="11"/>
  <c r="T202" i="11"/>
  <c r="T203" i="11"/>
  <c r="T204" i="11"/>
  <c r="T205" i="11"/>
  <c r="T206" i="11"/>
  <c r="T207" i="11"/>
  <c r="T208" i="11"/>
  <c r="T209" i="11"/>
  <c r="T210" i="11"/>
  <c r="T211" i="11"/>
  <c r="T212" i="11"/>
  <c r="T213" i="11"/>
  <c r="T214" i="11"/>
  <c r="T215" i="11"/>
  <c r="T216" i="11"/>
  <c r="T217" i="11"/>
  <c r="T218" i="11"/>
  <c r="T219" i="11"/>
  <c r="T220" i="11"/>
  <c r="T221" i="11"/>
  <c r="T222" i="11"/>
  <c r="T223" i="11"/>
  <c r="T224" i="11"/>
  <c r="T225" i="11"/>
  <c r="T226" i="11"/>
  <c r="T227" i="11"/>
  <c r="T228" i="11"/>
  <c r="T229" i="11"/>
  <c r="T230" i="11"/>
  <c r="T231" i="11"/>
  <c r="T232" i="11"/>
  <c r="T233" i="11"/>
  <c r="T234" i="11"/>
  <c r="T235" i="11"/>
  <c r="T236" i="11"/>
  <c r="T237" i="11"/>
  <c r="T238" i="11"/>
  <c r="T239" i="11"/>
  <c r="T240" i="11"/>
  <c r="T241" i="11"/>
  <c r="T242" i="11"/>
  <c r="T243" i="11"/>
  <c r="T244" i="11"/>
  <c r="T245" i="11"/>
  <c r="T246" i="11"/>
  <c r="T247" i="11"/>
  <c r="T248" i="11"/>
  <c r="T249" i="11"/>
  <c r="T250" i="11"/>
  <c r="T251" i="11"/>
  <c r="T252" i="11"/>
  <c r="T253" i="11"/>
  <c r="T254" i="11"/>
  <c r="T255" i="11"/>
  <c r="T256" i="11"/>
  <c r="T257" i="11"/>
  <c r="T258" i="11"/>
  <c r="T259" i="11"/>
  <c r="T260" i="11"/>
  <c r="T261" i="11"/>
  <c r="T262" i="11"/>
  <c r="T263" i="11"/>
  <c r="T264" i="11"/>
  <c r="T265" i="11"/>
  <c r="T266" i="11"/>
  <c r="T267" i="11"/>
  <c r="T268" i="11"/>
  <c r="T269" i="11"/>
  <c r="T270" i="11"/>
  <c r="T271" i="11"/>
  <c r="T272" i="11"/>
  <c r="T273" i="11"/>
  <c r="T277" i="11"/>
  <c r="T278" i="11"/>
  <c r="T279" i="11"/>
  <c r="T280" i="11"/>
  <c r="T281" i="11"/>
  <c r="T282" i="11"/>
  <c r="T283" i="11"/>
  <c r="T284" i="11"/>
  <c r="T285" i="11"/>
  <c r="T286" i="11"/>
  <c r="T287" i="11"/>
  <c r="T288" i="11"/>
  <c r="T289" i="11"/>
  <c r="T290" i="11"/>
  <c r="T291" i="11"/>
  <c r="T292" i="11"/>
  <c r="T293" i="11"/>
  <c r="T294" i="11"/>
  <c r="T295" i="11"/>
  <c r="T296" i="11"/>
  <c r="T297" i="11"/>
  <c r="T298" i="11"/>
  <c r="T299" i="11"/>
  <c r="T300" i="11"/>
  <c r="T301" i="11"/>
  <c r="T302" i="11"/>
  <c r="T304" i="11"/>
  <c r="T305" i="11"/>
  <c r="T308" i="11"/>
  <c r="T309" i="11"/>
  <c r="T310" i="11"/>
  <c r="T311" i="11"/>
  <c r="T312" i="11"/>
  <c r="T313" i="11"/>
  <c r="T314" i="11"/>
  <c r="T315" i="11"/>
  <c r="T316" i="11"/>
  <c r="T317" i="11"/>
  <c r="T318" i="11"/>
  <c r="T319" i="11"/>
  <c r="T320" i="11"/>
  <c r="T321" i="11"/>
  <c r="T322" i="11"/>
  <c r="T323" i="11"/>
  <c r="T324" i="11"/>
  <c r="T325" i="11"/>
  <c r="T326" i="11"/>
  <c r="T327" i="11"/>
  <c r="T328" i="11"/>
  <c r="T329" i="11"/>
  <c r="T331" i="11"/>
  <c r="T332" i="11"/>
  <c r="T333" i="11"/>
  <c r="T334" i="11"/>
  <c r="T335" i="11"/>
  <c r="T336" i="11"/>
  <c r="T337" i="11"/>
  <c r="T338" i="11"/>
  <c r="T339" i="11"/>
  <c r="T340" i="11"/>
  <c r="T341" i="11"/>
  <c r="T342" i="11"/>
  <c r="T343" i="11"/>
  <c r="T344" i="11"/>
  <c r="T345" i="11"/>
  <c r="T346" i="11"/>
  <c r="T347" i="11"/>
  <c r="T348" i="11"/>
  <c r="T349" i="11"/>
  <c r="T350" i="11"/>
  <c r="T351" i="11"/>
  <c r="T352" i="11"/>
  <c r="T353" i="11"/>
  <c r="T354" i="11"/>
  <c r="T355" i="11"/>
  <c r="T356" i="11"/>
  <c r="T357" i="11"/>
  <c r="T358" i="11"/>
  <c r="T359" i="11"/>
  <c r="T360" i="11"/>
  <c r="T361" i="11"/>
  <c r="T362" i="11"/>
  <c r="T363" i="11"/>
  <c r="T364" i="11"/>
  <c r="T365" i="11"/>
  <c r="T366" i="11"/>
  <c r="T367" i="11"/>
  <c r="T368" i="11"/>
  <c r="T369" i="11"/>
  <c r="T370" i="11"/>
  <c r="T371" i="11"/>
  <c r="T372" i="11"/>
  <c r="T373" i="11"/>
  <c r="T374" i="11"/>
  <c r="T375" i="11"/>
  <c r="T376" i="11"/>
  <c r="T377" i="11"/>
  <c r="T378" i="11"/>
  <c r="T379" i="11"/>
  <c r="T380" i="11"/>
  <c r="T381" i="11"/>
  <c r="T382" i="11"/>
  <c r="T383" i="11"/>
  <c r="T384" i="11"/>
  <c r="T385" i="11"/>
  <c r="T386" i="11"/>
  <c r="T387" i="11"/>
  <c r="T388" i="11"/>
  <c r="T389" i="11"/>
  <c r="T390" i="11"/>
  <c r="T391" i="11"/>
  <c r="T392" i="11"/>
  <c r="T393" i="11"/>
  <c r="T394" i="11"/>
  <c r="T395" i="11"/>
  <c r="T396" i="11"/>
  <c r="T397" i="11"/>
  <c r="T398" i="11"/>
  <c r="T399" i="11"/>
  <c r="T400" i="11"/>
  <c r="T401" i="11"/>
  <c r="T3" i="10"/>
  <c r="T4" i="10"/>
  <c r="T5" i="10"/>
  <c r="T6" i="10"/>
  <c r="T7" i="10"/>
  <c r="T8" i="10"/>
  <c r="T9" i="10"/>
  <c r="T10" i="10"/>
  <c r="T11" i="10"/>
  <c r="T17" i="10"/>
  <c r="T18" i="10"/>
  <c r="T19" i="10"/>
  <c r="T20" i="10"/>
  <c r="T22" i="10"/>
  <c r="T23" i="10"/>
  <c r="T24" i="10"/>
  <c r="T25" i="10"/>
  <c r="T26" i="10"/>
  <c r="T27" i="10"/>
  <c r="T28" i="10"/>
  <c r="T29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60" i="10"/>
  <c r="T161" i="10"/>
  <c r="T162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48" i="9"/>
  <c r="T249" i="9"/>
  <c r="T250" i="9"/>
  <c r="T251" i="9"/>
  <c r="T252" i="9"/>
  <c r="T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V38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Lourdes</author>
  </authors>
  <commentList>
    <comment ref="E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Lourdes:</t>
        </r>
        <r>
          <rPr>
            <sz val="9"/>
            <color indexed="81"/>
            <rFont val="Tahoma"/>
            <family val="2"/>
          </rPr>
          <t xml:space="preserve">
facturar traducción jurada autorización madre (30€)</t>
        </r>
      </text>
    </comment>
  </commentList>
</comments>
</file>

<file path=xl/sharedStrings.xml><?xml version="1.0" encoding="utf-8"?>
<sst xmlns="http://schemas.openxmlformats.org/spreadsheetml/2006/main" count="48149" uniqueCount="13481">
  <si>
    <t>Asociado</t>
  </si>
  <si>
    <t>Presentación</t>
  </si>
  <si>
    <t>CIF</t>
  </si>
  <si>
    <t>Nombre Cliente</t>
  </si>
  <si>
    <t>Domicilio</t>
  </si>
  <si>
    <t>Cód. Postal</t>
  </si>
  <si>
    <t>Localidad</t>
  </si>
  <si>
    <t>Teléfono</t>
  </si>
  <si>
    <t>e-mail</t>
  </si>
  <si>
    <t>CIF de Cargo</t>
  </si>
  <si>
    <t>Fecha Factura</t>
  </si>
  <si>
    <t>Concepto Cabecera</t>
  </si>
  <si>
    <t>Concepto Línea</t>
  </si>
  <si>
    <t>Precio</t>
  </si>
  <si>
    <t>Cantidad</t>
  </si>
  <si>
    <t>IVA</t>
  </si>
  <si>
    <t>Descuento</t>
  </si>
  <si>
    <t>Servicio</t>
  </si>
  <si>
    <t>Total</t>
  </si>
  <si>
    <t>NIE</t>
  </si>
  <si>
    <t>EXP</t>
  </si>
  <si>
    <t>F.NAC</t>
  </si>
  <si>
    <t>Estado Expediente</t>
  </si>
  <si>
    <t>Huella</t>
  </si>
  <si>
    <t>Motivo denegacion</t>
  </si>
  <si>
    <t>Requerimiento</t>
  </si>
  <si>
    <t>Fecha Requerimiento</t>
  </si>
  <si>
    <t>Caduca</t>
  </si>
  <si>
    <t>Fecha Ampliacion</t>
  </si>
  <si>
    <t>Subsanacion</t>
  </si>
  <si>
    <t>Tramite Audiencia</t>
  </si>
  <si>
    <t>Obervaciones</t>
  </si>
  <si>
    <t>Caducidad del permiso</t>
  </si>
  <si>
    <t>Cohorsan</t>
  </si>
  <si>
    <t>El Ejido</t>
  </si>
  <si>
    <t>Gestión y Tramitación Extranjería</t>
  </si>
  <si>
    <t>RRHH Extranjeria</t>
  </si>
  <si>
    <t>Externo</t>
  </si>
  <si>
    <t>Roquetas de Mar</t>
  </si>
  <si>
    <t>Vicar</t>
  </si>
  <si>
    <t>Ejidoluz</t>
  </si>
  <si>
    <t>SANFRUIT SCA</t>
  </si>
  <si>
    <t xml:space="preserve">F04256301    </t>
  </si>
  <si>
    <t>RUBIAGRO SCA</t>
  </si>
  <si>
    <t>C/ Aragón, 34</t>
  </si>
  <si>
    <t>Ferva</t>
  </si>
  <si>
    <t xml:space="preserve">27213551C    </t>
  </si>
  <si>
    <t>CECILIO FERNANDEZ MALDONADO</t>
  </si>
  <si>
    <t>Carboneras</t>
  </si>
  <si>
    <t>Almeria</t>
  </si>
  <si>
    <t xml:space="preserve">F04183570    </t>
  </si>
  <si>
    <t>Y1683180P</t>
  </si>
  <si>
    <t>Fiscosur</t>
  </si>
  <si>
    <t xml:space="preserve">B04174033    </t>
  </si>
  <si>
    <t>Sorbas</t>
  </si>
  <si>
    <t>JENAFRUT SCA</t>
  </si>
  <si>
    <t>C/ Valencia, 10</t>
  </si>
  <si>
    <t>B04696696</t>
  </si>
  <si>
    <t>AGRICOLA ESCOGRANADOS SL</t>
  </si>
  <si>
    <t>Casur</t>
  </si>
  <si>
    <t>La Mojonera</t>
  </si>
  <si>
    <t>Vicasol</t>
  </si>
  <si>
    <t>V04368247</t>
  </si>
  <si>
    <t>SAT LOMAFRUT</t>
  </si>
  <si>
    <t>SAT LOS ALCORES</t>
  </si>
  <si>
    <t>CRIADO UTRILLA SL</t>
  </si>
  <si>
    <t>B04617932</t>
  </si>
  <si>
    <t>Casi</t>
  </si>
  <si>
    <t>San Agustin</t>
  </si>
  <si>
    <t>Y1225968J</t>
  </si>
  <si>
    <t>B04198511</t>
  </si>
  <si>
    <t>ORTOTERRES SL</t>
  </si>
  <si>
    <t>C/ Constantino nº 8</t>
  </si>
  <si>
    <t>tasas</t>
  </si>
  <si>
    <t>Matagorda- El Ejido</t>
  </si>
  <si>
    <t>Y0821398J</t>
  </si>
  <si>
    <t>LELOUMA MBALLO</t>
  </si>
  <si>
    <t>tasa</t>
  </si>
  <si>
    <t>MAMADOU NDONG</t>
  </si>
  <si>
    <t>SEMILLEROS LAIMUND SL</t>
  </si>
  <si>
    <t>Gestion 3</t>
  </si>
  <si>
    <t>LA TAMARILLA SCA</t>
  </si>
  <si>
    <t>Asesoria Juan Ramirez</t>
  </si>
  <si>
    <t>Frutas Escobi</t>
  </si>
  <si>
    <t>SANCHEZ MORENO INVERSIONES SL</t>
  </si>
  <si>
    <t>Y1182335B</t>
  </si>
  <si>
    <t>Nijar</t>
  </si>
  <si>
    <t>catastro</t>
  </si>
  <si>
    <t>Y2402926S</t>
  </si>
  <si>
    <t>Y1985310X</t>
  </si>
  <si>
    <t>MOUSTAPHA GUEYE</t>
  </si>
  <si>
    <t>AGROSOL EXPORT SL</t>
  </si>
  <si>
    <t>La Gangosa-Vicar</t>
  </si>
  <si>
    <t>Y2424852E</t>
  </si>
  <si>
    <t>Y2424926G</t>
  </si>
  <si>
    <t>Y2424878W</t>
  </si>
  <si>
    <t>Y0692810H</t>
  </si>
  <si>
    <t>Y1908800K</t>
  </si>
  <si>
    <t>Y1908905B</t>
  </si>
  <si>
    <t>FUENTAPI SCA</t>
  </si>
  <si>
    <t>ANTONIO AMATE GARCIA</t>
  </si>
  <si>
    <t>X4380578K</t>
  </si>
  <si>
    <t>Y0027983Y</t>
  </si>
  <si>
    <t>La Cañada de San Urbano</t>
  </si>
  <si>
    <t>X8865850V</t>
  </si>
  <si>
    <t>X8865859A</t>
  </si>
  <si>
    <t>Y2543037X</t>
  </si>
  <si>
    <t>SAMBA SARR</t>
  </si>
  <si>
    <t>Campohermoso- Nijar</t>
  </si>
  <si>
    <t xml:space="preserve">F04047783    </t>
  </si>
  <si>
    <t>Las Norias de Daza</t>
  </si>
  <si>
    <t>Eurosol</t>
  </si>
  <si>
    <t>Y2542931L</t>
  </si>
  <si>
    <t xml:space="preserve">F04720306    </t>
  </si>
  <si>
    <t>C/ Orense nº 4 planta 1 puerta E</t>
  </si>
  <si>
    <t>JOSE ANGEL GONZALEZ GARCIA</t>
  </si>
  <si>
    <t>Carril Los Olivos nº 2622</t>
  </si>
  <si>
    <t>Agroponiente</t>
  </si>
  <si>
    <t>C/ Animas nº2</t>
  </si>
  <si>
    <t>Coprohnijar</t>
  </si>
  <si>
    <t>BOUBACAR HAIDARA</t>
  </si>
  <si>
    <t>Tramitación Renovación Autorización Residencia y Trabajo BOUBACAR HAIDARA</t>
  </si>
  <si>
    <t>C/ Extremadura nº 78</t>
  </si>
  <si>
    <t>CIF, escritura y catastro</t>
  </si>
  <si>
    <t>Y1908971P</t>
  </si>
  <si>
    <t>Y2915278L</t>
  </si>
  <si>
    <t>Y2915299V</t>
  </si>
  <si>
    <t>Y2915262A</t>
  </si>
  <si>
    <t>Y2915240G</t>
  </si>
  <si>
    <t>Y2915231H</t>
  </si>
  <si>
    <t>Tramitación Renovación Autorización Residencia y Trabajo MAMADOU NDONG</t>
  </si>
  <si>
    <t>Parque Natural</t>
  </si>
  <si>
    <t>LAMINE SANE</t>
  </si>
  <si>
    <t>Tramitación Renovación Autorización Residencia y Trabajo LAMINE SANE</t>
  </si>
  <si>
    <t>IBRAHIMA BAH</t>
  </si>
  <si>
    <t>Tramitación Renovación Autorización Residencia y Trabajo IBRAHIMA BAH</t>
  </si>
  <si>
    <t>Y1908880D</t>
  </si>
  <si>
    <t>Bafersa</t>
  </si>
  <si>
    <t>C/ Mirlo nº 2</t>
  </si>
  <si>
    <t>FRAMIA CB</t>
  </si>
  <si>
    <t>B04172862</t>
  </si>
  <si>
    <t>AGROPONIENTE NATURAL PRODUCE SL</t>
  </si>
  <si>
    <t>Tramitación Renovación Autorización Residencia y Trabajo ALI EL FAKRAOUY</t>
  </si>
  <si>
    <t>Multinatura</t>
  </si>
  <si>
    <t>Uleila del Campo</t>
  </si>
  <si>
    <t>ANTONIO MARTINEZ PADILLA</t>
  </si>
  <si>
    <t>C/ Capitan sn</t>
  </si>
  <si>
    <t>Y2588234N</t>
  </si>
  <si>
    <t>Tramitación Arraigo Social PAPA ALIOUNE DIAKHATE</t>
  </si>
  <si>
    <t>Y3448135N</t>
  </si>
  <si>
    <t>ILIASSE DIOP</t>
  </si>
  <si>
    <t>RECOGIDO MISMO DIA</t>
  </si>
  <si>
    <t>Y3498907T</t>
  </si>
  <si>
    <t>RECURSO</t>
  </si>
  <si>
    <t>El Barranquete- Nijar</t>
  </si>
  <si>
    <t>ENTINAS PARK SL</t>
  </si>
  <si>
    <t>Y3645091L</t>
  </si>
  <si>
    <t>X9912113X</t>
  </si>
  <si>
    <t>Y3670207L</t>
  </si>
  <si>
    <t>IBRAHIMA NDAO</t>
  </si>
  <si>
    <t>C/ Animas nº3</t>
  </si>
  <si>
    <t>C/ Cortijo Blanco, nº 3157</t>
  </si>
  <si>
    <t>27213551C</t>
  </si>
  <si>
    <t>27520083P</t>
  </si>
  <si>
    <t>JUAN ANTONIO MANZANO ACOSTA</t>
  </si>
  <si>
    <t>C/ Estrella del Sur nº 28</t>
  </si>
  <si>
    <t xml:space="preserve">B04320727    </t>
  </si>
  <si>
    <t>75254857F</t>
  </si>
  <si>
    <t>ANTONIO ESPINOSA SANCHEZ</t>
  </si>
  <si>
    <t>34841311Z</t>
  </si>
  <si>
    <t>JUAN JESUS TORRES PIEDRA</t>
  </si>
  <si>
    <t xml:space="preserve">75254857F    </t>
  </si>
  <si>
    <t>MIGUEL ANGEL LOPEZ SUAREZ</t>
  </si>
  <si>
    <t>X2018375X</t>
  </si>
  <si>
    <t>F04047783</t>
  </si>
  <si>
    <t>V04636379</t>
  </si>
  <si>
    <t>F04248589</t>
  </si>
  <si>
    <t>27499305E</t>
  </si>
  <si>
    <t>ANTONIO GALVEZ CESPEDES</t>
  </si>
  <si>
    <t>Y3980203K</t>
  </si>
  <si>
    <t>Balerma- El Ejido</t>
  </si>
  <si>
    <t>C/ Larache nº 33 3º A</t>
  </si>
  <si>
    <t>ESSAN ALMERIA SL</t>
  </si>
  <si>
    <t xml:space="preserve">Sta Mª del Aguila </t>
  </si>
  <si>
    <t>54098396G</t>
  </si>
  <si>
    <t>GABRIEL PEREZ ESCUDERO</t>
  </si>
  <si>
    <t>F04315834</t>
  </si>
  <si>
    <t>C/ Huelva nº 117</t>
  </si>
  <si>
    <t>Ctra. Las Losas, 2059</t>
  </si>
  <si>
    <t>Y4138945V</t>
  </si>
  <si>
    <t>Y4138836T</t>
  </si>
  <si>
    <t>Y4138818M</t>
  </si>
  <si>
    <t>Y4138704Y</t>
  </si>
  <si>
    <t>Y4138564G</t>
  </si>
  <si>
    <t>Y4138482Z</t>
  </si>
  <si>
    <t>Y4138331R</t>
  </si>
  <si>
    <t>SAT LAS HACIENDAS</t>
  </si>
  <si>
    <t xml:space="preserve">27220757G    </t>
  </si>
  <si>
    <t>San Agustin- El Ejido</t>
  </si>
  <si>
    <t>Y4286043F</t>
  </si>
  <si>
    <t>YOUNOUSSA DIAO</t>
  </si>
  <si>
    <t>Tramitación Arraigo Social YOUNOUSSA DIAO</t>
  </si>
  <si>
    <t>Tramitación Renovación Autorización Residencia y Trabajo IBRAHIMA NDAO</t>
  </si>
  <si>
    <t>Almerimar- El Ejido</t>
  </si>
  <si>
    <t>34843829W</t>
  </si>
  <si>
    <t>PEDRO GONZALEZ HERNANDEZ</t>
  </si>
  <si>
    <t>Cortijo el Panadero sn</t>
  </si>
  <si>
    <t>E04653515</t>
  </si>
  <si>
    <t>MELGAR CB</t>
  </si>
  <si>
    <t>C/ Huelva nº 16</t>
  </si>
  <si>
    <t>27516842X</t>
  </si>
  <si>
    <t>MANUEL GALVEZ CESPEDES</t>
  </si>
  <si>
    <t>X7948770Q</t>
  </si>
  <si>
    <t>MAMADOU SALL</t>
  </si>
  <si>
    <t>C/ Codorniz nº3</t>
  </si>
  <si>
    <t>pruebas</t>
  </si>
  <si>
    <t>Tramitación Arraigo Social ABDESSELAM ERRACHIDI</t>
  </si>
  <si>
    <t>X7983625A</t>
  </si>
  <si>
    <t>DOMICILIO NOTIFICACIÓN</t>
  </si>
  <si>
    <t>04740</t>
  </si>
  <si>
    <t>04738</t>
  </si>
  <si>
    <t>04700</t>
  </si>
  <si>
    <t>FRANCISCO JAVIER ROMERA MARTIN</t>
  </si>
  <si>
    <t>Y0736039F</t>
  </si>
  <si>
    <t>ANSOUMANA DEMBA</t>
  </si>
  <si>
    <t>C/ Alqueria nº 9</t>
  </si>
  <si>
    <t>04113</t>
  </si>
  <si>
    <t>04711</t>
  </si>
  <si>
    <t xml:space="preserve">F04749909    </t>
  </si>
  <si>
    <t>RODRIFRAN SCA</t>
  </si>
  <si>
    <t>04710</t>
  </si>
  <si>
    <t>C/ Fernando I, 9</t>
  </si>
  <si>
    <t>04279</t>
  </si>
  <si>
    <t>04715</t>
  </si>
  <si>
    <t>MARIANA DE JESUS AREVALO FACUNDO</t>
  </si>
  <si>
    <t>Y4543684W</t>
  </si>
  <si>
    <t>04716</t>
  </si>
  <si>
    <t xml:space="preserve">F04013462 </t>
  </si>
  <si>
    <t>04140</t>
  </si>
  <si>
    <t>04110</t>
  </si>
  <si>
    <t>C/ Rio Almanzora nº 23</t>
  </si>
  <si>
    <t>04745</t>
  </si>
  <si>
    <t>04117</t>
  </si>
  <si>
    <t>nuestra</t>
  </si>
  <si>
    <t>empresa</t>
  </si>
  <si>
    <t>04270</t>
  </si>
  <si>
    <t>34852059K</t>
  </si>
  <si>
    <t>Las Hortichuelas (Hermanos Romera)</t>
  </si>
  <si>
    <t>Y4642503J</t>
  </si>
  <si>
    <t>SEKOU SEYDI</t>
  </si>
  <si>
    <t>04100</t>
  </si>
  <si>
    <t>27247393Y</t>
  </si>
  <si>
    <t>FRANCISCA RODRIGUEZ ALCALDE</t>
  </si>
  <si>
    <t>C/ Sorbas nº 19</t>
  </si>
  <si>
    <t>Y4650370Z</t>
  </si>
  <si>
    <t>Y4650166V</t>
  </si>
  <si>
    <t>B04794285</t>
  </si>
  <si>
    <t>JEAN FRANCOIS ORTIZ</t>
  </si>
  <si>
    <t>Camino del Campo sn</t>
  </si>
  <si>
    <t>04130</t>
  </si>
  <si>
    <t>SAT Las Haciendas</t>
  </si>
  <si>
    <t>X6882803F</t>
  </si>
  <si>
    <t>X7707236M</t>
  </si>
  <si>
    <t>34841361H</t>
  </si>
  <si>
    <t>JUAN MANUEL TRIPIANA LLAMAS</t>
  </si>
  <si>
    <t>Y4768154S</t>
  </si>
  <si>
    <t>PAPA WALY SARR</t>
  </si>
  <si>
    <t>C/ Palmeral nº 12</t>
  </si>
  <si>
    <t>C/ Acequias nº 2</t>
  </si>
  <si>
    <t>Y4768328M</t>
  </si>
  <si>
    <t>04009</t>
  </si>
  <si>
    <t>Y4811730Y</t>
  </si>
  <si>
    <t>Y4814484T</t>
  </si>
  <si>
    <t>Y4814705Z</t>
  </si>
  <si>
    <t>Y4814690E</t>
  </si>
  <si>
    <t>Y4814664L</t>
  </si>
  <si>
    <t>Y4814606F</t>
  </si>
  <si>
    <t>Y4814640H</t>
  </si>
  <si>
    <t>Y4814580G</t>
  </si>
  <si>
    <t>Y4814573C</t>
  </si>
  <si>
    <t>Y4814550C</t>
  </si>
  <si>
    <t>Y4814530T</t>
  </si>
  <si>
    <t>Y4814522S</t>
  </si>
  <si>
    <t>Y4814491F</t>
  </si>
  <si>
    <t>Y4814485R</t>
  </si>
  <si>
    <t>Tramitación Autorización Trasnacional Prorroga LATYR NGOM</t>
  </si>
  <si>
    <t>Tramitación Autorización Trasnacional Prorroga MANSOUR SALL</t>
  </si>
  <si>
    <t>Tramitación Autorización Trasnacional Prorroga BALLA FALL</t>
  </si>
  <si>
    <t>Tramitación Autorización Trasnacional Prorroga BOUBACAR CAMARA</t>
  </si>
  <si>
    <t>Tramitación Autorización Trasnacional Prorroga LAMINE BA</t>
  </si>
  <si>
    <t>Tramitación Autorización Trasnacional Prorroga IBRA FAYE</t>
  </si>
  <si>
    <t>Tramitación Autorización Trasnacional Prorroga MOUSTAPHA BA</t>
  </si>
  <si>
    <t>Y4829122X</t>
  </si>
  <si>
    <t>04151</t>
  </si>
  <si>
    <t>04120</t>
  </si>
  <si>
    <t>Fruchthof</t>
  </si>
  <si>
    <t xml:space="preserve">B30503692    </t>
  </si>
  <si>
    <t>FRUCHTHOF SL</t>
  </si>
  <si>
    <t>Plaza Hispanidad, 1 Edf. Romajardin</t>
  </si>
  <si>
    <t>30130</t>
  </si>
  <si>
    <t>Beniel (Murcia)</t>
  </si>
  <si>
    <t>642261381 Sebastian</t>
  </si>
  <si>
    <t>Tramitación Certificado Registro Comunitario KADAR LUDOVIC</t>
  </si>
  <si>
    <t>Y1584850A</t>
  </si>
  <si>
    <t>04717</t>
  </si>
  <si>
    <t>extranjero</t>
  </si>
  <si>
    <t>Y2389688W</t>
  </si>
  <si>
    <t>IRYNA KOROL</t>
  </si>
  <si>
    <t>B04775102</t>
  </si>
  <si>
    <t>AGRIPLANET VALSAN SL</t>
  </si>
  <si>
    <t>C/ Portugos nº 11</t>
  </si>
  <si>
    <t>B04471280</t>
  </si>
  <si>
    <t>ANTONIO Y BONI NIETO SL</t>
  </si>
  <si>
    <t>C/ Las Torres nº10</t>
  </si>
  <si>
    <t>04150</t>
  </si>
  <si>
    <t>Tramitación Cuenta Ajena Inicial AIT SELAM HAMOU</t>
  </si>
  <si>
    <t>X9912022B</t>
  </si>
  <si>
    <t>Tramitación Cuenta Ajena Inicial LAHCEN AMALICH</t>
  </si>
  <si>
    <t>X9912029H</t>
  </si>
  <si>
    <t>Tramitación Cuenta Ajena Inicial LAHBIB ZOUGAGH</t>
  </si>
  <si>
    <t>X9912232Z</t>
  </si>
  <si>
    <t>Tramitación Cuenta Ajena Inicial MBAREK BEN ADOU</t>
  </si>
  <si>
    <t>X9912055K</t>
  </si>
  <si>
    <t>Semilleros Laimund SL</t>
  </si>
  <si>
    <t>B04364998</t>
  </si>
  <si>
    <t>Ctra Berja km.1 paraje cuatro vientos 42</t>
  </si>
  <si>
    <t>Y5099785D</t>
  </si>
  <si>
    <t>Y3970616W</t>
  </si>
  <si>
    <t>Tramitación CA Inicial LANSANA SARR</t>
  </si>
  <si>
    <t>27529260P</t>
  </si>
  <si>
    <t>ALFONSO CERVANTES MENDEZ</t>
  </si>
  <si>
    <t>C/ Cerro del Calar nº 14</t>
  </si>
  <si>
    <t>Tramitación CA Inicial BAHIJA GOUNAINE</t>
  </si>
  <si>
    <t>Y4117064D</t>
  </si>
  <si>
    <t>040020170000100</t>
  </si>
  <si>
    <t>vida laboral, certificado nacimiento y tasas</t>
  </si>
  <si>
    <t>Tramitación CA Inicial HAWAD EL HABCHI</t>
  </si>
  <si>
    <t>Y5223964B</t>
  </si>
  <si>
    <t>040020170000092</t>
  </si>
  <si>
    <t>040020170000105</t>
  </si>
  <si>
    <t>Coexphal</t>
  </si>
  <si>
    <t>Barriada Garrido nº 5</t>
  </si>
  <si>
    <t>040020170000094</t>
  </si>
  <si>
    <t>Escritura tierras</t>
  </si>
  <si>
    <t>78037786M</t>
  </si>
  <si>
    <t>JOSE FRANCISCO OLVERA PEREZ</t>
  </si>
  <si>
    <t>C/ Francisco Ayala 6 3º 23</t>
  </si>
  <si>
    <t>Tramitación Arraigo Social LAMIN YABOU</t>
  </si>
  <si>
    <t>Y4169436X</t>
  </si>
  <si>
    <t>040020170000093</t>
  </si>
  <si>
    <t>traducción penales</t>
  </si>
  <si>
    <t>Tramitación CA Inicial HATHOUT ATIKA</t>
  </si>
  <si>
    <t>X6313371D</t>
  </si>
  <si>
    <t>040020170000095</t>
  </si>
  <si>
    <t>Cortijo Cespedes nº 24 4-2</t>
  </si>
  <si>
    <t>Tramitación CA Inicial ELALLAMI ATTI</t>
  </si>
  <si>
    <t>040020170000317</t>
  </si>
  <si>
    <t>certificado matrimonio, catastro y tasas</t>
  </si>
  <si>
    <t>C/ Sansovino nº23</t>
  </si>
  <si>
    <t>Tramitación CA Inicial SOUAD OUHASSOU</t>
  </si>
  <si>
    <t>X9981830Z</t>
  </si>
  <si>
    <t>040020170000313</t>
  </si>
  <si>
    <t>X3003782M</t>
  </si>
  <si>
    <t>MOURAD ALLALI</t>
  </si>
  <si>
    <t>Ctjo El Panadero - Barranquete</t>
  </si>
  <si>
    <t>Tramitación Arraigo Social MOHAMMED ESSOLAYMANY</t>
  </si>
  <si>
    <t>trabajador</t>
  </si>
  <si>
    <t>Ctra La Mojonera nº 225</t>
  </si>
  <si>
    <t>FAVORABLE 01/02/2017</t>
  </si>
  <si>
    <t>Y5291929B</t>
  </si>
  <si>
    <t>OUSMANE BALDE</t>
  </si>
  <si>
    <t>C/ San Francisco nº 44 2º1</t>
  </si>
  <si>
    <t>Tramitación Arraigo Social OUSMANE BALDE</t>
  </si>
  <si>
    <t>040020170001616</t>
  </si>
  <si>
    <t>Tramitación Certificado Comunitario ION COLTEA</t>
  </si>
  <si>
    <t>040020170000913</t>
  </si>
  <si>
    <t>le requieren medios economicos y se presentan 10/02/2017</t>
  </si>
  <si>
    <t>Y5306145J</t>
  </si>
  <si>
    <t>TAHIR FALL</t>
  </si>
  <si>
    <t>C/ Francisco Ayala 6 1º5</t>
  </si>
  <si>
    <t>Tramitación Arraigo Social TAHIR FALL</t>
  </si>
  <si>
    <t>040020170001989</t>
  </si>
  <si>
    <t>penales, vida laboral y tasa</t>
  </si>
  <si>
    <t>Y1714211N</t>
  </si>
  <si>
    <t>Y2526241G</t>
  </si>
  <si>
    <t>MAGATTE SAR</t>
  </si>
  <si>
    <t>Tramitación Renovación Autorización Residencia y Trabajo MAGATTE SAR</t>
  </si>
  <si>
    <t>Tramitación Renovación Autorización Residencia y Trabajo ABDOULAYE DIAGOURAGA</t>
  </si>
  <si>
    <t>Tramitación CA Inicial ANIMA BERNICE</t>
  </si>
  <si>
    <t>Y5306008Z</t>
  </si>
  <si>
    <t>040020170001981</t>
  </si>
  <si>
    <t>Y1924287Y</t>
  </si>
  <si>
    <t>SAIBA SILLAH</t>
  </si>
  <si>
    <t>C/ Cervantes nº 94 6ºB</t>
  </si>
  <si>
    <t>Tramitación Arraigo Social SAIBA SILLAH</t>
  </si>
  <si>
    <t>040020170001979</t>
  </si>
  <si>
    <t>NO FAVORABLE 01/02/2017</t>
  </si>
  <si>
    <t>Y4468877Z</t>
  </si>
  <si>
    <t>JOAO DJATA</t>
  </si>
  <si>
    <t>C/ Hermanos Pinzón nº 59 1º</t>
  </si>
  <si>
    <t>Tramitación Renovación Autorización Residencia y Trabajo JOAO DJATA</t>
  </si>
  <si>
    <t>San Isidro deNijar</t>
  </si>
  <si>
    <t>Y5317375L</t>
  </si>
  <si>
    <t>OUSSEYNOU BARO</t>
  </si>
  <si>
    <t>Tramitación Arraigo Social OUSSEYNOU BARO</t>
  </si>
  <si>
    <t>040020170002276</t>
  </si>
  <si>
    <t>tasa y pruebas</t>
  </si>
  <si>
    <t>Y4995237L</t>
  </si>
  <si>
    <t>NATASHA TARA RIMER</t>
  </si>
  <si>
    <t>Paraje El Rincon nº 1</t>
  </si>
  <si>
    <t>Tramitación Certificado Comunitario NATASHA TARA RIMER</t>
  </si>
  <si>
    <t>Tramitación Certificado Comunitario CHRISTOPHER JAMES RIMER</t>
  </si>
  <si>
    <t>Y4995247Y</t>
  </si>
  <si>
    <t>FAVORABLE 22/02/2017</t>
  </si>
  <si>
    <t>Y4235122P</t>
  </si>
  <si>
    <t>MAMADOU DEMBA</t>
  </si>
  <si>
    <t>C/ Ibiza nº 10</t>
  </si>
  <si>
    <t>Fiscosur (ESSAN ALMERIA)</t>
  </si>
  <si>
    <t xml:space="preserve">B04320727 </t>
  </si>
  <si>
    <t>Tramitación Renovación Autorización Residencia y Trabajo IBROUHIMA COULIBALY</t>
  </si>
  <si>
    <t>Tramitación Renovación Autorización Residencia y Trabajo MAMADOU DEMBA</t>
  </si>
  <si>
    <t>Y1870681J</t>
  </si>
  <si>
    <t>FAVORABLE 02/03/2017</t>
  </si>
  <si>
    <t>Agrosol Export SL</t>
  </si>
  <si>
    <t>B04655627</t>
  </si>
  <si>
    <t>C/ San Francisco nº 12</t>
  </si>
  <si>
    <t>Tramitación CA Inicial MOHAMED EL OMARI</t>
  </si>
  <si>
    <t>Y5349162C</t>
  </si>
  <si>
    <t>040020170003049</t>
  </si>
  <si>
    <t>Y5152989Z</t>
  </si>
  <si>
    <t>RICARDO ISMAEL COLOMER PLA</t>
  </si>
  <si>
    <t>C/ de la Almedina nº35</t>
  </si>
  <si>
    <t>04002</t>
  </si>
  <si>
    <t>Tramitación Arraigo Familiar RICARDO ISMAEL COLOMER PLA</t>
  </si>
  <si>
    <t>040020170003033</t>
  </si>
  <si>
    <t>cert. Nacimiento y tasa</t>
  </si>
  <si>
    <r>
      <t>Y</t>
    </r>
    <r>
      <rPr>
        <sz val="10"/>
        <color indexed="8"/>
        <rFont val="Calibri"/>
        <family val="2"/>
      </rPr>
      <t>5317375L</t>
    </r>
  </si>
  <si>
    <t>FAVORABLE 15/03/2017</t>
  </si>
  <si>
    <t xml:space="preserve">Murgiverde </t>
  </si>
  <si>
    <t xml:space="preserve">B04740957    </t>
  </si>
  <si>
    <t>HERNALAGRO</t>
  </si>
  <si>
    <t>C/  Plaza Acuario, 10</t>
  </si>
  <si>
    <t>Tramitación CA Inicial MOHAMMED AKKA</t>
  </si>
  <si>
    <t>Y5363907E</t>
  </si>
  <si>
    <t>040020170003431</t>
  </si>
  <si>
    <t>08910005N</t>
  </si>
  <si>
    <t>JUAN MIGUEL GUTIERREZ MEDINA</t>
  </si>
  <si>
    <t>C/ Estay, nº 92</t>
  </si>
  <si>
    <t>Tramitación CA Inicial MOHAMED BAHAQY</t>
  </si>
  <si>
    <t>Y5363651L</t>
  </si>
  <si>
    <t>040020170003424</t>
  </si>
  <si>
    <t>Se presenta mas mediso economicos requeridos 17/03/2017</t>
  </si>
  <si>
    <t>Se presenta la tasa 17/03/2017</t>
  </si>
  <si>
    <t>Tramitación Renovación Autorización Residencia y Trabajo ANSOUMANA DEMBA</t>
  </si>
  <si>
    <t>FAVORABLE 27/03/2017</t>
  </si>
  <si>
    <t>FAVORABLE 16/03/2017</t>
  </si>
  <si>
    <t>FAVORABLE 14/03/2017</t>
  </si>
  <si>
    <t>NO FAVORABLE 17/03/2017</t>
  </si>
  <si>
    <t>B04333266</t>
  </si>
  <si>
    <t>Tramitación CA Inicial AMINATA JABBIE</t>
  </si>
  <si>
    <t>Y5393747R</t>
  </si>
  <si>
    <t>040020170004277</t>
  </si>
  <si>
    <t>45593198E</t>
  </si>
  <si>
    <t>JUAN MIGUEL LOPEZ VALVERDE</t>
  </si>
  <si>
    <t>C/ Francisco de Goya,  nº 1</t>
  </si>
  <si>
    <t>Tramitación Arraigo Social SANNA SONKO</t>
  </si>
  <si>
    <t>Y3681562N</t>
  </si>
  <si>
    <t>040020170004266</t>
  </si>
  <si>
    <t>Cortijo Los Morenos nº 11 bj</t>
  </si>
  <si>
    <t>MANE EP MANE FADE</t>
  </si>
  <si>
    <t>Tramitación Renovación Autorización Residencia MANE SEYDOU</t>
  </si>
  <si>
    <t>le requieren medios economicos y se presentan 31/03/2017</t>
  </si>
  <si>
    <t>C/ Pozo nuevo nº 5 bj</t>
  </si>
  <si>
    <t>Tramitación Certificado Registro Comunitario DUMITRU MARCEL VATRA</t>
  </si>
  <si>
    <t>Y5409427W</t>
  </si>
  <si>
    <t>Tramitación Certificado Registro Comunitario ANTON KAKOS</t>
  </si>
  <si>
    <t>Tramitación Autorización Trasnacional Inicial MIZAEL OMAR FRIAS SANCHEZ</t>
  </si>
  <si>
    <t>X6884638W</t>
  </si>
  <si>
    <t>040020170004647</t>
  </si>
  <si>
    <t>Tramitación Autorización Trasnacional Prórroga ABDOU GAYE</t>
  </si>
  <si>
    <t>040020170001700</t>
  </si>
  <si>
    <t>Tramitación Autorización Trasnacional Prórroga ABDOU DIA</t>
  </si>
  <si>
    <t>040020170001701</t>
  </si>
  <si>
    <t>Tramitación Autorización Trasnacional Prórroga OUSSEYNOU TOURE</t>
  </si>
  <si>
    <t>040020170001689</t>
  </si>
  <si>
    <t xml:space="preserve">B04645859    </t>
  </si>
  <si>
    <t>AGRICOLA LAS VIÑAS EXPORT SL</t>
  </si>
  <si>
    <t>Tramitación Arraigo Solcial ABDELILLAH LOUANZI</t>
  </si>
  <si>
    <t>Y1527747D</t>
  </si>
  <si>
    <t>040020170004670</t>
  </si>
  <si>
    <t>C/ Horno nº13</t>
  </si>
  <si>
    <t>Tramitación Arraigo Social BOUBACAR DANFA</t>
  </si>
  <si>
    <t>Y1100118L</t>
  </si>
  <si>
    <t>040020170004666</t>
  </si>
  <si>
    <t>75249429F</t>
  </si>
  <si>
    <t>ANGELES DEL CARMEN MARTINEZ HERNANDEZ</t>
  </si>
  <si>
    <t>C/ Bojares nº 12</t>
  </si>
  <si>
    <t>Tramitación CA Inicial ERIC OPPONG</t>
  </si>
  <si>
    <t>Y4022654Z</t>
  </si>
  <si>
    <t>040020170004652</t>
  </si>
  <si>
    <t>FAVORABLE 03/04/2017</t>
  </si>
  <si>
    <t>NO FAVORABLE 23/03/2017</t>
  </si>
  <si>
    <t>Tramitación Certificado Registro Comunitario MARIAN CUCU</t>
  </si>
  <si>
    <t>Y5417242C</t>
  </si>
  <si>
    <t>NO FAVORABLE 24/03/2017</t>
  </si>
  <si>
    <t>NO FAVORABLE 20/03/2017</t>
  </si>
  <si>
    <t>Tramitación Certificado Registro Comunitario ALEXANDRU RADUTU</t>
  </si>
  <si>
    <t>Y5427981H</t>
  </si>
  <si>
    <t>Tramitación Certificado Registro Comunitario FLORIN MADALIN LUNGAN</t>
  </si>
  <si>
    <t>Y5428052C</t>
  </si>
  <si>
    <t>Tramitación Autorización Trasnacional Inicial IBRAHIMA MBAYE</t>
  </si>
  <si>
    <t>Y5427521H</t>
  </si>
  <si>
    <t>040020170005140</t>
  </si>
  <si>
    <t>Tramitación Autorización Trasnacional Inicial BAMBA GUEYE</t>
  </si>
  <si>
    <t>Y5427421X</t>
  </si>
  <si>
    <t>040020170005135</t>
  </si>
  <si>
    <t>Tramitación Autorización Trasnacional Inicial LAYTIR SECK</t>
  </si>
  <si>
    <t>Y5427483A</t>
  </si>
  <si>
    <t>040020170005138</t>
  </si>
  <si>
    <t>Tramitación Autorización Trasnacional Inicial ABDOURAHMANE NDIAYE</t>
  </si>
  <si>
    <t>Y5427558D</t>
  </si>
  <si>
    <t>040020170005141</t>
  </si>
  <si>
    <t>Tramitación Autorización Trasnacional Inicial DAME NGUER</t>
  </si>
  <si>
    <t>Y5427591L</t>
  </si>
  <si>
    <t>040020170005143</t>
  </si>
  <si>
    <t>Tramitación Autorización Trasnacional Inicial MALICK SARR</t>
  </si>
  <si>
    <t>040020170005139</t>
  </si>
  <si>
    <t>Tramitación Autorización Trasnacional Inicial OUSMANE KA</t>
  </si>
  <si>
    <t>040020170005137</t>
  </si>
  <si>
    <t>Tramitación Autorización Trasnacional Inicial CHEIKH FALL</t>
  </si>
  <si>
    <t>Y5427425Z</t>
  </si>
  <si>
    <t>040020170005136</t>
  </si>
  <si>
    <t xml:space="preserve">B04775102    </t>
  </si>
  <si>
    <t>Y5430998E</t>
  </si>
  <si>
    <t>040020170005226</t>
  </si>
  <si>
    <t>C/ El Palmeral nº 12 1ºB</t>
  </si>
  <si>
    <t>Tramitación Renovación Autorización Residencia y Trabajo MAMAODU NDONG</t>
  </si>
  <si>
    <t>Tramitación Renovación Autorización Residencia y Trabajo LELOUMA MBALLO</t>
  </si>
  <si>
    <t>C/ Luciano Rubio nº 3</t>
  </si>
  <si>
    <t>Tramitación Renovación Autorización Residencia y Trabajo ILIASSE DIOP</t>
  </si>
  <si>
    <t>C\ Cigüeña, 28</t>
  </si>
  <si>
    <t>25989981G</t>
  </si>
  <si>
    <t>JUAN VILCHEZ JIMENEZ</t>
  </si>
  <si>
    <t>C/ Barranco Hondo nº 5</t>
  </si>
  <si>
    <t>Tramitación Cuenta Ajena Inicial KAMAL BADI</t>
  </si>
  <si>
    <t>Y5440183F</t>
  </si>
  <si>
    <t>040020170005468</t>
  </si>
  <si>
    <t>X3905408P</t>
  </si>
  <si>
    <t>KAMAL BELFOR</t>
  </si>
  <si>
    <t>C/ Seguirillas nº 1</t>
  </si>
  <si>
    <t>Tramitación Reagrupación Familiar WAFAA DAOUDI</t>
  </si>
  <si>
    <t>Y4568796K</t>
  </si>
  <si>
    <t>040020170005473</t>
  </si>
  <si>
    <t>45595424V</t>
  </si>
  <si>
    <t>CARMEN MONTOYA MORENO</t>
  </si>
  <si>
    <t>Avda Pipaces nº2</t>
  </si>
  <si>
    <t>Tramitación Cuenta Ajena Inicial KHALID EL HAZMIRI</t>
  </si>
  <si>
    <t>Y4506724A</t>
  </si>
  <si>
    <t>040020170005469</t>
  </si>
  <si>
    <t>presentadas mas pruebas 26/04/2017</t>
  </si>
  <si>
    <t>C/ Mecina Alfahar nº 24 3ºA</t>
  </si>
  <si>
    <t>Tramitación Renovación Autorización Residencia y Trabajo SEKOU SEYDI</t>
  </si>
  <si>
    <t>NO FAVORABLE 04/04/2017</t>
  </si>
  <si>
    <t>Tramitación Certificado Registro Comunitario CONSTANTIN VALENTIN BUCUR</t>
  </si>
  <si>
    <t xml:space="preserve">54096628F    </t>
  </si>
  <si>
    <t>C/ Ignacio Zuloaga 63</t>
  </si>
  <si>
    <t>Tramitación Arraigo Social BOUTARFA EL HOUOIRI</t>
  </si>
  <si>
    <t>040020170005986</t>
  </si>
  <si>
    <t>34855694E</t>
  </si>
  <si>
    <t>FRANCISCO JAVIER CANO AGUILERA</t>
  </si>
  <si>
    <t>C/ Estrella del Sur nº 9</t>
  </si>
  <si>
    <t>Tramitación Arraigo Social HASSAN BAHCIN</t>
  </si>
  <si>
    <t>Y5460770D</t>
  </si>
  <si>
    <t>Y5460715T</t>
  </si>
  <si>
    <t>040020170005984</t>
  </si>
  <si>
    <t>Tramitación Renovación Autorización Residencia y Trabajo AHMED LOUKARA</t>
  </si>
  <si>
    <t>NO FAVORABLE 26/04/2017</t>
  </si>
  <si>
    <t>FAVORABLE 11/04/2017</t>
  </si>
  <si>
    <t>FAVORABLE 28/04/2017</t>
  </si>
  <si>
    <t>FAVORABLE 03/05/2017</t>
  </si>
  <si>
    <t>FAVORABLE 26/04/2017</t>
  </si>
  <si>
    <t>Paises Bajos nº 1</t>
  </si>
  <si>
    <t>Tramitación Cuenta Ajena Inicial MAURICIO FERNANDO LASTRA GARCIA</t>
  </si>
  <si>
    <t>Y4700828X</t>
  </si>
  <si>
    <t>040020170006269</t>
  </si>
  <si>
    <t>tasas y certificado INEM</t>
  </si>
  <si>
    <t>Tramitación Cuenta Ajena Inicial BAHIJA GOUNAINE</t>
  </si>
  <si>
    <t>040020170006278</t>
  </si>
  <si>
    <t>FAVORABLE 16/05/2017</t>
  </si>
  <si>
    <t>Ctra Mami Ctjo Cespedes  nº27</t>
  </si>
  <si>
    <t>Tramitación Cuenta Ajena Inicial PORTIA FOSU</t>
  </si>
  <si>
    <t>Y5494757W</t>
  </si>
  <si>
    <t>040020170006795</t>
  </si>
  <si>
    <t>tasa y cert matrimonio</t>
  </si>
  <si>
    <t>ARCHIVO</t>
  </si>
  <si>
    <t>Y5494793S</t>
  </si>
  <si>
    <t>FLOAREA VELEA</t>
  </si>
  <si>
    <t>Plaza Petanca nº 10 bjC</t>
  </si>
  <si>
    <t>Tramitación Certificado Registro Comunitario FLOAREA VELEA</t>
  </si>
  <si>
    <t>FAVORABLE 17/05/2017</t>
  </si>
  <si>
    <t>FAVORABLE 30/05/2017</t>
  </si>
  <si>
    <t>Y5531286F</t>
  </si>
  <si>
    <t>FATOU GAYE MBAYE</t>
  </si>
  <si>
    <t>Tramitacíon Arraigo Social FATOU GAYE MBAYE</t>
  </si>
  <si>
    <t>040020170007662</t>
  </si>
  <si>
    <t>tasa, escritura y memoria</t>
  </si>
  <si>
    <t>Y5531303R</t>
  </si>
  <si>
    <t>BIRANE COUMBA WADE</t>
  </si>
  <si>
    <t>C/ Torres Cartas nº 2</t>
  </si>
  <si>
    <t>Y5531303F</t>
  </si>
  <si>
    <t>Tramitación Arraigo Social BIRANE COUMBA WADE</t>
  </si>
  <si>
    <t>040020170007663</t>
  </si>
  <si>
    <t>catastro y memoria</t>
  </si>
  <si>
    <t>75236184X</t>
  </si>
  <si>
    <t>MARIA DEL CARMEN GIMENEZ GIMENEZ</t>
  </si>
  <si>
    <t>C/ Alhambra nº21</t>
  </si>
  <si>
    <t>Tramitación Arraigo Social  BANGALY SIDIBE</t>
  </si>
  <si>
    <t>Y5531034P</t>
  </si>
  <si>
    <t>040020170007654</t>
  </si>
  <si>
    <t>Y5258807D</t>
  </si>
  <si>
    <t>MILTON YUBANY JIMENEZ UREÑA</t>
  </si>
  <si>
    <t>C/ Venezuela nº 25 1º3</t>
  </si>
  <si>
    <t>Tramitación Arraigo Familiar MILTON YUBANY JIMENEZ UREÑA</t>
  </si>
  <si>
    <t>040020170007655</t>
  </si>
  <si>
    <t>empadronamiento</t>
  </si>
  <si>
    <t>SAMUEL GARCIA TORRES</t>
  </si>
  <si>
    <t>75716592V</t>
  </si>
  <si>
    <t>Tramitación Arraigo Social FALAYE KEITA</t>
  </si>
  <si>
    <t>Y3422918A</t>
  </si>
  <si>
    <t>040020170007657</t>
  </si>
  <si>
    <t>FAVORABLE 22/05/2017</t>
  </si>
  <si>
    <t>FAVORABLE 31/05/2017</t>
  </si>
  <si>
    <t>Y4941159Z</t>
  </si>
  <si>
    <t>NO FAVORABLE 22/05/2017</t>
  </si>
  <si>
    <t>FAVORABLE 25/05/2017</t>
  </si>
  <si>
    <t>NO FAVORABLE 10/05/2017</t>
  </si>
  <si>
    <t>X5263143F</t>
  </si>
  <si>
    <t>Camino de los Metaleros nº 64</t>
  </si>
  <si>
    <t>MOHAMMED EL HILLY</t>
  </si>
  <si>
    <t>Tramitación Reagrupación Familiar HANAN EL HILLY</t>
  </si>
  <si>
    <t>Y4109934D</t>
  </si>
  <si>
    <t>040020170007959</t>
  </si>
  <si>
    <t>Tramitación Autorización Trasnacional Prorroga SAMBA DIOP</t>
  </si>
  <si>
    <t>Tramitación Autorización Trasnacional Prorroga SERIGNE ABDOU NDAM FALL</t>
  </si>
  <si>
    <t>Tramitación Autorización Trasnacional Prorroga THIERNO DIOP</t>
  </si>
  <si>
    <t>Tramitación Autorización Trasnacional Prorroga MOUSSA DIOP</t>
  </si>
  <si>
    <t>Tramitación Autorización Trasnacional Prorroga MALICK FALL</t>
  </si>
  <si>
    <t>Tramitación Autorización Trasnacional Prorroga AMADOU DIALLO</t>
  </si>
  <si>
    <t>Tramitación Autorización Trasnacional Prorroga ETHIENE LATYR TINE</t>
  </si>
  <si>
    <t>Tramitación Autorización Trasnacional Prorroga RAUL ALBERTO REYES TORRERO</t>
  </si>
  <si>
    <t>Tramitación Autorización Trasnacional Prorroga CHARLIE WILBERTO DIAZ GONZALEZ</t>
  </si>
  <si>
    <t>Tramitación Autorización Trasnacional Prorroga RICARDO JAVIER RAMOS</t>
  </si>
  <si>
    <t>informe vivienda</t>
  </si>
  <si>
    <t>NO FAVORABLE 16/05/2017</t>
  </si>
  <si>
    <t xml:space="preserve">B04235883    </t>
  </si>
  <si>
    <t>AGRICOLA LOS MARJALES SL</t>
  </si>
  <si>
    <t>Avda Bulevar de El Ejido 369</t>
  </si>
  <si>
    <t>Y5580303B</t>
  </si>
  <si>
    <t>040020170008878</t>
  </si>
  <si>
    <t>A04114732</t>
  </si>
  <si>
    <t>MUNDIPLANT SA</t>
  </si>
  <si>
    <t>Ctra de Carboneras km 37</t>
  </si>
  <si>
    <t>Tramitación Arraigo Social KONE OUMAR</t>
  </si>
  <si>
    <t>Tramitación Arraigo Social PETER O MENDY</t>
  </si>
  <si>
    <t>X7738896V</t>
  </si>
  <si>
    <t>040020170008870</t>
  </si>
  <si>
    <t>75267816V</t>
  </si>
  <si>
    <t>ANA FRANCISCA HERNANDEZ TORRES</t>
  </si>
  <si>
    <t>C/ Morillas nº 16</t>
  </si>
  <si>
    <t>Tramitación Cuenta Ajena Inicial AYAD DOUDOUH</t>
  </si>
  <si>
    <t>X9201747E</t>
  </si>
  <si>
    <t>040020170008869</t>
  </si>
  <si>
    <t>tasa, nacimiento, tarjeta y renta</t>
  </si>
  <si>
    <t>Tramitación Arraigo Social MAKAN DIAKITE</t>
  </si>
  <si>
    <t>Y3515337P</t>
  </si>
  <si>
    <t>040020170007461</t>
  </si>
  <si>
    <t>documentacion empresa</t>
  </si>
  <si>
    <t>DJIBRIL SAMB</t>
  </si>
  <si>
    <t>Paraje La Cumbre poligono 23</t>
  </si>
  <si>
    <t>Tramitación Renovación Autorización Residencia y Trabajo DJIBRIL SAMB</t>
  </si>
  <si>
    <t>Bulevar de El Ejido nº 202 3ºB</t>
  </si>
  <si>
    <t>Tramitación Renovación Autorización Residencia y Trabajo MOUSTAPHA GUEYE</t>
  </si>
  <si>
    <t>Y5186670T</t>
  </si>
  <si>
    <t>DRAMMEH NDURE</t>
  </si>
  <si>
    <t>C/ Almeria nº36 3ºC</t>
  </si>
  <si>
    <t>Tramitación Arraigo Social DRAMMEH NDURE</t>
  </si>
  <si>
    <t>040020170009255</t>
  </si>
  <si>
    <t>se presenta libreta bancaria</t>
  </si>
  <si>
    <t xml:space="preserve">C/ Zaragoza nº 24 </t>
  </si>
  <si>
    <t>FAVORABLE 23/05/2017</t>
  </si>
  <si>
    <t>FAVORABLE 05/06/2017</t>
  </si>
  <si>
    <t>NO FAVORABLE 19/06/2017</t>
  </si>
  <si>
    <t>FAVORABLE 15/06/2017</t>
  </si>
  <si>
    <t>Tramitación CA Inicial SALAHEDDINE BAROUDI</t>
  </si>
  <si>
    <t>NO FAVORABLE 13/07/2017</t>
  </si>
  <si>
    <t>Vendrán el 24 o 25 para llevar el Impuesto de Sociedades a Extranjería</t>
  </si>
  <si>
    <t>Tramitación Arraigo Social LMADANI DRISS</t>
  </si>
  <si>
    <t>Y5630168N</t>
  </si>
  <si>
    <t>040020170009976</t>
  </si>
  <si>
    <t>BRAHIM HAKMAOUI</t>
  </si>
  <si>
    <t>Y1065444Y</t>
  </si>
  <si>
    <t>C/ Luchana nº 18</t>
  </si>
  <si>
    <t>04003</t>
  </si>
  <si>
    <t>Tramitación Reagrupación Familiar YOUNES HAKMAOUI</t>
  </si>
  <si>
    <t>Y5350864C</t>
  </si>
  <si>
    <t>040020170010455</t>
  </si>
  <si>
    <t>autorización madre</t>
  </si>
  <si>
    <t>Tramitación Arraigo Social MAMADOU FOFANA</t>
  </si>
  <si>
    <t>Y3478155V</t>
  </si>
  <si>
    <t>040020170009528</t>
  </si>
  <si>
    <t>Tramitación Autorización Trasnacional Prorroga DIAKHATE ALIOU</t>
  </si>
  <si>
    <t>049920170003126</t>
  </si>
  <si>
    <t>049920170003127</t>
  </si>
  <si>
    <t>049920170003128</t>
  </si>
  <si>
    <t>Tramitación Autorización Trasnacional Prorroga DIOP NDIAGA</t>
  </si>
  <si>
    <t>049920170003115</t>
  </si>
  <si>
    <t>Tramitación Autorización Trasnacional Prorroga DIOP MAMA</t>
  </si>
  <si>
    <t>049920170003026</t>
  </si>
  <si>
    <t>Tramitación Autorización Trasnacional Prorroga SOMBEL NGOM</t>
  </si>
  <si>
    <t>049920170003012</t>
  </si>
  <si>
    <t>Tramitación Autorización Trasnacional Prorroga WADE MASOUR</t>
  </si>
  <si>
    <t>049920170003124</t>
  </si>
  <si>
    <t>Tramitación Autorización Trasnacional Prorroga SOW MAMADOU</t>
  </si>
  <si>
    <t>049920170003125</t>
  </si>
  <si>
    <t>Tramitación Autorización Trasnacional Prorroga NDIOLENE LEOPOLD MARTIN</t>
  </si>
  <si>
    <t>049920170003025</t>
  </si>
  <si>
    <t>Tramitación Autorización Trasnacional Prorroga SERIGNE CHEIKH MBACKE DIOP</t>
  </si>
  <si>
    <t>049920170003023</t>
  </si>
  <si>
    <t>Tramitación Autorización Trasnacional Prorroga MBACKE SENE</t>
  </si>
  <si>
    <t>049920170003028</t>
  </si>
  <si>
    <t>Tramitación Autorización Trasnacional Prorroga NDIAYE MOR TALLA</t>
  </si>
  <si>
    <t>049920170002968</t>
  </si>
  <si>
    <t>Tramitación Autorización Trasnacional Prorroga BIRANE TINE</t>
  </si>
  <si>
    <t>049920170003024</t>
  </si>
  <si>
    <t>Tramitación Autorización Trasnacional Prorroga ABLAYE BAAR</t>
  </si>
  <si>
    <t>049920170003027</t>
  </si>
  <si>
    <t>Tramitación Autorización Trasnacional Prorroga DIOP IBRA COUMBA</t>
  </si>
  <si>
    <t>049920170003116</t>
  </si>
  <si>
    <t>Tramitación Autorización Trasnacional Prorroga ALIOUNE SEYE</t>
  </si>
  <si>
    <t>049920170003013</t>
  </si>
  <si>
    <t>040020170007968</t>
  </si>
  <si>
    <t>040020170007973</t>
  </si>
  <si>
    <t>040020170007974</t>
  </si>
  <si>
    <t>049920170002906</t>
  </si>
  <si>
    <t>FAVORABLE 20/06/2017</t>
  </si>
  <si>
    <t>049920170002907</t>
  </si>
  <si>
    <t>049920170002908</t>
  </si>
  <si>
    <t>049920170002909</t>
  </si>
  <si>
    <t>049920170002910</t>
  </si>
  <si>
    <t>049920170002911</t>
  </si>
  <si>
    <t>049920170002967</t>
  </si>
  <si>
    <t>049920170002969</t>
  </si>
  <si>
    <t>049920170002970</t>
  </si>
  <si>
    <t>049920170002971</t>
  </si>
  <si>
    <t>049920170002972</t>
  </si>
  <si>
    <t>049920170002973</t>
  </si>
  <si>
    <t>049920170002974</t>
  </si>
  <si>
    <t>FAVORABLE 21/07/2017</t>
  </si>
  <si>
    <t>Y5616559L</t>
  </si>
  <si>
    <t>Tramitación Certificado de Registro Comunitario EMILIA VERONICA OSAN</t>
  </si>
  <si>
    <t>Tramitación Certificado de Registro Comunitario ADRIAN TEREC</t>
  </si>
  <si>
    <t>Y5616562E</t>
  </si>
  <si>
    <t>Tramitación Certificado de Registro Comunitario ILIE PAULESCU</t>
  </si>
  <si>
    <t>Y5616579Q</t>
  </si>
  <si>
    <t>040020170010681</t>
  </si>
  <si>
    <t>FAVORABLE 05/07/2017</t>
  </si>
  <si>
    <t>Ctra Viator 24</t>
  </si>
  <si>
    <t>El Alguian</t>
  </si>
  <si>
    <t>675830105-627199869</t>
  </si>
  <si>
    <t>Tramitación Arraigo Social MOHAMED HANI</t>
  </si>
  <si>
    <t>Y1152805J</t>
  </si>
  <si>
    <t>040020170011019</t>
  </si>
  <si>
    <t>B04647608</t>
  </si>
  <si>
    <t>NIJAR GOURMET SL</t>
  </si>
  <si>
    <t>Av de las Negras nº 61</t>
  </si>
  <si>
    <t>Tramitación Arraigo Social MALIKA EL GHARBAOUI</t>
  </si>
  <si>
    <t>Y5124743N</t>
  </si>
  <si>
    <t>040020170011089</t>
  </si>
  <si>
    <t>FAVORABLE 26/07/2017</t>
  </si>
  <si>
    <t>FAVORABLE 11/07/2017</t>
  </si>
  <si>
    <t>FAVORABLE 30/06/2017</t>
  </si>
  <si>
    <t>FAVORABLE 19/07/2017</t>
  </si>
  <si>
    <t>FAVORABLE 14/07/2017</t>
  </si>
  <si>
    <t>C/ Aguila nº 48</t>
  </si>
  <si>
    <t>629762110/667829591</t>
  </si>
  <si>
    <t>Tramitación Arraigo Social ANAS BENSGHIR</t>
  </si>
  <si>
    <t>Y5667418W</t>
  </si>
  <si>
    <t>040020170010871</t>
  </si>
  <si>
    <t>En internet pone Favorable pero no le llega la carta. Le preparo documentación para la HUELLA. 24/8/2017</t>
  </si>
  <si>
    <t>NO FAVORABLE 8/8/2017</t>
  </si>
  <si>
    <t>FAVORABLE 07/08/2017</t>
  </si>
  <si>
    <t>CHEIKHOU TRAORE</t>
  </si>
  <si>
    <t>Ctra la Mojonera nº 71 3</t>
  </si>
  <si>
    <t>Tramitación Renovación Autorización Residencia y Trabajo CHEIKHOU TRAORE</t>
  </si>
  <si>
    <t xml:space="preserve">53713183H   </t>
  </si>
  <si>
    <t>ANTONIO FRANCISCO CABEO GARCIA</t>
  </si>
  <si>
    <t>C/ Ignacio de Zuloaga, nº 65</t>
  </si>
  <si>
    <t>040020170012101</t>
  </si>
  <si>
    <t>FAVORABLE 24/08/2017</t>
  </si>
  <si>
    <t>Prol Cerro Blanco Cortijo Apero sn</t>
  </si>
  <si>
    <t>X8865851H</t>
  </si>
  <si>
    <t>MBAYE DIOP DIAGNE DOS SANTOS</t>
  </si>
  <si>
    <t>Tramitación Renovación Autorización Residencia y Trabajo MBAYE DIOP DIAGNE DOS SANTOS</t>
  </si>
  <si>
    <t>53708817E</t>
  </si>
  <si>
    <t>SERGIO VALVERDE PEREZ</t>
  </si>
  <si>
    <t>C/ Estadio nº 82</t>
  </si>
  <si>
    <t>Presentación requerimiento Arraigo AYYOUB EL JADIDI</t>
  </si>
  <si>
    <t>Y5729464V</t>
  </si>
  <si>
    <t>040020170012021</t>
  </si>
  <si>
    <t>contrato y catastro</t>
  </si>
  <si>
    <t>Y5739103L</t>
  </si>
  <si>
    <t>SAIKOU YAYA SY SAVANE</t>
  </si>
  <si>
    <t>C/ Cordoba n 64 3ºC</t>
  </si>
  <si>
    <t>Tramitación Arraigo Social SAIKOU YAYA SY SAVANE</t>
  </si>
  <si>
    <t>040020170012240</t>
  </si>
  <si>
    <t>C/ Severo Ochoa, 7 3ºA</t>
  </si>
  <si>
    <t>Tramitación Renovación Autorización Residencia Larga Duración SAMBA SARR</t>
  </si>
  <si>
    <t>FAVORABLE 01/09/2017</t>
  </si>
  <si>
    <t>Presentado con nueva empresa el 23/8/2017 a Explot. Cabo de Gata</t>
  </si>
  <si>
    <t>F04412359</t>
  </si>
  <si>
    <t>RODRINVER SCA</t>
  </si>
  <si>
    <t>C/ Goya nº 1</t>
  </si>
  <si>
    <t>Tramitación Cuenta Ajena Inicial YAMNA LOHRAKI</t>
  </si>
  <si>
    <t>Y5755255W</t>
  </si>
  <si>
    <t>040020170012587</t>
  </si>
  <si>
    <t>NO FAVORABLE 16/06/2017</t>
  </si>
  <si>
    <t>FAVORABLE 09/08/2017</t>
  </si>
  <si>
    <t>FAVORABLE 23/08/2017</t>
  </si>
  <si>
    <t>DNI, catastro y tasa</t>
  </si>
  <si>
    <t>Tramitación Certificado Registro Comunitario IONEL BORDEIANU</t>
  </si>
  <si>
    <t>Tramitación Certificado Registro Comunitario AUREL MARIAN ROSCA</t>
  </si>
  <si>
    <t>Tramitación Certificado Registro Comunitario NICOLAE BONCIOAGA</t>
  </si>
  <si>
    <t>Tramitación Certificado Registro Comunitario PETRISOR OLTEANU</t>
  </si>
  <si>
    <t>Tramitación Certificado Registro Comunitario FLORIN ARICIU</t>
  </si>
  <si>
    <t>Tramitación Certificado Registro Comunitario STELIAN NICULAE DRAGANOIU</t>
  </si>
  <si>
    <t>Y1958544Q</t>
  </si>
  <si>
    <t>SEKOU KEITA</t>
  </si>
  <si>
    <t>634800466-602845494</t>
  </si>
  <si>
    <t>Tramitación Arraigo Social SEKOU KEITA</t>
  </si>
  <si>
    <t>040020170013130</t>
  </si>
  <si>
    <t>Tramitación Cuenta Ajena Inicial HALIMA BELTITE</t>
  </si>
  <si>
    <t>Y5773904K</t>
  </si>
  <si>
    <t>040020170013127</t>
  </si>
  <si>
    <t>C/ Cigüeña, 28</t>
  </si>
  <si>
    <t xml:space="preserve">F04473997    </t>
  </si>
  <si>
    <t>AGRICOLA RODRIGUEZ SCA</t>
  </si>
  <si>
    <t>C/ Olimpiadas, 39</t>
  </si>
  <si>
    <t>Externo (Leo Argentino)</t>
  </si>
  <si>
    <t>IVANA MARIA ANTONIA HARO</t>
  </si>
  <si>
    <t>Tramitación Renovación Autorización Residencia y Trabajo IVANA MARIA ANTONIA</t>
  </si>
  <si>
    <t>Tramitación Cuenta Ajena Inicial LAAYACHI ESSALHI</t>
  </si>
  <si>
    <t>040020170013343</t>
  </si>
  <si>
    <t>040020170013341</t>
  </si>
  <si>
    <t>040020170013335</t>
  </si>
  <si>
    <t>Tramitación Cuenta Ajena Inicial OUCHRIF CHROHO</t>
  </si>
  <si>
    <t>040020170013340</t>
  </si>
  <si>
    <t>040020170013334</t>
  </si>
  <si>
    <t>040020170013329</t>
  </si>
  <si>
    <t>X9912085M</t>
  </si>
  <si>
    <t>Tramitación Certificado Registro Comunitario VASILE SOROIU</t>
  </si>
  <si>
    <t>Y0485663D</t>
  </si>
  <si>
    <t>FAVORABLE 21/09/2017</t>
  </si>
  <si>
    <t>B04843884</t>
  </si>
  <si>
    <t>COOPERA SOLUTIONS SL</t>
  </si>
  <si>
    <t>Paraje Loma del Viento nº 72</t>
  </si>
  <si>
    <t>Tramitación Cuenta Ajena Inicial ANA PAULA DI LERNIA HARO</t>
  </si>
  <si>
    <t>049920170002699</t>
  </si>
  <si>
    <t>contrato</t>
  </si>
  <si>
    <t>B04432209</t>
  </si>
  <si>
    <t>EXPLOTACIONES AGRICOLAS SEVITORRES SL</t>
  </si>
  <si>
    <t>C/ Narciso Yepes nº 36</t>
  </si>
  <si>
    <t>Tramitación Cuenta Ajena Inicial YOUNESS ENNACHAT</t>
  </si>
  <si>
    <t>X8991943R</t>
  </si>
  <si>
    <t>040020170013731</t>
  </si>
  <si>
    <t>NOTIFICADO BOP 26/09/2017</t>
  </si>
  <si>
    <t>FAVORABLE 19/09/2017</t>
  </si>
  <si>
    <t>C/ Nueva Norte 32</t>
  </si>
  <si>
    <t>Tramitación Renovación Autorización Residencia y Trabajo IRYNA KOROL</t>
  </si>
  <si>
    <t>C/ Del Carmen 11, norte</t>
  </si>
  <si>
    <t>Tramitación Certificado Registro Comunitario IULICA FAINA</t>
  </si>
  <si>
    <t>Tramitación Certificado Registro Comunitario ANA ANGELOVA DIMITROVA</t>
  </si>
  <si>
    <t>Tramitación Certificado Registro Comunitario RANGELOV RANGEL</t>
  </si>
  <si>
    <t>Tramitación Certificado Registro Comunitario ASEN RANGELOV</t>
  </si>
  <si>
    <t>Tramitación CA Inicial ADELHAMID AIT EL HAJ</t>
  </si>
  <si>
    <t>Y5814925X</t>
  </si>
  <si>
    <t>040020170014180</t>
  </si>
  <si>
    <t>Tramitación CA Inicial MOHAMED AIT ALI</t>
  </si>
  <si>
    <t>Y5814785P</t>
  </si>
  <si>
    <t>040020170014176</t>
  </si>
  <si>
    <t>Tramitación CA Inicial SOKAINA BENSILIS</t>
  </si>
  <si>
    <t>Y5814722Z</t>
  </si>
  <si>
    <t>040020170014175</t>
  </si>
  <si>
    <t>FAVORABLE 02/10/2017</t>
  </si>
  <si>
    <t>FAVORABLE 03/10/2017</t>
  </si>
  <si>
    <t>FAVORABLE 06/10/2017</t>
  </si>
  <si>
    <t>presenta doc. el solo como recurso 10/04/17</t>
  </si>
  <si>
    <t>NO FAVORABLE 19/09/2017</t>
  </si>
  <si>
    <t>O y C</t>
  </si>
  <si>
    <t>Tramtiación Cerficicado Registro Comunitario MARIAN CHIVARI</t>
  </si>
  <si>
    <t>Y5851246Z</t>
  </si>
  <si>
    <t xml:space="preserve">B04576682    </t>
  </si>
  <si>
    <t>AGRICOLA VALDIMAR PONIENTE SL</t>
  </si>
  <si>
    <t>C/ Opalina, 8</t>
  </si>
  <si>
    <t>Tramitación Arraigo Social ABDELOUAHED ELHESYNY</t>
  </si>
  <si>
    <t>Y4791890S</t>
  </si>
  <si>
    <t>040020170015031</t>
  </si>
  <si>
    <t>08913526Z</t>
  </si>
  <si>
    <t>FRANCISCO JOSE RUBI AGUILERA</t>
  </si>
  <si>
    <t>C/ Capitan nº 22</t>
  </si>
  <si>
    <t>Presentación baja voluntaria KHALID EL YOUSFI</t>
  </si>
  <si>
    <t>Y4562410Y</t>
  </si>
  <si>
    <t>040020170001980</t>
  </si>
  <si>
    <t>se presenta certificado estar al corriente hacienda empresa 27/10/17</t>
  </si>
  <si>
    <t>08913190T</t>
  </si>
  <si>
    <t>JERONIMO MARTIN OCAÑA</t>
  </si>
  <si>
    <t>C/ Adelfas nº 21 3ºB</t>
  </si>
  <si>
    <t>Tramitación Arraigo Social AHMED EL AOUFY</t>
  </si>
  <si>
    <t>Y5868970M</t>
  </si>
  <si>
    <t>040020170015465</t>
  </si>
  <si>
    <t>E04769212</t>
  </si>
  <si>
    <t>Ps Las Lomas 180 4ºA</t>
  </si>
  <si>
    <t>Tramitación Arraigo Social MOHAMED EZ ZOUYN</t>
  </si>
  <si>
    <t>Y4379904M</t>
  </si>
  <si>
    <t>040020170015463</t>
  </si>
  <si>
    <t>coexphal</t>
  </si>
  <si>
    <t>B04815668</t>
  </si>
  <si>
    <t>ECOALGARRA SL</t>
  </si>
  <si>
    <t>C/ Potasio nº 12</t>
  </si>
  <si>
    <t>04007</t>
  </si>
  <si>
    <t>Tramitación Cuenta Ajena Inicial KHADIJA ES SALKI</t>
  </si>
  <si>
    <t>Y5868770N</t>
  </si>
  <si>
    <t>040020170015458</t>
  </si>
  <si>
    <t>tasa, matrimonio y catastro</t>
  </si>
  <si>
    <t>C/ San Francisco nº12</t>
  </si>
  <si>
    <t>Y5868698D</t>
  </si>
  <si>
    <t>040020170015457</t>
  </si>
  <si>
    <t>escritura y tasa</t>
  </si>
  <si>
    <t>Tramitación Cuenta Ajena Inicial ABDELGHANI RAHALI</t>
  </si>
  <si>
    <t>Y5868829W</t>
  </si>
  <si>
    <t>040020170015460</t>
  </si>
  <si>
    <t>parentesco</t>
  </si>
  <si>
    <t>Tramitación Cuenta Ajena Inicial MUSA SISSOKO</t>
  </si>
  <si>
    <t>Y5868931N</t>
  </si>
  <si>
    <t>040020170015462</t>
  </si>
  <si>
    <t>C/ Buenos Aires nº 4 1ºB</t>
  </si>
  <si>
    <t>Tramitación Renovación Autorización Residencia y Trabajo MARIANA DE JESUS AREVALO FACUNDO</t>
  </si>
  <si>
    <t>Tramitación Renovación Autorización Residencia y Trabajo PIERO DAVID LAZO AREVALO</t>
  </si>
  <si>
    <t>Tramitación Larga Duración- EU</t>
  </si>
  <si>
    <t>FAVORABLE 23/10/2017</t>
  </si>
  <si>
    <t>FAVORABEL 23/10/2017</t>
  </si>
  <si>
    <t>Tramitación Certificado Registro Comunitario VIORICA MARIA BOTEZ</t>
  </si>
  <si>
    <t>Tramitación Certificado Registro Comunitario ION DOROBANTU</t>
  </si>
  <si>
    <t>Tramitación CA Inicial YASSINE BOUALI</t>
  </si>
  <si>
    <t>Y5880431N</t>
  </si>
  <si>
    <t>040020170015670</t>
  </si>
  <si>
    <t>Tramitación CA Inicial YOUSSEF BOUALI</t>
  </si>
  <si>
    <t>Y5880348K</t>
  </si>
  <si>
    <t>040020170015668</t>
  </si>
  <si>
    <t>FAVORABLE 11/10/2017</t>
  </si>
  <si>
    <t>Tramitación Cuenta Ajena Inicial CHAHID AROUSS</t>
  </si>
  <si>
    <t>Externo (Pepe Galdeano)</t>
  </si>
  <si>
    <t>54099445H</t>
  </si>
  <si>
    <t>ALBA GALDEANO GOMEZ</t>
  </si>
  <si>
    <t>C/ San Isidoro nº 7</t>
  </si>
  <si>
    <t>04712</t>
  </si>
  <si>
    <t>Tramitación CA Inicial YOUNES LAHMAMI</t>
  </si>
  <si>
    <t>Y5898953L</t>
  </si>
  <si>
    <t>040020170016134</t>
  </si>
  <si>
    <t xml:space="preserve">34847190M    </t>
  </si>
  <si>
    <t>C/ Homero, nº 36</t>
  </si>
  <si>
    <t>Tramitación Arraigo Social OMAR LAAOUFI</t>
  </si>
  <si>
    <t>Y5898813V</t>
  </si>
  <si>
    <t>040020170016128</t>
  </si>
  <si>
    <t>Y4710898Y</t>
  </si>
  <si>
    <t>040020170015121</t>
  </si>
  <si>
    <t>Presentación documentación empresa Arraigo Social ABDESLAM EZ ZOUYN</t>
  </si>
  <si>
    <t>FAVORABLE 08/11/2017</t>
  </si>
  <si>
    <t>FAVORABLE 06/11/2017</t>
  </si>
  <si>
    <t>NO FAVORABLE 06/10/2017</t>
  </si>
  <si>
    <t>FAVORABLE 07/11/2017</t>
  </si>
  <si>
    <t>FAVORABLE 19/10/2017</t>
  </si>
  <si>
    <t>FAVORABLE 16/10/2017</t>
  </si>
  <si>
    <t>FAVORABLE 02/11/2017</t>
  </si>
  <si>
    <t>Tramitación Renovación Autorización Residencia y Trabajo BALYSTKA RUSLANA</t>
  </si>
  <si>
    <t>B04622882</t>
  </si>
  <si>
    <t>IPC ALFA 3 ALMERIMAR SL</t>
  </si>
  <si>
    <t>C/ Voluntarios 2015 15 2ºC</t>
  </si>
  <si>
    <t>Presentación documentación empresa Arraigo Social ABDOU LAT GUEYE</t>
  </si>
  <si>
    <t>Y1943452N</t>
  </si>
  <si>
    <t>040020170016508</t>
  </si>
  <si>
    <t>presentado contrato arrendamiento 17/11/2017</t>
  </si>
  <si>
    <t>08907479Q</t>
  </si>
  <si>
    <t>FRANCISCA DOMINGO FERNANDEZ</t>
  </si>
  <si>
    <t>C/ Canal Alta nº3720</t>
  </si>
  <si>
    <t>Y5196090Y</t>
  </si>
  <si>
    <t>040020170016620</t>
  </si>
  <si>
    <t xml:space="preserve">F04275087    </t>
  </si>
  <si>
    <t>SEMILLERO LA JOYA SCA</t>
  </si>
  <si>
    <t>Avda. Pais Vasco nº14</t>
  </si>
  <si>
    <t>Tramitación Certificado Certificado Comunitario CRISTINA PARASCHIV</t>
  </si>
  <si>
    <t>Tramitación Certificado Certificado Comunitario CONSTANTIN TATARU</t>
  </si>
  <si>
    <t>Y5921538H</t>
  </si>
  <si>
    <t>Asesoria Bafersa (facturar)</t>
  </si>
  <si>
    <t>18109211T</t>
  </si>
  <si>
    <t>JESUS FRANCISCO ESPINOSA SANCHEZ</t>
  </si>
  <si>
    <t>C/ Tales de Mileto nº 13</t>
  </si>
  <si>
    <t>E04292876</t>
  </si>
  <si>
    <t>Tramitación CA Inicial ISSAM BENACHOUNE</t>
  </si>
  <si>
    <t>Y5921488Z</t>
  </si>
  <si>
    <t>040020170016622</t>
  </si>
  <si>
    <t>Y5936700T</t>
  </si>
  <si>
    <t>BABOU MANE</t>
  </si>
  <si>
    <t>C/ Almeria nº11 2º1</t>
  </si>
  <si>
    <t>Tramitación Arraigo Social BABOU MANE</t>
  </si>
  <si>
    <t>040020170016923</t>
  </si>
  <si>
    <t>Tramitación Arraigo Social JAMAL BOUAZZAH</t>
  </si>
  <si>
    <t>Y5937021E</t>
  </si>
  <si>
    <t>040020170016939</t>
  </si>
  <si>
    <t>Tramitación CA Inicial ABDELHADI SLIMANI</t>
  </si>
  <si>
    <t>Y5937145P</t>
  </si>
  <si>
    <t>040020170016949</t>
  </si>
  <si>
    <t>C/ Virgen del Carmen nº 4 1ºB</t>
  </si>
  <si>
    <t>Tramitación CA Incial HABIBA MICHOU</t>
  </si>
  <si>
    <t>Y5937139W</t>
  </si>
  <si>
    <t>040020170016948</t>
  </si>
  <si>
    <t>Tramitación Arraigo Social MUSTAPHA EL AOUFI</t>
  </si>
  <si>
    <t>Y5936939D</t>
  </si>
  <si>
    <t>040020170016930</t>
  </si>
  <si>
    <t>IIS y Escritura</t>
  </si>
  <si>
    <t>Ctra Malaga nº39</t>
  </si>
  <si>
    <t>Tramitación CA Inicial ZINEB EL OURAOUI</t>
  </si>
  <si>
    <t>Y5936781N</t>
  </si>
  <si>
    <t>040020170016926</t>
  </si>
  <si>
    <t>27518701Y</t>
  </si>
  <si>
    <t>ANGELES MARIA MUÑOZ BONILLO</t>
  </si>
  <si>
    <t>C/ Paris nº 7</t>
  </si>
  <si>
    <t>Y3557957D</t>
  </si>
  <si>
    <t>040020170016925</t>
  </si>
  <si>
    <t>requerido Imp Sociedades y estar al corriente con SS, presentado 23/11/17</t>
  </si>
  <si>
    <t>RECOGIDO 23/11/2017</t>
  </si>
  <si>
    <t>Tramitación Arraigo Social LAMINY SACKO</t>
  </si>
  <si>
    <t xml:space="preserve">Y4768154S    </t>
  </si>
  <si>
    <t>Tramitación Renovación Autorización Residencia y Trabajo PAPA WALY SARR</t>
  </si>
  <si>
    <t>Y1646284G</t>
  </si>
  <si>
    <t>MAHAMADOU SEYDOU FALL</t>
  </si>
  <si>
    <t>C/ Murillo nº 7 (El Cabecico)</t>
  </si>
  <si>
    <t>04628</t>
  </si>
  <si>
    <t>Antas</t>
  </si>
  <si>
    <t>Tramitación Arraigo Social MAHAMADOU SEYDOU FALL</t>
  </si>
  <si>
    <t>040020170017130</t>
  </si>
  <si>
    <t>FAVORABLE 20/11/2017</t>
  </si>
  <si>
    <t>Tramitación Certificado Registro Comunitario CATALINA FLORENTINA TIMITA</t>
  </si>
  <si>
    <t>Y5957013G</t>
  </si>
  <si>
    <t>08912623P</t>
  </si>
  <si>
    <t>JOSE LUIS SEDANO RUIZ</t>
  </si>
  <si>
    <t>C/ Hermanos Espinosa, 93</t>
  </si>
  <si>
    <t>Tramitación Arraigo Social MOHAMED EL MOUNTASSER</t>
  </si>
  <si>
    <t>Y5956909S</t>
  </si>
  <si>
    <t>040020170017348</t>
  </si>
  <si>
    <t>27241969X</t>
  </si>
  <si>
    <t>JUAN JOSE MIRALLES MARIN</t>
  </si>
  <si>
    <t>C/ San Antonio nº 46</t>
  </si>
  <si>
    <t>04400</t>
  </si>
  <si>
    <t>Alhama de Almeria</t>
  </si>
  <si>
    <t xml:space="preserve">Tramitación Arraigo Social OUSMANE BA </t>
  </si>
  <si>
    <t>Y5956891C</t>
  </si>
  <si>
    <t>040020170017347</t>
  </si>
  <si>
    <t>Tramitación Certificado Registro Comunitario FLORIN MIRON</t>
  </si>
  <si>
    <t>Tramitación Certificado Registro Comunitario VALENTIN COCALEA</t>
  </si>
  <si>
    <t>Tramitación Certificado Registro Comunitario MARIAN COSTINEL TIUGAN</t>
  </si>
  <si>
    <t>EJIDO-CRUZ TRANSPORTES SL</t>
  </si>
  <si>
    <t>Tramitación Certificado Registro Comunitario COSMIN BOGDAN BOBB</t>
  </si>
  <si>
    <t>presentado, esperando respuesta de extrenjeria</t>
  </si>
  <si>
    <t>F04368361</t>
  </si>
  <si>
    <t>Tramitación Arraigo Social MAROUANE SADKI</t>
  </si>
  <si>
    <t>Y5980913F</t>
  </si>
  <si>
    <t>040020170017823</t>
  </si>
  <si>
    <t xml:space="preserve">F04418125    </t>
  </si>
  <si>
    <t>C/ Hermanos Espinosa, 112</t>
  </si>
  <si>
    <t>F04418125</t>
  </si>
  <si>
    <t>Tramitación Arraigo Social MAMADOU KEITA</t>
  </si>
  <si>
    <t>X9463335P</t>
  </si>
  <si>
    <t>040020170017814</t>
  </si>
  <si>
    <t>27536957T</t>
  </si>
  <si>
    <t>MANUEL FRANCISCO FLORES MORALES</t>
  </si>
  <si>
    <t>C/ Bruselas nº 11</t>
  </si>
  <si>
    <t>Tramitación CA Inicial ABDELAZIZ ELAMRAOUI</t>
  </si>
  <si>
    <t>Y2613837Q</t>
  </si>
  <si>
    <t>040020170017818</t>
  </si>
  <si>
    <t>Tramitación CA Inicial LHOUSSAINE AIT OUHRA</t>
  </si>
  <si>
    <t>Y5980656A</t>
  </si>
  <si>
    <t>040020170017813</t>
  </si>
  <si>
    <t>Tramitación Arraigo Social YOUSSEF EL MAANAOUI</t>
  </si>
  <si>
    <t>Y5980680G</t>
  </si>
  <si>
    <t>040020170017815</t>
  </si>
  <si>
    <t>B04674305</t>
  </si>
  <si>
    <t>INVERSIONES AGRICOLAS DEL MEDITERRANEO SL</t>
  </si>
  <si>
    <t>C/ Glaucio nº 30</t>
  </si>
  <si>
    <t>Tramitación CA Inicial ANWAR AMEKKAOUI</t>
  </si>
  <si>
    <t>Y5980770W</t>
  </si>
  <si>
    <t>040020170017817</t>
  </si>
  <si>
    <t>HASAN ET TAHERY</t>
  </si>
  <si>
    <t>C/ Las Gracias nº 7 1ºD</t>
  </si>
  <si>
    <t>Tramitación Renovación Autorización Residencia y Trabajo HASSAN ET TAHERY</t>
  </si>
  <si>
    <t>FAVORABLE 15/11/2017</t>
  </si>
  <si>
    <t>NO FAVORABLE 16/11/2017</t>
  </si>
  <si>
    <t>FAVORABLE 28/11/2017</t>
  </si>
  <si>
    <t>FAVORABLE 11/12/2017</t>
  </si>
  <si>
    <t>NO FAVORABLE 15/11/2017</t>
  </si>
  <si>
    <t>ARCHIVADO 15/11/2017</t>
  </si>
  <si>
    <t>FAVORABLE 21/11/2017</t>
  </si>
  <si>
    <t>FAVORABLF 21/11/2017</t>
  </si>
  <si>
    <t>NO FAVORABLE 28/11/2017</t>
  </si>
  <si>
    <t>FAVORABLE 18/12/2017</t>
  </si>
  <si>
    <t>Tramitación Certificado Registro Comunitario DIANA NICOLETA TIUGAN</t>
  </si>
  <si>
    <t>C/ Pomelo nº 11</t>
  </si>
  <si>
    <t>Tramitación CA Inicial HAJAR HATHOUT</t>
  </si>
  <si>
    <t>Y5558394K</t>
  </si>
  <si>
    <t>040020170018199</t>
  </si>
  <si>
    <t>24157226G</t>
  </si>
  <si>
    <t>MARIA DOLORES PAREJO PAREJO</t>
  </si>
  <si>
    <t>C/ Querubines nº3</t>
  </si>
  <si>
    <t>Tramitación CA Inicial ANAS EL AMMARI</t>
  </si>
  <si>
    <t>Y5997212E</t>
  </si>
  <si>
    <t>040020170018192</t>
  </si>
  <si>
    <t>Tramitación CA Inicial SANA LAAROUSSI</t>
  </si>
  <si>
    <t>Y5997179N</t>
  </si>
  <si>
    <t>040020170018189</t>
  </si>
  <si>
    <t>vida laboral</t>
  </si>
  <si>
    <t>Tramitación Arraigo Social IDRISSA COULIBALY</t>
  </si>
  <si>
    <t>Y5996927J</t>
  </si>
  <si>
    <t>040020170017178</t>
  </si>
  <si>
    <t>Tramitación Arraigo Social BOUYA BAH</t>
  </si>
  <si>
    <t>Y5997047H</t>
  </si>
  <si>
    <t>040020170018182</t>
  </si>
  <si>
    <t>cert estar corriente Hacienda</t>
  </si>
  <si>
    <t xml:space="preserve">34838002V    </t>
  </si>
  <si>
    <t>C/ Las Torres, Dpx5</t>
  </si>
  <si>
    <t>Pujaire- Nijar</t>
  </si>
  <si>
    <t>Tramitación Renovación Autorización Residencia y Trabajo MOHAMED EL KASMY</t>
  </si>
  <si>
    <t>040020180000106</t>
  </si>
  <si>
    <t>se presenta contrato arrendamiento tierras REDSARA</t>
  </si>
  <si>
    <t>Presentación requerimiento Arraigo MAMADOU FOFANA</t>
  </si>
  <si>
    <t>040020170018020</t>
  </si>
  <si>
    <t>049920170005469</t>
  </si>
  <si>
    <t>Y3352961N</t>
  </si>
  <si>
    <t>ADAMA GUEYE</t>
  </si>
  <si>
    <t>C/ Santa Isabel 12</t>
  </si>
  <si>
    <t>Tramitación Renovación Autorización Residencia y Trabajo ADAMA GUEYE</t>
  </si>
  <si>
    <t>Tramitación Arraigo Social MOHAMMED SOUFI</t>
  </si>
  <si>
    <t>Y5997089Z</t>
  </si>
  <si>
    <t>040020170018184</t>
  </si>
  <si>
    <t>B04235883</t>
  </si>
  <si>
    <t>Ctra de Malaga nº 39</t>
  </si>
  <si>
    <t>Tramitación CA Inicial JAMYL ACHRAF</t>
  </si>
  <si>
    <t>Y6027024A</t>
  </si>
  <si>
    <t>040020180000393</t>
  </si>
  <si>
    <t>040020180000391</t>
  </si>
  <si>
    <t>electronica</t>
  </si>
  <si>
    <t>vida laboral y tasa</t>
  </si>
  <si>
    <t>34861615D</t>
  </si>
  <si>
    <t>FRANCISCO JESUS LOPEZ MANZANO</t>
  </si>
  <si>
    <t>C/ Lago Como Edif Concordia</t>
  </si>
  <si>
    <t>Tramitación CA Inicial YOUSSEF MOJAHID</t>
  </si>
  <si>
    <t>Y6026735J</t>
  </si>
  <si>
    <t>040020180000387</t>
  </si>
  <si>
    <t>Tramitación Renovación Autorización Residencia y Trabajo YOUNOUSSA DIAO</t>
  </si>
  <si>
    <t>Tramitación Arraigo Social BELLA JUDIHT EDU NDOHO</t>
  </si>
  <si>
    <t>Y6042053J</t>
  </si>
  <si>
    <t>040020180000701</t>
  </si>
  <si>
    <t>Tramitación Arraigo Social DJIBRIL CAMARA</t>
  </si>
  <si>
    <t>Y6041930M</t>
  </si>
  <si>
    <t>040020180000698</t>
  </si>
  <si>
    <t>Y6041678Y</t>
  </si>
  <si>
    <t>040020180000692</t>
  </si>
  <si>
    <t>Y3579654V</t>
  </si>
  <si>
    <t>040020180000697</t>
  </si>
  <si>
    <t>Tramitación Arraigo Social MAKAN TRAORE</t>
  </si>
  <si>
    <t>PAULA RODRIGUEZ BURGOS</t>
  </si>
  <si>
    <t xml:space="preserve">F04013462    </t>
  </si>
  <si>
    <t>Tramitación Certificado Registro Comunitario LARISA AFODORCEI</t>
  </si>
  <si>
    <t xml:space="preserve">27532108G    </t>
  </si>
  <si>
    <t>FRANCISCO JOSE UBEDA SANCHEZ</t>
  </si>
  <si>
    <t>C/ Ajibe, nº 23</t>
  </si>
  <si>
    <t>Tramitación Arraigo Social PATRIZ SANHÁ</t>
  </si>
  <si>
    <t>FAVORABLE 22/12/2017</t>
  </si>
  <si>
    <t>FAVORABLE 10/01/2017</t>
  </si>
  <si>
    <t>FAVORABLE 08/01/2018</t>
  </si>
  <si>
    <t>FAVORABLE 05/01/2018</t>
  </si>
  <si>
    <t>Y5934752F</t>
  </si>
  <si>
    <t>040020170016885</t>
  </si>
  <si>
    <t>Y5934903C</t>
  </si>
  <si>
    <t>040020170016889</t>
  </si>
  <si>
    <t>18108535Z</t>
  </si>
  <si>
    <t>ANTONIO FERNANDEZ MARTIN</t>
  </si>
  <si>
    <t>C/ Barlovento 51</t>
  </si>
  <si>
    <t>Tramitación Arraigo Social REDOUANE ER RAS</t>
  </si>
  <si>
    <t>Y6056613Z</t>
  </si>
  <si>
    <t>040020180000967</t>
  </si>
  <si>
    <t>contrato trabajo</t>
  </si>
  <si>
    <t>C/ Horno nº 13</t>
  </si>
  <si>
    <t>Tramitación CA Inicial HICHAM LEGSIR</t>
  </si>
  <si>
    <t>Y6056868Q</t>
  </si>
  <si>
    <t>040020180000980</t>
  </si>
  <si>
    <t>B04801700</t>
  </si>
  <si>
    <t>NATURFERR ECO SL</t>
  </si>
  <si>
    <t>Avda 28 de Febrero nº 60</t>
  </si>
  <si>
    <t>Tramitación CA Inicial AYOUB ECHCHAHLAFI</t>
  </si>
  <si>
    <t>Y6056738R</t>
  </si>
  <si>
    <t>040020180000974</t>
  </si>
  <si>
    <t>X8058090V</t>
  </si>
  <si>
    <t>BRAHIM AHROUR</t>
  </si>
  <si>
    <t>Ctjo Panadero sn</t>
  </si>
  <si>
    <t>X80580090V</t>
  </si>
  <si>
    <t>Tramitación CA Inicial NADYA AHROUR</t>
  </si>
  <si>
    <t>Y6056805E</t>
  </si>
  <si>
    <t>040020180000976</t>
  </si>
  <si>
    <t>Tramitación CA Inicial JAWAD EL HABCHI</t>
  </si>
  <si>
    <t>040020180000979</t>
  </si>
  <si>
    <t>Y5610458J</t>
  </si>
  <si>
    <t>OMAR DIOP</t>
  </si>
  <si>
    <t>C/ Hospital nº3</t>
  </si>
  <si>
    <t>04500</t>
  </si>
  <si>
    <t>Fiñana</t>
  </si>
  <si>
    <t>Tramitación Arraigo Social OMAR DIOP</t>
  </si>
  <si>
    <t>040020180000972</t>
  </si>
  <si>
    <t>B04718623</t>
  </si>
  <si>
    <t>MULTIFRUTICOLA MONLU SL</t>
  </si>
  <si>
    <t>C/ Azahar nº 1</t>
  </si>
  <si>
    <t>04720</t>
  </si>
  <si>
    <t>Aportación Requerimiento Arraigo MUSA KONTEH</t>
  </si>
  <si>
    <t>Y0280221A</t>
  </si>
  <si>
    <t>040020180000736</t>
  </si>
  <si>
    <t>FAVORABLE 17/01/2018</t>
  </si>
  <si>
    <t>Tramitación Arraigo Social RACHID CHAGURA</t>
  </si>
  <si>
    <t>Y3884660C</t>
  </si>
  <si>
    <t>040020180001279</t>
  </si>
  <si>
    <t>FAVORABLE 26/01/2018</t>
  </si>
  <si>
    <t>Y1913752M</t>
  </si>
  <si>
    <t>MAYYA BORDYUG</t>
  </si>
  <si>
    <t>C/ Granada nº 121 2º</t>
  </si>
  <si>
    <t>Tramitación Renovación Autorización Residencia y Trabajo MAYYA BORDYUG</t>
  </si>
  <si>
    <t>Asesoria Bafersa</t>
  </si>
  <si>
    <t>54139058W</t>
  </si>
  <si>
    <t>DANIEL OLVERA PEREZ</t>
  </si>
  <si>
    <t>C/ Bitacora nº2</t>
  </si>
  <si>
    <t xml:space="preserve">Tramitación Arraigo Social ESSAID SAMMAN </t>
  </si>
  <si>
    <t>Y6079707Q</t>
  </si>
  <si>
    <t>040020180001445</t>
  </si>
  <si>
    <t>C/ Francisco Ayala nº6 3º23</t>
  </si>
  <si>
    <t xml:space="preserve">E04292876    </t>
  </si>
  <si>
    <t>Tramitación Arraigo Social AYOUB ES SANDI</t>
  </si>
  <si>
    <t>Y6073331B</t>
  </si>
  <si>
    <t>040020180001335</t>
  </si>
  <si>
    <t>Y2009024B</t>
  </si>
  <si>
    <t>CHEIKH MBACKE GUEYE</t>
  </si>
  <si>
    <t>C/ Animas nº 2</t>
  </si>
  <si>
    <t>04200</t>
  </si>
  <si>
    <t>Tramitación Renovación Autorización Larga Duración CHEIKH MBACKE GUEYE</t>
  </si>
  <si>
    <t xml:space="preserve">27506560D    </t>
  </si>
  <si>
    <t>MIGUEL LOPEZ NOGUERA</t>
  </si>
  <si>
    <t>C/ Generalife nº 56</t>
  </si>
  <si>
    <t>Sta Mª del Aguila</t>
  </si>
  <si>
    <t>Y1034546C</t>
  </si>
  <si>
    <t>AYNINA TALL</t>
  </si>
  <si>
    <t>C/ Rafael Ortega nº 17</t>
  </si>
  <si>
    <t>Tabernas</t>
  </si>
  <si>
    <t>Tramitación Renovación Autorización Residencia y Trabajo AYNINA TALL</t>
  </si>
  <si>
    <t>FAVORABLE 12/02/2018</t>
  </si>
  <si>
    <t>FAVORABLE 25/01/2018</t>
  </si>
  <si>
    <t>Y4385953M</t>
  </si>
  <si>
    <t>YANKHOBA DEMBA</t>
  </si>
  <si>
    <t>C/ Gerona nº 14 2</t>
  </si>
  <si>
    <t>Tramitación Renovación Autorización Residencia y Trabajo YANKHOBA DEMBA</t>
  </si>
  <si>
    <t>X7872049T</t>
  </si>
  <si>
    <t>C/ Miramar nº 23 BjA</t>
  </si>
  <si>
    <t>Tramitación Renovación Autorización Residencia Larga Duración MAMADOU NDONG</t>
  </si>
  <si>
    <t>18109649R</t>
  </si>
  <si>
    <t>EMILIO SANCHEZ CASTILLO</t>
  </si>
  <si>
    <t>C/ Emilia Pardo Bazann nº 94 bj</t>
  </si>
  <si>
    <t>Tramitación CA Inicial NAJAT EL BAHI</t>
  </si>
  <si>
    <t>Y6100865Z</t>
  </si>
  <si>
    <t>040020180001935</t>
  </si>
  <si>
    <t>Tramitación Certificado Registro Comunitario ANGELICA CURCAN</t>
  </si>
  <si>
    <t>X7643125H</t>
  </si>
  <si>
    <t>LO RECOGE AL DIA SIGUIENTE</t>
  </si>
  <si>
    <t>Tramitación Certificado Registro Comunitario ION SILVIU COSMIN STANA</t>
  </si>
  <si>
    <t>Tramitación Certificado Registro Comunitario FLORIN PETRESCU</t>
  </si>
  <si>
    <t>Y6100766F</t>
  </si>
  <si>
    <t>Aportacion Requerimiento Reagrupación Familiar MAHAMMAD TUNKARA</t>
  </si>
  <si>
    <t>Aportacion Requerimiento Reagrupación Familiar OUSAINOU TUNKARA</t>
  </si>
  <si>
    <t>traduccion, nominas y cert INEM</t>
  </si>
  <si>
    <t>FAVORABLE 15/02/2018</t>
  </si>
  <si>
    <t>FAVORABLE 19/02/2018</t>
  </si>
  <si>
    <t>Tramitación Certificado Registro Comunitario VIOREL DANIEL FIRA</t>
  </si>
  <si>
    <t>Tramitación Arraigo Social OUSMANE THIAW</t>
  </si>
  <si>
    <t>Y6117800K</t>
  </si>
  <si>
    <t>040020180002220</t>
  </si>
  <si>
    <t>electrónica</t>
  </si>
  <si>
    <t>B04740957</t>
  </si>
  <si>
    <t xml:space="preserve">HERNALAGRO </t>
  </si>
  <si>
    <t>Plaza Acuario nº 10</t>
  </si>
  <si>
    <t>Tramtiación CA Inicial MOHAMMED AKKA</t>
  </si>
  <si>
    <t>040020180002224</t>
  </si>
  <si>
    <t>Tramitación Renovación Autorización Residencia y Trabajo OUSSEYNOU BARO</t>
  </si>
  <si>
    <t>FAVORABLE 20/02/2018</t>
  </si>
  <si>
    <t>78036993V</t>
  </si>
  <si>
    <t>JOSE LUIS FERNANDEZ HERRERA</t>
  </si>
  <si>
    <t>C/ Chopin nº 132</t>
  </si>
  <si>
    <t>Tramitación CA Inicial RAHMA HAYROUR</t>
  </si>
  <si>
    <t>Y6132287H</t>
  </si>
  <si>
    <t>08911400G</t>
  </si>
  <si>
    <t>MANUEL ROMERO MALDONADO</t>
  </si>
  <si>
    <t>C/ Jaen nº 28</t>
  </si>
  <si>
    <t>Tramitación CA Inicial MAROUAN EL BAGUE</t>
  </si>
  <si>
    <t>Y6132266C</t>
  </si>
  <si>
    <t>040020180002496</t>
  </si>
  <si>
    <t>040020180002499</t>
  </si>
  <si>
    <t>FAVORABLE 21/02/2018</t>
  </si>
  <si>
    <t>Y1225491L</t>
  </si>
  <si>
    <t>MAMADOU MBAYE NDOYE</t>
  </si>
  <si>
    <t>Carril Cortijo Navarro 2427</t>
  </si>
  <si>
    <t>Tramitación Autorización Residencia Larga Duración- EU MAMADOU MBAYE NDOYE</t>
  </si>
  <si>
    <t>FAVORABLE 05/03/2018</t>
  </si>
  <si>
    <t>FAVORABLE 26/02/2018</t>
  </si>
  <si>
    <t>NO FAVORABLE 05/03/2018</t>
  </si>
  <si>
    <t>FAVORABLE</t>
  </si>
  <si>
    <t>FAVORABLE 30/01/2018</t>
  </si>
  <si>
    <t>FAVORABLE 12/01/2018</t>
  </si>
  <si>
    <t>FAVORABLE 08/02/2018</t>
  </si>
  <si>
    <t>FAVORABLE 16/02/2018</t>
  </si>
  <si>
    <t>Y0855955R</t>
  </si>
  <si>
    <t>AMADOU KOTE</t>
  </si>
  <si>
    <t>C/ Leon Felipe nº 18, 2º</t>
  </si>
  <si>
    <t>Tramitación Renovación Larga Duracion AMADOU KOTE</t>
  </si>
  <si>
    <t>Tramitación Certificado Registro Comunitario DENIS FLORIN PETRESCU</t>
  </si>
  <si>
    <t>Y6147880V</t>
  </si>
  <si>
    <t>040020180002863</t>
  </si>
  <si>
    <t>NOTIFICADA</t>
  </si>
  <si>
    <t>SI</t>
  </si>
  <si>
    <t>FAVORABLE 08/03/2018</t>
  </si>
  <si>
    <t>FAVORABLE 15/03/2018</t>
  </si>
  <si>
    <t>FAVORABLE 09/03/2018</t>
  </si>
  <si>
    <t>FAVORABLE 13/03/2018</t>
  </si>
  <si>
    <t>FAVORABLE 06/03/2018</t>
  </si>
  <si>
    <t>Y0111314P</t>
  </si>
  <si>
    <t>C/ Gabriela Mistral nº 26</t>
  </si>
  <si>
    <t>Tramitación Renovación Autorización Residencia y Trabajo OUMANE MANE</t>
  </si>
  <si>
    <t>NO FAVORABLE 27/02/2018</t>
  </si>
  <si>
    <t>NO FAVORABLE 13/03/2018</t>
  </si>
  <si>
    <t>NO FAVORABLE 22/03/2018</t>
  </si>
  <si>
    <t>Tramitación Certificado Registro Comunitario FLORIN JIANU</t>
  </si>
  <si>
    <t>requieren todas las pruebas y se presenta 23/03/2018</t>
  </si>
  <si>
    <t>B04220315</t>
  </si>
  <si>
    <t>AGRICOLA FEMAR SL</t>
  </si>
  <si>
    <t>C/ Los Cortijillos nº 37</t>
  </si>
  <si>
    <t>Tramitación CA Inicial DANIEL HUGO SANCHEZ HERRERA</t>
  </si>
  <si>
    <t>X9067731G</t>
  </si>
  <si>
    <t>040020180003656</t>
  </si>
  <si>
    <t>Contrato</t>
  </si>
  <si>
    <t>empresa dia cita</t>
  </si>
  <si>
    <t>Tramitación CA Inicial VICTOR RAUL VILLANUEVA TIRADO</t>
  </si>
  <si>
    <t>Y6189598J</t>
  </si>
  <si>
    <t>040020180003652</t>
  </si>
  <si>
    <t>B04645859</t>
  </si>
  <si>
    <t>AGRICOLA LAS VIÑAS SL</t>
  </si>
  <si>
    <t>Balerma</t>
  </si>
  <si>
    <t>Tramitación Arraigo Social AHMED EL KHIRI</t>
  </si>
  <si>
    <t>Y6189457X</t>
  </si>
  <si>
    <t>040020180003645</t>
  </si>
  <si>
    <t xml:space="preserve">08904935W    </t>
  </si>
  <si>
    <t>FRANCISCO FERNANDEZ FERNANDEZ</t>
  </si>
  <si>
    <t>C/ Naranja, nº 16</t>
  </si>
  <si>
    <t>Tramitación Arraigo Social FODIE DIOMBERA</t>
  </si>
  <si>
    <t>Y1046241P</t>
  </si>
  <si>
    <t>040020180003638</t>
  </si>
  <si>
    <t>FAVORABLE 20/03/2018</t>
  </si>
  <si>
    <t>FAVORABLE 22/03/2018</t>
  </si>
  <si>
    <t>FAVORABLE 28/03/2018</t>
  </si>
  <si>
    <t>C/ Las Torres nº 10</t>
  </si>
  <si>
    <t>Pujaire</t>
  </si>
  <si>
    <t>Tramitación CA Inicial LAAYACHI ESSALHI</t>
  </si>
  <si>
    <t>040020180003818</t>
  </si>
  <si>
    <t>FAVORABLE 02/04/2018</t>
  </si>
  <si>
    <t>FAVORABLE 05/04/2018</t>
  </si>
  <si>
    <t>X9406676K</t>
  </si>
  <si>
    <t>040020180004472</t>
  </si>
  <si>
    <t>FAVORABLE 04/04/2018</t>
  </si>
  <si>
    <t>Tramitación Arraigo Social JAOUAD EL KHIRI</t>
  </si>
  <si>
    <t>Tramitación CA Inicial YASSINE NAJIM</t>
  </si>
  <si>
    <t>Y3682488H</t>
  </si>
  <si>
    <t>040020180004467</t>
  </si>
  <si>
    <t>B04856043</t>
  </si>
  <si>
    <t>AGROLOTIR SL</t>
  </si>
  <si>
    <t>C/ Zorrilla nº 7</t>
  </si>
  <si>
    <t>Tramitación CA Inicial AZNIDA WAFAE</t>
  </si>
  <si>
    <t>Y6224568T</t>
  </si>
  <si>
    <t>040020180004439</t>
  </si>
  <si>
    <t>no hace falta</t>
  </si>
  <si>
    <t>75249051C</t>
  </si>
  <si>
    <t>MIGUEL ANGEL GRAS GALLARDO</t>
  </si>
  <si>
    <t>C/ Altamira nº 62, 1-5</t>
  </si>
  <si>
    <t>04005</t>
  </si>
  <si>
    <t>Tramitación CA Inicial FATIMA EZZAHRA WAHI</t>
  </si>
  <si>
    <t>Y6225283W</t>
  </si>
  <si>
    <t>040020180004463</t>
  </si>
  <si>
    <t>tasa, parentesco y catastro</t>
  </si>
  <si>
    <t>F04880100</t>
  </si>
  <si>
    <t>BIOSAN SCA</t>
  </si>
  <si>
    <t>C/ Mesana nº 29</t>
  </si>
  <si>
    <t>Tramitación CA Inicial DOUNIA LAMBACH</t>
  </si>
  <si>
    <t>Y6225524J</t>
  </si>
  <si>
    <t>040020180004469</t>
  </si>
  <si>
    <t>tasa, vinculo y medios economicos y vida laboral</t>
  </si>
  <si>
    <t>Murgiverde</t>
  </si>
  <si>
    <t>FAVORABLE 17/04/2018</t>
  </si>
  <si>
    <t>FAVORABLE 16/04/2018</t>
  </si>
  <si>
    <t>certificado estar corriente SS</t>
  </si>
  <si>
    <t>FRANCISCO MANUEL LOPEZ VAZQUEZ</t>
  </si>
  <si>
    <t>Tramitación Certificado Registro Comunitario MARIA LUIZA OARFA</t>
  </si>
  <si>
    <t>RECOGIDO AL DIA SIGUIENTE</t>
  </si>
  <si>
    <t>Y6261634J</t>
  </si>
  <si>
    <t>MAMINA SARR</t>
  </si>
  <si>
    <t>C/ Tabernas nº 6 1º Der</t>
  </si>
  <si>
    <t>04713</t>
  </si>
  <si>
    <t>Balanegra</t>
  </si>
  <si>
    <t>Tramitación Arraigo Social MAMINA SARR</t>
  </si>
  <si>
    <t>040020180005436</t>
  </si>
  <si>
    <t>tasa, memoria y vida laboral</t>
  </si>
  <si>
    <t>049920180001358</t>
  </si>
  <si>
    <t>049920180001356</t>
  </si>
  <si>
    <t>049920180001357</t>
  </si>
  <si>
    <t>Tramitación Autorización Trasnacional Inicial DAME GUEYE</t>
  </si>
  <si>
    <t>Y6260529N</t>
  </si>
  <si>
    <t>040020180005394</t>
  </si>
  <si>
    <t>Tramitación Autorización Trasnacional Inicial DIBOCOR MAURICE SENE</t>
  </si>
  <si>
    <t>Y6260600Z</t>
  </si>
  <si>
    <t>040020180005396</t>
  </si>
  <si>
    <t>Tramitación Autorización Trasnacional Inicial AMARY DIA</t>
  </si>
  <si>
    <t>Y6260666B</t>
  </si>
  <si>
    <t>040020180005399</t>
  </si>
  <si>
    <t>Tramitación Autorización Trasnacional Inicial KHADIM GUEYE</t>
  </si>
  <si>
    <t>Y6260717Q</t>
  </si>
  <si>
    <t>040020180005400</t>
  </si>
  <si>
    <t>Tramitación Autorización Trasnacional Inicial MOUSSA THIAM</t>
  </si>
  <si>
    <t>Y6260771R</t>
  </si>
  <si>
    <t>040020180005402</t>
  </si>
  <si>
    <t>Tramitación Autorización Trasnacional Inicial MASSAMBA LAYE MBAYE</t>
  </si>
  <si>
    <t>X2639292L</t>
  </si>
  <si>
    <t>040020180005407</t>
  </si>
  <si>
    <t>medios economicos</t>
  </si>
  <si>
    <t>Y5393947R</t>
  </si>
  <si>
    <t>040020180005787</t>
  </si>
  <si>
    <t>B04428934</t>
  </si>
  <si>
    <t>HEREDAD PEREZ FERRE SL</t>
  </si>
  <si>
    <t>Pj El Marchal</t>
  </si>
  <si>
    <t xml:space="preserve">B04469672    </t>
  </si>
  <si>
    <t>Tramitación CA Inicial ROMAN FROLENKO</t>
  </si>
  <si>
    <t>Y1234894S</t>
  </si>
  <si>
    <t>040020180005788</t>
  </si>
  <si>
    <t>24168240R</t>
  </si>
  <si>
    <t>JOSE MARTIN ROMERA</t>
  </si>
  <si>
    <t>C/ Caceres nº 96</t>
  </si>
  <si>
    <t>Tramitación Arraigo Social BANDE MACALOU</t>
  </si>
  <si>
    <t>Y3130075L</t>
  </si>
  <si>
    <t>040020180005795</t>
  </si>
  <si>
    <t>Tramitación CA Inicial MOUSSA BOUINDOUANE</t>
  </si>
  <si>
    <t>Y6274422J</t>
  </si>
  <si>
    <t>040020180005792</t>
  </si>
  <si>
    <t>Madre dia de la cita</t>
  </si>
  <si>
    <t>escritura</t>
  </si>
  <si>
    <t>76634618K</t>
  </si>
  <si>
    <t>JUAN CERVANTES MENDEZ</t>
  </si>
  <si>
    <t xml:space="preserve">Pj Los Pelaos </t>
  </si>
  <si>
    <t>San Isidro de Nijar</t>
  </si>
  <si>
    <t>Y6276055J</t>
  </si>
  <si>
    <t>040020180005825</t>
  </si>
  <si>
    <t>Mujer dia de la cita</t>
  </si>
  <si>
    <t>X8932244X</t>
  </si>
  <si>
    <t>BRRAHIMA SAMAKE</t>
  </si>
  <si>
    <t>C/ Costa Rica nº 13</t>
  </si>
  <si>
    <t>Tramitación Renovación Autorización Residencia y Trabajo BRAHIMA SAMAKE</t>
  </si>
  <si>
    <t xml:space="preserve"> 04100</t>
  </si>
  <si>
    <t>Tramitación Solicitud Larga Duracion UE MBAYE DIOP DIAGNE DOS SANTOS</t>
  </si>
  <si>
    <t>Tramitación Solicitud Larga Duracion UE IBRAHIMA BAH</t>
  </si>
  <si>
    <t>FAVORABLE 04/05/2018</t>
  </si>
  <si>
    <t>la empresa quiere que lo denieguen</t>
  </si>
  <si>
    <t>NO FAVORABLE 11/05/2018</t>
  </si>
  <si>
    <t>FAVORABLE 11/05/2018</t>
  </si>
  <si>
    <t>NO FAVORABLE 15/05/2018</t>
  </si>
  <si>
    <t>MOTIVO DENEGACION</t>
  </si>
  <si>
    <t>pruebas desde octubre 2015</t>
  </si>
  <si>
    <t>no aportar informe vida laboral</t>
  </si>
  <si>
    <t>Tramitación Arraigo Social MAHADIBA DEMBELE</t>
  </si>
  <si>
    <t>Y5737505P</t>
  </si>
  <si>
    <t>040020180006365</t>
  </si>
  <si>
    <t>Y6311242X</t>
  </si>
  <si>
    <t>YIRANDY HOEL GOMEZ ALCANTARA</t>
  </si>
  <si>
    <t>Avda Carlos III nº 387 1ºB</t>
  </si>
  <si>
    <t>Tramitación Familiar Ciudadano de la UE YIRANDY HOEL GOMEZ ALCANTARA</t>
  </si>
  <si>
    <t>040020180006715</t>
  </si>
  <si>
    <t>Externo (Surelis)</t>
  </si>
  <si>
    <t>Externo (Mayya)</t>
  </si>
  <si>
    <t>Y6311005A</t>
  </si>
  <si>
    <t>YANA BORDYUG</t>
  </si>
  <si>
    <t>Tramitación Familiar Ciudadano de la UE YANA BORDYUG</t>
  </si>
  <si>
    <t>040020180006705</t>
  </si>
  <si>
    <t>OUSMANE MANE</t>
  </si>
  <si>
    <t>FAVORABLE 18/05/2018</t>
  </si>
  <si>
    <t>deuda hacienda</t>
  </si>
  <si>
    <t>FAVORABLE 15/05/2018</t>
  </si>
  <si>
    <t>Externo (Hermanos Romera)</t>
  </si>
  <si>
    <t xml:space="preserve">X8540101V   </t>
  </si>
  <si>
    <t>ABOUBACAR SEYDI</t>
  </si>
  <si>
    <t>C/ Santa Isabel 10</t>
  </si>
  <si>
    <t>Tramitación CA Inicial NFALLY SEYDI</t>
  </si>
  <si>
    <t>Tramitación CA Inicial ABDELAALI EL HAMYANI</t>
  </si>
  <si>
    <t>Y6330871C</t>
  </si>
  <si>
    <t>040020180007187</t>
  </si>
  <si>
    <t>oficina</t>
  </si>
  <si>
    <t>documentación empresa</t>
  </si>
  <si>
    <t>Agricola Navarro de Haro SL</t>
  </si>
  <si>
    <t>B04292942</t>
  </si>
  <si>
    <t>AGRICOLA NAVARRO DE HARO SL</t>
  </si>
  <si>
    <t>Cr Palomares a Cuevas km 2</t>
  </si>
  <si>
    <t>04610</t>
  </si>
  <si>
    <t>Cuevas del Almanzora</t>
  </si>
  <si>
    <t>Tramitación CA Inicial JUAN LEONEL GUERRERO CUENCA</t>
  </si>
  <si>
    <t>Y6331695Q</t>
  </si>
  <si>
    <t>040020180007220</t>
  </si>
  <si>
    <t>mandado a la empresa</t>
  </si>
  <si>
    <t>Tramitación CA Inicial JHONATAN XAVIER GUERRERO CUENCA</t>
  </si>
  <si>
    <t>Y6331767L</t>
  </si>
  <si>
    <t>040020180007222</t>
  </si>
  <si>
    <t>E04676599</t>
  </si>
  <si>
    <t>AGRICOLA FEPER CB</t>
  </si>
  <si>
    <t>Ps de Las Lomas nº 129 at</t>
  </si>
  <si>
    <t>Tramitación CA Inicial EL HASSANIA ECHCHARQY</t>
  </si>
  <si>
    <t>Y6331711D</t>
  </si>
  <si>
    <t>040020180007221</t>
  </si>
  <si>
    <t>la empresa el mismo dia</t>
  </si>
  <si>
    <t>75262235W</t>
  </si>
  <si>
    <t>ANGEL CALATRAVA LOPEZ</t>
  </si>
  <si>
    <t>C/ Atletismo nº 1 1ºC</t>
  </si>
  <si>
    <t>Tramitación Arraigo Social ZOUMANA BAGAYOKO</t>
  </si>
  <si>
    <t>Y3451812D</t>
  </si>
  <si>
    <t>040020180007209</t>
  </si>
  <si>
    <t>tasa y catastro</t>
  </si>
  <si>
    <t>Y3110066C</t>
  </si>
  <si>
    <t>ABDELMAJID DIAB</t>
  </si>
  <si>
    <t>C/ Malagueñas nº 11 2º11</t>
  </si>
  <si>
    <t>Tramitación Arraigo Social ABDELMAJID DIAB</t>
  </si>
  <si>
    <t>040020180007192</t>
  </si>
  <si>
    <t>tasa y documentación empresa</t>
  </si>
  <si>
    <t>75243199X</t>
  </si>
  <si>
    <t>PEDRO BURGUILLOS NAVARRO</t>
  </si>
  <si>
    <t>C/ Castillo de Almansa nº 21</t>
  </si>
  <si>
    <t xml:space="preserve">Nijar </t>
  </si>
  <si>
    <t>Tramitación CA Inicial MARYAM EL MOUALI</t>
  </si>
  <si>
    <t>Y6181061D</t>
  </si>
  <si>
    <t>040020180007219</t>
  </si>
  <si>
    <t>ALMA CB</t>
  </si>
  <si>
    <t>C/ Almería, 109.</t>
  </si>
  <si>
    <t xml:space="preserve">E04751889    </t>
  </si>
  <si>
    <t>FAVORABLE 28/05/2018</t>
  </si>
  <si>
    <t>Recurso de Reposición CA Inicial MOHAMMED OULAD SI ALI</t>
  </si>
  <si>
    <t>X8980833T</t>
  </si>
  <si>
    <t>040020180001366</t>
  </si>
  <si>
    <t>presentado por REDSARA</t>
  </si>
  <si>
    <t>Y1082582D</t>
  </si>
  <si>
    <t>IBOU DIAME</t>
  </si>
  <si>
    <t>C/ El Palmeral nº 12 2º</t>
  </si>
  <si>
    <t>Tramitación Renovación Autorización Residencia y Trabajo IBOU DIAME</t>
  </si>
  <si>
    <t>FAVORABLE 29/05/2018</t>
  </si>
  <si>
    <t>NO FAVORABLE 24/04/2018</t>
  </si>
  <si>
    <t>FAVORABLE 26/04/2018</t>
  </si>
  <si>
    <t>NO FAVORABLE 05/06/2018</t>
  </si>
  <si>
    <t>NO FAVORABLE 04/06/2018</t>
  </si>
  <si>
    <t>Juan: 672708912</t>
  </si>
  <si>
    <t>FAVORABLE 05/06/2018</t>
  </si>
  <si>
    <t>Y4005600A</t>
  </si>
  <si>
    <t>MALANG DIASSY</t>
  </si>
  <si>
    <t>C/ Los Molinos nº 4 1ºb</t>
  </si>
  <si>
    <t>Tramitación Renovación Autorización Residencia y Trabajo MALANG DIASSY</t>
  </si>
  <si>
    <t>FAVORABLE 25/05/2018</t>
  </si>
  <si>
    <t>se presenta mas pruebas 08/06/2018</t>
  </si>
  <si>
    <t>Y0587776W</t>
  </si>
  <si>
    <t>SENY MANE</t>
  </si>
  <si>
    <t>C/ Pedro de Alvarado nº 12 bj</t>
  </si>
  <si>
    <t>Tramitación Residencia nacido en España CHECH IBRAHIMA MANE</t>
  </si>
  <si>
    <t>Y6374134C</t>
  </si>
  <si>
    <t>040020180008165</t>
  </si>
  <si>
    <t>FAVORABLE MISMO DIA Y PONE LA HUELLA</t>
  </si>
  <si>
    <t>Avda. da las Negras nº 61</t>
  </si>
  <si>
    <t>X9452867M</t>
  </si>
  <si>
    <t>040020180008186</t>
  </si>
  <si>
    <t>tasa, catastro y memoria</t>
  </si>
  <si>
    <t>Tramitación CA Inicial MOHAMED BOUTABOUZI</t>
  </si>
  <si>
    <t>Y3991249G</t>
  </si>
  <si>
    <t>040020180008164</t>
  </si>
  <si>
    <t>C/ Codorniz nº 3</t>
  </si>
  <si>
    <t>Tramitación CA Inicial NOUR EDDINE AIT OUHRA</t>
  </si>
  <si>
    <t>Y4462928E</t>
  </si>
  <si>
    <t>040020180008163</t>
  </si>
  <si>
    <t>FAVORABLE 11/06/2018</t>
  </si>
  <si>
    <t>antecedentes policiales y medios economicos empresa</t>
  </si>
  <si>
    <t>Tramitación Renovación Autorización Residencia MILTON YUBANY JIMENEZ UREÑA</t>
  </si>
  <si>
    <t>NO FAVORABLE 30/05/2018</t>
  </si>
  <si>
    <t>Tramitación Arraigo Social EL KABIRA DAIF</t>
  </si>
  <si>
    <t>FAVORABLE 08/06/2018</t>
  </si>
  <si>
    <t>Cohosan</t>
  </si>
  <si>
    <t xml:space="preserve">B04822086    </t>
  </si>
  <si>
    <t>BIO TORRES REYES SL</t>
  </si>
  <si>
    <t>C/ Casablanca 39</t>
  </si>
  <si>
    <t>Presentación requerimiento Arraigo SAMBEL FATY</t>
  </si>
  <si>
    <t>Y2443541N</t>
  </si>
  <si>
    <t>040020180008140</t>
  </si>
  <si>
    <t>08912676S</t>
  </si>
  <si>
    <t>MARIA ANGELES RODRIGUEZ QUERO</t>
  </si>
  <si>
    <t>C/ Acequias nº 22</t>
  </si>
  <si>
    <t>Tramitación Arraigo Social IBRAHIM KONE</t>
  </si>
  <si>
    <t>Y2634149L</t>
  </si>
  <si>
    <t>040020180008520</t>
  </si>
  <si>
    <t>JOSE ANTONIO MANZANO RODRIGUEZ</t>
  </si>
  <si>
    <t>Tramitación Arraigo Social YACOUBA MACALOU</t>
  </si>
  <si>
    <t>Y3247257Q</t>
  </si>
  <si>
    <t>040020180008511</t>
  </si>
  <si>
    <t>ANETE RAGA</t>
  </si>
  <si>
    <t>LV5602594</t>
  </si>
  <si>
    <t>C/ Castillo de Almansa nº 26</t>
  </si>
  <si>
    <t xml:space="preserve">27495980D    </t>
  </si>
  <si>
    <t>C/ Murgis nº 9 4º A</t>
  </si>
  <si>
    <t>Tramitación Certificado Registro Comunitario ANETE RAGA</t>
  </si>
  <si>
    <t>FAVORABLE 18/06/2018</t>
  </si>
  <si>
    <t>FAVORABLE 14/06/2018</t>
  </si>
  <si>
    <t>FAVORABLE 08/05/2018</t>
  </si>
  <si>
    <t>MOHAMED BOUTABOUZI</t>
  </si>
  <si>
    <t>Paraje Larache nº 3 1ºB</t>
  </si>
  <si>
    <t>X7949452P</t>
  </si>
  <si>
    <t>BIRAMA DIOUF</t>
  </si>
  <si>
    <t>C/ Palmeral nº 12 1ºB</t>
  </si>
  <si>
    <t>Tramitación Arraigo Social BIRAMA DIOUF</t>
  </si>
  <si>
    <t>040020180009200</t>
  </si>
  <si>
    <t>Aportación Requerimiento Arraigo MAMADOU DIOUF</t>
  </si>
  <si>
    <t>Y6422884X</t>
  </si>
  <si>
    <t>040020180009065</t>
  </si>
  <si>
    <t>FAVORABLE 22/06/2018</t>
  </si>
  <si>
    <t>Tramitación Autorización Trasnacional Prórroga MOUSTAPHA BA</t>
  </si>
  <si>
    <t>Tramitación Autorización Transnacional Prórroga ABLAYE BAAR</t>
  </si>
  <si>
    <t>Tramitación Autorización Transnacional Prórroga AMADOU DIALLO</t>
  </si>
  <si>
    <t>Tramitación Autorización Transnacional Prórroga IBRA COUMBA DIOP</t>
  </si>
  <si>
    <t>Tramitación Autorización Transnacional Prórroga MAMA DIOP</t>
  </si>
  <si>
    <t>Tramitación Autorización Transnacional Prórroga MOUSSA DIOP</t>
  </si>
  <si>
    <t>Tramitación Autorización Transnacional Prórroga NDIAGA DIOP</t>
  </si>
  <si>
    <t>Tramitación Autorización Transnacional Prórroga BALLA FALL</t>
  </si>
  <si>
    <t>Tramitación Autorización Transnacional Prórroga SERIGNE ABDOU NDAME</t>
  </si>
  <si>
    <t>Tramitación Autorización Transnacional Prórroga CHEIKH FALL</t>
  </si>
  <si>
    <t>Tramitación Autorización Transnacional Prórroga IBRA FAYE</t>
  </si>
  <si>
    <t>Tramitación Autorización Transnacional Prórroga OUSMANE KA</t>
  </si>
  <si>
    <t>Tramitación Autorización Transnacional Prórroga ABDOURAHMANE NDIAYE</t>
  </si>
  <si>
    <t>Tramitación Autorización Transnacional Prórroga LATYR NGOM</t>
  </si>
  <si>
    <t>Tramitación Autorización Transnacional Prórroga MANSOUR SALL</t>
  </si>
  <si>
    <t>Tramitación Autorización Transnacional Prórroga MALICK SARR</t>
  </si>
  <si>
    <t>Tramitación Autorización Transnacional Prórroga LAMINE BA</t>
  </si>
  <si>
    <t>Y4138594G</t>
  </si>
  <si>
    <t>Tramitación Autorización Transnacional Prórroga THIERNO DIOP</t>
  </si>
  <si>
    <t>Tramitación Autorización Transnacional Prórroga MALICK FALL</t>
  </si>
  <si>
    <t>Tramitación Autorización Transnacional Prórroga BOUBACAR CAMARA</t>
  </si>
  <si>
    <t>Tramitación Autorización Transnacional Prórroga ALIOU DIAKHATE</t>
  </si>
  <si>
    <t>Tramitación Autorización Transnacional Prórroga SAMBA DIOP</t>
  </si>
  <si>
    <t>Tramitación Autorización Transnacional Prórroga MOR TALLA NDIAYE</t>
  </si>
  <si>
    <t>Tramitación Autorización Transnacional Prórroga LEOPOLD MARTIN NDIOLENE</t>
  </si>
  <si>
    <t>Tramitación Autorización Transnacional Prórroga SOMBEL NGOM</t>
  </si>
  <si>
    <t>Tramitación Autorización Transnacional Prórroga MBACKE SENE</t>
  </si>
  <si>
    <t>Tramitación Autorización Transnacional Prórroga ALIOUNE SEYE</t>
  </si>
  <si>
    <t>Tramitación Autorización Transnacional Prórroga MAMADOU SOW</t>
  </si>
  <si>
    <t>Tramitación Autorización Transnacional Prórroga BIRANE TINE</t>
  </si>
  <si>
    <t>Tramitación Autorización Transnacional Prórroga ETHIENE LATYR TINE</t>
  </si>
  <si>
    <t>Tramitación Autorización Transnacional Prórroga MANSOUR WADE</t>
  </si>
  <si>
    <t>Tramitación Autorización Transnacional Prórroga IBRAHIMA MBAYE</t>
  </si>
  <si>
    <t>Tramitación Autorización Transnacional Prórroga RAUL ALBERTO REYES TORRERO</t>
  </si>
  <si>
    <t>Tramitación Autorización Transnacional Prórroga CHARLIE WILBERTO DIAZ GONZALEZ</t>
  </si>
  <si>
    <t>Tramitación Autorización Transnacional Prórroga RICARDO JAVIER RAMOS</t>
  </si>
  <si>
    <t>Tramitación Autorización Transnacional Prórroga MIZAEL OMAR FRIAS SANCHEZ</t>
  </si>
  <si>
    <t>Ctra. Las Losas, 2060</t>
  </si>
  <si>
    <t>Ctra. Las Losas, 2061</t>
  </si>
  <si>
    <t>Ctra. Las Losas, 2062</t>
  </si>
  <si>
    <t>Ctra. Las Losas, 2063</t>
  </si>
  <si>
    <t>Ctra. Las Losas, 2064</t>
  </si>
  <si>
    <t>Ctra. Las Losas, 2065</t>
  </si>
  <si>
    <t>Ctra. Las Losas, 2066</t>
  </si>
  <si>
    <t>Ctra. Las Losas, 2067</t>
  </si>
  <si>
    <t>Ctra. Las Losas, 2068</t>
  </si>
  <si>
    <t>Ctra. Las Losas, 2069</t>
  </si>
  <si>
    <t>Ctra. Las Losas, 2070</t>
  </si>
  <si>
    <t>Ctra. Las Losas, 2071</t>
  </si>
  <si>
    <t>Ctra. Las Losas, 2072</t>
  </si>
  <si>
    <t>Ctra. Las Losas, 2073</t>
  </si>
  <si>
    <t>Ctra. Las Losas, 2074</t>
  </si>
  <si>
    <t>Ctra. Las Losas, 2075</t>
  </si>
  <si>
    <t>Ctra. Las Losas, 2076</t>
  </si>
  <si>
    <t>Ctra. Las Losas, 2077</t>
  </si>
  <si>
    <t>Ctra. Las Losas, 2078</t>
  </si>
  <si>
    <t>Ctra. Las Losas, 2079</t>
  </si>
  <si>
    <t>Ctra. Las Losas, 2080</t>
  </si>
  <si>
    <t>Ctra. Las Losas, 2081</t>
  </si>
  <si>
    <t>Ctra. Las Losas, 2082</t>
  </si>
  <si>
    <t>Ctra. Las Losas, 2083</t>
  </si>
  <si>
    <t>Ctra. Las Losas, 2084</t>
  </si>
  <si>
    <t>Ctra. Las Losas, 2085</t>
  </si>
  <si>
    <t>Ctra. Las Losas, 2086</t>
  </si>
  <si>
    <t>Ctra. Las Losas, 2087</t>
  </si>
  <si>
    <t>Ctra. Las Losas, 2088</t>
  </si>
  <si>
    <t>Ctra. Las Losas, 2089</t>
  </si>
  <si>
    <t>Ctra. Las Losas, 2090</t>
  </si>
  <si>
    <t>Ctra. Las Losas, 2091</t>
  </si>
  <si>
    <t>Ctra. Las Losas, 2092</t>
  </si>
  <si>
    <t>Ctra. Las Losas, 2093</t>
  </si>
  <si>
    <t>Ctra. Las Losas, 2094</t>
  </si>
  <si>
    <t>Ctra. Las Losas, 2095</t>
  </si>
  <si>
    <t>C/ Almeria nº36 3º</t>
  </si>
  <si>
    <t>Tramitación Arraigo Social ISSAM EL HARRAR</t>
  </si>
  <si>
    <t>Y4480365W</t>
  </si>
  <si>
    <t>040020180009539</t>
  </si>
  <si>
    <t>tasa y memoria</t>
  </si>
  <si>
    <t>040020180009359</t>
  </si>
  <si>
    <t>049920180002882</t>
  </si>
  <si>
    <t>049920180002684</t>
  </si>
  <si>
    <t>049920180002883</t>
  </si>
  <si>
    <t>049920180002875</t>
  </si>
  <si>
    <t>049920180002629</t>
  </si>
  <si>
    <t>049920180002682</t>
  </si>
  <si>
    <t>049920180002688</t>
  </si>
  <si>
    <t>049920180002557</t>
  </si>
  <si>
    <t>049920180002556</t>
  </si>
  <si>
    <t>049920180002643</t>
  </si>
  <si>
    <t>049920180002885</t>
  </si>
  <si>
    <t>049920180002884</t>
  </si>
  <si>
    <t>049920180002886</t>
  </si>
  <si>
    <t>049920180002642</t>
  </si>
  <si>
    <t>049920180002377</t>
  </si>
  <si>
    <t>049920180002685</t>
  </si>
  <si>
    <t>049920180002681</t>
  </si>
  <si>
    <t>049920180002368</t>
  </si>
  <si>
    <t>049920180002641</t>
  </si>
  <si>
    <t>049920180002630</t>
  </si>
  <si>
    <t>049920180002686</t>
  </si>
  <si>
    <t>049920180002555</t>
  </si>
  <si>
    <t>049920180002644</t>
  </si>
  <si>
    <t>049920180002687</t>
  </si>
  <si>
    <t>049920180002367</t>
  </si>
  <si>
    <t>049920180002554</t>
  </si>
  <si>
    <t>049920180002876</t>
  </si>
  <si>
    <t>049920180002631</t>
  </si>
  <si>
    <t>049920180002628</t>
  </si>
  <si>
    <t>049920180002366</t>
  </si>
  <si>
    <t>049920180002111</t>
  </si>
  <si>
    <t>049920180002351</t>
  </si>
  <si>
    <t>040020180009360</t>
  </si>
  <si>
    <t>049920180002110</t>
  </si>
  <si>
    <t>049920180002352</t>
  </si>
  <si>
    <t>049920180002349</t>
  </si>
  <si>
    <t>FAVORABLE 04/07/2018</t>
  </si>
  <si>
    <t>Tramitación Reagrupación Familiar OUSAINOU TUNKARA</t>
  </si>
  <si>
    <t>Tramitación Reagrupación Familiar MAHAMMAD TUNKARA</t>
  </si>
  <si>
    <t>040020180009265</t>
  </si>
  <si>
    <t>040020180009262</t>
  </si>
  <si>
    <t>Tramitación Carta de Invitación KHADIM DIA</t>
  </si>
  <si>
    <t>RECOGIDO 02/08/2018</t>
  </si>
  <si>
    <t xml:space="preserve">34843071A    </t>
  </si>
  <si>
    <t>JOSE MANUEL GARCIA NIETO</t>
  </si>
  <si>
    <t>Real Atochares nº21</t>
  </si>
  <si>
    <t>Tramitación Arraigo Social MASSAWELY DIAKITE</t>
  </si>
  <si>
    <t>Y6500280B</t>
  </si>
  <si>
    <t>040020180010463</t>
  </si>
  <si>
    <t>FAVORABLE 27/06/2018</t>
  </si>
  <si>
    <t>Coprohnijar SCA</t>
  </si>
  <si>
    <t>75728225N</t>
  </si>
  <si>
    <t>ABRAHAM BUSTOS RIVERA</t>
  </si>
  <si>
    <t>C/ Pozos nº 9</t>
  </si>
  <si>
    <t>Tramitación Arraigo Social DEMBA DIOUF</t>
  </si>
  <si>
    <t>Y6511620N</t>
  </si>
  <si>
    <t>040020180010635</t>
  </si>
  <si>
    <t>34856128L</t>
  </si>
  <si>
    <t>SALVADOR CERVANTES MENDEZ</t>
  </si>
  <si>
    <t>Barrio Los Pelaos sn</t>
  </si>
  <si>
    <t>Tramitación CA Inicial ABDELILAH SADIQ</t>
  </si>
  <si>
    <t>Y6519812Q</t>
  </si>
  <si>
    <t>040020180010723</t>
  </si>
  <si>
    <t>catastro y tasa</t>
  </si>
  <si>
    <t>54095625Q</t>
  </si>
  <si>
    <t>MARIA SALUD CARA LOPEZ</t>
  </si>
  <si>
    <t>C/ Ignacio Zuloaga nº 63</t>
  </si>
  <si>
    <t>Tramitación CA Inicial NABIHA KASRI</t>
  </si>
  <si>
    <t>Y5141397Z</t>
  </si>
  <si>
    <t>040020180010722</t>
  </si>
  <si>
    <t>certificado matrimonio legalizado</t>
  </si>
  <si>
    <t>se requiere Impuesto Sociedades actual y se presenta 31/07/2018</t>
  </si>
  <si>
    <t>Y1541238E</t>
  </si>
  <si>
    <t>ABDOULAYE SECK</t>
  </si>
  <si>
    <t>C/ Juan Barrau nº 23 bj</t>
  </si>
  <si>
    <t>Comunicación cancelacion pareja de hecho ABDOULAYE SECK y NELA EMILIA BORGOVAN</t>
  </si>
  <si>
    <t>18109758H</t>
  </si>
  <si>
    <t>Mª TRINIDAD PUGA MANRIQUE</t>
  </si>
  <si>
    <t>C/ Albaicin nº 18</t>
  </si>
  <si>
    <t>Tramitación Arraigo Social OMAR EZZAOUIA</t>
  </si>
  <si>
    <t>Y6529752C</t>
  </si>
  <si>
    <t>040020180010892</t>
  </si>
  <si>
    <t>FAVORABLE 07/08/2018</t>
  </si>
  <si>
    <t>Tramitación CA Inicial KHALID ECH CHADILYL</t>
  </si>
  <si>
    <t>Y6549566P</t>
  </si>
  <si>
    <t>040020180011194</t>
  </si>
  <si>
    <t xml:space="preserve">F04857710   </t>
  </si>
  <si>
    <t>JUMANATUR, S.C.A.</t>
  </si>
  <si>
    <t>C/ Valencia, 170</t>
  </si>
  <si>
    <t>Tramitación Arraigo Social ABDELKADER EL ALLAOUY</t>
  </si>
  <si>
    <t>Y3425269P</t>
  </si>
  <si>
    <t>040020180011191</t>
  </si>
  <si>
    <t>FAVORABLE 10/08/2018</t>
  </si>
  <si>
    <t>FAVORABLE 05/07/2018</t>
  </si>
  <si>
    <t>FAVORABLE 03/08/2018</t>
  </si>
  <si>
    <t>DENEGADA</t>
  </si>
  <si>
    <t>FAVORABLE 22/08/2018</t>
  </si>
  <si>
    <t>no presentar la documentación de la empresa</t>
  </si>
  <si>
    <t>FAVORABLE 23/08/2018</t>
  </si>
  <si>
    <t>archivo por no presentar tasas pagadas</t>
  </si>
  <si>
    <t>FAVORABLE 21/08/2018</t>
  </si>
  <si>
    <t>Y0112137A</t>
  </si>
  <si>
    <t>MAMADOU DIOP</t>
  </si>
  <si>
    <t>Presentación documentación empresa Arraigo Social AZIZ BELARBAOUIA</t>
  </si>
  <si>
    <t>X8439598R</t>
  </si>
  <si>
    <t>040020180009932</t>
  </si>
  <si>
    <t>27490392X</t>
  </si>
  <si>
    <t>MARIA MARGARITA HERRERA RODRIGUEZ</t>
  </si>
  <si>
    <t>C/ Moras sn</t>
  </si>
  <si>
    <t>Tramitación Arraigo Social ALIOU FALL</t>
  </si>
  <si>
    <t>Y6614407N</t>
  </si>
  <si>
    <t>040020180012061</t>
  </si>
  <si>
    <t>Tramitación CA Inicial OMAYMA DAOUDI</t>
  </si>
  <si>
    <t>Y6614103F</t>
  </si>
  <si>
    <t>040020180012054</t>
  </si>
  <si>
    <t>Tramitación CA Inicial MIMOUNA DAOUDI</t>
  </si>
  <si>
    <t>Cortijillos- La Cañada</t>
  </si>
  <si>
    <t>Tramitación CA Inicial SEGUNDO CARMEN HUANCA PEREZ</t>
  </si>
  <si>
    <t>Y6613795K</t>
  </si>
  <si>
    <t>040020180012037</t>
  </si>
  <si>
    <t>Tramitación CA Inicial GERONIMO PAUL SANCHEZ HERRERA</t>
  </si>
  <si>
    <t>Y6613870G</t>
  </si>
  <si>
    <t>040020180012039</t>
  </si>
  <si>
    <t>Tramitación CA Inicial MARINO HUANCA LOZADA</t>
  </si>
  <si>
    <t>Y6613921D</t>
  </si>
  <si>
    <t>040020180012045</t>
  </si>
  <si>
    <t>F04560363</t>
  </si>
  <si>
    <t>AGROVERDE SCA</t>
  </si>
  <si>
    <t>C/ Aragon nº 34</t>
  </si>
  <si>
    <t>Tramitación CA Inicial MOHAMED BELHAOUAT</t>
  </si>
  <si>
    <t>Y6613549M</t>
  </si>
  <si>
    <t>040020180012035</t>
  </si>
  <si>
    <t>se lo lleva el dia de la cita</t>
  </si>
  <si>
    <t>X9617961M</t>
  </si>
  <si>
    <t>SIHAM BOUDELFA</t>
  </si>
  <si>
    <t>Poligono La Cumbre nº 28</t>
  </si>
  <si>
    <t>Tramitación Renovación Larga Duracion SIHAM BOUDELFA</t>
  </si>
  <si>
    <t>049920180003813</t>
  </si>
  <si>
    <t>FAVORABLE 04/09/2018</t>
  </si>
  <si>
    <t>049920180003543</t>
  </si>
  <si>
    <t>FAVORABLE 03/09/2018</t>
  </si>
  <si>
    <t>Tramitación Renovación Autorización Residencia y Trabajo DRAMMEH NDURE</t>
  </si>
  <si>
    <t>FAVORABLE 07/09/2018</t>
  </si>
  <si>
    <t>FAVORABLE 12/09/2018</t>
  </si>
  <si>
    <t>B04851168</t>
  </si>
  <si>
    <t>EXPLOTACIONES AGRICOLAS ARCHIDONA SL</t>
  </si>
  <si>
    <t>Avda de las Negras nº 61</t>
  </si>
  <si>
    <t>Tramitación Arraigo Social ABDERRAHIM MAAROUF</t>
  </si>
  <si>
    <t>Y6629253T</t>
  </si>
  <si>
    <t>040020180012317</t>
  </si>
  <si>
    <t>penales</t>
  </si>
  <si>
    <t>18109532E</t>
  </si>
  <si>
    <t>ANTONIO BERNARDO RODRIGUEZ LOPEZ</t>
  </si>
  <si>
    <t>Avda Nicolas Salmeron nº 2 4ºIZ</t>
  </si>
  <si>
    <t>Tramitación CA Inicial BTISSAM LAQDADRA</t>
  </si>
  <si>
    <t>Y6629166M</t>
  </si>
  <si>
    <t>040020180012316</t>
  </si>
  <si>
    <t>SE PRESENTA LA BAJA VOLUNTARIA DE LA TRABAJADORA A FECHA 17/08/2018</t>
  </si>
  <si>
    <t>FAVORABLE 17/09/2018</t>
  </si>
  <si>
    <t>Tramitación Arraigo Social ABDELKRIM EL KHOLTI</t>
  </si>
  <si>
    <t>Y4651865Z</t>
  </si>
  <si>
    <t>040020180012685</t>
  </si>
  <si>
    <t>contrato arrendamiento</t>
  </si>
  <si>
    <t xml:space="preserve">Tramitación CA Inicial ANOUAR AMHAOUACH </t>
  </si>
  <si>
    <t>Y6648608N</t>
  </si>
  <si>
    <t>040020180012684</t>
  </si>
  <si>
    <t>Tramitación Arraigo Social YOUNESS FRITE</t>
  </si>
  <si>
    <t>Y6648451Q</t>
  </si>
  <si>
    <t>040020180012682</t>
  </si>
  <si>
    <t>pruebas y medios empresa</t>
  </si>
  <si>
    <t>FAVORABLE 21/09/2018</t>
  </si>
  <si>
    <t>Y4365726H</t>
  </si>
  <si>
    <t>AMADOU DIALLO</t>
  </si>
  <si>
    <t>C/ Clavel nº 5 bj 1</t>
  </si>
  <si>
    <t>se presenta el certificado de estar al corriente con Hacienda 01/10/2018</t>
  </si>
  <si>
    <t>FAVORABLE 01/10/2018</t>
  </si>
  <si>
    <t>PETER O MENDY</t>
  </si>
  <si>
    <t>C/ Malaga nº 20 bj</t>
  </si>
  <si>
    <t>Tramitación Renovación Autorización Residencia y Trabajo PETER O MENDY</t>
  </si>
  <si>
    <t>Tramitación Renovación Autorización Residencia y Trabajo AMADOU DIALLO</t>
  </si>
  <si>
    <t>Y1921575P</t>
  </si>
  <si>
    <t>MODY SENE</t>
  </si>
  <si>
    <t>C/ 28 de Febrero nº14 1º</t>
  </si>
  <si>
    <t>Tramitación Renovación Autorización Residencia y Trabajo MODY SENE</t>
  </si>
  <si>
    <t xml:space="preserve">F04183570  </t>
  </si>
  <si>
    <t>040020180013492</t>
  </si>
  <si>
    <t>Tramitación Arraigo Social ADRIAN PUPO RAMIREZ</t>
  </si>
  <si>
    <t>Y5508858G</t>
  </si>
  <si>
    <t>040020180013487</t>
  </si>
  <si>
    <t>Las Hortichuelas</t>
  </si>
  <si>
    <t>F04026043</t>
  </si>
  <si>
    <t>SAT LAS HORTICHUELAS</t>
  </si>
  <si>
    <t>Apartado de Correos nº 52</t>
  </si>
  <si>
    <t>Aguadulce- Roquetas de Mar</t>
  </si>
  <si>
    <t>Tramitación Arraigo Social SAID EL OUCHIKHI</t>
  </si>
  <si>
    <t>X8000486M</t>
  </si>
  <si>
    <t>040020180013484</t>
  </si>
  <si>
    <t>Tramitación Renovación Autorización Residencia y Trabajo MAMADOU DIOP</t>
  </si>
  <si>
    <t>189920180002438</t>
  </si>
  <si>
    <t>FAVORABLE 03/10/2018</t>
  </si>
  <si>
    <t>NO FAVORABLE 01/10/2018</t>
  </si>
  <si>
    <t>77263631F</t>
  </si>
  <si>
    <t>MIGUEL SANCHEZ CAYUELA</t>
  </si>
  <si>
    <t>C/ Cartuja nº8</t>
  </si>
  <si>
    <t>Tramitación CA Inicial SOULAIMANE SELLAM</t>
  </si>
  <si>
    <t>Y6709534B</t>
  </si>
  <si>
    <t>040020180013934</t>
  </si>
  <si>
    <t xml:space="preserve">18112048P    </t>
  </si>
  <si>
    <t>JOSE MATEO AGUILERA CANO</t>
  </si>
  <si>
    <t>C/ Ibiza 43</t>
  </si>
  <si>
    <t>18112048P</t>
  </si>
  <si>
    <t>Tramitación Arraigo Social MOHAMED DBICH</t>
  </si>
  <si>
    <t>Y6553507Q</t>
  </si>
  <si>
    <t>040020180013930</t>
  </si>
  <si>
    <t>F04265526</t>
  </si>
  <si>
    <t>VALDIFRUIT SCA</t>
  </si>
  <si>
    <t>C/ Galiana nº 26</t>
  </si>
  <si>
    <t>Tramitación CA Inicial BILAL CHAOUIDLI</t>
  </si>
  <si>
    <t>Y2988988Z</t>
  </si>
  <si>
    <t>BELLA BAH</t>
  </si>
  <si>
    <t>C/ Alboloduy nº 5 2ºF</t>
  </si>
  <si>
    <t>Tramitación Arraigo Social BELLA BAH</t>
  </si>
  <si>
    <t>040020180013935</t>
  </si>
  <si>
    <t>C/ Aljibe 23</t>
  </si>
  <si>
    <t>040020180013923</t>
  </si>
  <si>
    <t>SE PRESENTA LA BAJA EN EXTRANJERIA</t>
  </si>
  <si>
    <t>Y4193355D</t>
  </si>
  <si>
    <t>040020180013929</t>
  </si>
  <si>
    <t>MARIA ENCARNACION MUÑOZ LOPEZ</t>
  </si>
  <si>
    <t>Tramitación Certificado Registro Comunitario NUTA PREOTEASA</t>
  </si>
  <si>
    <t>75245903T</t>
  </si>
  <si>
    <t>FRANCISCO RUIZ PORTERO</t>
  </si>
  <si>
    <t xml:space="preserve">C/ Pénsil, 13. </t>
  </si>
  <si>
    <t>El Alquian</t>
  </si>
  <si>
    <t>Tramitación Renovación Autorización Residencia y Trabajo FATIMA ZAHRA MORSLI</t>
  </si>
  <si>
    <t>Y3980127Z</t>
  </si>
  <si>
    <t>08910823W</t>
  </si>
  <si>
    <t>C/ Zorrilla nº 30</t>
  </si>
  <si>
    <t>Y6714873Z</t>
  </si>
  <si>
    <t>53713183H</t>
  </si>
  <si>
    <t>C/ Ignacio Zuloaga nº 65</t>
  </si>
  <si>
    <t>Tramitación Renovación Autorización Residencia y Trabajo PAPA ALIOUNE DIAKHATE</t>
  </si>
  <si>
    <t>77658847Z</t>
  </si>
  <si>
    <t>JUAN MANUEL TRIPIANA SALAZAR</t>
  </si>
  <si>
    <t>C/ Bajel sn</t>
  </si>
  <si>
    <t>Tramitación CA Inicial ABDELHAY DAHMANI</t>
  </si>
  <si>
    <t>Y4606601Z</t>
  </si>
  <si>
    <t>040020180014321</t>
  </si>
  <si>
    <t>electonica</t>
  </si>
  <si>
    <t>Tramitación CA Inicial FOUAD DAHMANI</t>
  </si>
  <si>
    <t>Y5105509Y</t>
  </si>
  <si>
    <t>040020180014312</t>
  </si>
  <si>
    <t>Tramitación Arraigo Social BOUSSELHAM EL HARTI</t>
  </si>
  <si>
    <t>Y6744638V</t>
  </si>
  <si>
    <t>040020180014703</t>
  </si>
  <si>
    <t>Tramitación Arraigo Social OTHMANE FALAHI</t>
  </si>
  <si>
    <t>Y6744635Z</t>
  </si>
  <si>
    <t>040020180014706</t>
  </si>
  <si>
    <t>tasa, contrato, memoria, escritura y arrendamiento</t>
  </si>
  <si>
    <t>Tramitación Certificado Registro Comunitario IOAN ANDREI OANCEA</t>
  </si>
  <si>
    <t>Y6744279A</t>
  </si>
  <si>
    <t>Tramitación Certificado Registro Comunitario VASILE TANASA</t>
  </si>
  <si>
    <t>54139038M</t>
  </si>
  <si>
    <t>LORENZO MARTINEZ GARCIA</t>
  </si>
  <si>
    <t>C/ Anade 29 esc 89 pl 2</t>
  </si>
  <si>
    <t>Tramitación CA Inicial MOHAMED CHLIHI</t>
  </si>
  <si>
    <t>Y6744347W</t>
  </si>
  <si>
    <t>040020180014690</t>
  </si>
  <si>
    <t>C/ Valencia nº 170</t>
  </si>
  <si>
    <t>Tramitación CA Inicial MHAMED ABAKHOUCH</t>
  </si>
  <si>
    <t>X9912236H</t>
  </si>
  <si>
    <t>040020180014683</t>
  </si>
  <si>
    <t>Tramitación CA Inicial KAMAL BADI</t>
  </si>
  <si>
    <t>040020180014664</t>
  </si>
  <si>
    <t>San Isidro</t>
  </si>
  <si>
    <t>27534557S</t>
  </si>
  <si>
    <t>ANTONIO FERNANDEZ FERNANDEZ</t>
  </si>
  <si>
    <t>C/ Oporto nº7</t>
  </si>
  <si>
    <t>Tramitación CA Inicial AHMED TIMEJELINE</t>
  </si>
  <si>
    <t>Y0028006Y</t>
  </si>
  <si>
    <t>040020180014669</t>
  </si>
  <si>
    <t>FAVORABLE 26/10/2018</t>
  </si>
  <si>
    <t>FAVORABLE 17/10/2018</t>
  </si>
  <si>
    <t>FAVORABLE 19/10/2018</t>
  </si>
  <si>
    <t>FAVORABLE 18/10/2018</t>
  </si>
  <si>
    <t>NO FAVORABLE 02/11/2018</t>
  </si>
  <si>
    <t>FAVORABLE 05/11/2018</t>
  </si>
  <si>
    <t>NO FAVORABLE 05/11/2018</t>
  </si>
  <si>
    <t>Tramitación CA Inicial WIDAD ZOUINA</t>
  </si>
  <si>
    <t>Y6784668G</t>
  </si>
  <si>
    <t>040020180015554</t>
  </si>
  <si>
    <t>Tramitación CA Inicial AYOUB WADII</t>
  </si>
  <si>
    <t>Y6784846K</t>
  </si>
  <si>
    <t>040020180015562</t>
  </si>
  <si>
    <t>Tramitación CA Inicial YOUSSEF ZOUINI</t>
  </si>
  <si>
    <t>Y6785120L</t>
  </si>
  <si>
    <t>040020180015572</t>
  </si>
  <si>
    <t>Tramitación CA Inicial RADOUANE ELYAALAOUI</t>
  </si>
  <si>
    <t>Y6784892K</t>
  </si>
  <si>
    <t>040020180015565</t>
  </si>
  <si>
    <t>FAVORABLE 12/11/2018</t>
  </si>
  <si>
    <t>Y1339365C</t>
  </si>
  <si>
    <t>SETINHA JOSE MENDES</t>
  </si>
  <si>
    <t>Pdzo La Galiana nº 26</t>
  </si>
  <si>
    <t>Tramitación Renovación Autorización de Residencia SETINHA JOSE MENDES</t>
  </si>
  <si>
    <t>NO FAVORABLE 18/09/2018</t>
  </si>
  <si>
    <t>NO FAVORABLE 08/10/2018</t>
  </si>
  <si>
    <t>FAVORABLE 16/10/2018</t>
  </si>
  <si>
    <t>Tramitación Autorización Residencia Larga Duración- EU MAMADOU NDONG</t>
  </si>
  <si>
    <t>Y3269791X</t>
  </si>
  <si>
    <t>SANAE MAKHOUKH</t>
  </si>
  <si>
    <t>C/ Vicar nº 3 2º2</t>
  </si>
  <si>
    <t>Tramitación Autorización Permanente Familiar Ciudadano UE SANAE MAKHOUKH</t>
  </si>
  <si>
    <t>049920180005717</t>
  </si>
  <si>
    <t>FAVORABLE 15/11/2018</t>
  </si>
  <si>
    <t>FAVORABLE 14/11/2018</t>
  </si>
  <si>
    <t>08912506Y</t>
  </si>
  <si>
    <t>BERNARDO JESUS FERNANDEZ MALDONADO</t>
  </si>
  <si>
    <t>C/ Fernando I nº 9</t>
  </si>
  <si>
    <t>040020180016676</t>
  </si>
  <si>
    <t>27518953M</t>
  </si>
  <si>
    <t>AGUSTIN CASTILLO CRUZ</t>
  </si>
  <si>
    <t>C/ Las Chocillas nº 4</t>
  </si>
  <si>
    <t>Tramitación Arraigo Social HICHAM CHNIOUER</t>
  </si>
  <si>
    <t>Y6288870V</t>
  </si>
  <si>
    <t>040020180016665</t>
  </si>
  <si>
    <t>27493258R</t>
  </si>
  <si>
    <t>LUIS REYES CAÑADAS</t>
  </si>
  <si>
    <t xml:space="preserve">C/ San Gabriel </t>
  </si>
  <si>
    <t>Tramitación CA Inicial MOHAMED LAASIKRI</t>
  </si>
  <si>
    <t>X2319410K</t>
  </si>
  <si>
    <t>040020180016667</t>
  </si>
  <si>
    <t>contrato de arrendamietno</t>
  </si>
  <si>
    <t>F04463741</t>
  </si>
  <si>
    <t>CRISOLFRUT SCA</t>
  </si>
  <si>
    <t>Avda Daza Castañeda mº 68</t>
  </si>
  <si>
    <t>Tramitación CA Inicial SIHAM JALDA</t>
  </si>
  <si>
    <t>Y6826705C</t>
  </si>
  <si>
    <t>040020180016684</t>
  </si>
  <si>
    <t>F04282505</t>
  </si>
  <si>
    <t>COSTAFRUIT SCA</t>
  </si>
  <si>
    <t>C/ Handicap nº 24</t>
  </si>
  <si>
    <t>Tramitación CA Inicial ABDELGHANI BARBAR</t>
  </si>
  <si>
    <t>Y5975384K</t>
  </si>
  <si>
    <t>040020180016681</t>
  </si>
  <si>
    <t>FAVORABLE 26/11/2018</t>
  </si>
  <si>
    <t>B04576682</t>
  </si>
  <si>
    <t>C/ Opalina nº 8</t>
  </si>
  <si>
    <t>040020180017289</t>
  </si>
  <si>
    <t>se presenta 6 meses con Francisco Valdivia Alvarez y 6 meses con Agricola Valdimar Poniente</t>
  </si>
  <si>
    <t xml:space="preserve">F04853503    </t>
  </si>
  <si>
    <t>MEDITERRA GREENHOUSE SCA</t>
  </si>
  <si>
    <t>Avda Nicolas Salmeron nº 2 4º izq</t>
  </si>
  <si>
    <t>Tramitación Arraigo Social SAID AMOUIH</t>
  </si>
  <si>
    <t>Y6847425V</t>
  </si>
  <si>
    <t>040020180017287</t>
  </si>
  <si>
    <t>Avda Boulevard de El Ejido nº 369</t>
  </si>
  <si>
    <t>Tramitación CA Incial JIHAD MOULIK</t>
  </si>
  <si>
    <t>Y6847385T</t>
  </si>
  <si>
    <t>040020180017286</t>
  </si>
  <si>
    <t>Tramitación Arraigo Social YOUSSEF FALAHI</t>
  </si>
  <si>
    <t>Y6847264V</t>
  </si>
  <si>
    <t>040020180017282</t>
  </si>
  <si>
    <t>FAVORABLE 22/11/2018</t>
  </si>
  <si>
    <t>FAVORABLE 21/11/2018</t>
  </si>
  <si>
    <t>Y1506971W</t>
  </si>
  <si>
    <t>KHALIFA ABABACAR DIAGNE</t>
  </si>
  <si>
    <t>C/ Ventiocho de Febrero nº 14 1ºA</t>
  </si>
  <si>
    <t>Tramitación Renovación Autorización de Residencia KHALIFA ABABACAR DIAGNE</t>
  </si>
  <si>
    <t>FAVORABLE 27/11/2018</t>
  </si>
  <si>
    <t>NO FAVORABLE 27/11/2018</t>
  </si>
  <si>
    <t>madre en su pais</t>
  </si>
  <si>
    <t>C/ Charran nº 28</t>
  </si>
  <si>
    <t>Tramitación Arraigo Social AYOUB SEBBAR</t>
  </si>
  <si>
    <t>Y4520415D</t>
  </si>
  <si>
    <t>040020180018156</t>
  </si>
  <si>
    <t>78034565G</t>
  </si>
  <si>
    <t>SALVADOR RUIZ FERNANDEZ</t>
  </si>
  <si>
    <t>Juan Gris, 17</t>
  </si>
  <si>
    <t>Tramitación Arraigo Social JAMAL QALLYCH</t>
  </si>
  <si>
    <t>Y6882931B</t>
  </si>
  <si>
    <t>040020180018153</t>
  </si>
  <si>
    <t>catastro y antecedentes penales</t>
  </si>
  <si>
    <t>54101816C</t>
  </si>
  <si>
    <t>MARIA JESUS RUBIO LOPEZ</t>
  </si>
  <si>
    <t>C/ Hiedra nº 11</t>
  </si>
  <si>
    <t>Tramitación CA Inicial NOUHAILA HANNYRY</t>
  </si>
  <si>
    <t>Y6882895K</t>
  </si>
  <si>
    <t>040020180018152</t>
  </si>
  <si>
    <t>C/ Hermanos Espinosa nº 122</t>
  </si>
  <si>
    <t>Tramitación CA Inicial JAKSON CARLOS MENDES</t>
  </si>
  <si>
    <t>Y6882683Q</t>
  </si>
  <si>
    <t>040020180018145</t>
  </si>
  <si>
    <t>040020180018150</t>
  </si>
  <si>
    <t>F04818290</t>
  </si>
  <si>
    <t>FERRO FRUITS SCA</t>
  </si>
  <si>
    <t>C/ Bajamar nº 2</t>
  </si>
  <si>
    <t>Tramitación CA Inicial AHMED LOUARAT</t>
  </si>
  <si>
    <t>Y6882648G</t>
  </si>
  <si>
    <t>040020180018144</t>
  </si>
  <si>
    <t>C/ San Francisco n º12</t>
  </si>
  <si>
    <t>Tramitación CA Inicial MICHAEL GOMEZ</t>
  </si>
  <si>
    <t>Tramitación CA Inicial DEGOULL GOMEZ</t>
  </si>
  <si>
    <t>Y6882556G</t>
  </si>
  <si>
    <t>040020080018138</t>
  </si>
  <si>
    <t>certificado naciemiento</t>
  </si>
  <si>
    <t>C/ Huelva nº 17</t>
  </si>
  <si>
    <t>Tramitación CA Inicial SOUKAINA ADDI</t>
  </si>
  <si>
    <t>Y6882464G</t>
  </si>
  <si>
    <t>040020180018133</t>
  </si>
  <si>
    <t>040020180018694</t>
  </si>
  <si>
    <t>Aportación documentación Arraigo Social JOHN KWEKU</t>
  </si>
  <si>
    <t>Y3106574R</t>
  </si>
  <si>
    <t>040020180018001</t>
  </si>
  <si>
    <t>C/ Voluntarios 2005 nº 15 2º C</t>
  </si>
  <si>
    <t>Aportación documentación Arraigo Social ALIEU GIBBA</t>
  </si>
  <si>
    <t>Y6866698Q</t>
  </si>
  <si>
    <t>040020180017734</t>
  </si>
  <si>
    <t>FAVORABLE 14/12/2018</t>
  </si>
  <si>
    <t>Y6882479L</t>
  </si>
  <si>
    <t>040020180018136</t>
  </si>
  <si>
    <t>escritura y tasas</t>
  </si>
  <si>
    <t>Y3898744M</t>
  </si>
  <si>
    <t>PABI BADJIE</t>
  </si>
  <si>
    <t>C/ Comunidad de Navarra nº 2 4ºJ</t>
  </si>
  <si>
    <t>631048036-632150691</t>
  </si>
  <si>
    <t>Recurso de Reposición Larga Duración PABI BADJIE</t>
  </si>
  <si>
    <t>049920180004487</t>
  </si>
  <si>
    <t>Y2940659P</t>
  </si>
  <si>
    <t>AMADOU WOURY KEITA</t>
  </si>
  <si>
    <t>C/ Montejicar nº 13 2º F</t>
  </si>
  <si>
    <t>Recurso de Reposición Larga Duración AMADOU WOURY KEITA</t>
  </si>
  <si>
    <t>049920180003027</t>
  </si>
  <si>
    <t>Y3150425Z</t>
  </si>
  <si>
    <t>PIER DJATA</t>
  </si>
  <si>
    <t>C/ Hermanos Pinzon nº 59 1ºG</t>
  </si>
  <si>
    <t>Tramitación Renovación Autorización de Residencia y Trabajo PIER DJATA</t>
  </si>
  <si>
    <t>Tramitación Renovación Autorización de Residencia y Trabajo BABOU MANE</t>
  </si>
  <si>
    <t>Cortijo Cespedes nº 27</t>
  </si>
  <si>
    <t>Tramitación Renovación Autorización de Residencia y Trabajo IBRAIM ADRE</t>
  </si>
  <si>
    <t>Y3371510T</t>
  </si>
  <si>
    <t>040020180018898</t>
  </si>
  <si>
    <t>memoria, CIF y DNI</t>
  </si>
  <si>
    <t>78034783S</t>
  </si>
  <si>
    <t>MIGUEL ANGEL ROBLES CALLEJON</t>
  </si>
  <si>
    <t>Plaza Colonización nº 18</t>
  </si>
  <si>
    <t>Tramitación CA Inicial KARIMA ADAGHASS</t>
  </si>
  <si>
    <t>Y6910153R</t>
  </si>
  <si>
    <t>040020180018899</t>
  </si>
  <si>
    <t>040020180018900</t>
  </si>
  <si>
    <t>08913234K</t>
  </si>
  <si>
    <t>FRANCISCO GUTIERREZ MEDINA</t>
  </si>
  <si>
    <t>C/ Hernandez de Cordoba nº 21</t>
  </si>
  <si>
    <t>Tramitación Arraigo Social ABDELMOUGHIT BERKIA</t>
  </si>
  <si>
    <t>Y6816812V</t>
  </si>
  <si>
    <t>040020180018888</t>
  </si>
  <si>
    <t>32365012X</t>
  </si>
  <si>
    <t>ALFONSO GOMEZ RODRIGUEZ</t>
  </si>
  <si>
    <t>C/ Flamencos nº 43</t>
  </si>
  <si>
    <t>Tramitación CA Inicial OTMANE MILADA</t>
  </si>
  <si>
    <t>Y5989373A</t>
  </si>
  <si>
    <t>049920180006946</t>
  </si>
  <si>
    <t>MARIA MAGDALENA TORRES TORRES</t>
  </si>
  <si>
    <t>C/ Ecija nº 49</t>
  </si>
  <si>
    <t>Tramitación Arraigo Social EBRIMA BOJANG</t>
  </si>
  <si>
    <t>X9651007T</t>
  </si>
  <si>
    <t>penales, tasa y pasaporte</t>
  </si>
  <si>
    <t>040020190000310</t>
  </si>
  <si>
    <t>040020190000312</t>
  </si>
  <si>
    <t>040020190000304</t>
  </si>
  <si>
    <t>08904963F</t>
  </si>
  <si>
    <t>ANTONIO RAMON SEGURA GINES</t>
  </si>
  <si>
    <t>C/ El Conde nº 2</t>
  </si>
  <si>
    <t>Las Norias de Daza- El Ejido</t>
  </si>
  <si>
    <t>Tramitación Arraigo Social ALI SAMAKE</t>
  </si>
  <si>
    <t>Y1667867J</t>
  </si>
  <si>
    <t>040020190000306</t>
  </si>
  <si>
    <t>FAVORABLE 10/01/2019</t>
  </si>
  <si>
    <t>FAVORABLE 18/12/2018</t>
  </si>
  <si>
    <t>FAVORABLE 16/11/2018</t>
  </si>
  <si>
    <t>FAVORABLE 29/11/2018</t>
  </si>
  <si>
    <t>NOTIFICADO EN EL BOP</t>
  </si>
  <si>
    <t>no quiere hacer el recurso</t>
  </si>
  <si>
    <t>NO FAVORABLE 21/12/2018</t>
  </si>
  <si>
    <t>Tramitación Arraigo Social MADANE BOIRE</t>
  </si>
  <si>
    <t>Y6952649Q</t>
  </si>
  <si>
    <t>040020190000750</t>
  </si>
  <si>
    <t>Tramitación Arraigo Social BOUBACAR DIARRA</t>
  </si>
  <si>
    <t>Y5278117E</t>
  </si>
  <si>
    <t>040020190000742</t>
  </si>
  <si>
    <t>Almerifresh</t>
  </si>
  <si>
    <t xml:space="preserve">E04244646    </t>
  </si>
  <si>
    <t>MORENO RODRIGUEZ CB</t>
  </si>
  <si>
    <t>C/ Alcala de Henares , 21</t>
  </si>
  <si>
    <t>Tramitación CA Inicial KADIALY CISSE</t>
  </si>
  <si>
    <t>Y6952262C</t>
  </si>
  <si>
    <t>Y5136649G</t>
  </si>
  <si>
    <t>LIDIA POPESCU</t>
  </si>
  <si>
    <t>Camino de Huebro nº42</t>
  </si>
  <si>
    <t>Tramitación Certificado Registro Comunitario LIDIA POPESCU</t>
  </si>
  <si>
    <t>040020190000729</t>
  </si>
  <si>
    <t>traducción divorcio</t>
  </si>
  <si>
    <t>FAVORABLE 17/01/2019</t>
  </si>
  <si>
    <t>FAVORABLE 23/01/2019</t>
  </si>
  <si>
    <t>27502766X</t>
  </si>
  <si>
    <t>JUAN TOMAS CANO AGUILERA</t>
  </si>
  <si>
    <t>C/ Motores nº4</t>
  </si>
  <si>
    <t>Y6968504R</t>
  </si>
  <si>
    <t>040020190001136</t>
  </si>
  <si>
    <t>lo tengo yo</t>
  </si>
  <si>
    <t>original partida nacimiento</t>
  </si>
  <si>
    <t>27248168E</t>
  </si>
  <si>
    <t>ANTONIO GOMEZ GARCIA</t>
  </si>
  <si>
    <t>C/ Comunidad nº 3</t>
  </si>
  <si>
    <t>Tramitación Arraigo Social MUSA JARJU</t>
  </si>
  <si>
    <t>Y6968779T</t>
  </si>
  <si>
    <t>040020190001149</t>
  </si>
  <si>
    <t>Tramitación CA Inicial HICHAM BADICH</t>
  </si>
  <si>
    <t>Y6968905B</t>
  </si>
  <si>
    <t>040020190001157</t>
  </si>
  <si>
    <t>Tramitación CA Inicial SOUKAINA KAAB</t>
  </si>
  <si>
    <t>Y6968795Q</t>
  </si>
  <si>
    <t>040020190001150</t>
  </si>
  <si>
    <t>MARIA TRINIDAD PUGA MANRIQUE</t>
  </si>
  <si>
    <t>Tramitación Arraigo Social MOHAMED EL KADDOURI</t>
  </si>
  <si>
    <t>Y0052367X</t>
  </si>
  <si>
    <t>040020190001154</t>
  </si>
  <si>
    <t>Tramitación Arraigo Social ABELGHANI DRAYA</t>
  </si>
  <si>
    <t>Y6343398N</t>
  </si>
  <si>
    <t>040020190001153</t>
  </si>
  <si>
    <t>Tramitación Arraigo Social YOUNESS BELAOUFIA</t>
  </si>
  <si>
    <t>Y6968842V</t>
  </si>
  <si>
    <t>040020190001152</t>
  </si>
  <si>
    <t>Tramitación Arraigo Social DOUGOUFANA DIAWARA</t>
  </si>
  <si>
    <t>Y3515216W</t>
  </si>
  <si>
    <t>040020190001148</t>
  </si>
  <si>
    <t>escritura, contrato y tasa</t>
  </si>
  <si>
    <t>FAVORABLE 22/01/2019</t>
  </si>
  <si>
    <t>corriente Hacienda</t>
  </si>
  <si>
    <t>FAVORABLE 25/01/2019</t>
  </si>
  <si>
    <t>FAVORABLE 24/01/2019</t>
  </si>
  <si>
    <t>FAVORABLE 30/01/2019</t>
  </si>
  <si>
    <t>FAVORABLE 06/02/2019</t>
  </si>
  <si>
    <t>FAVORABLE 08/02/2019</t>
  </si>
  <si>
    <t>53706862E</t>
  </si>
  <si>
    <t>MARIA ISABEL SANCHEZ TOLEDANO</t>
  </si>
  <si>
    <t>Avda Mediterraneo nº 66 3ºA</t>
  </si>
  <si>
    <t>04770</t>
  </si>
  <si>
    <t>Adra</t>
  </si>
  <si>
    <t>53705852E</t>
  </si>
  <si>
    <t>Tramitación CA Inicial NOUHAILA HROR</t>
  </si>
  <si>
    <t>Y7001926G</t>
  </si>
  <si>
    <t>040020190001938</t>
  </si>
  <si>
    <t>78038763Q</t>
  </si>
  <si>
    <t>ANA VANESA LOPEZ RIVAS</t>
  </si>
  <si>
    <t>C/ Juan Gris nº 17</t>
  </si>
  <si>
    <t>04748</t>
  </si>
  <si>
    <t>Tramitación Arraigo Social AHMED LEMYASER</t>
  </si>
  <si>
    <t>Y7002088M</t>
  </si>
  <si>
    <t>040020190001943</t>
  </si>
  <si>
    <t>27523294E</t>
  </si>
  <si>
    <t>CARMEN DOLORES PARDO SANCHEZ</t>
  </si>
  <si>
    <t>Cortijo Los Cespedes sn</t>
  </si>
  <si>
    <t>040020190001940</t>
  </si>
  <si>
    <t>75724191A</t>
  </si>
  <si>
    <t>Tramitación Arraigo Social LAMIN JAITEH</t>
  </si>
  <si>
    <t>X7982691N</t>
  </si>
  <si>
    <t>040020190001937</t>
  </si>
  <si>
    <t>27498763D</t>
  </si>
  <si>
    <t>MANUEL MECA HERNANDEZ</t>
  </si>
  <si>
    <t>Cortijo Piqueras sn</t>
  </si>
  <si>
    <t>Tramitación CA Inicial MANAL AKAJJOUH</t>
  </si>
  <si>
    <t>Y7005734V</t>
  </si>
  <si>
    <t>040020190002020</t>
  </si>
  <si>
    <t>27253540N</t>
  </si>
  <si>
    <t>JOAQUIN GARCIA MENDEZ</t>
  </si>
  <si>
    <t>C/ Sabinal nº3</t>
  </si>
  <si>
    <t>Tramitación CA Inicial MAMADU JUNIOR DJALO</t>
  </si>
  <si>
    <t>Y7005703D</t>
  </si>
  <si>
    <t>040020190002018</t>
  </si>
  <si>
    <t>enviado a Ejidoluz</t>
  </si>
  <si>
    <t>B04653739</t>
  </si>
  <si>
    <t>EXPLOTACIONES CABO DE GATA SL</t>
  </si>
  <si>
    <t>Ctra San Isidro a Campohermoso km 8</t>
  </si>
  <si>
    <t xml:space="preserve">Tramitación CA Inicial AYOUB EZAGROUM </t>
  </si>
  <si>
    <t>Y5678061L</t>
  </si>
  <si>
    <t>040020190002010</t>
  </si>
  <si>
    <t>C/ Alqueria nº9</t>
  </si>
  <si>
    <t>Tramitación Renovación Autorización Residencia y Trabajo JAMAL BOUAZZAH</t>
  </si>
  <si>
    <t>FAVORABLE 13/02/2019</t>
  </si>
  <si>
    <t>FAVORABLE 12/02/2019</t>
  </si>
  <si>
    <t>FAVORABLE 15/02/2019</t>
  </si>
  <si>
    <t>FAVORABLE 15/01/2019</t>
  </si>
  <si>
    <t>X7864160T</t>
  </si>
  <si>
    <t>SOULEYMANE KONATE</t>
  </si>
  <si>
    <t>Plaza del Retiro nº 3 B</t>
  </si>
  <si>
    <t>Tramitación Reagrupacion Familiar OUMAR KONATE</t>
  </si>
  <si>
    <t>Tramitación Reagrupación Familiar SOULEMANE KONATE</t>
  </si>
  <si>
    <t>Y4416948L</t>
  </si>
  <si>
    <t>Y4417012Z</t>
  </si>
  <si>
    <t>040020190002093</t>
  </si>
  <si>
    <t>040020190020091</t>
  </si>
  <si>
    <t>C/ San Antonio nº46</t>
  </si>
  <si>
    <t>Tramitación Renovación Autorización Residencia y Trabajo OUSMANE BA</t>
  </si>
  <si>
    <t>Tramitación CA Inicial MOHAMMED BOUDEKKARA</t>
  </si>
  <si>
    <t>NO FAVORABLE 15/01/2019</t>
  </si>
  <si>
    <t>RECOGIDO 17/01/2019</t>
  </si>
  <si>
    <t>FAVORABLE 22/02/2019</t>
  </si>
  <si>
    <t>FAVORABLE 25/02/2019</t>
  </si>
  <si>
    <t>FAVORABLE 26/02/2019</t>
  </si>
  <si>
    <t>CARMEN PEREZ-MANZUCO</t>
  </si>
  <si>
    <t>Tramitación Arraigo Social STEVE SANTIAGO MARIN VELEZ</t>
  </si>
  <si>
    <t>X7440492S</t>
  </si>
  <si>
    <t>040020190003412</t>
  </si>
  <si>
    <t>FAVORABLE 04/03/2019</t>
  </si>
  <si>
    <t>NO FAVORABLE 04/03/2019</t>
  </si>
  <si>
    <t>FAVORABLE 06/03/2019</t>
  </si>
  <si>
    <t>MANUEL FERRE GIMENEZ</t>
  </si>
  <si>
    <t>Tramitación Arraigo Social MAMADOU DEMBA</t>
  </si>
  <si>
    <t>Y7074139C</t>
  </si>
  <si>
    <t>040020190003690</t>
  </si>
  <si>
    <t>tasa y penales</t>
  </si>
  <si>
    <t xml:space="preserve">27243954V    </t>
  </si>
  <si>
    <t>MANUEL GARCIA GONZALEZ</t>
  </si>
  <si>
    <t>C/ Zaragoza, nº 24</t>
  </si>
  <si>
    <t>34862463Y</t>
  </si>
  <si>
    <t>JOSE ANTONIO FERNANDEZ MARIN</t>
  </si>
  <si>
    <t>Paraje Los Rubiales nº1</t>
  </si>
  <si>
    <t>040020190003665</t>
  </si>
  <si>
    <t>040020190003662</t>
  </si>
  <si>
    <t>040020190003676</t>
  </si>
  <si>
    <t>B30503692</t>
  </si>
  <si>
    <t>Pje El Bardo sn</t>
  </si>
  <si>
    <t>Retamar</t>
  </si>
  <si>
    <t>Tramitación CA Inicial SOULEYMANE COULIBALY</t>
  </si>
  <si>
    <t>Y7074758H</t>
  </si>
  <si>
    <t>040020190003709</t>
  </si>
  <si>
    <t>tasa, certificado nacimiento y catastro</t>
  </si>
  <si>
    <t>Tramitación CA Inicial ZOUMANA COULIBALY</t>
  </si>
  <si>
    <t>Y7074484C</t>
  </si>
  <si>
    <t>040020190003704</t>
  </si>
  <si>
    <t>NO FAVORABLE 07/03/2019</t>
  </si>
  <si>
    <t>penales España</t>
  </si>
  <si>
    <t>FAVORABLE 07/03/2019</t>
  </si>
  <si>
    <t>FAVORABLE 08/03/2019</t>
  </si>
  <si>
    <t>FAVORABLE 15/03/2019</t>
  </si>
  <si>
    <t>medios materiales</t>
  </si>
  <si>
    <t>Tramitación Renovación Autorización Residencia y Trabajo OUSMANE THIAW</t>
  </si>
  <si>
    <t>FAVORABLE 20/03/2019</t>
  </si>
  <si>
    <t>ARCHIVADO 26/03/2019</t>
  </si>
  <si>
    <t>FAVORABLE 26/03/2019</t>
  </si>
  <si>
    <t>NO FAVORABLE 26/03/2019</t>
  </si>
  <si>
    <t>NO FAVORABLE 25/03/2019</t>
  </si>
  <si>
    <t>FAVORABLE 25/03/2019</t>
  </si>
  <si>
    <t>FAVORABLE 29/03/2019</t>
  </si>
  <si>
    <t>FAVORABLE 28/03/2019</t>
  </si>
  <si>
    <t>FAVORABLE 04/04/2019</t>
  </si>
  <si>
    <t>deuda Hacienda y medios</t>
  </si>
  <si>
    <t>C/ Horno nº 8</t>
  </si>
  <si>
    <t>Tramitación CA Inicial ABDERRAHMANE GHDIFA</t>
  </si>
  <si>
    <t>Y7116777Q</t>
  </si>
  <si>
    <t>040020190004745</t>
  </si>
  <si>
    <t>54096763C</t>
  </si>
  <si>
    <t>OSCAR CABEO GARCIA</t>
  </si>
  <si>
    <t>C/ Esteban Murillo nº 41 B-E</t>
  </si>
  <si>
    <t>Tramitación CA Inicial ISSA SARR</t>
  </si>
  <si>
    <t>Y7116380X</t>
  </si>
  <si>
    <t>040020190004727</t>
  </si>
  <si>
    <t>Barrio Los Pelaos s/n</t>
  </si>
  <si>
    <t>Tramitación Arraigo Social ABDELKADER HACHLAFI</t>
  </si>
  <si>
    <t>Y7135140W</t>
  </si>
  <si>
    <t>040020190005205</t>
  </si>
  <si>
    <t>tasa, catastro, memoria y contrato</t>
  </si>
  <si>
    <t>E04342630</t>
  </si>
  <si>
    <t>GONZALEZ Y VARGAS CB</t>
  </si>
  <si>
    <t>C/ Horacio nº 58</t>
  </si>
  <si>
    <t>Tramitación Arraigo Social ALAASANE BA</t>
  </si>
  <si>
    <t>Y4042978Y</t>
  </si>
  <si>
    <t>040020190005207</t>
  </si>
  <si>
    <t>penales y escritura</t>
  </si>
  <si>
    <t xml:space="preserve">C/ Zaragoza </t>
  </si>
  <si>
    <t>Tramitación Arraigo Social YACOUBA DIANE</t>
  </si>
  <si>
    <t>Y7135243J</t>
  </si>
  <si>
    <t>040020190005208</t>
  </si>
  <si>
    <t>34837719X</t>
  </si>
  <si>
    <t>MARIA NIEVES GIMENEZ GIMENEZ</t>
  </si>
  <si>
    <t>C/ San Joaquin Norte nº 74</t>
  </si>
  <si>
    <t>Tramitación Arraigo Social REDOUAN CHEKHMOUN</t>
  </si>
  <si>
    <t>Y4822562M</t>
  </si>
  <si>
    <t>040020190005211</t>
  </si>
  <si>
    <t>tasa y arrendamiento</t>
  </si>
  <si>
    <t>75243305R</t>
  </si>
  <si>
    <t>JUAN CARLOS ENRIQUE VAZQUEZ</t>
  </si>
  <si>
    <t>C/ Caravaca de la Cruz nº 11</t>
  </si>
  <si>
    <t>Tramitación Arraigo Social JAMES HARUNA</t>
  </si>
  <si>
    <t>Y3774594D</t>
  </si>
  <si>
    <t>040020190005191</t>
  </si>
  <si>
    <t>53707179V</t>
  </si>
  <si>
    <t>ANTONIO JESUS RODRIGUEZ GOMEZ</t>
  </si>
  <si>
    <t>C/ Leon nº 35</t>
  </si>
  <si>
    <t>Tramitación Arraigo Social AIT BAISSA ANAS</t>
  </si>
  <si>
    <t>Y6369820F</t>
  </si>
  <si>
    <t>040020190005201</t>
  </si>
  <si>
    <t>27261458H</t>
  </si>
  <si>
    <t>MARIA MOLINA ALIAGA</t>
  </si>
  <si>
    <t>C/ Camarilla sn</t>
  </si>
  <si>
    <t>04276</t>
  </si>
  <si>
    <t>Benizalon</t>
  </si>
  <si>
    <t>Tramitación Arraigo Social SARA MANKA</t>
  </si>
  <si>
    <t>Y3036828Z</t>
  </si>
  <si>
    <t>040020190005214</t>
  </si>
  <si>
    <t>Y1502399F</t>
  </si>
  <si>
    <t>OLGA ALEXANDRA CALEAP</t>
  </si>
  <si>
    <t xml:space="preserve">C/ San Jose nº 5 </t>
  </si>
  <si>
    <t>Tramitación Certificado Registro Comunitario OLGA ALEXANDRA CALEAP</t>
  </si>
  <si>
    <t>040020190005192</t>
  </si>
  <si>
    <t>certificado matrimonio</t>
  </si>
  <si>
    <t>75723680K</t>
  </si>
  <si>
    <t>Cortijo Las Juntas sn</t>
  </si>
  <si>
    <t>FAVORABLE 05/04/2019</t>
  </si>
  <si>
    <t>FAVORABLE 10/04/2019</t>
  </si>
  <si>
    <t>Tramitación Separacion Familiar Ciudadano de la UE YANA BORDYUG</t>
  </si>
  <si>
    <t>X3116995N</t>
  </si>
  <si>
    <t>MOHAMED EL BADAOUI</t>
  </si>
  <si>
    <t>C/ Alvarez de Sotomayor nº 1 D1</t>
  </si>
  <si>
    <t>04008</t>
  </si>
  <si>
    <t>Tramitación CA Inicial ASSMAA DOUYA</t>
  </si>
  <si>
    <t>Y2999577T</t>
  </si>
  <si>
    <t>040020190006154</t>
  </si>
  <si>
    <t>040020190006087</t>
  </si>
  <si>
    <t>tasa, matrimonio y penales</t>
  </si>
  <si>
    <t xml:space="preserve">27213551C   </t>
  </si>
  <si>
    <t>CECILIO FERNANEZ MALDONADO</t>
  </si>
  <si>
    <t>Tramitación Certificado Registro Comunitario GERGANA ASENOVA NIKOLOVA</t>
  </si>
  <si>
    <t>Y7169663W</t>
  </si>
  <si>
    <t>RECOGIDO 17/04/2019</t>
  </si>
  <si>
    <t>C/ Larache nº 33 3ºA</t>
  </si>
  <si>
    <t>Tramitación Renovación Residencia Larga Duración LELOUMA MBALLO</t>
  </si>
  <si>
    <t xml:space="preserve">F04312823    </t>
  </si>
  <si>
    <t>NUESTRA SEÑORA DE GADOR SAT</t>
  </si>
  <si>
    <t>Y3069204Y</t>
  </si>
  <si>
    <t>MODOU BADJIE</t>
  </si>
  <si>
    <t>C/ Comunidad de Navarra nº 2 4J</t>
  </si>
  <si>
    <t>Tramitación Reagrupación Familiar MYIMA MANGA</t>
  </si>
  <si>
    <t>Y7182198W</t>
  </si>
  <si>
    <t>040020190006356</t>
  </si>
  <si>
    <t>Tramitación Reagrupación Familiar ALIEU BADJIE</t>
  </si>
  <si>
    <t>Y7182239C</t>
  </si>
  <si>
    <t>040020190006359</t>
  </si>
  <si>
    <t>tasa y pagar nomina mano</t>
  </si>
  <si>
    <t>Tramitación Autorización Trasnacional JOSE LUIS RODRIGUEZ DIAZ</t>
  </si>
  <si>
    <t>Y7191186C</t>
  </si>
  <si>
    <t>040020190006650</t>
  </si>
  <si>
    <t>Tramitación Autorización Trasnacional URIS ORIEL SANCHEZ FIGUEROA</t>
  </si>
  <si>
    <t>X6887973W</t>
  </si>
  <si>
    <t>040020190006648</t>
  </si>
  <si>
    <t>Tramitación Autorización Trasnacional OSCAR BERNAL DE LA CRUZ</t>
  </si>
  <si>
    <t>Y1139077Q</t>
  </si>
  <si>
    <t>040020190006644</t>
  </si>
  <si>
    <t>Tramitación Autorización Trasnacional GUILLERMO ANTONIO DE LA CRUZ</t>
  </si>
  <si>
    <t>X6887918Q</t>
  </si>
  <si>
    <t>040020190006638</t>
  </si>
  <si>
    <t>Tramitación Autorización Trasnacional MIZAEL OMAR FRIAS SANCHEZ</t>
  </si>
  <si>
    <t>040020190006633</t>
  </si>
  <si>
    <t>Tramitación Autorización Trasnacional CHARLIE WILBERTO DIAZ GONZALEZ</t>
  </si>
  <si>
    <t>040020190006628</t>
  </si>
  <si>
    <t>Tramitación Autorización Trasnacional RAUL ALBERTO REYES TORRERO</t>
  </si>
  <si>
    <t>040020190006625</t>
  </si>
  <si>
    <t>Tramitación Autorización Trasnacional ETIENNE LATYR TINE</t>
  </si>
  <si>
    <t>040020190006614</t>
  </si>
  <si>
    <t>Tramitación Autorización Trasnacional ALIOU DIAKHATE</t>
  </si>
  <si>
    <t>040020190006623</t>
  </si>
  <si>
    <t>Tramitación Autorización Trasnacional OUSSEYNOU TOURE</t>
  </si>
  <si>
    <t>040020190006619</t>
  </si>
  <si>
    <t>Tramitación Autorización Trasnacional BIRANE TINE</t>
  </si>
  <si>
    <t>040020190006548</t>
  </si>
  <si>
    <t>Tramitación Autorización Trasnacional AMADOU DIALLO</t>
  </si>
  <si>
    <t>040020190006544</t>
  </si>
  <si>
    <t>Tramitación Autorización Trasnacional IBRAHIMA MBAYE</t>
  </si>
  <si>
    <t>040020190006535</t>
  </si>
  <si>
    <t>Tramitación Autorización Trasnacional CHEIKH FALL</t>
  </si>
  <si>
    <t>040020190006525</t>
  </si>
  <si>
    <t>Tramitación Autorización Trasnacional SAMBA DIOP</t>
  </si>
  <si>
    <t>040020190006522</t>
  </si>
  <si>
    <t>Tramitación Autorización Trasnacional BALLA FALL</t>
  </si>
  <si>
    <t>040020190006516</t>
  </si>
  <si>
    <t>Tramitación Autorización Trasnacional NDIAGA DIOP</t>
  </si>
  <si>
    <t>040020190006512</t>
  </si>
  <si>
    <t>Tramitación Autorización Trasnacional THIERNO DIOP</t>
  </si>
  <si>
    <t>040020190006511</t>
  </si>
  <si>
    <t>Tramitación Autorización Trasnacional MOUSSA DIOP</t>
  </si>
  <si>
    <t>040020190006506</t>
  </si>
  <si>
    <t>Tramitación Autorización Trasnacional MOUSTAPHA BA</t>
  </si>
  <si>
    <t>040020190006552</t>
  </si>
  <si>
    <t>Tramitación Autorización Trasnacional MBACKE SENE</t>
  </si>
  <si>
    <t>040020190006563</t>
  </si>
  <si>
    <t>Tramitación Autorización Trasnacional BOUBACAR CAMARA</t>
  </si>
  <si>
    <t>040020190006567</t>
  </si>
  <si>
    <t>Tramitación Autorización Trasnacional MAMADOU SOW</t>
  </si>
  <si>
    <t>040020190006582</t>
  </si>
  <si>
    <t>Tramitación Autorización Trasnacional ABLAYE BAAR</t>
  </si>
  <si>
    <t>040020190006586</t>
  </si>
  <si>
    <t>Tramitación Autorización Trasnacional MANSOUR WADE</t>
  </si>
  <si>
    <t>040020190006589</t>
  </si>
  <si>
    <t>Tramitación Autorización Trasnacional MALICK SARR</t>
  </si>
  <si>
    <t>040020190006531</t>
  </si>
  <si>
    <t>Tramitación Autorización Trasnacional ABDOU DIA</t>
  </si>
  <si>
    <t>040020190006459</t>
  </si>
  <si>
    <t>Tramitación Autorización Trasnacional IBRA COUMBA DIOP</t>
  </si>
  <si>
    <t>040020190006464</t>
  </si>
  <si>
    <t>Tramitación Autorización Trasnacional ABDOU GAYE</t>
  </si>
  <si>
    <t>040020190006473</t>
  </si>
  <si>
    <t>Tramitación Autorización Trasnacional LATYR NGOM</t>
  </si>
  <si>
    <t>040020190006430</t>
  </si>
  <si>
    <t>Tramitación Autorización Trasnacional LEOPOLD MARTIN NDIOLENE</t>
  </si>
  <si>
    <t>040020190006424</t>
  </si>
  <si>
    <t>Tramitación Autorización Trasnacional ABDOURAHMANE NDIAYE</t>
  </si>
  <si>
    <t>040020190006420</t>
  </si>
  <si>
    <t>Tramitación Autorización Trasnacional SADIBO DABO</t>
  </si>
  <si>
    <t>Y4824037P</t>
  </si>
  <si>
    <t>040020190006407</t>
  </si>
  <si>
    <t>Tramitación Autorización Trasnacional OUSMANE KA</t>
  </si>
  <si>
    <t>040020190006413</t>
  </si>
  <si>
    <t>Tramitación Autorización Trasnacional TALLA SALL</t>
  </si>
  <si>
    <t>Y7184846M</t>
  </si>
  <si>
    <t>040020190006394</t>
  </si>
  <si>
    <t>Tramitación Autorización Trasnacional MAMADOU KANE</t>
  </si>
  <si>
    <t>Y7185076M</t>
  </si>
  <si>
    <t>040020190006404</t>
  </si>
  <si>
    <t>Tramitación Autorización Trasnacional GUILADIO DIALLO</t>
  </si>
  <si>
    <t>Y7184902S</t>
  </si>
  <si>
    <t>040020190006400</t>
  </si>
  <si>
    <t>Tramitación Autorización Trasnacional DEMBA FAYE</t>
  </si>
  <si>
    <t>Y7184808J</t>
  </si>
  <si>
    <t>040020190006393</t>
  </si>
  <si>
    <t>Tramitación Autorización Trasnacional KHADIM DIOP</t>
  </si>
  <si>
    <t>Y7184429W</t>
  </si>
  <si>
    <t>040020190006385</t>
  </si>
  <si>
    <t>Tramitación Autorización Trasnacional MOUSTAPHA DIOP</t>
  </si>
  <si>
    <t>Y7184382R</t>
  </si>
  <si>
    <t>040020190006384</t>
  </si>
  <si>
    <t>Tramitación Autorización Trasnacional SOMBEL NGOM</t>
  </si>
  <si>
    <t>040020190006336</t>
  </si>
  <si>
    <t>FAVORABLE 03/04/2019</t>
  </si>
  <si>
    <t>675167020-603612965</t>
  </si>
  <si>
    <t>Y7074242P</t>
  </si>
  <si>
    <t>040020190003692</t>
  </si>
  <si>
    <t>FAVORABLE 07/05/2019</t>
  </si>
  <si>
    <t>FAVORABLE 16/05/2019</t>
  </si>
  <si>
    <t>Andalucia Exportaciones</t>
  </si>
  <si>
    <t>F04150389</t>
  </si>
  <si>
    <t>ANDALUCIA EXPORTACIONES SCA</t>
  </si>
  <si>
    <t>C/ Calerica sn</t>
  </si>
  <si>
    <t>04660</t>
  </si>
  <si>
    <t>Arboleas</t>
  </si>
  <si>
    <t>Tramitación Arraigo Social OKSANA SHETELIA</t>
  </si>
  <si>
    <t>Y3852348T</t>
  </si>
  <si>
    <t>040020190008151</t>
  </si>
  <si>
    <t>IVA, memoria y escritura</t>
  </si>
  <si>
    <t>Campohermoso</t>
  </si>
  <si>
    <t>Tramitación Arraigo Social EL KHADIR RACHIDI</t>
  </si>
  <si>
    <t>Y7250725N</t>
  </si>
  <si>
    <t>040020190008149</t>
  </si>
  <si>
    <t>contrato, CIF, escrtirua, vida laboral, catastro, memoria, IVA</t>
  </si>
  <si>
    <t>FAVORABLE 06/05/2019</t>
  </si>
  <si>
    <t>E04267357</t>
  </si>
  <si>
    <t>CAMACHO CB</t>
  </si>
  <si>
    <t>C/ Venta Vieja nº 89</t>
  </si>
  <si>
    <t>Tramitación Cuenta Ajena Inicial ATIKA BAJADDY</t>
  </si>
  <si>
    <t>Y7235442R</t>
  </si>
  <si>
    <t>040020190007771</t>
  </si>
  <si>
    <t>FAVORABLE 20/05/2019</t>
  </si>
  <si>
    <t>F04456141</t>
  </si>
  <si>
    <t>CAMPOVERDE SAT</t>
  </si>
  <si>
    <t>C/ Casa Dora nº 8</t>
  </si>
  <si>
    <t>Tramitación Cuenta Ajena Inicial NAIMA MJJANE</t>
  </si>
  <si>
    <t>Y7290710T</t>
  </si>
  <si>
    <t>040020190009067</t>
  </si>
  <si>
    <t>15429821H</t>
  </si>
  <si>
    <t>ALVARO MORENO RODRIGUEZ</t>
  </si>
  <si>
    <t>C/ Comunidad Canaria nº 9</t>
  </si>
  <si>
    <t>Tramitación Cuenta Ajena Inicial SOULEYMANE CAMARA</t>
  </si>
  <si>
    <t>Y7290489D</t>
  </si>
  <si>
    <t>040020190009059</t>
  </si>
  <si>
    <t>partida naciemiento traducida</t>
  </si>
  <si>
    <t>53706247M</t>
  </si>
  <si>
    <t>DOMINGO FEDERICO GRANADOS ESCOBAR</t>
  </si>
  <si>
    <t>C/ Oligisto nº 28</t>
  </si>
  <si>
    <t>Tramitación Cuenta Ajena Inicial OMAR AGHBALOU</t>
  </si>
  <si>
    <t>Y5678967M</t>
  </si>
  <si>
    <t>040020190009147</t>
  </si>
  <si>
    <t>18113412S</t>
  </si>
  <si>
    <t>JUAN JOSE SABIO ACOSTA</t>
  </si>
  <si>
    <t>C/ Olimpiadas nº 90</t>
  </si>
  <si>
    <t>Tramitación Cuenta Ajena Inicial YOUSSEF JAIL</t>
  </si>
  <si>
    <t>Y4964488K</t>
  </si>
  <si>
    <t>040020190007766</t>
  </si>
  <si>
    <t>27255290Z</t>
  </si>
  <si>
    <t>JOSE VALVERDE GUTIERREZ</t>
  </si>
  <si>
    <t>C/ Motores nº 35</t>
  </si>
  <si>
    <t>Tramitación Cuenta Ajena Inicial NABIL KADI</t>
  </si>
  <si>
    <t>Y3769905N</t>
  </si>
  <si>
    <t>040020190007674</t>
  </si>
  <si>
    <t>77243638R</t>
  </si>
  <si>
    <t>MARIO JUAREZ PEREZ</t>
  </si>
  <si>
    <t>C/ Acequias nº 39</t>
  </si>
  <si>
    <t>Tramitación Cuenta Ajena Inicial AICHA AIKAL</t>
  </si>
  <si>
    <t>Y7231474N</t>
  </si>
  <si>
    <t>040020190007673</t>
  </si>
  <si>
    <t>FAVORABLE 23/05/2019</t>
  </si>
  <si>
    <t>Prol La Cumbre pol 23</t>
  </si>
  <si>
    <t>45603955S</t>
  </si>
  <si>
    <t>JUAN JOSE ROMAN FERNANDEZ</t>
  </si>
  <si>
    <t>C/ Alcazaba nº 28</t>
  </si>
  <si>
    <t>Tramitación Arraigo Social SAID DARKAOUI</t>
  </si>
  <si>
    <t>Y7231423F</t>
  </si>
  <si>
    <t>040020190007670</t>
  </si>
  <si>
    <t>Externo (Antonio Ruiz)</t>
  </si>
  <si>
    <t>Y5921479M</t>
  </si>
  <si>
    <t>NILSON DEL CRISTO RAMOS GALVAN</t>
  </si>
  <si>
    <t>Paraje de Cita Blanca nº 1</t>
  </si>
  <si>
    <t>Tramitación Arraigo Social NILSON DEL CRISTO RAMOS GALVAN</t>
  </si>
  <si>
    <t>040020190007663</t>
  </si>
  <si>
    <t>FAVORABLE 24/05/2019</t>
  </si>
  <si>
    <t>FAVORABLE 29/05/2019</t>
  </si>
  <si>
    <t>75721081K</t>
  </si>
  <si>
    <t>MANUEL JESUS SANCHEZ ALBACETE</t>
  </si>
  <si>
    <t>C/ Juegos de Languedoc Rosellon 110 10 Bj A</t>
  </si>
  <si>
    <t>04131</t>
  </si>
  <si>
    <t>Tramitación Arraigo Social ABDELGHANI EL QABAYLY</t>
  </si>
  <si>
    <t>Y7314339P</t>
  </si>
  <si>
    <t>040020190009611</t>
  </si>
  <si>
    <t>049920190002126</t>
  </si>
  <si>
    <t>FAVORABLE 25/06/2019</t>
  </si>
  <si>
    <t>Tramitación Cuenta Ajena Incial MOHAMMED BENABDELALI</t>
  </si>
  <si>
    <t>Y7352081F</t>
  </si>
  <si>
    <t>040020190010402</t>
  </si>
  <si>
    <t>39867226S</t>
  </si>
  <si>
    <t>MIGUEL LOPEZ LOPEZ</t>
  </si>
  <si>
    <t>C/ Villalpando nº 2</t>
  </si>
  <si>
    <t>Tramitación Familiar Comunitario LUCIA JOAQUINA ACOSTA JARA</t>
  </si>
  <si>
    <t>Y0252185G</t>
  </si>
  <si>
    <t>040020190010340</t>
  </si>
  <si>
    <t>53706175W</t>
  </si>
  <si>
    <t>MIGUEL ANGEL LOPEZ BARRERA</t>
  </si>
  <si>
    <t>C/ Acequias nº39</t>
  </si>
  <si>
    <t>Tramitación Arraigo Social DOUDOU SOW</t>
  </si>
  <si>
    <t>X7673243Y</t>
  </si>
  <si>
    <t>040020190010068</t>
  </si>
  <si>
    <t>18109403P</t>
  </si>
  <si>
    <t>JAVIER ANTONIO MELLADO RODRIGUEZ</t>
  </si>
  <si>
    <t>C/ Orense nº 16 1ºB</t>
  </si>
  <si>
    <t>Tramitación Familiar Comunitario YOVANY BENNETT BENITEZ</t>
  </si>
  <si>
    <t>X7496359S</t>
  </si>
  <si>
    <t>040020190010063</t>
  </si>
  <si>
    <t>74712306A</t>
  </si>
  <si>
    <t>ISABEL MALDONADO MARTIN</t>
  </si>
  <si>
    <t xml:space="preserve">C/ Homero </t>
  </si>
  <si>
    <t>Tramitación Arraigo Social BOLY SARR</t>
  </si>
  <si>
    <t>Y6532840A</t>
  </si>
  <si>
    <t>040020190010060</t>
  </si>
  <si>
    <t>renta, DNI, catastro, memoria y vida laboral</t>
  </si>
  <si>
    <t>F04720306</t>
  </si>
  <si>
    <t>Presentación Requerimiento ADIL EL JAMHI EL MALHI</t>
  </si>
  <si>
    <t>Y3083688T</t>
  </si>
  <si>
    <t>040020190009211</t>
  </si>
  <si>
    <t>NO FAVORABLE 30/05/2019</t>
  </si>
  <si>
    <t>antecedentes policiales</t>
  </si>
  <si>
    <t>FAVORABLE 21/06/2019</t>
  </si>
  <si>
    <t>NO FAVORABLE</t>
  </si>
  <si>
    <t>C/ Calcita nº 34</t>
  </si>
  <si>
    <t>Tramitación Arraigo Social SALIF NDOUR</t>
  </si>
  <si>
    <t>Y7370911T</t>
  </si>
  <si>
    <t>040020190010809</t>
  </si>
  <si>
    <t>contrato, catastro y memoria</t>
  </si>
  <si>
    <t>11933012Z</t>
  </si>
  <si>
    <t>Jazmin-Villas de Castañeda 1</t>
  </si>
  <si>
    <t>Tramitación Arraigo Social ALI DABRE</t>
  </si>
  <si>
    <t>Y7370800G</t>
  </si>
  <si>
    <t>040020190010805</t>
  </si>
  <si>
    <t>Tramitación Renovación Autorización Residencia y Trabajo DANIEL HUGO SANCHEZ HERRERA</t>
  </si>
  <si>
    <t>NO FAVORABLE 28/05/2019</t>
  </si>
  <si>
    <t>deuda SS y Hacienda</t>
  </si>
  <si>
    <t>NO FAVORABLE 02/07/2019</t>
  </si>
  <si>
    <t>Presentación Requerimiento AZIZ BELARBAOUIA</t>
  </si>
  <si>
    <t>040020190010393</t>
  </si>
  <si>
    <t>Y7389811V</t>
  </si>
  <si>
    <t>FOUZIA KABARA</t>
  </si>
  <si>
    <t>C/ Mallorca nº 36 2ºc</t>
  </si>
  <si>
    <t>Tramitación Arraigo Social FOUZIA KABARA</t>
  </si>
  <si>
    <t>040020190011177</t>
  </si>
  <si>
    <t>C/ del Carmen nº 11 norte</t>
  </si>
  <si>
    <t>Tramitación Arraigo Social SEYDOU SAMAKE</t>
  </si>
  <si>
    <t>Y4777947X</t>
  </si>
  <si>
    <t>040020190011165</t>
  </si>
  <si>
    <t>Y0954619H</t>
  </si>
  <si>
    <t>NFAMARA SANE</t>
  </si>
  <si>
    <t>C/ Terrera nº 1</t>
  </si>
  <si>
    <t>04510</t>
  </si>
  <si>
    <t>Abla</t>
  </si>
  <si>
    <t>Tramitación Reagrupación Familiar GNIMA BADJI</t>
  </si>
  <si>
    <t>Y7409859D</t>
  </si>
  <si>
    <t>040020190011606</t>
  </si>
  <si>
    <t>Tramitación CA Inicial MAHDI ELYAALAOUI</t>
  </si>
  <si>
    <t>Y7409850T</t>
  </si>
  <si>
    <t>040020190011604</t>
  </si>
  <si>
    <t>CIF, escritura, IVA, vida laboral, catastro, tasa y nacimiento</t>
  </si>
  <si>
    <t>75240826Y</t>
  </si>
  <si>
    <t>FRANCISCO MARTINEZ TORRES</t>
  </si>
  <si>
    <t>C/ Neon nº 11</t>
  </si>
  <si>
    <t>Tramitación CA Inicial OMAR EDDOUMI</t>
  </si>
  <si>
    <t>Y7409002A</t>
  </si>
  <si>
    <t>040020190011573</t>
  </si>
  <si>
    <t>Tramitación CA Inicial ANOUAR AMHAOUACH</t>
  </si>
  <si>
    <t>040020190011588</t>
  </si>
  <si>
    <t>contrato trabajo firmado</t>
  </si>
  <si>
    <t>se lo lleva el para firmarlo</t>
  </si>
  <si>
    <t>Tramitación Arraigo Social SALEH OUASMANE</t>
  </si>
  <si>
    <t>Y7409684H</t>
  </si>
  <si>
    <t>040020190011599</t>
  </si>
  <si>
    <t>FAVORABLE 11/07/2019</t>
  </si>
  <si>
    <t>FAVORABLE 10/07/2019</t>
  </si>
  <si>
    <t>54121183K</t>
  </si>
  <si>
    <t>JOSE ANTONIO FLORES ANTEQUERA</t>
  </si>
  <si>
    <t>C/ Bulevar nº 97 2ºC</t>
  </si>
  <si>
    <t>Tramitación CA Inicial AICHA EL RHAZIA</t>
  </si>
  <si>
    <t>Y7413645T</t>
  </si>
  <si>
    <t>040020190011658</t>
  </si>
  <si>
    <t>C/ Tejar nº 6 bj</t>
  </si>
  <si>
    <t>X8953824Q</t>
  </si>
  <si>
    <t>040020190011829</t>
  </si>
  <si>
    <t>FAVORABLE 16/07/2019</t>
  </si>
  <si>
    <t>Y1317313W</t>
  </si>
  <si>
    <t>SANA SENE</t>
  </si>
  <si>
    <t>C/ Gladiolos nº 4 3ºA</t>
  </si>
  <si>
    <t>Tramitación Arraigo Social SANA SENE</t>
  </si>
  <si>
    <t>040020190011906</t>
  </si>
  <si>
    <t>se presenta el certificado de empadronamiento actual</t>
  </si>
  <si>
    <t>Tramitación Renovación Autorización Residencia y Trabajo YOUNESS ENNACHAT</t>
  </si>
  <si>
    <t>FAVORABLE 24/07/2019</t>
  </si>
  <si>
    <t>FAVORABLE 26/07/2019</t>
  </si>
  <si>
    <t>NO FAVORABLE 26/07/2019</t>
  </si>
  <si>
    <t>FAVORABLE 30/07/2019</t>
  </si>
  <si>
    <t>049920190002787</t>
  </si>
  <si>
    <t>FAVORABLE 09/08/2019</t>
  </si>
  <si>
    <t>NO FAVORABLE 14/08/2019</t>
  </si>
  <si>
    <t>FAVORABLE 14/08/2019</t>
  </si>
  <si>
    <t>Tramitación Arraigo Social MOHAMED AZAOU</t>
  </si>
  <si>
    <t>Y7460011K</t>
  </si>
  <si>
    <t>040020190012414</t>
  </si>
  <si>
    <t>F04275087</t>
  </si>
  <si>
    <t>Avda Pais Vasco nº 14</t>
  </si>
  <si>
    <t>Tramitación CA Inicial MOHAMED SALHI</t>
  </si>
  <si>
    <t>Y7462216H</t>
  </si>
  <si>
    <t>040020190012480</t>
  </si>
  <si>
    <t>F04749909</t>
  </si>
  <si>
    <t>C/ Valencia nº 10</t>
  </si>
  <si>
    <t>Tramitación CA Inicial KHALID ECH CHADILY</t>
  </si>
  <si>
    <t>040020190012876</t>
  </si>
  <si>
    <t>HERNALAGRO SL</t>
  </si>
  <si>
    <t>040020190012882</t>
  </si>
  <si>
    <t>B04101531</t>
  </si>
  <si>
    <t>MINORO SL</t>
  </si>
  <si>
    <t>C/ Valencia nº122</t>
  </si>
  <si>
    <t>Tramitación Ca Inicial GHIZLANE EL MOUSSALIT</t>
  </si>
  <si>
    <t>Y7482609X</t>
  </si>
  <si>
    <t>040020190012832</t>
  </si>
  <si>
    <t>tasa, matrimonio y vida laboral</t>
  </si>
  <si>
    <t>F04362273</t>
  </si>
  <si>
    <t>NOGOAL SCA</t>
  </si>
  <si>
    <t>C/ Valencia nº 154</t>
  </si>
  <si>
    <t>Tramitación CA Inicial NADIA LEGUEAS</t>
  </si>
  <si>
    <t>Y7482715R</t>
  </si>
  <si>
    <t>040020190012835</t>
  </si>
  <si>
    <t>FAVORABLE 21/08/2019</t>
  </si>
  <si>
    <t>Y6385988Y</t>
  </si>
  <si>
    <t>JULIAN EDUARDO ECHEVERRI ALVARAN</t>
  </si>
  <si>
    <t>Avda Federico Garcia Lorca nº 170 4ºA B1</t>
  </si>
  <si>
    <t>Tramitación Estancia por Estudios JULIAN EDUARDO ECHEVERRI ALVARAN</t>
  </si>
  <si>
    <t>040020190013363</t>
  </si>
  <si>
    <t>040020190013352</t>
  </si>
  <si>
    <t>040020190013360</t>
  </si>
  <si>
    <t>Av Daza Castañeda nº 68</t>
  </si>
  <si>
    <t>040020190013354</t>
  </si>
  <si>
    <t>53708752A</t>
  </si>
  <si>
    <t>MARIA JESUS PEREZ GOMEZ</t>
  </si>
  <si>
    <t xml:space="preserve">C/ Anade nº11 2112 </t>
  </si>
  <si>
    <t>Tramitación CA Inicial MICHEL MENDES QUITALA</t>
  </si>
  <si>
    <t>X6058020G</t>
  </si>
  <si>
    <t>040020190013321</t>
  </si>
  <si>
    <t>08910069F</t>
  </si>
  <si>
    <t>FRANCISCO MATIAS MARTIN SABIO</t>
  </si>
  <si>
    <t>C/ Los Pozos nº 72</t>
  </si>
  <si>
    <t>Tramitación CA Inicial RADOUANE ASBBANE</t>
  </si>
  <si>
    <t>Y7515017B</t>
  </si>
  <si>
    <t>040020190013318</t>
  </si>
  <si>
    <t>Tramitación Arraigo Social SALIFOU ZOUNGRANA</t>
  </si>
  <si>
    <t>Y4543003B</t>
  </si>
  <si>
    <t>040020190012867</t>
  </si>
  <si>
    <t>renta</t>
  </si>
  <si>
    <t>Tramitación Arraigo Social KEMO CAMARA</t>
  </si>
  <si>
    <t>040020190012869</t>
  </si>
  <si>
    <t>FAVORABLE 23/08/2019</t>
  </si>
  <si>
    <t>040020190012633</t>
  </si>
  <si>
    <t>Escritura</t>
  </si>
  <si>
    <t>08905668E</t>
  </si>
  <si>
    <t>JOSE ANTONIO VARGAS SANCHEZ</t>
  </si>
  <si>
    <t>C/ Granada nº 55</t>
  </si>
  <si>
    <t>Tramitación Arraigo Social KARIM MAZROUB</t>
  </si>
  <si>
    <t>Y7471315D</t>
  </si>
  <si>
    <t>040020190012646</t>
  </si>
  <si>
    <t>declaracion renta</t>
  </si>
  <si>
    <t>tasas y renta</t>
  </si>
  <si>
    <t>Paraje Los Cortijillos nº 37</t>
  </si>
  <si>
    <t>Tramitación Arraigo Social LANSENI DOUMBIA</t>
  </si>
  <si>
    <t>Y7471493A</t>
  </si>
  <si>
    <t>040020190012653</t>
  </si>
  <si>
    <t>Tramitación Arraigo Social VASIL SHETELIA</t>
  </si>
  <si>
    <t>Y4402262F</t>
  </si>
  <si>
    <t>040020190012652</t>
  </si>
  <si>
    <t>escritura y memoria</t>
  </si>
  <si>
    <t>27506194B</t>
  </si>
  <si>
    <t>CARMEN BLANES TORRES</t>
  </si>
  <si>
    <t>C/ Las Torres nº 1</t>
  </si>
  <si>
    <t>27806194B</t>
  </si>
  <si>
    <t>Tramitación Arraigo Social MOUNIR HAJJAJI</t>
  </si>
  <si>
    <t>Y2918356S</t>
  </si>
  <si>
    <t>040020190012871</t>
  </si>
  <si>
    <t>FAVORABLE 30/08/2019</t>
  </si>
  <si>
    <t>B04821807</t>
  </si>
  <si>
    <t>ECO TRISTANES SL</t>
  </si>
  <si>
    <t>Avda Las Negras nº 30</t>
  </si>
  <si>
    <t>Tramitación CA Inicial AZZEDDINE EL GHAITI</t>
  </si>
  <si>
    <t>Y6553922V</t>
  </si>
  <si>
    <t>040020190013577</t>
  </si>
  <si>
    <t>ADRIAN PUPO RAMIREZ</t>
  </si>
  <si>
    <t>C/ Huelva nº 15 4ºB</t>
  </si>
  <si>
    <t>Tramitación Renovación Autorización Residencia y Trabajo ADRIAN PUPO RAMIREZ</t>
  </si>
  <si>
    <t>Y1415645D</t>
  </si>
  <si>
    <t>040020190013568</t>
  </si>
  <si>
    <t>Paseo las Lomas sn</t>
  </si>
  <si>
    <t>Tramitación CA Inicial HAMZA MORID</t>
  </si>
  <si>
    <t>Y7530374G</t>
  </si>
  <si>
    <t>040020190013576</t>
  </si>
  <si>
    <t>estatutos y certificado matrimonio</t>
  </si>
  <si>
    <t>C/ Acequias nº 64</t>
  </si>
  <si>
    <t>Tramitación Arraigo Social KHALIFA WADE</t>
  </si>
  <si>
    <t>Y7530179Q</t>
  </si>
  <si>
    <t>040020190013570</t>
  </si>
  <si>
    <t>F04673877</t>
  </si>
  <si>
    <t>ISAFER SCA</t>
  </si>
  <si>
    <t>C/ Arcoiris nº 7</t>
  </si>
  <si>
    <t>X9912021X</t>
  </si>
  <si>
    <t>040020190012959</t>
  </si>
  <si>
    <t>Y0027986D</t>
  </si>
  <si>
    <t>040020190013141</t>
  </si>
  <si>
    <t>Tramitación CA Inicial KADDOUR AIT ROUH</t>
  </si>
  <si>
    <t>Tramitación CA Inicial MHAMED EL KAROUMI</t>
  </si>
  <si>
    <t>Tramitación CA Inicial ABDERRAHIM TALBI</t>
  </si>
  <si>
    <t>X9912223M</t>
  </si>
  <si>
    <t>040020190013142</t>
  </si>
  <si>
    <t>Tramitación CA Inicial LAMLIHIA DAKDAK</t>
  </si>
  <si>
    <t>X7418644V</t>
  </si>
  <si>
    <t>040020190013167</t>
  </si>
  <si>
    <t>Tramitación CA Inicial MILOUD FTAICH</t>
  </si>
  <si>
    <t>X8200464K</t>
  </si>
  <si>
    <t>040020190013172</t>
  </si>
  <si>
    <t>Tramitación CA Inicial ZITOUNI NASSIB</t>
  </si>
  <si>
    <t>X7844519R</t>
  </si>
  <si>
    <t>040020190013180</t>
  </si>
  <si>
    <t>Tramitación CA Inicial MOHAMED AJJANI</t>
  </si>
  <si>
    <t>X9976524K</t>
  </si>
  <si>
    <t>040020190013184</t>
  </si>
  <si>
    <t>Tramitación CA Inicial ET TYJANY BENALY</t>
  </si>
  <si>
    <t>Y0027980A</t>
  </si>
  <si>
    <t>040020190013187</t>
  </si>
  <si>
    <t>Tramitación CA Inicial ACHOUR BOUAKKA</t>
  </si>
  <si>
    <t>X3389094K</t>
  </si>
  <si>
    <t>040020190013190</t>
  </si>
  <si>
    <t>Tramitación CA Inicial EL MAHDI KASMI</t>
  </si>
  <si>
    <t>X9976537B</t>
  </si>
  <si>
    <t>040020190013191</t>
  </si>
  <si>
    <t>Y2812782B</t>
  </si>
  <si>
    <t>BAKAYE KEITA</t>
  </si>
  <si>
    <t>C/ Almeria nº 12 3ºA</t>
  </si>
  <si>
    <t>Tramitación Recurso de Reposición BAKAYE KEITA</t>
  </si>
  <si>
    <t>049920190002911</t>
  </si>
  <si>
    <t>FAVORABLE 06/09/2019</t>
  </si>
  <si>
    <t>FAVORABLE 09/09/2019</t>
  </si>
  <si>
    <t>JUAN MIGUEL CATALAN CORTIJOS</t>
  </si>
  <si>
    <t>10/09/20109</t>
  </si>
  <si>
    <t>NO FAVORABLE 06/09/2019</t>
  </si>
  <si>
    <t>C/ Malagueñas nº 11 2</t>
  </si>
  <si>
    <t>Tramitación Renovación Autorización Residencia y Trabajo ABDELMAJID DIAB</t>
  </si>
  <si>
    <t>75716521S</t>
  </si>
  <si>
    <t>JOSE LUIS RUIZ RUIZ</t>
  </si>
  <si>
    <t>C/ Homero nº 49</t>
  </si>
  <si>
    <t>Tramitación Arraigo Social MAMADOU DRAME</t>
  </si>
  <si>
    <t>Y7569849B</t>
  </si>
  <si>
    <t>040020190014244</t>
  </si>
  <si>
    <t>Y3537561Z</t>
  </si>
  <si>
    <t>ADAMA KEITA</t>
  </si>
  <si>
    <t>C/ Almirante 23 2º b2</t>
  </si>
  <si>
    <t>Tramitación Renovación Autorización Residencia ADAMA KEITA</t>
  </si>
  <si>
    <t>NO FAVORABLE 11/09/2019</t>
  </si>
  <si>
    <t>FAVORABLE 08/05/2019</t>
  </si>
  <si>
    <t>deuda SS</t>
  </si>
  <si>
    <t>FAVORABLE 25/05/2019</t>
  </si>
  <si>
    <t>FAVORABLE 04/07/2019</t>
  </si>
  <si>
    <t>antecedentes y pruebas</t>
  </si>
  <si>
    <t>FAVORABLE 22/07/2019</t>
  </si>
  <si>
    <t>NO FAVORABLE 26/08/2019</t>
  </si>
  <si>
    <t>605708909-642146266</t>
  </si>
  <si>
    <t>FAVORABLE 16/09/2019</t>
  </si>
  <si>
    <t>X8376211W</t>
  </si>
  <si>
    <t>ISSA GUEYE</t>
  </si>
  <si>
    <t>Tramitación Renovación Autorización Residencia ISSA GUEYE</t>
  </si>
  <si>
    <t>facturar la tasa 21.44€</t>
  </si>
  <si>
    <t>Y3480828E</t>
  </si>
  <si>
    <t>ALASSANE KANE</t>
  </si>
  <si>
    <t>C/ San Jose nº 9</t>
  </si>
  <si>
    <t>Tramitación Renovación Autorización Residencia ALASSANE KANE</t>
  </si>
  <si>
    <t>FAVORABLE 18/09/2019</t>
  </si>
  <si>
    <t>ALIOU FALL</t>
  </si>
  <si>
    <t>Prol Garrido nº 5</t>
  </si>
  <si>
    <t>Tramitación Renovación Autorización Residencia ALIOU FALL</t>
  </si>
  <si>
    <t>Tramitación Arraigo Social BAKOU TRAORE</t>
  </si>
  <si>
    <t>Y7601682N</t>
  </si>
  <si>
    <t>040020190014815</t>
  </si>
  <si>
    <t>NO FAVORABLE 24/07/2019</t>
  </si>
  <si>
    <t>FAVORABLE 24/09/2019</t>
  </si>
  <si>
    <t>Tramitación Arraigo Social M´HAMMED LOTFI</t>
  </si>
  <si>
    <t xml:space="preserve">27266485P    </t>
  </si>
  <si>
    <t>JUAN JOSE CASTILLO CRUZ</t>
  </si>
  <si>
    <t>Plaza Antonio de Torres. Edf. Unicaja, 1, 1º-C</t>
  </si>
  <si>
    <t>Tramitación Renovación Autorización Residencia KHADIJA TAHIRI</t>
  </si>
  <si>
    <t>X9651854L</t>
  </si>
  <si>
    <t>53705982Q</t>
  </si>
  <si>
    <t>MANUEL JOSE SANCHEZ BAÑOS</t>
  </si>
  <si>
    <t>Tramitación CA Inicial KHAOULA IFARSIOUANE</t>
  </si>
  <si>
    <t>Y7611709B</t>
  </si>
  <si>
    <t>040020190015041</t>
  </si>
  <si>
    <t>Y7610914K</t>
  </si>
  <si>
    <t>SADIBOU FALL</t>
  </si>
  <si>
    <t>Avda Sudamerica nº 42 2E</t>
  </si>
  <si>
    <t>Tramitación Arraigo Social SADIBOU FALL</t>
  </si>
  <si>
    <t>040020190015016</t>
  </si>
  <si>
    <t>certificado penales</t>
  </si>
  <si>
    <t>45591952H</t>
  </si>
  <si>
    <t>MANUEL GARCIA GARRIDO</t>
  </si>
  <si>
    <t>Ctjo Los Garridos sn</t>
  </si>
  <si>
    <t>Tramitación CA Inicial TAWFIK BAHMA</t>
  </si>
  <si>
    <t>Y7611303L</t>
  </si>
  <si>
    <t>040020190015026</t>
  </si>
  <si>
    <t>certificado de nacimiento</t>
  </si>
  <si>
    <t>040020190015003</t>
  </si>
  <si>
    <t>B04388625</t>
  </si>
  <si>
    <t>EXPLOTACIONES EL FOLIO SL</t>
  </si>
  <si>
    <t>Bo Los Pelaos sn</t>
  </si>
  <si>
    <t>Tramitación CA Inicial ABDELATAH ABDELATAH</t>
  </si>
  <si>
    <t>Y6583539X</t>
  </si>
  <si>
    <t>040020190015006</t>
  </si>
  <si>
    <t xml:space="preserve">08905934N    </t>
  </si>
  <si>
    <t>FRANCISCO MARTIN IBARRA</t>
  </si>
  <si>
    <t>C/ Verdi nº 19 St Domingo</t>
  </si>
  <si>
    <t>Tramitación Arraigo Social MOHAMED TANJI</t>
  </si>
  <si>
    <t>Y4662582J</t>
  </si>
  <si>
    <t>040020190015037</t>
  </si>
  <si>
    <t>Tramitación Renovación Autorización Residencia BELLA BAH</t>
  </si>
  <si>
    <t>E04447009</t>
  </si>
  <si>
    <t>GARCIA SANCHEZ CM</t>
  </si>
  <si>
    <t>C/ Emigdio Gomez nº 9</t>
  </si>
  <si>
    <t>Tramitación CA Inicial YOUSSEF AHRAOUI</t>
  </si>
  <si>
    <t>Y7610320W</t>
  </si>
  <si>
    <t>040020190015002</t>
  </si>
  <si>
    <t>contrato, CIF, escritura, catastro</t>
  </si>
  <si>
    <t>18113388Z</t>
  </si>
  <si>
    <t>JESUS ANTONIO ESCUDERO VARGAS</t>
  </si>
  <si>
    <t>C/ Esmeralda nº 22 La Rocalla</t>
  </si>
  <si>
    <t>Tramitación Arraigo Social SIDIBEH EBRIMA</t>
  </si>
  <si>
    <t>Y7610778T</t>
  </si>
  <si>
    <t>040020190015011</t>
  </si>
  <si>
    <t>tasa, penales</t>
  </si>
  <si>
    <t>Tramitación Arraigo Social SHEIKH OMAR JALLOW</t>
  </si>
  <si>
    <t>Y7611347V</t>
  </si>
  <si>
    <t>040020190015028</t>
  </si>
  <si>
    <t>tasa y estatutos</t>
  </si>
  <si>
    <t>X4604886X</t>
  </si>
  <si>
    <t>FERNANDO DOUGLAS FRANCO VALERO</t>
  </si>
  <si>
    <t>C/ Nueva Empedrada nº 6</t>
  </si>
  <si>
    <t>18850</t>
  </si>
  <si>
    <t>Cullar</t>
  </si>
  <si>
    <t>Tramitación Renovación Autorización Residencia FERNANDO DOUGLAS FRANCO VALERO</t>
  </si>
  <si>
    <t>C/ Animas nº 3</t>
  </si>
  <si>
    <t>Tramitación Renovación Autorización Residencia IBRAHIMA NDAO</t>
  </si>
  <si>
    <t>FAVORABLE 02/10/2019</t>
  </si>
  <si>
    <t>FAVORABLE 03/10/2019</t>
  </si>
  <si>
    <t>Y0627020P</t>
  </si>
  <si>
    <t>ADAMA DIOP</t>
  </si>
  <si>
    <t>Tramitación Larga Duración- UE ADAMA DIOP</t>
  </si>
  <si>
    <t>FAVORABLE 07/10/2019</t>
  </si>
  <si>
    <t>Tramitación Arraigo Social MIMOUNE TACHA</t>
  </si>
  <si>
    <t>X5269396G</t>
  </si>
  <si>
    <t>040020190015897</t>
  </si>
  <si>
    <t>34852828P</t>
  </si>
  <si>
    <t>FRANCISCA MARTIN MAGAN</t>
  </si>
  <si>
    <t>C/ Los Pozos nº 285</t>
  </si>
  <si>
    <t>Tramitación Arraigo Social BACARY SALL</t>
  </si>
  <si>
    <t>Y7652977V</t>
  </si>
  <si>
    <t>040020190015905</t>
  </si>
  <si>
    <t>75265446Q</t>
  </si>
  <si>
    <t>RAFAEL MARTINEZ CALATRAVA</t>
  </si>
  <si>
    <t>Avda Principe de Asturias nº 39</t>
  </si>
  <si>
    <t>Tramitación Arraigo Social BANDIOUGOU COULIBALY</t>
  </si>
  <si>
    <t>Y7652902B</t>
  </si>
  <si>
    <t>040020190015901</t>
  </si>
  <si>
    <t>tasa, catastro vida laboral</t>
  </si>
  <si>
    <t>53709357X</t>
  </si>
  <si>
    <t>EDUARDO BAÑOS PINTOR</t>
  </si>
  <si>
    <t>C/ Europa nº 23</t>
  </si>
  <si>
    <t>Tramitación CA Inicial ZOUHAIR CHEGDALI</t>
  </si>
  <si>
    <t>Y7652368Y</t>
  </si>
  <si>
    <t>040020190015883</t>
  </si>
  <si>
    <t>arrendamiento y tasas</t>
  </si>
  <si>
    <t>NO FAVORABLE 08/10/2019</t>
  </si>
  <si>
    <t>FAVORABLE 10/10/2019</t>
  </si>
  <si>
    <t>FAVORABLE 11/10/2019</t>
  </si>
  <si>
    <t>FAVORABLE 16/10/2019</t>
  </si>
  <si>
    <t>NO FAVORABLE 11/06/2019</t>
  </si>
  <si>
    <t>FAVORABLE 15/10/2019</t>
  </si>
  <si>
    <t>Tramitación Certificado Registro Comunitario MIOARA UNGUREANU</t>
  </si>
  <si>
    <t>Tramitación Certificado Registro Comunitario GEORGETA LUNGU</t>
  </si>
  <si>
    <t>Y4787871K</t>
  </si>
  <si>
    <t>Y7672149F</t>
  </si>
  <si>
    <t>040020190016310</t>
  </si>
  <si>
    <t>IVA, Impuesto Sociedades, vida laboral, catastro y pàsaporte</t>
  </si>
  <si>
    <t>040020190016308</t>
  </si>
  <si>
    <t>040020190016305</t>
  </si>
  <si>
    <t>Yo</t>
  </si>
  <si>
    <t>Y7672349T</t>
  </si>
  <si>
    <t>IBRAHIMA DIOUF</t>
  </si>
  <si>
    <t>C/ Almeria nº 36 3ºC</t>
  </si>
  <si>
    <t>Tramitación Arraigo Social IBRAHIMA DIOUF</t>
  </si>
  <si>
    <t>040020190016295</t>
  </si>
  <si>
    <t>incluir pago tasa 12€</t>
  </si>
  <si>
    <t>Y7672284G</t>
  </si>
  <si>
    <t>040020190016294</t>
  </si>
  <si>
    <t>Tramitación CA Inicial MODIBO KEITA</t>
  </si>
  <si>
    <t>Tramitación CA Inicial CARLOS MENDES JAKSON</t>
  </si>
  <si>
    <t>040020190016287</t>
  </si>
  <si>
    <t>F04460267</t>
  </si>
  <si>
    <t>RODRIFRUIT SCA</t>
  </si>
  <si>
    <t>C/ Fragata nº 28</t>
  </si>
  <si>
    <t>Tramitación CA Inicial SAIDA ALLALI</t>
  </si>
  <si>
    <t>Y7672419R</t>
  </si>
  <si>
    <t>040020190016299</t>
  </si>
  <si>
    <t>tasas, escritura, catastro y matrimonio</t>
  </si>
  <si>
    <t>ABDOULAYE SECH</t>
  </si>
  <si>
    <t>C/ Veintocho de Febrero nº 1 1 5º B</t>
  </si>
  <si>
    <t>Tramitación Residencia Permanente Familiar Ciudadano UE ABDOULAYE SECK</t>
  </si>
  <si>
    <t>040020190004746</t>
  </si>
  <si>
    <t>B04865846</t>
  </si>
  <si>
    <t>HORTOFRUTICIOLA PEREZ ESCUDERO SL</t>
  </si>
  <si>
    <t>Tramitación CA Inicial RABIE LASSAL</t>
  </si>
  <si>
    <t>Y6101817T</t>
  </si>
  <si>
    <t>040020190016368</t>
  </si>
  <si>
    <t>Pje Mami- Ctjo Cespedes sn</t>
  </si>
  <si>
    <t>Tramitación CA Inicial NOURA EZZYANI</t>
  </si>
  <si>
    <t>Y7676120E</t>
  </si>
  <si>
    <t>040020190016362</t>
  </si>
  <si>
    <t>escritura, catastro y tasas</t>
  </si>
  <si>
    <t>08912282N</t>
  </si>
  <si>
    <t>EDUARDO LOZANO SALAS</t>
  </si>
  <si>
    <t>C/ Alba nº 6</t>
  </si>
  <si>
    <t>Tramitación Arraigo Social FATIMA EZZAHRA MORJANI</t>
  </si>
  <si>
    <t>Y3239663N</t>
  </si>
  <si>
    <t>040020190016351</t>
  </si>
  <si>
    <t>54101294G</t>
  </si>
  <si>
    <t>C/ Glaucio nº 15 4 5º12</t>
  </si>
  <si>
    <t>Tramitación CA Inicial MOHAMED EL GHALI</t>
  </si>
  <si>
    <t>Y5057144X</t>
  </si>
  <si>
    <t>040020190016352</t>
  </si>
  <si>
    <t>Tasa</t>
  </si>
  <si>
    <t>F04332391</t>
  </si>
  <si>
    <t>CITRIVERDE SAT</t>
  </si>
  <si>
    <t>Cm German sn</t>
  </si>
  <si>
    <t>Tramitación CA Inicial SAMIR HSAIN</t>
  </si>
  <si>
    <t>Y6488706Y</t>
  </si>
  <si>
    <t>040020190016367</t>
  </si>
  <si>
    <t>contrato, tasa, memoria y escritura</t>
  </si>
  <si>
    <t>34843071A</t>
  </si>
  <si>
    <t>C/ Real 12</t>
  </si>
  <si>
    <t>Atochares- Nijar</t>
  </si>
  <si>
    <t>Tramitación Renovación Autorización Residencia y Trabajo MASSAWELY DIAKITE</t>
  </si>
  <si>
    <t>Y2537945R</t>
  </si>
  <si>
    <t>FAVORABLE 21/10/2019</t>
  </si>
  <si>
    <t>NO FAVORABLE 21/10/2019</t>
  </si>
  <si>
    <t>deuda SS y Hacienda y catastro</t>
  </si>
  <si>
    <t>FAVORABLE 24/10/2019</t>
  </si>
  <si>
    <t>FAVORABLE 25/10/2019</t>
  </si>
  <si>
    <t>B04713669</t>
  </si>
  <si>
    <t>EXPLOTACION AGRICOLA RODRIBAÑOS SL</t>
  </si>
  <si>
    <t>C/ Santos nº 2</t>
  </si>
  <si>
    <t>Tramitación Arraigo Social YOUSSEF BOUSSLAH</t>
  </si>
  <si>
    <t>Y7698252M</t>
  </si>
  <si>
    <t>040020190016808</t>
  </si>
  <si>
    <t>FAVORABLE 28/10/2019</t>
  </si>
  <si>
    <t>Tramitación CA Inicial ALIOU DIAKITE</t>
  </si>
  <si>
    <t>Y7712367K</t>
  </si>
  <si>
    <t>040020190017084</t>
  </si>
  <si>
    <t>53711417T</t>
  </si>
  <si>
    <t>JUAN JOSE FERNANDEZ BONILLA</t>
  </si>
  <si>
    <t>C/ San Pablo 16</t>
  </si>
  <si>
    <t xml:space="preserve">53711417T    </t>
  </si>
  <si>
    <t>Tramitación CA Inicial MALIKA EL ASRI</t>
  </si>
  <si>
    <t>Y7712303A</t>
  </si>
  <si>
    <t>040020190017080</t>
  </si>
  <si>
    <t>tarjeta residencia marido</t>
  </si>
  <si>
    <t>Y5705454L</t>
  </si>
  <si>
    <t>CARLOS DANIEL GRANADOS ESCOBAR</t>
  </si>
  <si>
    <t>53705527K</t>
  </si>
  <si>
    <t>Tramitación CA Inicial MANSOUR BHILIL</t>
  </si>
  <si>
    <t>040020190017077</t>
  </si>
  <si>
    <t>08904730G</t>
  </si>
  <si>
    <t>MARIA LUISA ESCOBOSA SANCHEZ</t>
  </si>
  <si>
    <t>C/ La Linea nº 3</t>
  </si>
  <si>
    <t>Tramitación CA Inicial HAJAR JERADI</t>
  </si>
  <si>
    <t>Y7712096A</t>
  </si>
  <si>
    <t>040020190017076</t>
  </si>
  <si>
    <t>18112032S</t>
  </si>
  <si>
    <t>JAIME VALDIVIA ALVAREZ</t>
  </si>
  <si>
    <t>040020190017074</t>
  </si>
  <si>
    <t>V04318093</t>
  </si>
  <si>
    <t>LOS HORNILLOS SAT</t>
  </si>
  <si>
    <t>C/ Portañolas nº 72</t>
  </si>
  <si>
    <t>Tramitación Arraigo Social MOHAMED BENDIANE</t>
  </si>
  <si>
    <t>Y7610850A</t>
  </si>
  <si>
    <t>040020190017283</t>
  </si>
  <si>
    <t>Tramitación Certificado Registro Comunitario GABRIEL DANUT CIRJALIU</t>
  </si>
  <si>
    <t>Tramitación CA Inicial JULIAN EDUARDO ECHEVERRI ALVARAN</t>
  </si>
  <si>
    <t>040020190017365</t>
  </si>
  <si>
    <t>08906607H</t>
  </si>
  <si>
    <t>ELENA ESCOBAR FERNANDEZ</t>
  </si>
  <si>
    <t>C/ Caceres nº 79</t>
  </si>
  <si>
    <t>Tramitación Arraigo Social ABABACAR DRAME</t>
  </si>
  <si>
    <t>Y7732589A</t>
  </si>
  <si>
    <t>040020190017398</t>
  </si>
  <si>
    <t>78039869H</t>
  </si>
  <si>
    <t>MARIA MONTSERRAT GUTIERREZ GALDEANO</t>
  </si>
  <si>
    <t>C/ La Molina nº 77</t>
  </si>
  <si>
    <t>Tramitación CA Inicial SOULE CISSE</t>
  </si>
  <si>
    <t>Y7725384C</t>
  </si>
  <si>
    <t>040020190017280</t>
  </si>
  <si>
    <t>vida laboral, pasaporte y  certificado nacimiento</t>
  </si>
  <si>
    <t>Y7487999H</t>
  </si>
  <si>
    <t>NO FAVORABLE 28/10/2019</t>
  </si>
  <si>
    <t>fecha nacimiento penales mal</t>
  </si>
  <si>
    <t>NO FAVORABLE 10/09/2019</t>
  </si>
  <si>
    <t>deuda SS y renta</t>
  </si>
  <si>
    <t>FAVORABLE 05/11/2019</t>
  </si>
  <si>
    <t>FAVORABLE 29/10/2019</t>
  </si>
  <si>
    <t>C/ Anade nº 29 2º1</t>
  </si>
  <si>
    <t>Tramitación CA Inicial HAWA DIARRA</t>
  </si>
  <si>
    <t>Y7741789A</t>
  </si>
  <si>
    <t>040020190017594</t>
  </si>
  <si>
    <t>X9078768R</t>
  </si>
  <si>
    <t>ZOUBIDA ES SODOR</t>
  </si>
  <si>
    <t>C/ Ceuta nº 12 3ºD</t>
  </si>
  <si>
    <t>Y7724900L</t>
  </si>
  <si>
    <t>040020190017269</t>
  </si>
  <si>
    <t>NO FAVORABLE 30/10/2019</t>
  </si>
  <si>
    <t>FAVORABLE 30/10/2019</t>
  </si>
  <si>
    <t>Alfonso</t>
  </si>
  <si>
    <t>Paco Rubio</t>
  </si>
  <si>
    <t>FAVORABLE 11/11/2019</t>
  </si>
  <si>
    <t>040020190017849</t>
  </si>
  <si>
    <t>27532108G</t>
  </si>
  <si>
    <t>C/ Aljibe sur nº23</t>
  </si>
  <si>
    <t>Campohermoso-Nijar</t>
  </si>
  <si>
    <t>no quiere presentarlo</t>
  </si>
  <si>
    <t>el empresario dice que no quiere seguir con el trámite de este expediente</t>
  </si>
  <si>
    <t>FAVORABLE 08/11/2019</t>
  </si>
  <si>
    <t>se aporta alta de autonomos 26/06/2019 y se aporta 14/11 extracto bancario para aportarlo al recurso</t>
  </si>
  <si>
    <t>FAVORABLE 13/11/2019</t>
  </si>
  <si>
    <t>Tramitación Renovación Autorización Residencia y Trabajo PAPA WALLY SARR</t>
  </si>
  <si>
    <t>FAVORABLE 19/11/2019</t>
  </si>
  <si>
    <t>FAVORABLE 18/11/2019</t>
  </si>
  <si>
    <t>X7107034B</t>
  </si>
  <si>
    <t>040020190018512</t>
  </si>
  <si>
    <t>Tasas, fotocopia pasaporte, vida laboral</t>
  </si>
  <si>
    <t>Tramitación CA Inicial YOUSSEF EL-KHACHANI</t>
  </si>
  <si>
    <t>B04892154</t>
  </si>
  <si>
    <t>C/ San Francisco n º10</t>
  </si>
  <si>
    <t>Tramitación CA Inicial MAYSSA AROUSS</t>
  </si>
  <si>
    <t>Y7779188G</t>
  </si>
  <si>
    <t>Tasas</t>
  </si>
  <si>
    <t>Avda 28 de febrero nº 60</t>
  </si>
  <si>
    <t>Tramitación CA Inicial SAADIA EL YAALAOUI</t>
  </si>
  <si>
    <t>Y7779403N</t>
  </si>
  <si>
    <t>040020190018526</t>
  </si>
  <si>
    <t>040020190018508</t>
  </si>
  <si>
    <t>MARIA PORTERO MARTINEZ</t>
  </si>
  <si>
    <t>Y4848735G</t>
  </si>
  <si>
    <t>Tramitación Certificado Registro Comunitario ANCUTA IONELA DURLAN</t>
  </si>
  <si>
    <t xml:space="preserve">75226010W    </t>
  </si>
  <si>
    <t>C/ Libia, 26</t>
  </si>
  <si>
    <t xml:space="preserve">Agricola Navarro de Haro </t>
  </si>
  <si>
    <t>AGRICOLA NAVARRO DE HARO</t>
  </si>
  <si>
    <t>04617</t>
  </si>
  <si>
    <t>Palomares-Cuevas Almanzora</t>
  </si>
  <si>
    <t>Tramitación CA Inicial VINICIO DANIEL TAIPE CAHUASQUI</t>
  </si>
  <si>
    <t>X7980665X</t>
  </si>
  <si>
    <t>040020190018708</t>
  </si>
  <si>
    <t>Tasas, catastro</t>
  </si>
  <si>
    <t>PEDRO M. RODRIGUEZ RUIZ</t>
  </si>
  <si>
    <t>Ctra palomares - cuevas almanzora nº 110 B</t>
  </si>
  <si>
    <t>Ctra Roquetas, nº1</t>
  </si>
  <si>
    <t>Tramitación CA Inicial ACHRAF ZIOUANI</t>
  </si>
  <si>
    <t>Y7782777M</t>
  </si>
  <si>
    <t>040020190018633</t>
  </si>
  <si>
    <t>Contrato de trabajo</t>
  </si>
  <si>
    <t>53707703N</t>
  </si>
  <si>
    <t>B04321469</t>
  </si>
  <si>
    <t>HORTICOLA ROGAL SL</t>
  </si>
  <si>
    <t>Ctra Roquetas- San Agustin nº31</t>
  </si>
  <si>
    <t>Tramitación CA Inicial ALI AZZANI</t>
  </si>
  <si>
    <t>Y7782864T</t>
  </si>
  <si>
    <t>040020190018636</t>
  </si>
  <si>
    <t>Escritura constitución</t>
  </si>
  <si>
    <t>27241099Z</t>
  </si>
  <si>
    <t>Tramitación CA Inicial ARMANDO MENDES</t>
  </si>
  <si>
    <t>Y4349181X</t>
  </si>
  <si>
    <t>040020190018696</t>
  </si>
  <si>
    <t>Certificado de nacimiento</t>
  </si>
  <si>
    <t>18109601E</t>
  </si>
  <si>
    <t>ELENA RODRIGUEZ FERNANDEZ</t>
  </si>
  <si>
    <t>ISABEL MARIA AGUILERA CRIADO</t>
  </si>
  <si>
    <t>C/ Jacinto Guerrero nº33</t>
  </si>
  <si>
    <t>C/ Barlovento nº85</t>
  </si>
  <si>
    <t>Sta Mª del Aguila- El Ejido</t>
  </si>
  <si>
    <t>Tramitación CA Inicial HAMZA SEKKINI</t>
  </si>
  <si>
    <t>Y5674775E</t>
  </si>
  <si>
    <t>040020190018638</t>
  </si>
  <si>
    <t>FAVORABLE 21/11/2019</t>
  </si>
  <si>
    <t>FERRO FRUITS, S. COOP. AND</t>
  </si>
  <si>
    <t>C/ Cabo Cervera nº9, 1ºA</t>
  </si>
  <si>
    <t>040020190018791</t>
  </si>
  <si>
    <t>EX19 y acreditacion</t>
  </si>
  <si>
    <t>FAVORABLE 22/11/2019</t>
  </si>
  <si>
    <t>C/ Molino nº18</t>
  </si>
  <si>
    <t>FAVORABLE 27/11/2019</t>
  </si>
  <si>
    <t>FAVORABLE 26/11/2019</t>
  </si>
  <si>
    <t>C/ Chopin, nº132</t>
  </si>
  <si>
    <t>ex 698386503</t>
  </si>
  <si>
    <t>Tramitación Arraigo Social AYOUB EL MESBAHY</t>
  </si>
  <si>
    <t>Y5560175P</t>
  </si>
  <si>
    <t>040020190019066</t>
  </si>
  <si>
    <t>El ejido</t>
  </si>
  <si>
    <t>Tramitación CA Inicial SALHI BRAHIM</t>
  </si>
  <si>
    <t>Y7801335W</t>
  </si>
  <si>
    <t>040020190019081</t>
  </si>
  <si>
    <t>54101154W</t>
  </si>
  <si>
    <t>MARIA DEL CARMEN LOPEZ GARCIA</t>
  </si>
  <si>
    <t>Tramitación CA Inicial YOUNES EL HILLY</t>
  </si>
  <si>
    <t>Y7801858L</t>
  </si>
  <si>
    <t>040020190019092</t>
  </si>
  <si>
    <t>Tramitación Certificado Registro Comunitario ANNAMARIA HEDER</t>
  </si>
  <si>
    <t>Y7817825R</t>
  </si>
  <si>
    <t>Tramitación Certificado Registro Comunitario LASZLO HEDER</t>
  </si>
  <si>
    <t>Y7817810D</t>
  </si>
  <si>
    <t>Medios económicos</t>
  </si>
  <si>
    <t>C/ Chocillas 4</t>
  </si>
  <si>
    <t>27518953W</t>
  </si>
  <si>
    <t>Tramitación Renovación Autorización Residencia HICHAM CHNIOUER</t>
  </si>
  <si>
    <t>049920190006367</t>
  </si>
  <si>
    <t>FAVORABLE 04/12/2019</t>
  </si>
  <si>
    <t>631325387/692378368</t>
  </si>
  <si>
    <t>FAVORABLE 09/12/2019</t>
  </si>
  <si>
    <t>Deuda tributaria</t>
  </si>
  <si>
    <t>Tramitación Certificado Registro Comunitario VARVARA BACIU</t>
  </si>
  <si>
    <t>Y7834170Q</t>
  </si>
  <si>
    <t>Tramitación Certificado Registro Comunitario ALEXANDRU COSMIN AXINEI</t>
  </si>
  <si>
    <t>Tramitación Certificado Registro Comunitario CONSTANTIN GLODEANU</t>
  </si>
  <si>
    <t>Y7834161F</t>
  </si>
  <si>
    <t>Y7834165B</t>
  </si>
  <si>
    <t>RECOGIDO 12/12/2019</t>
  </si>
  <si>
    <t>Tramitación CA Inicial HAROUNA KAMISSOKO</t>
  </si>
  <si>
    <t>Y7837966V</t>
  </si>
  <si>
    <t>040020190020385</t>
  </si>
  <si>
    <t>FAVORABLE 05/12/2019</t>
  </si>
  <si>
    <t>SE DESCARGA LA RESOLUCION 13/12/2019</t>
  </si>
  <si>
    <t xml:space="preserve">FAVORABLE </t>
  </si>
  <si>
    <t>FAVORABLE 00/00/2019</t>
  </si>
  <si>
    <t>EMPRESARIO CONFIRMA QUE SALIÓ FAVORABLE Y HA PUESTO HUELLA</t>
  </si>
  <si>
    <t xml:space="preserve">TASA </t>
  </si>
  <si>
    <t>Tramitación Certificado Registro Comunitario DELIA FLORINA COJOCARU</t>
  </si>
  <si>
    <t>Y7841621S</t>
  </si>
  <si>
    <t>Tramitación Certificado Registro Comunitario IONUT PLETEA</t>
  </si>
  <si>
    <t>Y7841705F</t>
  </si>
  <si>
    <t>Tramitación Certificado Registro Comunitario NICUSOR VALENTIN SALAMU</t>
  </si>
  <si>
    <t>Y7841564G</t>
  </si>
  <si>
    <t>08911260W</t>
  </si>
  <si>
    <t>CELEDONIO LOPEZ BARRERA</t>
  </si>
  <si>
    <t>C/ Los Pozos nº28</t>
  </si>
  <si>
    <t>ex 631020044</t>
  </si>
  <si>
    <t>Tramitación Arraigo Social IBRAHIMA TOURE</t>
  </si>
  <si>
    <t>Y7841108P</t>
  </si>
  <si>
    <t>040020190020481</t>
  </si>
  <si>
    <t>TASA, PENALES Y PRUEBAS</t>
  </si>
  <si>
    <t>27524645Q</t>
  </si>
  <si>
    <t>JUAN ANTONIO CALATRAVA GARCIA</t>
  </si>
  <si>
    <t>C/ San Joaquin Norte nº 82</t>
  </si>
  <si>
    <t>nijar</t>
  </si>
  <si>
    <t>Tramitación CA Inicial ABDELLAH EL BAHRY</t>
  </si>
  <si>
    <t>Y7840930Z</t>
  </si>
  <si>
    <t>040020190020475</t>
  </si>
  <si>
    <t>FAVORABLE 12/12/2019</t>
  </si>
  <si>
    <t>FAVORABLE 14/11/2019</t>
  </si>
  <si>
    <t>NO FAVORABLE 05/11/2019</t>
  </si>
  <si>
    <t>Sentencia divorcio y domicilio diferente</t>
  </si>
  <si>
    <t>Y1376105Y</t>
  </si>
  <si>
    <t>FODE DIOP</t>
  </si>
  <si>
    <t>Tramitación Arraigo Social FODE DIOP</t>
  </si>
  <si>
    <t>040020190021087</t>
  </si>
  <si>
    <t>TASA, ESCRITURA CONSTITUCIÓN</t>
  </si>
  <si>
    <t>FAVORABLE 26/12/2019</t>
  </si>
  <si>
    <t>FAVORABLE 20/12/2019</t>
  </si>
  <si>
    <t>Y0915106L</t>
  </si>
  <si>
    <t>SOULEYMANE SALBRE</t>
  </si>
  <si>
    <t>Ctra. Los Motores, nº211 portal A, 3º6</t>
  </si>
  <si>
    <t>Tramitación Reagrupación Familiar DJATO SALBRE YODA</t>
  </si>
  <si>
    <t>Tramitación Reagrupación Familiar ABDOUL DRISSOU SALBRE</t>
  </si>
  <si>
    <t>Y7873004A</t>
  </si>
  <si>
    <t>040020190021511</t>
  </si>
  <si>
    <t>Y7873073A</t>
  </si>
  <si>
    <t>040020190021513</t>
  </si>
  <si>
    <r>
      <t xml:space="preserve">NOT. </t>
    </r>
    <r>
      <rPr>
        <b/>
        <u/>
        <sz val="10"/>
        <color indexed="8"/>
        <rFont val="Calibri"/>
        <family val="2"/>
      </rPr>
      <t>CORREO/  LLAMAR</t>
    </r>
  </si>
  <si>
    <t>34847190M</t>
  </si>
  <si>
    <t>C/ Homero Nº36</t>
  </si>
  <si>
    <t>Tramitación Arraigo Social MOHAMED LAAOUFI</t>
  </si>
  <si>
    <t>Y7879366V</t>
  </si>
  <si>
    <t>040020200000031</t>
  </si>
  <si>
    <t>Y0063066Z</t>
  </si>
  <si>
    <t>ALI KONE</t>
  </si>
  <si>
    <t>C/ Rafael Alberti  nº13  2º2</t>
  </si>
  <si>
    <t>Tramitación Arraigo Social ALI KONE</t>
  </si>
  <si>
    <t>040020200000029</t>
  </si>
  <si>
    <t>Tramitación Arraigo Social TOURIA AIT MEZIANE</t>
  </si>
  <si>
    <t>Y7878943P</t>
  </si>
  <si>
    <t>040020200000028</t>
  </si>
  <si>
    <t>00/00/1978</t>
  </si>
  <si>
    <t>Tasa, contrato arrendamiento y escritura</t>
  </si>
  <si>
    <t>Y7878759P</t>
  </si>
  <si>
    <t>Tramitación Certificado Registro Comunitario MARCEL VASILE ABOAICE</t>
  </si>
  <si>
    <t>Tramitación Certificado Registro Comunitario ROBERTO MIHAI ROCHIAN</t>
  </si>
  <si>
    <t>Y7878797T</t>
  </si>
  <si>
    <t>DEVOLVER</t>
  </si>
  <si>
    <t>CONTRATO SELLADO</t>
  </si>
  <si>
    <t>PRUEBAS Y CONTR. ARREN.</t>
  </si>
  <si>
    <t>INVERSIONES AGRICOLAS DEL MEDITERRANEO</t>
  </si>
  <si>
    <t>C/ Glaucio nº30</t>
  </si>
  <si>
    <t>Tramitación CA Inicial EL BAHJA JAOUAD</t>
  </si>
  <si>
    <t>Y6608266N</t>
  </si>
  <si>
    <t>049920190006550</t>
  </si>
  <si>
    <t>Tramitación CA Inicial BTISSAM ZBIRI</t>
  </si>
  <si>
    <t>040020200000367</t>
  </si>
  <si>
    <t>TASA</t>
  </si>
  <si>
    <t>ROSA MARIA FRIAS LINARES</t>
  </si>
  <si>
    <t>C/ extreamadura nº94</t>
  </si>
  <si>
    <t>Tramitación CA Inicial ZHOR KILANI</t>
  </si>
  <si>
    <t>040020200000332</t>
  </si>
  <si>
    <t>Contrato, lo tiene Bafersa</t>
  </si>
  <si>
    <t>Contrato, lo tiene Fiscosur</t>
  </si>
  <si>
    <t>Tramitación CA Inicial KARIMA BELKASSEM</t>
  </si>
  <si>
    <t>Y7897966X</t>
  </si>
  <si>
    <t>040020200000313</t>
  </si>
  <si>
    <t>CONTRATO</t>
  </si>
  <si>
    <t>Tramitación CA Inicial AICHA AMANIS</t>
  </si>
  <si>
    <t>Y7898007M</t>
  </si>
  <si>
    <t>040020200000314</t>
  </si>
  <si>
    <t>00/00/1959</t>
  </si>
  <si>
    <t>-</t>
  </si>
  <si>
    <t>040020200000441</t>
  </si>
  <si>
    <t>040020200000445</t>
  </si>
  <si>
    <t>TASAS, ARRENDAMIENTO Y ESCRITURA</t>
  </si>
  <si>
    <t>TASAS,ARRENDAMIENTO, ESCRITURA Y CIF</t>
  </si>
  <si>
    <t>040020200000458</t>
  </si>
  <si>
    <t>Contrato, lo tiene Murgiverde</t>
  </si>
  <si>
    <t>TASAS, ESCRITURA, CIF, ARRENDAMIENTO</t>
  </si>
  <si>
    <t>040020200000453</t>
  </si>
  <si>
    <t>TASAS, ESCRITURA, ARRENDAMIENTO, IVA 3T, VIDA LABORAL</t>
  </si>
  <si>
    <t>040020200000427</t>
  </si>
  <si>
    <t>Tramitación CA Inicial KEFING FOFANA</t>
  </si>
  <si>
    <t>040020200000414</t>
  </si>
  <si>
    <t>C/ Handicap nº24</t>
  </si>
  <si>
    <t>Tramitación CA Inicial EL MAHDI D'AIFI</t>
  </si>
  <si>
    <t>040020200000410</t>
  </si>
  <si>
    <t>B04215372</t>
  </si>
  <si>
    <t>GALDEANO MORENO SL</t>
  </si>
  <si>
    <t>Tramitación CA Inicial HAMZA BOUKHARI</t>
  </si>
  <si>
    <t>040020200000409</t>
  </si>
  <si>
    <t>B04668059</t>
  </si>
  <si>
    <t>EXPLOTACIONES AGRICOLAS SEGURA PEREZ SL</t>
  </si>
  <si>
    <t>04116</t>
  </si>
  <si>
    <t>Tramitación CA Inicial IBTISSAME KARIM</t>
  </si>
  <si>
    <t>040020200000416</t>
  </si>
  <si>
    <t>Contrato, lo tiene Asesoria</t>
  </si>
  <si>
    <t>CT el hornillo - los martinez -</t>
  </si>
  <si>
    <t>040020200000465</t>
  </si>
  <si>
    <t>TASA, VIDA LABORAL</t>
  </si>
  <si>
    <t>CERT.MATRIMONIO</t>
  </si>
  <si>
    <t>ex 631051887</t>
  </si>
  <si>
    <t>Tramitación Arraigo Social ICAME EZZAHIRI</t>
  </si>
  <si>
    <t>040020200000423</t>
  </si>
  <si>
    <t>25120783E</t>
  </si>
  <si>
    <t>RAMON AVILES MOLINA</t>
  </si>
  <si>
    <t>Par Cazadores (Los) nº13 PBJ</t>
  </si>
  <si>
    <t>636987264/610400263 (mujer)</t>
  </si>
  <si>
    <t>27529119M</t>
  </si>
  <si>
    <t>FRANCISCO ESCAMILLA QUIRANTES</t>
  </si>
  <si>
    <t>Plaza del cerro del almirez, nº10</t>
  </si>
  <si>
    <t>Tramitación CA Inicial HAKIMA LAOURRAYCHI</t>
  </si>
  <si>
    <t>040020200000511</t>
  </si>
  <si>
    <t>Contrato, lo tiene Coprohnijar</t>
  </si>
  <si>
    <t>Fotocopia pasaporte completo</t>
  </si>
  <si>
    <t>54099052Q</t>
  </si>
  <si>
    <t>FRANCISCO JAVIER PEREZ SANCHEZ</t>
  </si>
  <si>
    <t>Av de la paz, nº16</t>
  </si>
  <si>
    <t>Aguadulce</t>
  </si>
  <si>
    <t>Tramitación CA Inicial NADIA BENZINA</t>
  </si>
  <si>
    <t>Y7908499D</t>
  </si>
  <si>
    <t>040020200000509</t>
  </si>
  <si>
    <t>Contrato, lo tiene Ferva</t>
  </si>
  <si>
    <t>34862716Y</t>
  </si>
  <si>
    <t>DAVID ESCUDERO OCAÑA</t>
  </si>
  <si>
    <t>C/ Adonis, nº18</t>
  </si>
  <si>
    <t>Tramitación CA Inicial JAWAD AMOR</t>
  </si>
  <si>
    <t>Y5436247G</t>
  </si>
  <si>
    <t>040020200000500</t>
  </si>
  <si>
    <t>Contrato, lo tiene Cohorsan</t>
  </si>
  <si>
    <t>Tramitación Arraigo Social MOCTAR BARA</t>
  </si>
  <si>
    <t>049920190005428</t>
  </si>
  <si>
    <t>FAVORABLE 15/01/2020</t>
  </si>
  <si>
    <t>Y7911782A</t>
  </si>
  <si>
    <t>TASAS</t>
  </si>
  <si>
    <t>Y7911756T</t>
  </si>
  <si>
    <t>Y7911683L</t>
  </si>
  <si>
    <t>040020190014559</t>
  </si>
  <si>
    <t>C/ Santa Isabel</t>
  </si>
  <si>
    <t>Tramitación Renovación Residencia Larga Duración ADAMA GUEYE</t>
  </si>
  <si>
    <t>049920200000053</t>
  </si>
  <si>
    <t>(PAGADO)</t>
  </si>
  <si>
    <t>FAVORABLE 13/09/2020</t>
  </si>
  <si>
    <t>Y7911702S</t>
  </si>
  <si>
    <t>NO FAVORABLE 17/01/2020</t>
  </si>
  <si>
    <t>Y7912070S</t>
  </si>
  <si>
    <t>Tramitación Renovación Autorización Residencia y Trabajo RABIE LASSAL</t>
  </si>
  <si>
    <t>049920190006665</t>
  </si>
  <si>
    <t>23/01/2020</t>
  </si>
  <si>
    <t>Tramitación Reagrupación Familiar AHMED EL KOUTABI</t>
  </si>
  <si>
    <t>(PAGADO) SOBRE)</t>
  </si>
  <si>
    <t>Y7911693Y</t>
  </si>
  <si>
    <t>FAVORABLE 23/01/2020</t>
  </si>
  <si>
    <t>Asesoria Juan ramirez</t>
  </si>
  <si>
    <t>HORTOFRUCTICOLA PEREZ ESCUDERO SL</t>
  </si>
  <si>
    <t>C/ Bajel, nº 0</t>
  </si>
  <si>
    <t>657359536</t>
  </si>
  <si>
    <t>Tramitación CA Inicial ABDELKRIM MHAD</t>
  </si>
  <si>
    <t>X9090916M</t>
  </si>
  <si>
    <t>24/01/2020</t>
  </si>
  <si>
    <t>Contrato, lo tiene asesoria</t>
  </si>
  <si>
    <t>Tasa, nacimiento + traduc.</t>
  </si>
  <si>
    <t>040020200001145</t>
  </si>
  <si>
    <t>Tramitación CA Inicial EL KHAMISE LADGHAMI</t>
  </si>
  <si>
    <t>Y7940891V</t>
  </si>
  <si>
    <t>040020200001141</t>
  </si>
  <si>
    <t>040020200001146</t>
  </si>
  <si>
    <t>Y7909142P</t>
  </si>
  <si>
    <t>DELARENTACONSULTORES</t>
  </si>
  <si>
    <t>info@delarentaconsultores.com</t>
  </si>
  <si>
    <t>FAVORABLE 27/01/2020</t>
  </si>
  <si>
    <t>657946705/ex 612243770</t>
  </si>
  <si>
    <t>(req sin nie)</t>
  </si>
  <si>
    <t>34848353H</t>
  </si>
  <si>
    <t>FAVORABLE 31/01/2020</t>
  </si>
  <si>
    <t>FAVORABLE 30/01/2020</t>
  </si>
  <si>
    <t>FAVORABLE 29/01/2020</t>
  </si>
  <si>
    <t>C/ Granada nº121, planta 2</t>
  </si>
  <si>
    <t>049920200000514</t>
  </si>
  <si>
    <t>Tramitación Arraigo Social ABIBOU FAYE</t>
  </si>
  <si>
    <t>Tasa y nº exp.</t>
  </si>
  <si>
    <t>Y4712695D</t>
  </si>
  <si>
    <t>C/ Comunidad canaria, nº3</t>
  </si>
  <si>
    <t>ex 631845099</t>
  </si>
  <si>
    <t>Tramitación Arraigo Social OUMAR GNAMBY MANGAL</t>
  </si>
  <si>
    <t>040020200001751</t>
  </si>
  <si>
    <t>Catastro y Contr. arrend.</t>
  </si>
  <si>
    <t>C/ Morron de Genoveses, nº22</t>
  </si>
  <si>
    <t>ex 612257363</t>
  </si>
  <si>
    <t>Tramitación Arraigo Social ABDELALI BOUKARA</t>
  </si>
  <si>
    <t>Natursur</t>
  </si>
  <si>
    <t>Ctjo Panadero-El barranquete</t>
  </si>
  <si>
    <t>676966609 / ex631210378</t>
  </si>
  <si>
    <t>Tramitación Arraigo Social ABDELGHANI YAQINI</t>
  </si>
  <si>
    <t>Y6937262Q</t>
  </si>
  <si>
    <t>Arraigo, penales, arrendamiento, tasa y nº expd.</t>
  </si>
  <si>
    <t>FAVORABLE 28/01/2020</t>
  </si>
  <si>
    <t>Y7968308H</t>
  </si>
  <si>
    <t>040020200001756</t>
  </si>
  <si>
    <t>040020200001757</t>
  </si>
  <si>
    <t>040020200001795</t>
  </si>
  <si>
    <t>08913078A</t>
  </si>
  <si>
    <t>JOSE ANTONIO BENAVIDES RIVERA</t>
  </si>
  <si>
    <t>C/ Murcia, nº33</t>
  </si>
  <si>
    <t>Tramitación CA Inicial HAKIM SAHEL</t>
  </si>
  <si>
    <t>Y7971320V</t>
  </si>
  <si>
    <t>040020200001824</t>
  </si>
  <si>
    <t>ORTOTERRES, SL</t>
  </si>
  <si>
    <t>C/ Constantino, nº8</t>
  </si>
  <si>
    <t>Tramitación CA Inicial HASSAN JAOUA</t>
  </si>
  <si>
    <t>Y7971538M</t>
  </si>
  <si>
    <t>040020200001834</t>
  </si>
  <si>
    <t>B04884672</t>
  </si>
  <si>
    <t>AGROCASCABEL G&amp;G, SL</t>
  </si>
  <si>
    <t>C/ Salzillo, nº 9, 3ºK</t>
  </si>
  <si>
    <t>Tramitación CA Inicial SAMIRA BENMANSOUR</t>
  </si>
  <si>
    <t>Y4701590J</t>
  </si>
  <si>
    <t>040020200001851</t>
  </si>
  <si>
    <t>Tasa, contr. Arrend.</t>
  </si>
  <si>
    <t>C/ Bilbao, nº63</t>
  </si>
  <si>
    <t>040020200001846</t>
  </si>
  <si>
    <t>Contrato, lo tiene Ejidoluz</t>
  </si>
  <si>
    <t>Contr. Arrend.</t>
  </si>
  <si>
    <t>F04256301</t>
  </si>
  <si>
    <t>RUBIAGRO, S.C.A.</t>
  </si>
  <si>
    <t>C/ Aragon, nº34</t>
  </si>
  <si>
    <t>Tramitación CA Inicial FOUAD MEJTIT</t>
  </si>
  <si>
    <t>Y7972072X</t>
  </si>
  <si>
    <t>040020200001857</t>
  </si>
  <si>
    <t>tasa, Escritura</t>
  </si>
  <si>
    <t>Plza de la constitución, nº2</t>
  </si>
  <si>
    <t>FAVORABLE 04/02/2020</t>
  </si>
  <si>
    <t>049920200000591</t>
  </si>
  <si>
    <t>FAVORABLE 05/02/2020</t>
  </si>
  <si>
    <t>Tramitación Renovación Autorización Residencia y Trabajo MAMINA SARR</t>
  </si>
  <si>
    <t>FAVORABLE 10/02/2020</t>
  </si>
  <si>
    <t>Medios eco.</t>
  </si>
  <si>
    <t>Tasas impag.</t>
  </si>
  <si>
    <t>049920200000742</t>
  </si>
  <si>
    <t>NO FAVORABLE 06/02/2020</t>
  </si>
  <si>
    <t>Tramitación Renovación Autorización Residencia y Trabajo EBRIMA BOJANG</t>
  </si>
  <si>
    <t>Tramitación CA Inicial MARICELA IRENE JIMENEZ CALDERON</t>
  </si>
  <si>
    <t>Y7991797R</t>
  </si>
  <si>
    <t>040020200002314</t>
  </si>
  <si>
    <t>049920200000097</t>
  </si>
  <si>
    <t>MIGUEL ANGEL OLVERA PEREZ</t>
  </si>
  <si>
    <t>Y7991621D</t>
  </si>
  <si>
    <t>040020200002308</t>
  </si>
  <si>
    <t>Tasas, pasaporte y contr. Arren.</t>
  </si>
  <si>
    <t>Y5304840L</t>
  </si>
  <si>
    <t>FOUZIA ES SODOR</t>
  </si>
  <si>
    <t>C/ Montalban, nº1 3º 1</t>
  </si>
  <si>
    <t>Tramitación Arraigo Social AYOUB MOUSTAKIM</t>
  </si>
  <si>
    <t>CONTRATO, penales</t>
  </si>
  <si>
    <t>FAVORABLE 13/02/2020</t>
  </si>
  <si>
    <t>FAVORABLE 14/02/2020</t>
  </si>
  <si>
    <t>FAVORABLE 19/02/2020</t>
  </si>
  <si>
    <t>FAVORABLE 18/02/2020</t>
  </si>
  <si>
    <t>Tramitación CA Inicial ZAKARIA MARZOUKI</t>
  </si>
  <si>
    <t>Y8023442K</t>
  </si>
  <si>
    <t>040020200002388</t>
  </si>
  <si>
    <t>040020200002994</t>
  </si>
  <si>
    <t>Tasa, escritura, iva, tarjeta madre</t>
  </si>
  <si>
    <t>Tasa, historico médico, contrato</t>
  </si>
  <si>
    <t>Y8022261J</t>
  </si>
  <si>
    <t>DABO SECOU</t>
  </si>
  <si>
    <t>Ctjo de abajo</t>
  </si>
  <si>
    <t>Cabo de gata</t>
  </si>
  <si>
    <t>Tramitación Arraigo Social DABO SECOU</t>
  </si>
  <si>
    <t>040020200002951</t>
  </si>
  <si>
    <t>Contrato, lo tiene el extranjero</t>
  </si>
  <si>
    <t>Tasa, escritura, catastro, penales</t>
  </si>
  <si>
    <t>Y273683H</t>
  </si>
  <si>
    <t>ABLAYE NIANG</t>
  </si>
  <si>
    <t>C/Barranco del caño</t>
  </si>
  <si>
    <t>Tramitación Arraigo Social ABLAYE NIANG</t>
  </si>
  <si>
    <t>040020200002923</t>
  </si>
  <si>
    <t>C/ Inox, nº 1</t>
  </si>
  <si>
    <t>ex 602339233</t>
  </si>
  <si>
    <t>040020200002955</t>
  </si>
  <si>
    <t>CONTRATO ( Puede copia Maria)</t>
  </si>
  <si>
    <t>Tramitación CA Inicial ABDELHAMID AIT EL HAJ</t>
  </si>
  <si>
    <t>040020200002984</t>
  </si>
  <si>
    <t>F04314373</t>
  </si>
  <si>
    <t>ISAMI, S.C.A.</t>
  </si>
  <si>
    <t>CT Malaga, nº28</t>
  </si>
  <si>
    <t>Santa Maria del Aguila</t>
  </si>
  <si>
    <t>Tramitación CA Inicial AYOUB MAMDOUH</t>
  </si>
  <si>
    <t>Y8023104M</t>
  </si>
  <si>
    <t>040020200002982</t>
  </si>
  <si>
    <t>C/ Calcita, nº34</t>
  </si>
  <si>
    <t>Tramitación CA Inicial ABDOUKARIM FALL</t>
  </si>
  <si>
    <t>Y8021113S</t>
  </si>
  <si>
    <t>040020200002921</t>
  </si>
  <si>
    <t>Arrendamiento</t>
  </si>
  <si>
    <t>Murgiverde (Rosalia)</t>
  </si>
  <si>
    <t>45596352W</t>
  </si>
  <si>
    <t>JOSE GONGORA GARCIA</t>
  </si>
  <si>
    <t>C/ Loma de la Mezquita, nº11, 2</t>
  </si>
  <si>
    <t>Tramitación CA Inicial SOKAINA KHAMRICH</t>
  </si>
  <si>
    <t>Y8026933Q</t>
  </si>
  <si>
    <t>040020200003070</t>
  </si>
  <si>
    <t>ex 631313505</t>
  </si>
  <si>
    <t>Y8026687T</t>
  </si>
  <si>
    <t>040020200003062</t>
  </si>
  <si>
    <t>Penales, arrendamiento, tasa</t>
  </si>
  <si>
    <t>NO FAVORABLE 24/02/2020</t>
  </si>
  <si>
    <t>Orden prohibición entrada</t>
  </si>
  <si>
    <t>Tramitación CA Inicial BARRY JAINABA</t>
  </si>
  <si>
    <t>Y8026868C</t>
  </si>
  <si>
    <t>040020200003068</t>
  </si>
  <si>
    <t>X5302951W</t>
  </si>
  <si>
    <t>C/ Trevelez, nº24</t>
  </si>
  <si>
    <t>53707438T</t>
  </si>
  <si>
    <t>Tramitación Renovación Autorización Residencia y Trabajo ABDELLATIF DEFFAR</t>
  </si>
  <si>
    <t>BARTOLOME LOPEZ MUÑOZ</t>
  </si>
  <si>
    <t>049920200000783</t>
  </si>
  <si>
    <t>049920200001147</t>
  </si>
  <si>
    <t>NO FAVORABLE 21/02/2020</t>
  </si>
  <si>
    <t>FAVORABLE 20/02/2020</t>
  </si>
  <si>
    <r>
      <rPr>
        <b/>
        <sz val="11"/>
        <color indexed="8"/>
        <rFont val="Calibri"/>
        <family val="2"/>
      </rPr>
      <t>PENALES</t>
    </r>
    <r>
      <rPr>
        <sz val="11"/>
        <color indexed="8"/>
        <rFont val="Calibri"/>
        <family val="2"/>
      </rPr>
      <t>/Contrato -&gt; extranjero</t>
    </r>
  </si>
  <si>
    <t>Y2738683H</t>
  </si>
  <si>
    <t>Esperamos para volver a presentar con Imp Soc 2019</t>
  </si>
  <si>
    <t>24174961Y</t>
  </si>
  <si>
    <t>ENRIQUE FERNANDEZ FERNANDEZ</t>
  </si>
  <si>
    <t>C/ Tesifon, nº21</t>
  </si>
  <si>
    <t>ex 631977908</t>
  </si>
  <si>
    <t>Tramitación Arraigo Social OMAR BOUKHRIS</t>
  </si>
  <si>
    <t>Y7133523H</t>
  </si>
  <si>
    <t>040020200003496</t>
  </si>
  <si>
    <t>C/ Extremadura, nº78</t>
  </si>
  <si>
    <t xml:space="preserve">Tramitación Arraigo Social ABDELATI ELHESYNY </t>
  </si>
  <si>
    <t>Y6037471P</t>
  </si>
  <si>
    <t>040020200003567</t>
  </si>
  <si>
    <t>Natursur (Casur)</t>
  </si>
  <si>
    <t>75269411W</t>
  </si>
  <si>
    <t>ANDRES DAVID FERNANDEZ BELMONTE</t>
  </si>
  <si>
    <t>C/ Camino del encaje, nº14 7 bj D</t>
  </si>
  <si>
    <t>Tramitación Arraigo Social ALFRED ASI</t>
  </si>
  <si>
    <t>Y8053225L</t>
  </si>
  <si>
    <t>040020200003561</t>
  </si>
  <si>
    <t>Contrato arrendamiento</t>
  </si>
  <si>
    <t>X7532518H</t>
  </si>
  <si>
    <t>SAMBA DIAWARA</t>
  </si>
  <si>
    <t>C/ Ingles, nº22</t>
  </si>
  <si>
    <t>Almería</t>
  </si>
  <si>
    <t>Tramitación Reagrupación Familiar SOUCKO DIALLO</t>
  </si>
  <si>
    <t>Y8053163A</t>
  </si>
  <si>
    <t>040020200003560</t>
  </si>
  <si>
    <t>FAVORABLE 04/03/2020</t>
  </si>
  <si>
    <t>Contrato -&gt; extranjero</t>
  </si>
  <si>
    <t>FAVORABLE 06/03/2020</t>
  </si>
  <si>
    <t>NO FAVORABLE 06/03/2020</t>
  </si>
  <si>
    <t>Tramitación Renovación Autorización Residencia y Trabajo ELALLAMI ATTI</t>
  </si>
  <si>
    <t>049920200001471</t>
  </si>
  <si>
    <t>Y3046356C</t>
  </si>
  <si>
    <t>UPA TCHERNO DA SILVA</t>
  </si>
  <si>
    <t>C/ Cervantes</t>
  </si>
  <si>
    <t>Tramitación Renovación Autorización Residencia y Trabajo UPA TCHERNO DA SILVA</t>
  </si>
  <si>
    <t>049920200000527</t>
  </si>
  <si>
    <t>ENVIAR EN PDF</t>
  </si>
  <si>
    <t>Tramitación Renovación Residencia Larga Duración MAYYA BORDYUG</t>
  </si>
  <si>
    <t>FAVORABLE 10/03/2020</t>
  </si>
  <si>
    <t>Y8072099X</t>
  </si>
  <si>
    <t>YAFAYE KAMARA</t>
  </si>
  <si>
    <t>C/ Las Cruces, nº 26</t>
  </si>
  <si>
    <t>04001</t>
  </si>
  <si>
    <t>Tramitación Arraigo Social YAFAYE KAMARA</t>
  </si>
  <si>
    <t>040020200004023</t>
  </si>
  <si>
    <t>Tasa, estatutos</t>
  </si>
  <si>
    <t>78032094V</t>
  </si>
  <si>
    <t>GASPAR MEDINA COBOS</t>
  </si>
  <si>
    <t>C/ Ribadelago, nº18</t>
  </si>
  <si>
    <t>04721</t>
  </si>
  <si>
    <t>Tramitación CA Inicial MOHAMED AHMADDOUCH</t>
  </si>
  <si>
    <t>Y8072515N</t>
  </si>
  <si>
    <t>040020200004038</t>
  </si>
  <si>
    <t>Tasa, contrato arren.</t>
  </si>
  <si>
    <t>C/ San Gabriel</t>
  </si>
  <si>
    <t>Tramitación CA Inicial SAADIA HASSANI</t>
  </si>
  <si>
    <t>Y8072328D</t>
  </si>
  <si>
    <t>040020200004028</t>
  </si>
  <si>
    <t>Tramitación Renovación Autorización Residencia y Trabajo LAMIN JAITEH</t>
  </si>
  <si>
    <t>049920200000658</t>
  </si>
  <si>
    <t>Contrato, lo tiene la empresa</t>
  </si>
  <si>
    <t>FAVORABLE 11/03/2020</t>
  </si>
  <si>
    <t>FAVORABLE 13/03/2020</t>
  </si>
  <si>
    <t>NO FAVORABLE 18/02/2020</t>
  </si>
  <si>
    <t>NO FAVORABLE 12/03/2020</t>
  </si>
  <si>
    <t>FAVORABLE 12/03/2020</t>
  </si>
  <si>
    <t>FAVORABLE 12/02/2020</t>
  </si>
  <si>
    <t>(INTR. ERP)</t>
  </si>
  <si>
    <t>FAVORABLE 17/03/2020</t>
  </si>
  <si>
    <t>FAVORABLE 17/02/2020</t>
  </si>
  <si>
    <t>FAVORABLE 20/03/2020</t>
  </si>
  <si>
    <t>FAVORABLE 25/03/2020</t>
  </si>
  <si>
    <t>Contrato finalizó 03/03</t>
  </si>
  <si>
    <t>NO FAVORABLE 27/03/2020</t>
  </si>
  <si>
    <t>NO FAVORABLE 31/03/2020</t>
  </si>
  <si>
    <t>FAVORABLE 27/03/2020</t>
  </si>
  <si>
    <t>FAVORABLE 31/03/2020</t>
  </si>
  <si>
    <t>FAVORABLE 03/04/2020</t>
  </si>
  <si>
    <t>C/ Gabriela Mistral, nº26</t>
  </si>
  <si>
    <t>Tramitación Renovación Autorización Residencia y Trabajo OUSMANE MANE</t>
  </si>
  <si>
    <t>049920200001052</t>
  </si>
  <si>
    <t>FAVORABLE 13/04/2020</t>
  </si>
  <si>
    <t>FAVORABLE 08/04/2020</t>
  </si>
  <si>
    <t>Y7970255X</t>
  </si>
  <si>
    <t>FAVORABLE 14/04/2020</t>
  </si>
  <si>
    <t>FAVORABLE 15/04/2020</t>
  </si>
  <si>
    <t>FAVORABLE 16/04/2020</t>
  </si>
  <si>
    <t>NO FAVORABLE 16/04/2020</t>
  </si>
  <si>
    <t>FAVORABLE 17/04/2020</t>
  </si>
  <si>
    <t>Pasaporte e IRPF</t>
  </si>
  <si>
    <t>FAVORABLE 20/04/2020</t>
  </si>
  <si>
    <t>Tramitación Renovación Autorización Residencia y Trabajo MARINO HUANCA LOZADA</t>
  </si>
  <si>
    <t>049920200001207</t>
  </si>
  <si>
    <t xml:space="preserve">Tramitación Renovación Autorización Residencia y Trabajo GERONIMO PAUL SANCHEZ HERRERA </t>
  </si>
  <si>
    <t>049920200001226</t>
  </si>
  <si>
    <t>Tramitación Renovación Autorización Residencia y Trabajo KARIMA ADAGHASS</t>
  </si>
  <si>
    <t>049920200001487</t>
  </si>
  <si>
    <t>FAVORABLE 23/04/2020</t>
  </si>
  <si>
    <t>FAVORABLE 27/04/2020</t>
  </si>
  <si>
    <t>Tramitación Recurso de reposición ABDOUL DRISSOU SALBRE y DJATO SALBRE YODA</t>
  </si>
  <si>
    <t>RECURSO FAVORABLE</t>
  </si>
  <si>
    <t>Tramitación Recurso de reposición ALI KONE</t>
  </si>
  <si>
    <t>NO FAVORABLE 23/04/2020</t>
  </si>
  <si>
    <t>NO FAVORABLE 24/04/2020</t>
  </si>
  <si>
    <t>Inserción social</t>
  </si>
  <si>
    <t>Pruebas</t>
  </si>
  <si>
    <t>Tramitación Arraigo Social SAYON COULIBALY</t>
  </si>
  <si>
    <t>FAVORABLE 24/04/2020</t>
  </si>
  <si>
    <t>FAVORABLE 30/04/2020</t>
  </si>
  <si>
    <t>FAVORABLE 05/05/2020</t>
  </si>
  <si>
    <t xml:space="preserve">Deuda </t>
  </si>
  <si>
    <t>NO FAVORABLE 08/05/2020</t>
  </si>
  <si>
    <t>FAVORABLE 08/05/2020</t>
  </si>
  <si>
    <t>C/ Acequias, nº22</t>
  </si>
  <si>
    <t>Tramitación Renovación Autorización Residencia y Trabajo MUSTAPHA KADDOURI</t>
  </si>
  <si>
    <t>Y7111235V</t>
  </si>
  <si>
    <t>049920200002326</t>
  </si>
  <si>
    <t>53706969Z</t>
  </si>
  <si>
    <t>JUAN MANUEL RODRIGUEZ QUERO</t>
  </si>
  <si>
    <t xml:space="preserve">04700 </t>
  </si>
  <si>
    <t>Tramitación Renovación Autorización Residencia y Trabajo TIJAN DAMBELLEH</t>
  </si>
  <si>
    <t>Y7043398F</t>
  </si>
  <si>
    <t>049920200001766</t>
  </si>
  <si>
    <t>Andalucia exportaciones</t>
  </si>
  <si>
    <t>Tramitación Renovación Autorización Residencia y Trabajo OKSANA SHETELIA</t>
  </si>
  <si>
    <t>049920200003347</t>
  </si>
  <si>
    <t>Tramitación Recurso de reposición ABLAYE NIANG</t>
  </si>
  <si>
    <t>FAVORABLE 19/05/2020</t>
  </si>
  <si>
    <t>FAVORABLE 22/05/2020</t>
  </si>
  <si>
    <t>FAVORABLE 27/05/2020</t>
  </si>
  <si>
    <t>CL Sierra de los filabres, nº11, 1</t>
  </si>
  <si>
    <t>Tramitación CA Inicial MOHAMMED EL BAGUE</t>
  </si>
  <si>
    <t>Y8107187T</t>
  </si>
  <si>
    <t>040020200006682</t>
  </si>
  <si>
    <t>Tasa y Contr. Arrend.</t>
  </si>
  <si>
    <t>CL Nueva Corte, nº 19</t>
  </si>
  <si>
    <t>Tramitación CA Inicial SIRANDOU TRAORE</t>
  </si>
  <si>
    <t>Y8106833Z</t>
  </si>
  <si>
    <t>040020200006645</t>
  </si>
  <si>
    <t>040020200006685</t>
  </si>
  <si>
    <t>MIGUEL AMEZCUA FENOY</t>
  </si>
  <si>
    <t>CL Juegos de Languedoc Rosellon</t>
  </si>
  <si>
    <t>Tramitación Arraigo Social EMMANUEL AMOASI ADDEY</t>
  </si>
  <si>
    <t>Y8106453W</t>
  </si>
  <si>
    <t>040020200006621</t>
  </si>
  <si>
    <t>18113726F</t>
  </si>
  <si>
    <t>CRISTOBAL VALVERDE RAMIREZ</t>
  </si>
  <si>
    <t xml:space="preserve">PJ El Folio, nº 0 </t>
  </si>
  <si>
    <t>631984619 ex</t>
  </si>
  <si>
    <t>Tramitación Arraigo Social KASSOUM ZELGUENE</t>
  </si>
  <si>
    <t>Y8115146R</t>
  </si>
  <si>
    <t>040020200006957</t>
  </si>
  <si>
    <t xml:space="preserve">Tasa </t>
  </si>
  <si>
    <t>HAY QUE SELLAR CONTRATO( TENEMOS EL CONTRATO</t>
  </si>
  <si>
    <t>tasa, contr. trabajo y cert. matrimonio</t>
  </si>
  <si>
    <t>CONTRATO, CNTR ARREN. Y CERTIFICADO</t>
  </si>
  <si>
    <t>CL La camarilla, nº1</t>
  </si>
  <si>
    <t>Tramitación Renovación Autorización Residencia y Trabajo SARA MANKA</t>
  </si>
  <si>
    <t>049920200003407</t>
  </si>
  <si>
    <t>Tramitación CA Inicial LOUZ MAROUANE</t>
  </si>
  <si>
    <t>Y1555041W</t>
  </si>
  <si>
    <t>040020200007368</t>
  </si>
  <si>
    <t xml:space="preserve">Tasas, escritura, contrato arr. </t>
  </si>
  <si>
    <t>Tramitación CA Inicial MODA FALL</t>
  </si>
  <si>
    <t>Y8127944B</t>
  </si>
  <si>
    <t>040020200007366</t>
  </si>
  <si>
    <t>27522561W</t>
  </si>
  <si>
    <t>IGNACIA GIMENEZ FERNANDEZ</t>
  </si>
  <si>
    <t>C/ Principe de Asturias</t>
  </si>
  <si>
    <t>Tramitación CA Inicial OSABUOHIEN EXODUS</t>
  </si>
  <si>
    <t>Y7112866S</t>
  </si>
  <si>
    <t>040020200007458</t>
  </si>
  <si>
    <t>MOHAMED ECHCHAHLAFI</t>
  </si>
  <si>
    <t>Ctjo el pelilo saladar y leche, 4ºA</t>
  </si>
  <si>
    <t>Tramitación Renovación Residencia Larga Duración MOHAMED ECHCHAHLAFI</t>
  </si>
  <si>
    <t>049920200004503</t>
  </si>
  <si>
    <t>FAVORABLE 12/06/2020</t>
  </si>
  <si>
    <t>Tramitación CA Inicial KAMISSOKO HAROUNA</t>
  </si>
  <si>
    <t>040020200007592</t>
  </si>
  <si>
    <t>ex642650898</t>
  </si>
  <si>
    <t>Tramitación Arraigo Social AHMED RHALI</t>
  </si>
  <si>
    <t>Y8139357Q</t>
  </si>
  <si>
    <t>040020200007590</t>
  </si>
  <si>
    <t xml:space="preserve">Tasa, contrato trabajo  </t>
  </si>
  <si>
    <t>Tramitación CA Inicial YANCOUBA KONTA</t>
  </si>
  <si>
    <t>Y8139370Y</t>
  </si>
  <si>
    <t>040020200007615</t>
  </si>
  <si>
    <t>Tasa, traducción jurada</t>
  </si>
  <si>
    <t>Contrato fiscosur ( Yo cert.nacimiento)</t>
  </si>
  <si>
    <t>Contrato fiscosur</t>
  </si>
  <si>
    <t>C/ Acequias, nº64</t>
  </si>
  <si>
    <t>San Agustín</t>
  </si>
  <si>
    <t>ex 631951007</t>
  </si>
  <si>
    <t>Tramitación Arraigo Social YADE BARA GUEYE</t>
  </si>
  <si>
    <t>Y8139534D</t>
  </si>
  <si>
    <t>040020200007620</t>
  </si>
  <si>
    <t>Contrato coprohnijar</t>
  </si>
  <si>
    <t xml:space="preserve">Natursur </t>
  </si>
  <si>
    <t>75249167K</t>
  </si>
  <si>
    <t>JOSE MANUEL NIETO GARRIDO</t>
  </si>
  <si>
    <t>Cortijo Garridos, nº0</t>
  </si>
  <si>
    <t>Tramitación Arraigo Social HASSANE MESSAOUDI</t>
  </si>
  <si>
    <t>Y8142446T</t>
  </si>
  <si>
    <t>040020200007698</t>
  </si>
  <si>
    <t>FAVORABLE 17/06/2020</t>
  </si>
  <si>
    <t>Externo (Audal ETT)</t>
  </si>
  <si>
    <t>B04461182</t>
  </si>
  <si>
    <t>AUDAL ETT, SL</t>
  </si>
  <si>
    <t>C/ Pintor Diaz Molina</t>
  </si>
  <si>
    <t>Tramitación Renovación Autorización Residencia y Trabajo STEVE SANTIAGO MARIN VELEZ</t>
  </si>
  <si>
    <t>049920200003599</t>
  </si>
  <si>
    <t>FAVORABLE 19/06/2020</t>
  </si>
  <si>
    <t>Tramitación Arraigo Social HICHAM ALLILOU</t>
  </si>
  <si>
    <t>Y8152090F</t>
  </si>
  <si>
    <t>040020200007955</t>
  </si>
  <si>
    <t>Y8149478V</t>
  </si>
  <si>
    <t>DIANA PATRICIA JIMENEZ MUÑOZ</t>
  </si>
  <si>
    <t>Y8149521Z</t>
  </si>
  <si>
    <t>ISAAC ECHEVERRI JIMENEZ</t>
  </si>
  <si>
    <t>C/ Rio grande, nº 2, E-1-2</t>
  </si>
  <si>
    <t>Tramitación Estancia por Estudios DIANA PATRICIA JIMENEZ MUÑOZ</t>
  </si>
  <si>
    <t>Tramitación Estancia familiar estudiante ISAAC ECHEVERRI JIMENEZ</t>
  </si>
  <si>
    <t>040020200007871</t>
  </si>
  <si>
    <t>040020200007875</t>
  </si>
  <si>
    <t>Tramitación Arraigo Social ABDOULAYE KEBE</t>
  </si>
  <si>
    <t>Y8152890W</t>
  </si>
  <si>
    <t>040020200007980</t>
  </si>
  <si>
    <t>escrito, extractos</t>
  </si>
  <si>
    <t>DESCONTAR 20€</t>
  </si>
  <si>
    <t>FAVORABLE 18/06/2020</t>
  </si>
  <si>
    <t>ex602334834</t>
  </si>
  <si>
    <t>Tramitación Arraigo Social OMAR MOUSSAOUI</t>
  </si>
  <si>
    <t>Y4740534H</t>
  </si>
  <si>
    <t>040020200007904</t>
  </si>
  <si>
    <t>Tasa, penales</t>
  </si>
  <si>
    <t>SAT las haciendas</t>
  </si>
  <si>
    <t>Tramitación Autorización Trasnacional ABDOURAHMANE DIALLO</t>
  </si>
  <si>
    <t>Tramitación Autorización Trasnacional MASSAMBA DIONE</t>
  </si>
  <si>
    <t>Tramitación Autorización Trasnacional TALLA DIOP</t>
  </si>
  <si>
    <t>Tramitación Autorización Trasnacional ABDOULAYE FALL</t>
  </si>
  <si>
    <t>Tramitación Autorización Trasnacional AMDY GAYE</t>
  </si>
  <si>
    <t>Tramitación Autorización Trasnacional SAMBA KANE</t>
  </si>
  <si>
    <t>Tramitación Autorización Trasnacional MAMADOU NDIAYE</t>
  </si>
  <si>
    <t>Tramitación Autorización Trasnacional SERIGNE IDRISSA SENE</t>
  </si>
  <si>
    <t>Tramitación Autorización Trasnacional BABOUCAR SYLLA</t>
  </si>
  <si>
    <t>Tramitación Autorización Trasnacional ARCENIO TORRERO RODRIGUEZ</t>
  </si>
  <si>
    <t>Tramitación Autorización Trasnacional MAURICIO CARCANO DE LA CRUZ</t>
  </si>
  <si>
    <t>040020200007182</t>
  </si>
  <si>
    <t>040020200007180</t>
  </si>
  <si>
    <t>040020200007057</t>
  </si>
  <si>
    <t>040020200007054</t>
  </si>
  <si>
    <t>Y8117043N</t>
  </si>
  <si>
    <t>040020200007049</t>
  </si>
  <si>
    <t>040020200007053</t>
  </si>
  <si>
    <t>Y8119807Q</t>
  </si>
  <si>
    <t>040020200007161</t>
  </si>
  <si>
    <t>040020200007167</t>
  </si>
  <si>
    <t>040020200007094</t>
  </si>
  <si>
    <t>040020200007090</t>
  </si>
  <si>
    <t>040020200007089</t>
  </si>
  <si>
    <t>040020200007088</t>
  </si>
  <si>
    <t>040020200007163</t>
  </si>
  <si>
    <t>Y8119857C</t>
  </si>
  <si>
    <t>040020200007166</t>
  </si>
  <si>
    <t>040020200007059</t>
  </si>
  <si>
    <t>Y8117047Q</t>
  </si>
  <si>
    <t>040020200007051</t>
  </si>
  <si>
    <t>Y2915231G</t>
  </si>
  <si>
    <t>040020200007184</t>
  </si>
  <si>
    <t>Y8117039P</t>
  </si>
  <si>
    <t>Y8119836E</t>
  </si>
  <si>
    <t>Y8119588G</t>
  </si>
  <si>
    <t>Y8119845P</t>
  </si>
  <si>
    <t>Y8119958Y</t>
  </si>
  <si>
    <t>X6887795P</t>
  </si>
  <si>
    <t>Y1139129E</t>
  </si>
  <si>
    <t>040020200007056</t>
  </si>
  <si>
    <t>040020200007048</t>
  </si>
  <si>
    <t>040020200007075</t>
  </si>
  <si>
    <t>040020200007158</t>
  </si>
  <si>
    <t>040020200007164</t>
  </si>
  <si>
    <t>040020200007195</t>
  </si>
  <si>
    <t>040020200007140</t>
  </si>
  <si>
    <t>040020200007141</t>
  </si>
  <si>
    <t>040020200007142</t>
  </si>
  <si>
    <t>040020200007189</t>
  </si>
  <si>
    <t>040020200007186</t>
  </si>
  <si>
    <t>040020200007165</t>
  </si>
  <si>
    <t>040020200007160</t>
  </si>
  <si>
    <t>040020200007193</t>
  </si>
  <si>
    <t>040020200007194</t>
  </si>
  <si>
    <t>040020200007143</t>
  </si>
  <si>
    <t>040020200007144</t>
  </si>
  <si>
    <t>040020200007145</t>
  </si>
  <si>
    <t>040020200007147</t>
  </si>
  <si>
    <t>040020200007074</t>
  </si>
  <si>
    <t>040020200007148</t>
  </si>
  <si>
    <t>040020200007149</t>
  </si>
  <si>
    <t>040020200007045</t>
  </si>
  <si>
    <t>040020200007162</t>
  </si>
  <si>
    <t>040020200007185</t>
  </si>
  <si>
    <t>Penales caducados</t>
  </si>
  <si>
    <t>FAVORABLE 26/06/2020</t>
  </si>
  <si>
    <t>FAVORABLE 30/06/2020</t>
  </si>
  <si>
    <t>Y4197192M</t>
  </si>
  <si>
    <t>75722441B</t>
  </si>
  <si>
    <t>FAVORABLE 02/07/2020</t>
  </si>
  <si>
    <t>FAVORABLE 03/07/2020</t>
  </si>
  <si>
    <t>FAVORABLE 06/07/2020</t>
  </si>
  <si>
    <t>FAVORABLE 01/07/2020</t>
  </si>
  <si>
    <t>certificado nacimiento apostilla</t>
  </si>
  <si>
    <t>Y8173761N</t>
  </si>
  <si>
    <t>LASSANA NDOUR</t>
  </si>
  <si>
    <t>CL Mecina Alfahar, nº20, 2ºc</t>
  </si>
  <si>
    <t>ex 632683147</t>
  </si>
  <si>
    <t>Tramitación Arraigo Social LASSANA NDOUR</t>
  </si>
  <si>
    <t>040020200008805</t>
  </si>
  <si>
    <t>FAVORABLE 07/07/2020</t>
  </si>
  <si>
    <t>FAVORABLE 09/07/2020</t>
  </si>
  <si>
    <t>Y2546273A</t>
  </si>
  <si>
    <t>CL Montalban, nº 1 3º 1</t>
  </si>
  <si>
    <t>Tramitación Renovación Residencia Larga Duración FOUZIA ES SODOR</t>
  </si>
  <si>
    <t>049920200004513</t>
  </si>
  <si>
    <t>18/15/1966</t>
  </si>
  <si>
    <t>Agrupapulpi</t>
  </si>
  <si>
    <t>Y7127783M</t>
  </si>
  <si>
    <t>ROBERT OLIVER CUADROS</t>
  </si>
  <si>
    <t>CL Mercado, nº8, 2ºF</t>
  </si>
  <si>
    <t>04640</t>
  </si>
  <si>
    <t>Pulpí</t>
  </si>
  <si>
    <t>Tramitación Renovación Autorización Residencia y Trabajo ROBERT OLIVER CUADROS DIPAZ</t>
  </si>
  <si>
    <t>Tramitación Recurso Reposición KASSOUM ZELGUENE</t>
  </si>
  <si>
    <t>OKSANA SHETELIA</t>
  </si>
  <si>
    <t>Tramitación Residencia Menor no nacido en España ANTOÑINA SHETELIA</t>
  </si>
  <si>
    <t>Y4402336N</t>
  </si>
  <si>
    <t>040020200009283</t>
  </si>
  <si>
    <t>040020200009562</t>
  </si>
  <si>
    <t>Tramitación Renovación Autorización Residencia y Trabajo SALIF NDOUR</t>
  </si>
  <si>
    <t>040020200005211</t>
  </si>
  <si>
    <t>NO FAVORABLE 22/07/2020</t>
  </si>
  <si>
    <t>FAVORABLE 22/07/2020</t>
  </si>
  <si>
    <t>Informe vivienda</t>
  </si>
  <si>
    <t>Tramitación Renovación Autorización Residencia y Trabajo BOLYS SARR</t>
  </si>
  <si>
    <t>049920200005090</t>
  </si>
  <si>
    <t>marido632734704</t>
  </si>
  <si>
    <t>Tramitación CA Inicial HAFIDA ABELHADI</t>
  </si>
  <si>
    <t>Y8199361J</t>
  </si>
  <si>
    <t>040020200009915</t>
  </si>
  <si>
    <t>Tramitación Arraigo Social AMADI TRAORE</t>
  </si>
  <si>
    <t>Y8200578B</t>
  </si>
  <si>
    <t>040020200009931</t>
  </si>
  <si>
    <t>75254230R</t>
  </si>
  <si>
    <t>ANTONIO MANUEL GARCIA CALATRAVA</t>
  </si>
  <si>
    <t>ex 602332700</t>
  </si>
  <si>
    <t>Tramitación Arraigo Social BRAHIM AABAOUI</t>
  </si>
  <si>
    <t>Y8201925R</t>
  </si>
  <si>
    <t>040020200009988</t>
  </si>
  <si>
    <t>Tasa y penales</t>
  </si>
  <si>
    <t>34863390J</t>
  </si>
  <si>
    <t>CARLOS GARCIA SANCHEZ</t>
  </si>
  <si>
    <t>CL Calcita nº 34</t>
  </si>
  <si>
    <t xml:space="preserve">CL Homero </t>
  </si>
  <si>
    <t>CL Sansovino, nº 23</t>
  </si>
  <si>
    <t>CL Valencia nº 10</t>
  </si>
  <si>
    <t>CL Carmen 24 Sur</t>
  </si>
  <si>
    <t>CL Los Algarrobos, nº 5</t>
  </si>
  <si>
    <t>CL Emigdio Gomez, nº9</t>
  </si>
  <si>
    <t>Tramitación CA Inicial ILYAS AHRAOUI</t>
  </si>
  <si>
    <t>Tasa, vida laboral y contrato arrendamiento</t>
  </si>
  <si>
    <t>informe inserción desfavorable</t>
  </si>
  <si>
    <t>Y3769991Y</t>
  </si>
  <si>
    <t>040020200010092</t>
  </si>
  <si>
    <t>Y1800181P</t>
  </si>
  <si>
    <t>MAMADOU DIOUF</t>
  </si>
  <si>
    <t>41309</t>
  </si>
  <si>
    <t>La rinconada (Sevilla)</t>
  </si>
  <si>
    <t>Tramitación Tarjeta Residencia Permanente Familiar Ciudadano UE MAMADOU DIOUF</t>
  </si>
  <si>
    <t>419920200002124</t>
  </si>
  <si>
    <t>Y1065529E</t>
  </si>
  <si>
    <t>OUSMANE SY</t>
  </si>
  <si>
    <t>Avda Paises bajos, nº2, 3ºD</t>
  </si>
  <si>
    <t>C/ Manuel Sanchez</t>
  </si>
  <si>
    <t>Tramitación Renovación Residencia Larga Duración OUSMANE SY</t>
  </si>
  <si>
    <t>049920200005759</t>
  </si>
  <si>
    <t>C/ Venta Vieja, nº89</t>
  </si>
  <si>
    <t>Tramitación Renovación Autorización Residencia y Trabajo ATIKA BAJADDY</t>
  </si>
  <si>
    <t>049920200005658</t>
  </si>
  <si>
    <t>Natursur (casur)</t>
  </si>
  <si>
    <t>75220342S</t>
  </si>
  <si>
    <t>MANUEL GARCIA HERNANDEZ</t>
  </si>
  <si>
    <t>C/ Paraje los ferris, nº 15</t>
  </si>
  <si>
    <t>Tramitación Arraigo Social AHMED AKROUCH</t>
  </si>
  <si>
    <t>Tasa y traducción penales</t>
  </si>
  <si>
    <t>FAVORABLE 30/07/2020</t>
  </si>
  <si>
    <t>FAVORABLE 28/07/2020</t>
  </si>
  <si>
    <t>FAVORABLE 31/07/2020</t>
  </si>
  <si>
    <t>Y6062199B</t>
  </si>
  <si>
    <t>040020200010316</t>
  </si>
  <si>
    <t>FAVORABLE 04/08/2020</t>
  </si>
  <si>
    <t>FAVORABLE 06/08/2020</t>
  </si>
  <si>
    <t>FAVORABLE 07/08/2020</t>
  </si>
  <si>
    <t>Y0167317Y</t>
  </si>
  <si>
    <t>ENA MILENA DIAZ MERCADO</t>
  </si>
  <si>
    <t>C/ Navarra 3, 2ºF</t>
  </si>
  <si>
    <t>Santa Mª del Aguila</t>
  </si>
  <si>
    <t>Presentación Tarjeta Residencia Permanente UE  ENA MILENA DIAZ MERCADO</t>
  </si>
  <si>
    <t>049920200005284</t>
  </si>
  <si>
    <t>049920200006088</t>
  </si>
  <si>
    <t>C/ Gladiolos, nº 4, 3ºA</t>
  </si>
  <si>
    <t>Tramitación Renovación Autorización Residencia y Trabajo SANA SENE</t>
  </si>
  <si>
    <t>LANCENI DOUMBIA</t>
  </si>
  <si>
    <t>ex 669745029</t>
  </si>
  <si>
    <t>Tramitación Renovación Autorización Residencia y Trabajo LANCENI DOUMBIA</t>
  </si>
  <si>
    <t>PAGADO</t>
  </si>
  <si>
    <t>Externo ( AGRICOLA FEMAR SL)</t>
  </si>
  <si>
    <t>C/ Murillo, nº 16</t>
  </si>
  <si>
    <t>049920200005966</t>
  </si>
  <si>
    <t>MAJOKE AGRICOLA SL</t>
  </si>
  <si>
    <t>B04836722</t>
  </si>
  <si>
    <t xml:space="preserve">Ctra Las Rozas, nº2 </t>
  </si>
  <si>
    <t>04520</t>
  </si>
  <si>
    <t>Abrucena</t>
  </si>
  <si>
    <t>Tramitación Certificado Registro Comunitario FLORENTINA DRILEA</t>
  </si>
  <si>
    <t>Tramitación Certificado Registro Comunitario GHEORGHE DRILEA</t>
  </si>
  <si>
    <t>Y8268491M</t>
  </si>
  <si>
    <t>Y8268471P</t>
  </si>
  <si>
    <t>C/ Carretera, nº32, 3ºA</t>
  </si>
  <si>
    <t>18760</t>
  </si>
  <si>
    <t>La Rabita</t>
  </si>
  <si>
    <t>Tramitación Renovación Residencia Larga Duración MAMADOU DIOP</t>
  </si>
  <si>
    <t>189920200003124</t>
  </si>
  <si>
    <t>NO FAVORABLE 31/07/2020</t>
  </si>
  <si>
    <t>Julian</t>
  </si>
  <si>
    <t>JULIAN ECHEVERRI</t>
  </si>
  <si>
    <t>Tramitación Prórroga Autorización Estancia por Estudios Julián Echeverri</t>
  </si>
  <si>
    <t>049920200005033</t>
  </si>
  <si>
    <t>FAVORABLE 04/09/2020</t>
  </si>
  <si>
    <t>Tramitación Renovación Autorización Residencia y Trabajo MOR TALLA SAMBE</t>
  </si>
  <si>
    <t>Y5539683D</t>
  </si>
  <si>
    <t>049920200005473</t>
  </si>
  <si>
    <t>FAVORABLE 17/09/2020</t>
  </si>
  <si>
    <t>Y6167217B</t>
  </si>
  <si>
    <t>MARGARITA KUPRYAKHINA</t>
  </si>
  <si>
    <t>Plaza Doctor Nuñez</t>
  </si>
  <si>
    <t>Tramitación Arraigo Social MARGARITA KUPRYAKHINA</t>
  </si>
  <si>
    <t>FAVORABLE 09/09/2020</t>
  </si>
  <si>
    <t>040020200012709</t>
  </si>
  <si>
    <t>34852757Y</t>
  </si>
  <si>
    <t>FRANCISCO JAVIER TORRES PIEDRA</t>
  </si>
  <si>
    <t>Ct de nijar, nº 27</t>
  </si>
  <si>
    <t>El alquian</t>
  </si>
  <si>
    <t>Y8276428F</t>
  </si>
  <si>
    <t>Tramitación Arraigo Social LAHCEN LAKRAFLI</t>
  </si>
  <si>
    <t>040020200012706</t>
  </si>
  <si>
    <t>Y0977899E</t>
  </si>
  <si>
    <t>CHEIKHNA KANE</t>
  </si>
  <si>
    <t>Ctra. Los olivos nº 2622</t>
  </si>
  <si>
    <t>Solicitud y tramitación Cita huella CHEIKHNA KANE</t>
  </si>
  <si>
    <t>ENVIAR WHATSAPP</t>
  </si>
  <si>
    <t>ISAFER</t>
  </si>
  <si>
    <t>KADDOUR AIT ROUH</t>
  </si>
  <si>
    <t>C/ San Anton</t>
  </si>
  <si>
    <t>Tramitación Renovación Autorización Residencia y Trabajo KADDOUR AIT ROUH</t>
  </si>
  <si>
    <t>MHAMED EL KARROUMI</t>
  </si>
  <si>
    <t>Avda Antonio Mairena, nº 13, 1º4</t>
  </si>
  <si>
    <t>Tramitación Renovación Autorización Residencia y Trabajo MHAMED EL KARROUMI</t>
  </si>
  <si>
    <t>ABDERRAHIM TALBI</t>
  </si>
  <si>
    <t>Paraje Las piezas de oro verde, 20 BJ</t>
  </si>
  <si>
    <t>Tramitación Renovación Autorización Residencia y Trabajo ABDERRAHIM TALBI</t>
  </si>
  <si>
    <t>MILOUD FTAICH</t>
  </si>
  <si>
    <t>C/ Menorca, nº 2, PBJ</t>
  </si>
  <si>
    <t>Tramitación Renovación Autorización Residencia y Trabajo MILOUD FTAICH</t>
  </si>
  <si>
    <t>LAMLIHIA DAKDAK</t>
  </si>
  <si>
    <t>C/ Malaga nº 284</t>
  </si>
  <si>
    <t>Tramitación Renovación Autorización Residencia y Trabajo LAMLIHIA DAKDAK</t>
  </si>
  <si>
    <t>ET TYJANY BEN ALY</t>
  </si>
  <si>
    <t>Tramitación Renovación Autorización Residencia y Trabajo ET TYJANY BEN ALY</t>
  </si>
  <si>
    <t>ZITOUNI NASSIB</t>
  </si>
  <si>
    <t>Tramitación Renovación Autorización Residencia y Trabajo ZITOUNI NASSIB</t>
  </si>
  <si>
    <t>EL MAHDI KASMI</t>
  </si>
  <si>
    <t>Tramitación Renovación Autorización Residencia y Trabajo EL MAHDI KASMI</t>
  </si>
  <si>
    <t>X9976537R</t>
  </si>
  <si>
    <t>MOHAMMED AJJANI</t>
  </si>
  <si>
    <t>Tramitación Renovación Autorización Residencia y Trabajo MOHAMMED AJJANI</t>
  </si>
  <si>
    <t>ACHOUR BOUAKKA</t>
  </si>
  <si>
    <t>C/ Virgen del Carmen nº 8, 2ºA</t>
  </si>
  <si>
    <t>04630</t>
  </si>
  <si>
    <t>Garrucha</t>
  </si>
  <si>
    <t>Tramitación Renovación Autorización Residencia y Trabajo ACHOUR BOUAKKA</t>
  </si>
  <si>
    <t>049920200006122</t>
  </si>
  <si>
    <t>049920200005935</t>
  </si>
  <si>
    <t>049920200005936</t>
  </si>
  <si>
    <t>049920200007115</t>
  </si>
  <si>
    <t>049920200006730</t>
  </si>
  <si>
    <t>049920200005939</t>
  </si>
  <si>
    <t>049920200005937</t>
  </si>
  <si>
    <t>049920200005940</t>
  </si>
  <si>
    <t>049920200005938</t>
  </si>
  <si>
    <t>049920200006369</t>
  </si>
  <si>
    <t>FAVORABLE 10/09/2020</t>
  </si>
  <si>
    <t>54098976Y</t>
  </si>
  <si>
    <t>DAVID SANCHEZ BAÑOS</t>
  </si>
  <si>
    <t>040020200013490</t>
  </si>
  <si>
    <t>040020200013477</t>
  </si>
  <si>
    <t>Contratos arrend, estatutos, tasas y vida laboral</t>
  </si>
  <si>
    <t>Y6143697C</t>
  </si>
  <si>
    <t>Tramitación CA Inicial KASSEM ELHESYNY</t>
  </si>
  <si>
    <t>040020200013563</t>
  </si>
  <si>
    <t>contrato Fiscosur</t>
  </si>
  <si>
    <t>Contrato Murgiverde</t>
  </si>
  <si>
    <t>Y8300110E</t>
  </si>
  <si>
    <t>IHAB LAKRAFLI</t>
  </si>
  <si>
    <t>Paraje Venta Gaspar, S/N</t>
  </si>
  <si>
    <t>Tramitación Arraigo Social IHAB LAKRAFLI</t>
  </si>
  <si>
    <t>040020200013761</t>
  </si>
  <si>
    <t>Tramitación Renovación Autorización Residencia y Trabajo VASYL SHETELIA</t>
  </si>
  <si>
    <t>049920200006164</t>
  </si>
  <si>
    <t>Tramitación Recurso Reposición ILYAS AHRAOUI</t>
  </si>
  <si>
    <t>54098973Y</t>
  </si>
  <si>
    <t>C/ Clavel, nº 5, BJ-1º</t>
  </si>
  <si>
    <t>049920200007268</t>
  </si>
  <si>
    <t>Y1987583Y</t>
  </si>
  <si>
    <t>MAMADOU LENE</t>
  </si>
  <si>
    <t>C/ Almería, nº 36, 3º-C</t>
  </si>
  <si>
    <t>Tramitación Recurso Reposición MAMADOU LENE</t>
  </si>
  <si>
    <t>049920200001591</t>
  </si>
  <si>
    <t>C/ Juegos Langledoc Rosellon, 110</t>
  </si>
  <si>
    <t>Tramitación Renovación Autorización Residencia y Trabajo ABDELGHANI EL QABAYLY</t>
  </si>
  <si>
    <t>FAVORABLE 07/10/2020</t>
  </si>
  <si>
    <t>NUESTRA SEÑORA DE GADOR SL</t>
  </si>
  <si>
    <t>FAVORABLE 05/10/2020</t>
  </si>
  <si>
    <t>FAVORABLE 01/10/2020</t>
  </si>
  <si>
    <t>040020200014822</t>
  </si>
  <si>
    <t>040020200014900</t>
  </si>
  <si>
    <t>Tasas, doc empresa</t>
  </si>
  <si>
    <t>PETER O  MENDY</t>
  </si>
  <si>
    <t>C/ Málaga, nº 20, BJ</t>
  </si>
  <si>
    <t>049920200006205</t>
  </si>
  <si>
    <t>75249785H</t>
  </si>
  <si>
    <t>AV. 28 de febrero, 60</t>
  </si>
  <si>
    <t>JUAN JESUS FERRE MONTOYA</t>
  </si>
  <si>
    <t>040020200014802</t>
  </si>
  <si>
    <t>Tasa, informe vida laboral</t>
  </si>
  <si>
    <t>Externo ( Almerífresh)</t>
  </si>
  <si>
    <t>Tramitación Arraigo Social KHALILOU DIARRA</t>
  </si>
  <si>
    <t>Y8319577P</t>
  </si>
  <si>
    <t>040020200014681</t>
  </si>
  <si>
    <t>Tasa,dni</t>
  </si>
  <si>
    <t>75271474H</t>
  </si>
  <si>
    <t>C/ Lago Como, nº 7 BJ, 1</t>
  </si>
  <si>
    <t>040020200014919</t>
  </si>
  <si>
    <t>Tasa, vida laboral, 303,390,200</t>
  </si>
  <si>
    <t>Tramitación Arraigo Social BOUABID BALBARZA</t>
  </si>
  <si>
    <t>Y8324303L</t>
  </si>
  <si>
    <t>040020200014902</t>
  </si>
  <si>
    <t>Tasa, dni</t>
  </si>
  <si>
    <t>FAVORABLE 14/10/2020</t>
  </si>
  <si>
    <t>040020200015008</t>
  </si>
  <si>
    <t>Tasa, escritura</t>
  </si>
  <si>
    <t>SAT MARELA</t>
  </si>
  <si>
    <t>V04619870</t>
  </si>
  <si>
    <t>C/ Barranco Hondo, nº 31</t>
  </si>
  <si>
    <t>ex 602025883</t>
  </si>
  <si>
    <t>Tramitación Arraigo Social CHARAF EL ASSRI</t>
  </si>
  <si>
    <t>Y8322106F</t>
  </si>
  <si>
    <t>040020200014784</t>
  </si>
  <si>
    <t>FAVORABLE 08/10/2020</t>
  </si>
  <si>
    <t>FAVORABLE 09/10/2020</t>
  </si>
  <si>
    <t>Tramitación Renovación Autorización Residencia y Trabajo BANDIOUGOU COULIBALY</t>
  </si>
  <si>
    <t>ex 631894079</t>
  </si>
  <si>
    <t>Tramitación Renovación Autorización Residencia y Trabajo IBRAHIMA DIOUF</t>
  </si>
  <si>
    <t>C/ Rafael Ortega, nº 21</t>
  </si>
  <si>
    <t>ex 642843527</t>
  </si>
  <si>
    <t>049920200007493</t>
  </si>
  <si>
    <t>049920200007773</t>
  </si>
  <si>
    <t>049920200007415</t>
  </si>
  <si>
    <t>Y8340019A</t>
  </si>
  <si>
    <t>DANIEL MORENO RODRIGUEZ</t>
  </si>
  <si>
    <t>Tramitación Arraigo Social FAMARA CISSE</t>
  </si>
  <si>
    <t>040020200015676</t>
  </si>
  <si>
    <t>C/ Lago Como - Edif. Concordia, nº 0, 1º2</t>
  </si>
  <si>
    <t>Tramitación CA Inicial AYOUB EL AOUAD</t>
  </si>
  <si>
    <t>Y8336629V</t>
  </si>
  <si>
    <t>040020200015537</t>
  </si>
  <si>
    <t>Tasa, dni, certificado nacimiento</t>
  </si>
  <si>
    <t>27504476H</t>
  </si>
  <si>
    <t>ANTONIO MORENO LOPEZ</t>
  </si>
  <si>
    <t>C/ Mar azul, nº 131, 3º 320</t>
  </si>
  <si>
    <t>ex 632857629</t>
  </si>
  <si>
    <t>Tramitación Arraigo Social ABDERREZZAK JNEINE</t>
  </si>
  <si>
    <t>C/ Granada, nº 55, 1</t>
  </si>
  <si>
    <t>Tramitación CA Inicial FATIMA LAACHOURI</t>
  </si>
  <si>
    <t>Tramitación CA Inicial MOHAMED HAZIMAR</t>
  </si>
  <si>
    <t>Y7105577V</t>
  </si>
  <si>
    <t>Tasa, memoria</t>
  </si>
  <si>
    <t>040020200015941</t>
  </si>
  <si>
    <t>EXPLOTACIONES EL FOLIO, SL</t>
  </si>
  <si>
    <t>Paraje Los Pelaos, nº 0</t>
  </si>
  <si>
    <t>Tramitación CA Inicial HAJAR LOTFI</t>
  </si>
  <si>
    <t>Y8343755J</t>
  </si>
  <si>
    <t>040020200015928</t>
  </si>
  <si>
    <t>Externo (Natursur MJ)</t>
  </si>
  <si>
    <t>C/ Martillo, nº 1 bj</t>
  </si>
  <si>
    <t>Tramitación CA Inicial ELARBI MCHICHOU</t>
  </si>
  <si>
    <t>Y7759260V</t>
  </si>
  <si>
    <t>Tasa, contrato arrendamiento, extracto banco</t>
  </si>
  <si>
    <t>27248527J</t>
  </si>
  <si>
    <t>FRANCISCO SALVADOR MONTES GOMEZ</t>
  </si>
  <si>
    <t>C/ Torre oro, nº67</t>
  </si>
  <si>
    <t>Tramitación CA Inicial ABD EL FATTAH EL HABBACHE</t>
  </si>
  <si>
    <t>Y8349926C</t>
  </si>
  <si>
    <t>040020200016192</t>
  </si>
  <si>
    <t>040020200016193</t>
  </si>
  <si>
    <t>Y8337514M</t>
  </si>
  <si>
    <t>040020200015609</t>
  </si>
  <si>
    <t>Y8340223T</t>
  </si>
  <si>
    <t>040020200015680</t>
  </si>
  <si>
    <t>Y4399304Q</t>
  </si>
  <si>
    <t>ABDOULAYE NDOYE</t>
  </si>
  <si>
    <t>C/ Regimiento Corona, nº 2, 2º D</t>
  </si>
  <si>
    <t>Tramitación Renovación Autorización Residencia y Trabajo ABDOULAYE NDOYE</t>
  </si>
  <si>
    <t>040020200007976</t>
  </si>
  <si>
    <t xml:space="preserve"> certificado</t>
  </si>
  <si>
    <t>C/ Orense, nº 16, 1ºB</t>
  </si>
  <si>
    <t>Tramitación Tarjeta Residencia Permanente Familiar Ciudadano UE BERNARDINO BENNETT</t>
  </si>
  <si>
    <t>Tramitación Tarjeta Residencia Permanente Familiar Ciudadano UE FELICIA DEBORAK BENITEZ</t>
  </si>
  <si>
    <t>Y3537121B</t>
  </si>
  <si>
    <t>049920200005227</t>
  </si>
  <si>
    <t>Y0532811F</t>
  </si>
  <si>
    <t>049920200005228</t>
  </si>
  <si>
    <t>C/ JJ ATENAS, Nº17, BQ. 1; BAJO A</t>
  </si>
  <si>
    <t>ex 632327185</t>
  </si>
  <si>
    <t>Tramitación Arraigo Social ADAMA TRAORE</t>
  </si>
  <si>
    <t>Y8359697Q</t>
  </si>
  <si>
    <t>040020200016785</t>
  </si>
  <si>
    <t>FAVORABLE 21/10/2020</t>
  </si>
  <si>
    <t>FAVORABLE 26/10/2020</t>
  </si>
  <si>
    <t>E04244646</t>
  </si>
  <si>
    <t>C/ Alcala henares</t>
  </si>
  <si>
    <t>04741</t>
  </si>
  <si>
    <t>Tramitación CA Inicial SAMBA CISSÉ</t>
  </si>
  <si>
    <t>Y8369557D</t>
  </si>
  <si>
    <t>040020200017146</t>
  </si>
  <si>
    <t>Tasa, escritura y cif</t>
  </si>
  <si>
    <t>Lo tiene Mari Carmen</t>
  </si>
  <si>
    <r>
      <rPr>
        <sz val="11"/>
        <color indexed="17"/>
        <rFont val="Calibri"/>
        <family val="2"/>
      </rPr>
      <t>Tasa</t>
    </r>
    <r>
      <rPr>
        <sz val="11"/>
        <color indexed="8"/>
        <rFont val="Calibri"/>
        <family val="2"/>
      </rPr>
      <t>, penales, prueba</t>
    </r>
  </si>
  <si>
    <t>Y7690000X</t>
  </si>
  <si>
    <t>SAMBA NGOM</t>
  </si>
  <si>
    <t>C/ Barranco del caño, nº12, bj</t>
  </si>
  <si>
    <t>Tramitación Renovación Autorización Residencia y Trabajo SAMBA NGOM</t>
  </si>
  <si>
    <t>049920200008012</t>
  </si>
  <si>
    <t>Y3436319H</t>
  </si>
  <si>
    <t>ZOUITNI AISSAM</t>
  </si>
  <si>
    <t>C/ Grabiel Pradal, nº 27, bj</t>
  </si>
  <si>
    <t>Tramitación Renovación Autorización Residencia y Trabajo ZOUITNI AISSAM</t>
  </si>
  <si>
    <t>049920200007948</t>
  </si>
  <si>
    <t>Tramitación Arraigo Social TIDIANE DIABY</t>
  </si>
  <si>
    <t>Y1127458N</t>
  </si>
  <si>
    <t>040020200017556</t>
  </si>
  <si>
    <t>FAVORABLE 04/11/2020</t>
  </si>
  <si>
    <t xml:space="preserve">Tramitación Certificado de residencia </t>
  </si>
  <si>
    <t>Asesoría Juan Ramirez</t>
  </si>
  <si>
    <t>X8885469V</t>
  </si>
  <si>
    <t>DIANA MIHAELA COLTEA</t>
  </si>
  <si>
    <t>C/ Holanda, nº 4, bloque 1, 4ºB</t>
  </si>
  <si>
    <t>Tramitacíon Duplicado Certificado Permanente DIANA MIHAELA COLTEA</t>
  </si>
  <si>
    <t>FAVORABLE 03/11/2020</t>
  </si>
  <si>
    <t>FAVORABLE 05/11/2020</t>
  </si>
  <si>
    <t>FAVORABLE 06/11/2020</t>
  </si>
  <si>
    <t xml:space="preserve">Se presentó misma renovación paralelamente </t>
  </si>
  <si>
    <t>18108959R</t>
  </si>
  <si>
    <t>ROSA MARIA LOPEZ BARRERA</t>
  </si>
  <si>
    <t>Ex 632343441</t>
  </si>
  <si>
    <t>Avda. Albuñol, nº 48</t>
  </si>
  <si>
    <t>Roquetas de mar</t>
  </si>
  <si>
    <t>Tramitación Arraigo Social ASSANE MBAYE</t>
  </si>
  <si>
    <t>Y8385107B</t>
  </si>
  <si>
    <t>040020200018130</t>
  </si>
  <si>
    <t>SEMILLERO LA JOYA, SCA</t>
  </si>
  <si>
    <t>Avda. Pais Pasco, nº 14</t>
  </si>
  <si>
    <t>Tramitación CA Inicial RACHID CHAFAI</t>
  </si>
  <si>
    <t>X9392925R</t>
  </si>
  <si>
    <t>040020200018052</t>
  </si>
  <si>
    <t xml:space="preserve">C/ Horno, nº 8 </t>
  </si>
  <si>
    <t>Tramitación CA Inicial OUIDAD EL-GHAZOUANI</t>
  </si>
  <si>
    <t>X7822784R</t>
  </si>
  <si>
    <t>040020200018044</t>
  </si>
  <si>
    <t>Tasa, certificado nacimiento</t>
  </si>
  <si>
    <t>Tramitación CA Inicial KHALID AMAMOU</t>
  </si>
  <si>
    <t>X9682740Q</t>
  </si>
  <si>
    <t>040020200017999</t>
  </si>
  <si>
    <t>Y8387607G</t>
  </si>
  <si>
    <t>PAPE MOUSSA DIOP</t>
  </si>
  <si>
    <t>C/ Ceuta, nº 14, 1º 2</t>
  </si>
  <si>
    <t>Tramitación Arraigo Social PAPE MOUSSA DIOP</t>
  </si>
  <si>
    <t>040020200018294</t>
  </si>
  <si>
    <t>Tasa, dni empresario</t>
  </si>
  <si>
    <t>040020200018438</t>
  </si>
  <si>
    <t>45601447Z</t>
  </si>
  <si>
    <t>ANA BELEN FERNANDEZ HERNANDEZ</t>
  </si>
  <si>
    <t>Tramitación Arraigo Social ANSOU DIAGNE</t>
  </si>
  <si>
    <t>040020200018350</t>
  </si>
  <si>
    <t>Y8388087R</t>
  </si>
  <si>
    <t>CARTILLA</t>
  </si>
  <si>
    <t>FAVORABLE 04/04/2020</t>
  </si>
  <si>
    <t>CONTRATO, certificado nac.</t>
  </si>
  <si>
    <t>FAVORABLE 11/11/2020</t>
  </si>
  <si>
    <t>FATIMA ZAHRA MORSLI</t>
  </si>
  <si>
    <t>Camino de la fragua, nº 6, 2º 4</t>
  </si>
  <si>
    <t>Tramitación Renovación Residencia Larga Duración FATIMA ZAHRA MORSLI</t>
  </si>
  <si>
    <t>FAVORABLE 13/11/2020</t>
  </si>
  <si>
    <t>Tramitación CA Inicial SILVINO AUGUSTO CATUPINTE</t>
  </si>
  <si>
    <t>Y8403881V</t>
  </si>
  <si>
    <t>040020200019382</t>
  </si>
  <si>
    <t>Tramitación CA Inicial ABDELKADER NASSIRI</t>
  </si>
  <si>
    <t>Y5283135A</t>
  </si>
  <si>
    <t>040020200019223</t>
  </si>
  <si>
    <t>Tasa, arrendamiento, escritura</t>
  </si>
  <si>
    <t>Crta. Mami, Cortijo Cespedes</t>
  </si>
  <si>
    <t>Tramitación CA Inicial VINCENT ADU KUSI</t>
  </si>
  <si>
    <t>Y8401774A</t>
  </si>
  <si>
    <t>040020200019236</t>
  </si>
  <si>
    <t>34862496Q</t>
  </si>
  <si>
    <t>ANICETO ANTONIO CAÑADAS MUYOR</t>
  </si>
  <si>
    <t>C/ Rioja, nº 6</t>
  </si>
  <si>
    <t>ex 632359649</t>
  </si>
  <si>
    <t xml:space="preserve">Tramitación Arraigo Social OUSMAN MANGA </t>
  </si>
  <si>
    <t>Y8401527D</t>
  </si>
  <si>
    <t>040020200019215</t>
  </si>
  <si>
    <t>27243954V</t>
  </si>
  <si>
    <t>C/ Zaragoza, nº 4</t>
  </si>
  <si>
    <t>ex 631054851</t>
  </si>
  <si>
    <t>Tramitación Arraigo Social MAMADOU SONKO</t>
  </si>
  <si>
    <t>Tasa, traducción penales</t>
  </si>
  <si>
    <t>X6842914T</t>
  </si>
  <si>
    <t>DANIELA CIUNGU</t>
  </si>
  <si>
    <t>C/ Islas Baleares, nº 20</t>
  </si>
  <si>
    <t>ex 631809628</t>
  </si>
  <si>
    <t>Tramitación Arraigo Social LOUBNA AZLAF</t>
  </si>
  <si>
    <t>Y8404447P</t>
  </si>
  <si>
    <t>040020200019430</t>
  </si>
  <si>
    <t>Y8403062A</t>
  </si>
  <si>
    <t>C/ Bruselas, nº 11</t>
  </si>
  <si>
    <t>ex 631499369</t>
  </si>
  <si>
    <t>Tramitación Arraigo Social BRAHIM AMEZIANE</t>
  </si>
  <si>
    <t>040020200019349</t>
  </si>
  <si>
    <t>FAVORABLE 18/11/2020</t>
  </si>
  <si>
    <t>FAVORABLE 19/11/2020</t>
  </si>
  <si>
    <t>FAVORABLE 20/11/2020</t>
  </si>
  <si>
    <t>X6739955N</t>
  </si>
  <si>
    <t>SAID LAAOUINA</t>
  </si>
  <si>
    <t>Avda. Antonio Mairena, nº 8, 3º 2</t>
  </si>
  <si>
    <t>Tramitación Renovación Reagrupación Familiar BILAL LAAOUINA</t>
  </si>
  <si>
    <t>Y4067352T</t>
  </si>
  <si>
    <t>Tramitación Prórroga Autorización Trabajo Julián Echeverri</t>
  </si>
  <si>
    <t>040020200019641</t>
  </si>
  <si>
    <t>Y7527935A</t>
  </si>
  <si>
    <t>040020200019404</t>
  </si>
  <si>
    <t>040020200019793</t>
  </si>
  <si>
    <t>Tasa, Penales originales</t>
  </si>
  <si>
    <t>Y8409168Z</t>
  </si>
  <si>
    <t>MOHMED DJILALI</t>
  </si>
  <si>
    <t>Paraje Nazarero Pol. 29 Parc. 249</t>
  </si>
  <si>
    <t>ex 631909744</t>
  </si>
  <si>
    <t>Tramitación Arraigo Social MOHMED DJILALI</t>
  </si>
  <si>
    <t>040020200019798</t>
  </si>
  <si>
    <t>Tasa, penales y traducción</t>
  </si>
  <si>
    <t>Tramitación Arraigo Social SAID LEBZOQ</t>
  </si>
  <si>
    <t>Y8408948R</t>
  </si>
  <si>
    <t>040020200019784</t>
  </si>
  <si>
    <t>Tasa, contrato, penales neuvos</t>
  </si>
  <si>
    <t>FAVORABLE 23/11/2020</t>
  </si>
  <si>
    <t>B04838744</t>
  </si>
  <si>
    <t>FAVORABLE 25/11/2020</t>
  </si>
  <si>
    <t xml:space="preserve">Agrícola Navarro de Haro </t>
  </si>
  <si>
    <t>X7980655X</t>
  </si>
  <si>
    <t>VINICIO DANIEL TAIPE CAHUASQUI</t>
  </si>
  <si>
    <t>C/ Mayor, nº 110, BJ-E</t>
  </si>
  <si>
    <t>Cuevas del almanzora</t>
  </si>
  <si>
    <t>Tramitación Renovación Autorización Residencia y Trabajo VINICIO DANIEL TAIPE CAHUASQUI</t>
  </si>
  <si>
    <t>049920200008621</t>
  </si>
  <si>
    <t>FAVORABLE 27/11/2020</t>
  </si>
  <si>
    <t>FAVORABLE 26/11/2020</t>
  </si>
  <si>
    <r>
      <rPr>
        <sz val="11"/>
        <color indexed="49"/>
        <rFont val="Calibri"/>
        <family val="2"/>
      </rPr>
      <t xml:space="preserve">Tasa, </t>
    </r>
    <r>
      <rPr>
        <sz val="11"/>
        <color indexed="49"/>
        <rFont val="Calibri"/>
        <family val="2"/>
      </rPr>
      <t>traducción</t>
    </r>
    <r>
      <rPr>
        <sz val="11"/>
        <color indexed="49"/>
        <rFont val="Calibri"/>
        <family val="2"/>
      </rPr>
      <t>, escritura, cif, memoria</t>
    </r>
  </si>
  <si>
    <t>Tramitación Renovación Autorización Residencia y Trabajo EBRIMA CEESAY</t>
  </si>
  <si>
    <t>Y7585800T</t>
  </si>
  <si>
    <t>Crta. Mami- Ctjo Cespedes sn</t>
  </si>
  <si>
    <t>Tramitación CA Inicial FARUK YAHAYA</t>
  </si>
  <si>
    <t>Y8414458Z</t>
  </si>
  <si>
    <t>040020200020019</t>
  </si>
  <si>
    <t>Tasa,. Escritura, arrend.</t>
  </si>
  <si>
    <t>ex 641860661</t>
  </si>
  <si>
    <t>Tramitación Arraigo Social LAHMAR INAN</t>
  </si>
  <si>
    <t>Y6040859S</t>
  </si>
  <si>
    <t>040020200020014</t>
  </si>
  <si>
    <t>Tasa, + Pruebas</t>
  </si>
  <si>
    <t>Tramitación CA Inicial MOHAMMED HAJOU</t>
  </si>
  <si>
    <t>Y8414082Y</t>
  </si>
  <si>
    <t>040020200019999</t>
  </si>
  <si>
    <t>Tasas, informe facturación</t>
  </si>
  <si>
    <t>JENAFRUT, SCA</t>
  </si>
  <si>
    <t>C/ Valencia, nº 10</t>
  </si>
  <si>
    <t>Tramitación Arraigo Social MOUNIR NASSIRI</t>
  </si>
  <si>
    <t>Y5491681P</t>
  </si>
  <si>
    <t>040020200019996</t>
  </si>
  <si>
    <t>Tramitación Renovación Autorización Residencia y Trabajo ABABACAR DRAME</t>
  </si>
  <si>
    <t>049920200008617</t>
  </si>
  <si>
    <r>
      <rPr>
        <sz val="11"/>
        <color indexed="49"/>
        <rFont val="Calibri"/>
        <family val="2"/>
      </rPr>
      <t>Tasa</t>
    </r>
    <r>
      <rPr>
        <sz val="11"/>
        <color indexed="8"/>
        <rFont val="Calibri"/>
        <family val="2"/>
      </rPr>
      <t xml:space="preserve">, </t>
    </r>
    <r>
      <rPr>
        <sz val="11"/>
        <color indexed="49"/>
        <rFont val="Calibri"/>
        <family val="2"/>
      </rPr>
      <t>penales orig.</t>
    </r>
  </si>
  <si>
    <t>Contrato 6meses</t>
  </si>
  <si>
    <t>Tramitación Renovación Autorización Residencia y Trabajo NFALLY SEYDI</t>
  </si>
  <si>
    <t>049920200008311</t>
  </si>
  <si>
    <t>FAVORABLE 02/12/2020</t>
  </si>
  <si>
    <t>FAVORABLE 03/12/2020</t>
  </si>
  <si>
    <t>Tramitación Arraigo Social SAMBA SAHO</t>
  </si>
  <si>
    <t>Y8426127E</t>
  </si>
  <si>
    <t>040020200020688</t>
  </si>
  <si>
    <t>Tasa, contrato de trabajo</t>
  </si>
  <si>
    <t>54098211A</t>
  </si>
  <si>
    <t>MARIA DEL MAR CANO MARTINEZ</t>
  </si>
  <si>
    <t>C/ Los Pozos, nº 9</t>
  </si>
  <si>
    <t>San agustin - El ejido</t>
  </si>
  <si>
    <t>Tramitación Arraigo Social MOUSTAPHA AYOUJIL</t>
  </si>
  <si>
    <t>Y1049034H</t>
  </si>
  <si>
    <t>040020200020981</t>
  </si>
  <si>
    <t>Tasa, penales y pruebas</t>
  </si>
  <si>
    <t>Tramitación Arraigo Social LANDING SANE</t>
  </si>
  <si>
    <t>Y5703556F</t>
  </si>
  <si>
    <t>040020200020947</t>
  </si>
  <si>
    <t>ex 642428984</t>
  </si>
  <si>
    <t>Tramitación Arraigo Social MOHAMED SAHANOKO</t>
  </si>
  <si>
    <t>Y2341352N</t>
  </si>
  <si>
    <t>040020200020949</t>
  </si>
  <si>
    <t>Tasa, pruebas</t>
  </si>
  <si>
    <t>040020200021396</t>
  </si>
  <si>
    <t>C/ Gustavo Adolfo Becquer, nº 11 1ºF</t>
  </si>
  <si>
    <t>Tramitación Renovación Autorización Residencia y Trabajo SADIBOU FALL</t>
  </si>
  <si>
    <t>049920200009102</t>
  </si>
  <si>
    <t>FAVORABLE 10/12/2020</t>
  </si>
  <si>
    <t>FAVORABLE 11/12/2020</t>
  </si>
  <si>
    <t xml:space="preserve">Pasaporte </t>
  </si>
  <si>
    <t>Deuda Seg Soc</t>
  </si>
  <si>
    <t>Tramitación Arraigo Social ABOU SY</t>
  </si>
  <si>
    <t>Y8441706F</t>
  </si>
  <si>
    <t>040020200021494</t>
  </si>
  <si>
    <t>Tasa, estatutos, pruebas</t>
  </si>
  <si>
    <t>75256469D</t>
  </si>
  <si>
    <t>ANA BELEN GOMEZ MALDONADO</t>
  </si>
  <si>
    <t>Avda 28 de Febrero, nº 60</t>
  </si>
  <si>
    <t>Tramitación CA Inicial NAJAT BENDIHI</t>
  </si>
  <si>
    <t>Y8441948L</t>
  </si>
  <si>
    <t>040020200021516</t>
  </si>
  <si>
    <t>DAYANA SANCHEZ DARWIN</t>
  </si>
  <si>
    <t>78237770G</t>
  </si>
  <si>
    <t>Tramitación Arraigo Social YOUNESSE EL AADRAOUI</t>
  </si>
  <si>
    <t>Y8442018C</t>
  </si>
  <si>
    <t>040020200021524</t>
  </si>
  <si>
    <t>C/ Sansovino, nº 23</t>
  </si>
  <si>
    <t>Tramitación CA Inicial FARID SLIMANI</t>
  </si>
  <si>
    <t>Y5015046W</t>
  </si>
  <si>
    <t>040020200021648</t>
  </si>
  <si>
    <t>CONTRATO, CERT. NACIMIENTO</t>
  </si>
  <si>
    <t>Tasa, pasaporte</t>
  </si>
  <si>
    <t>FAVORABLE 15/12/2020</t>
  </si>
  <si>
    <t>53710734F</t>
  </si>
  <si>
    <t>ANTONIO FIGUEROA MARTIN</t>
  </si>
  <si>
    <t>C/ Góngora, nº 26</t>
  </si>
  <si>
    <t>Tramitación CA Inicial MOHAMED EL MIR</t>
  </si>
  <si>
    <t>Y5512248J</t>
  </si>
  <si>
    <t>040020200021730</t>
  </si>
  <si>
    <t>Tramitación Arraigo Social GORGI THOP</t>
  </si>
  <si>
    <t>SIAKA NDONG</t>
  </si>
  <si>
    <t>C/ Zurbaran, nº 25</t>
  </si>
  <si>
    <t>vicar</t>
  </si>
  <si>
    <t>Tramitación Arraigo Social SIAKA NDONG</t>
  </si>
  <si>
    <t>Tramitación Recurso de Reposición ELARBI MCHICHOU</t>
  </si>
  <si>
    <t>Y2558733C</t>
  </si>
  <si>
    <t>040020200021807</t>
  </si>
  <si>
    <t>27229886W</t>
  </si>
  <si>
    <t>Avda. del Mediterraneo, nº 29</t>
  </si>
  <si>
    <t>Tramitación Recurso de Reposición MARIA MALAFY</t>
  </si>
  <si>
    <t>JOSE ANTONIO RODRIGUEZ FERNANDEZ</t>
  </si>
  <si>
    <t>Y8280911M</t>
  </si>
  <si>
    <t>040020200012820</t>
  </si>
  <si>
    <t>Y8441668S</t>
  </si>
  <si>
    <t>040020200021490</t>
  </si>
  <si>
    <t>SALIF MANE</t>
  </si>
  <si>
    <t>X6965779E</t>
  </si>
  <si>
    <t>C/ Miramar, nº 23</t>
  </si>
  <si>
    <t>C/ Almería, nº 11, 2º-C</t>
  </si>
  <si>
    <t>Tramitación Renovación Autorización Residencia y Trabajo BABOU MANE</t>
  </si>
  <si>
    <t>049920200009287</t>
  </si>
  <si>
    <t>ENVIAR EMAIL</t>
  </si>
  <si>
    <t>Tramitación Recurso de Reposición MOHAMED HAJOU</t>
  </si>
  <si>
    <t>FAVORABLE 14/12/2020</t>
  </si>
  <si>
    <t>FAVORABLE 18/12/2020</t>
  </si>
  <si>
    <t>040020200020810</t>
  </si>
  <si>
    <t>Tramitación Renovación Residencia Larga Duración SALIF MANE</t>
  </si>
  <si>
    <t>Y7908958P</t>
  </si>
  <si>
    <t>X5137062N</t>
  </si>
  <si>
    <t>HAMID ZARROUK</t>
  </si>
  <si>
    <t>Paraje la cumbre, nº 28 diseminado 1053</t>
  </si>
  <si>
    <t>Tramitación Renovación Residencia Larga Duración HAMID ZARROUK</t>
  </si>
  <si>
    <t>Tramitación Renovación Residencia Larga Duración AMIRA ZARROUK</t>
  </si>
  <si>
    <t>Tramitación Renovación Residencia Larga Duración LOUAY ZARROUK</t>
  </si>
  <si>
    <t>Y0632457V</t>
  </si>
  <si>
    <t>Y4534731L</t>
  </si>
  <si>
    <t>FAVORABLE 28/12/2020</t>
  </si>
  <si>
    <t>Y1573181H</t>
  </si>
  <si>
    <t>ARAIBI HAJAR</t>
  </si>
  <si>
    <t>C/ Sevilla nº 59, 1B</t>
  </si>
  <si>
    <t>ex 632517534</t>
  </si>
  <si>
    <t>Tramitación CA Inicial YOUSSEF ARAIBI</t>
  </si>
  <si>
    <t>SELLAR CONTRATO</t>
  </si>
  <si>
    <t>040020200019291</t>
  </si>
  <si>
    <t>FAVORABLE 21/12/2020</t>
  </si>
  <si>
    <t>26854709R</t>
  </si>
  <si>
    <t>JUAN ANTONIO AREVALO FACUNDO</t>
  </si>
  <si>
    <t>Avda. Rostia Ferrer, nº 2, Piso 4-4D</t>
  </si>
  <si>
    <t>Tramitación Tarjeta Residencia Familiar Ciudadano UE JIAN PIERRE AREVALO MORALES</t>
  </si>
  <si>
    <t>Tramitación Tarjeta Residencia Familiar Ciudadano ANA CRISTINA AREVALO MORALES</t>
  </si>
  <si>
    <t>Tramitación Tarjeta Residencia Familiar Ciudadano INGRID LIZ MORALES UGARTE</t>
  </si>
  <si>
    <t>documentación</t>
  </si>
  <si>
    <t>34858903B</t>
  </si>
  <si>
    <t>ANA MARIA FERNANDEZ SANCHEZ</t>
  </si>
  <si>
    <t>Avda. Principe de Asturias, nº 59</t>
  </si>
  <si>
    <t>Tramitación Arraigo Social LANSANA DEMBA</t>
  </si>
  <si>
    <t>Tramitación Arraigo Social KHAMISS HOMMAN</t>
  </si>
  <si>
    <t>B04608733</t>
  </si>
  <si>
    <t>BRETOSAN, S.L.</t>
  </si>
  <si>
    <t>Cortijo Mateo, nº 6</t>
  </si>
  <si>
    <t>Tramitación Arraigo Social ABDESSAMAD BOUTAOIL</t>
  </si>
  <si>
    <t>Estatuto, tasa y penales nuevos</t>
  </si>
  <si>
    <t>FAVORABLE 08/01/2021</t>
  </si>
  <si>
    <t>08907698M</t>
  </si>
  <si>
    <t>ANTONIO RODRIGUEZ RODRIGUEZ</t>
  </si>
  <si>
    <t>C/ Rio Andarax, nº 4</t>
  </si>
  <si>
    <t>La gangosa - El Ejido</t>
  </si>
  <si>
    <t>Tramitación CA Inicial FATIMA ZOHRA EL BOUKHARI</t>
  </si>
  <si>
    <t>B04773669</t>
  </si>
  <si>
    <t>C/ Santos, nº 2</t>
  </si>
  <si>
    <t>Almerimar - El Ejido</t>
  </si>
  <si>
    <t>Tramitación Arraigo Social ASMAE AZRAF</t>
  </si>
  <si>
    <t>Y8479137V</t>
  </si>
  <si>
    <t>C/ Angustias, nº 7</t>
  </si>
  <si>
    <t>04250</t>
  </si>
  <si>
    <t>Pechina</t>
  </si>
  <si>
    <t>Tramitación Renovación Residencia Larga Duración PIER DJATA</t>
  </si>
  <si>
    <t>049920200009258</t>
  </si>
  <si>
    <t>77159141Y</t>
  </si>
  <si>
    <t>JUAN VILCHEZ OZAEZ</t>
  </si>
  <si>
    <t>C/ Barranco hondo, nº 5</t>
  </si>
  <si>
    <t>La Cañada</t>
  </si>
  <si>
    <t>Tramitación Arraigo Social YOUSSEF ORFI</t>
  </si>
  <si>
    <t>DAYANA SANCHEZ BALDWIN</t>
  </si>
  <si>
    <t>C/ Cortijo El Panadero</t>
  </si>
  <si>
    <t>Tramitación CA Inicial KHALID RBIHI</t>
  </si>
  <si>
    <t>Documentación</t>
  </si>
  <si>
    <t>ALE BADARA DIAW</t>
  </si>
  <si>
    <t>C/ Regimiento de la corona, nº 2, 2A</t>
  </si>
  <si>
    <t>Tramitación Arraigo Social ALE BADARA DIAW</t>
  </si>
  <si>
    <t>Tasa y pruebas</t>
  </si>
  <si>
    <t>Pruebas y penales</t>
  </si>
  <si>
    <t>54118108M</t>
  </si>
  <si>
    <t>FRANCISCO JAVIER MANRIQUE PEREZ</t>
  </si>
  <si>
    <t>C/ Pio Baroja, nº 14</t>
  </si>
  <si>
    <t>Tramitación Arraigo Social LAMINE DIALLO</t>
  </si>
  <si>
    <t>27240680D</t>
  </si>
  <si>
    <t>JOSE ANTONIO JIMENEZ CASTAÑEDA</t>
  </si>
  <si>
    <t>C/ Canarias, nº 13</t>
  </si>
  <si>
    <t>Tramitación Arraigo Social EL HABIB EL KHIRANI</t>
  </si>
  <si>
    <t>Pruebas, penales (carpeta)</t>
  </si>
  <si>
    <t>27220757G</t>
  </si>
  <si>
    <t>C/ Capitan SN</t>
  </si>
  <si>
    <t>NIJAR</t>
  </si>
  <si>
    <t>Tramitación Arraigo Social YACOUB DIARRA</t>
  </si>
  <si>
    <t>Tramitación Arraigo Social BAKARY DIARRA</t>
  </si>
  <si>
    <t>PRUEBAS y tasa</t>
  </si>
  <si>
    <t xml:space="preserve">Traducción </t>
  </si>
  <si>
    <t>27263600K</t>
  </si>
  <si>
    <t>JUAN ANTONIO SALAS SALAS</t>
  </si>
  <si>
    <t>C/ Juglares, nº 12</t>
  </si>
  <si>
    <t>Tramitación CA Inicial ABDELHAK EL KOUAA</t>
  </si>
  <si>
    <t>Y4863633K</t>
  </si>
  <si>
    <t>24233897Q</t>
  </si>
  <si>
    <t>ANTONIO APARICIO OSORIO</t>
  </si>
  <si>
    <t>C/ Estacional, nº 65, 1C</t>
  </si>
  <si>
    <t>Tramitación CA Inicial HANANE CHATIT</t>
  </si>
  <si>
    <t>53710733Y</t>
  </si>
  <si>
    <t>ESTEBAN ROGELIO FIGUEROA MARTIN</t>
  </si>
  <si>
    <t>C/ Gongora, nº 28</t>
  </si>
  <si>
    <t>Tramitación CA Inicial JAMILA BARBOU</t>
  </si>
  <si>
    <t>Certificado y contrato arr.</t>
  </si>
  <si>
    <t>X3808447S</t>
  </si>
  <si>
    <t>DOLE JOAO BATI</t>
  </si>
  <si>
    <t>C/ Jaca, nº 3 bj</t>
  </si>
  <si>
    <t>Tramitación Reagrupación Familiar ALFREDO JOAO BATI</t>
  </si>
  <si>
    <t>Declaración y tasa</t>
  </si>
  <si>
    <t>C/ Iberos, nº 2</t>
  </si>
  <si>
    <t>Tramitación Arraigo Social SAIKOU TOURAY</t>
  </si>
  <si>
    <t>PARALIZADO POR EL CLIENTE</t>
  </si>
  <si>
    <t>F04213302</t>
  </si>
  <si>
    <t>FEMASA, SCA</t>
  </si>
  <si>
    <t>C/ Vicente Alexandre. Nº11</t>
  </si>
  <si>
    <t>Tramitación CA Inicial AICHA COULIBALY</t>
  </si>
  <si>
    <t>X8865865D</t>
  </si>
  <si>
    <t>MATAR DIOP</t>
  </si>
  <si>
    <t>C/ Luis de Góngora, nº 1, 2º3</t>
  </si>
  <si>
    <t>04620</t>
  </si>
  <si>
    <t>Vera</t>
  </si>
  <si>
    <t>Tramitación CA Inicial OMAR GALLA DIOP</t>
  </si>
  <si>
    <t>Tramitación CA Inicial BILAL BELLITI</t>
  </si>
  <si>
    <t>C/ Aristoteles, nº 158</t>
  </si>
  <si>
    <t>Tramitación Arraigo Social KHALID EL AAKLY</t>
  </si>
  <si>
    <t>MODI FATOU TUNKARA</t>
  </si>
  <si>
    <t>C/ Huerto, nº 5</t>
  </si>
  <si>
    <t>Tramitación Renovación Residencia Reagrupación Familiar OUSAINOU TUNKARA</t>
  </si>
  <si>
    <t>Tramitación Renovación Residencia Reagrupación Familiar MAHAMMAD TUNKARA</t>
  </si>
  <si>
    <t>Tasas y pasaporte</t>
  </si>
  <si>
    <t>Biosabor</t>
  </si>
  <si>
    <t>34846264E</t>
  </si>
  <si>
    <t>DIEGO HERNANDEZ LOZANO</t>
  </si>
  <si>
    <t>C/ Goya, nº 15</t>
  </si>
  <si>
    <t>Tramitación Presentación Telemática CA inicial IGNACIO ALVARADO OCHOA</t>
  </si>
  <si>
    <t>C/ Hiedra, nº 11, 1C</t>
  </si>
  <si>
    <t>Tramitación CA Inicial FATIMA EZZAHRA EL KHAYDER</t>
  </si>
  <si>
    <t>049920200003082</t>
  </si>
  <si>
    <t>NO FAVORABLE 19/01/2021</t>
  </si>
  <si>
    <t>53708983G</t>
  </si>
  <si>
    <t>CAROLINA FERNANDEZ VARGAS</t>
  </si>
  <si>
    <t>C/ Camino de Torres, nº 84, 6, 1º3</t>
  </si>
  <si>
    <t>Tramitación Arraigo Social MAMADOU MOUSTAPHA DIAME</t>
  </si>
  <si>
    <t>Tramitación Arraigo Social LAHOUCINE ARISSI</t>
  </si>
  <si>
    <t>Tramitación Arraigo Social CHERKAOUI LEMGANI</t>
  </si>
  <si>
    <t>Tramitación Arraigo Social BASSOUROU DIARRA</t>
  </si>
  <si>
    <t>Tasa, penales, pruebas y escritura</t>
  </si>
  <si>
    <t>Y6261721P</t>
  </si>
  <si>
    <t>PAPA NDIAYE</t>
  </si>
  <si>
    <t>C/ Barranco del caño, nº 9</t>
  </si>
  <si>
    <t>Tramitación Arraigo Social PAPA NDIAYE</t>
  </si>
  <si>
    <t>Tasa y más pruebas</t>
  </si>
  <si>
    <t>Tramitación CA Inicial Mª GUMERCINDA MARQUINA ESCOBEDO DE SANCHEZ</t>
  </si>
  <si>
    <t>53709225Q</t>
  </si>
  <si>
    <t>ANABEL HIDALGO MORON</t>
  </si>
  <si>
    <t>C/ Germanos, nº 3, 4ºA</t>
  </si>
  <si>
    <t>Tramitación Arraigo Social KWAME FOSUHENE</t>
  </si>
  <si>
    <t>FAVORABLE 21/01/2021</t>
  </si>
  <si>
    <t>89071137L</t>
  </si>
  <si>
    <t>FRANCISCO ESCOBAR FUENTES</t>
  </si>
  <si>
    <t>C/ Loma del Viento, nº 61</t>
  </si>
  <si>
    <t xml:space="preserve">0416 </t>
  </si>
  <si>
    <t>Las norias de Daza</t>
  </si>
  <si>
    <t>Tramitación CA Inicial MOHAMED EL HAIMER</t>
  </si>
  <si>
    <t>Tasas, Informe laboral</t>
  </si>
  <si>
    <t>FAVORABLE 27/01/2021</t>
  </si>
  <si>
    <t>X6436488F</t>
  </si>
  <si>
    <t>Sat Agromonte</t>
  </si>
  <si>
    <t>F04400859</t>
  </si>
  <si>
    <t>SAT AGROMONTE</t>
  </si>
  <si>
    <t>C/ Periscopio Urbanización Flamingo Park, nº 80</t>
  </si>
  <si>
    <t>Almerimar</t>
  </si>
  <si>
    <t>Tramitación CA Inicial FATIHA HAIDOU</t>
  </si>
  <si>
    <t>Tramitación CA Inicial RACHIDA MHAIROU</t>
  </si>
  <si>
    <t>Tasas, Nota simple</t>
  </si>
  <si>
    <t>PAGADA</t>
  </si>
  <si>
    <t xml:space="preserve">C/ Alquería, nº 9 </t>
  </si>
  <si>
    <t>Tramitación Renovación Residencia a Larga Duración ANSOUMANA DEMBA</t>
  </si>
  <si>
    <t>049920210000442</t>
  </si>
  <si>
    <t>08907137L</t>
  </si>
  <si>
    <t>Y8506920Q</t>
  </si>
  <si>
    <t>040020210000924</t>
  </si>
  <si>
    <t>FAVORABLE 05/01/2021</t>
  </si>
  <si>
    <t>76658478F</t>
  </si>
  <si>
    <t>DIEGO SALAZAR TORRES</t>
  </si>
  <si>
    <t>C/ Fernan Perez, nº 9</t>
  </si>
  <si>
    <t>Tramitación Arraigo Social LASSANA KEITA</t>
  </si>
  <si>
    <t>Documentación y traducción</t>
  </si>
  <si>
    <t>Y4192885E</t>
  </si>
  <si>
    <t>EDISSON JACINTO LOPEZ LOPEZ</t>
  </si>
  <si>
    <t>C/ Clavel, nº 7, 1B</t>
  </si>
  <si>
    <t>Tramitación Renovación Residencia Reagrupación Familiar EDISSON JACINTO LOPEZ LOPEZ</t>
  </si>
  <si>
    <t>75265496C</t>
  </si>
  <si>
    <t>DAVID GOMEZ GONZALEZ</t>
  </si>
  <si>
    <t>C/ Himalaya, nº 3</t>
  </si>
  <si>
    <t>Tramitación Arraigo Social ASSANE SENE</t>
  </si>
  <si>
    <t>FAVORABLE 02/02/2021</t>
  </si>
  <si>
    <t>Solicitud fda, matrimonio actualizado, histórico empadronamiento, tarjetas sanitarias y Certificado SAS</t>
  </si>
  <si>
    <t>77486918X</t>
  </si>
  <si>
    <t>NICOLAS MIRALLES MERCADER</t>
  </si>
  <si>
    <t>C/ San Antonio, nº 44</t>
  </si>
  <si>
    <t>Alhama de Almería</t>
  </si>
  <si>
    <t>Y4863665F</t>
  </si>
  <si>
    <t>040020210001077</t>
  </si>
  <si>
    <t>Y4863523A</t>
  </si>
  <si>
    <t>040020210001080</t>
  </si>
  <si>
    <t>040020200021678</t>
  </si>
  <si>
    <t>C/ Murillo el Cabecico, nº 7</t>
  </si>
  <si>
    <t>Tramitación Renovación Autorización Residencia y Trabajo MAHAMADOU SEYDOU FALL</t>
  </si>
  <si>
    <t>049920210000152</t>
  </si>
  <si>
    <t>049920210000121</t>
  </si>
  <si>
    <t>NO FAVORABLE 02/02/2021</t>
  </si>
  <si>
    <t>040020210000944</t>
  </si>
  <si>
    <t>FAVORABLE 03/02/2021</t>
  </si>
  <si>
    <t>FAVORABLE 04/02/2021</t>
  </si>
  <si>
    <t>Pasaporte caducado</t>
  </si>
  <si>
    <t>Y5731486S</t>
  </si>
  <si>
    <t>Tramitación Renovación Autorización Residencia y Trabajo IBRAHIMA TOURE</t>
  </si>
  <si>
    <t>049920210000214</t>
  </si>
  <si>
    <t>PRUEBAS FINAL 2020 y Tasa</t>
  </si>
  <si>
    <t>Y8517041V</t>
  </si>
  <si>
    <t>040020210001469</t>
  </si>
  <si>
    <t>040020210001353</t>
  </si>
  <si>
    <t>Y8514591M</t>
  </si>
  <si>
    <t>Y8516752G</t>
  </si>
  <si>
    <t>040020210001448</t>
  </si>
  <si>
    <t>Y8517375Y</t>
  </si>
  <si>
    <t>FAVORABLE 05/02/2021</t>
  </si>
  <si>
    <t>Tramitación CA Inicial NOUREDDIN MAAROUF</t>
  </si>
  <si>
    <t>Tasa y memoria</t>
  </si>
  <si>
    <t>ABDESSELAM ERRACHIDI</t>
  </si>
  <si>
    <t>Avda. Mare Nostrum, nº 34</t>
  </si>
  <si>
    <t>Tramitación Reagrupación Familiar FATIMA ZAHRA EL ABBOUBI</t>
  </si>
  <si>
    <t>040020210000625</t>
  </si>
  <si>
    <t>040020210000621</t>
  </si>
  <si>
    <t>040020210001181</t>
  </si>
  <si>
    <t>FAVORABLE 11/02/2021</t>
  </si>
  <si>
    <t>Sin informe arraigo y no acreditar inserción social</t>
  </si>
  <si>
    <t>FAVORABLE 10/02/2021</t>
  </si>
  <si>
    <t>Y8517664L</t>
  </si>
  <si>
    <t>040020210001512</t>
  </si>
  <si>
    <t>040020210001522</t>
  </si>
  <si>
    <t>Y8518143S</t>
  </si>
  <si>
    <t>Y8514277J</t>
  </si>
  <si>
    <t>040020210001314</t>
  </si>
  <si>
    <t>FAVORABLE 15/02/2021</t>
  </si>
  <si>
    <t>Y8525758V</t>
  </si>
  <si>
    <t>040020210001906</t>
  </si>
  <si>
    <t>Y6398884E</t>
  </si>
  <si>
    <t>040020210002222</t>
  </si>
  <si>
    <t>NO FAVORABLE 16/02/2021</t>
  </si>
  <si>
    <t>Penales</t>
  </si>
  <si>
    <t>FAVORABLE 17/02/2021</t>
  </si>
  <si>
    <t>040020210001495</t>
  </si>
  <si>
    <t>Tramitación Renovación Autorización Residencia y Trabajo MAME SERIGNE SALL</t>
  </si>
  <si>
    <t>Y3806384J</t>
  </si>
  <si>
    <t>039920210000051</t>
  </si>
  <si>
    <t>Ramafrut SL</t>
  </si>
  <si>
    <t>B96301247</t>
  </si>
  <si>
    <t>RAMAFRUT, SL</t>
  </si>
  <si>
    <t>46180</t>
  </si>
  <si>
    <t>Benaguacil -Valencia</t>
  </si>
  <si>
    <t>C/ Las Chocillas, nº4</t>
  </si>
  <si>
    <t>La cañada</t>
  </si>
  <si>
    <t>Tramitación Arraigo Social NOUREDDINE ATTIA</t>
  </si>
  <si>
    <t>Tramitación CA Inicial SAID TAIBI</t>
  </si>
  <si>
    <t>Natursur (MJ)</t>
  </si>
  <si>
    <t>75712487Y</t>
  </si>
  <si>
    <t>MARIA DEL MAR MEMBRIVES ANDUJAR</t>
  </si>
  <si>
    <t>Camino de la Espuela, nº198, A</t>
  </si>
  <si>
    <t>Tramitación CA Inicial KHALID EDDIB</t>
  </si>
  <si>
    <t>Tasas y memoria</t>
  </si>
  <si>
    <t>NO FAVORABLE 23/02/2021</t>
  </si>
  <si>
    <t>NO FAVORABLE 15/02/2021</t>
  </si>
  <si>
    <t>FAVORABLE 24/02/2021</t>
  </si>
  <si>
    <t>54097225V</t>
  </si>
  <si>
    <t>ANTONIO FRANCISCO FERNANDEZ MARRUECOS</t>
  </si>
  <si>
    <t>C/ Playas de la ensenada, nº 72, BJ-B</t>
  </si>
  <si>
    <t>Tramitación CA Inicial HAJAR ADDI</t>
  </si>
  <si>
    <t>LOS ALCORES, SAT</t>
  </si>
  <si>
    <t>C/ Faisan, nº 38</t>
  </si>
  <si>
    <t>Tramitación CA Inicial WIJDANE LAHRACH</t>
  </si>
  <si>
    <t>C/ Fray Luis Amigo, Nº 40</t>
  </si>
  <si>
    <t>54097225Y</t>
  </si>
  <si>
    <t xml:space="preserve">SI </t>
  </si>
  <si>
    <t>Tramitación Arraigo Social GYAN CLEMENT KWAME</t>
  </si>
  <si>
    <t>54097923Z</t>
  </si>
  <si>
    <t>PATRICIA PALMERO ROMERO</t>
  </si>
  <si>
    <t>C/ Trinquete, nº 5</t>
  </si>
  <si>
    <t>Tramitación CA Inicial MARI CAMARA</t>
  </si>
  <si>
    <t>AGROLOTIR, SL</t>
  </si>
  <si>
    <t>C/ Zorilla, nº 7</t>
  </si>
  <si>
    <t>Tramitación CA Inicial BAHIJA EL FELLAH</t>
  </si>
  <si>
    <t>Tasas y C.PyG</t>
  </si>
  <si>
    <t>Tramitación CA Inicial KHALID MORID</t>
  </si>
  <si>
    <t>Tasas Y Certif. consulado</t>
  </si>
  <si>
    <t>Penales España</t>
  </si>
  <si>
    <t>Y8540758K</t>
  </si>
  <si>
    <t>040020210002688</t>
  </si>
  <si>
    <t>040020210002733</t>
  </si>
  <si>
    <t>Y1852555B</t>
  </si>
  <si>
    <t>040020210002726</t>
  </si>
  <si>
    <t>Y8542292Z</t>
  </si>
  <si>
    <t>040020210002789</t>
  </si>
  <si>
    <t>Y8542297L</t>
  </si>
  <si>
    <t>040020210002791</t>
  </si>
  <si>
    <t>Y8543669B</t>
  </si>
  <si>
    <t>040020210002884</t>
  </si>
  <si>
    <t>Y8543758P</t>
  </si>
  <si>
    <t>040020210002892</t>
  </si>
  <si>
    <t>Y6306796A</t>
  </si>
  <si>
    <t>040020210002671</t>
  </si>
  <si>
    <t>ARCHIVADO</t>
  </si>
  <si>
    <t>ARCHIVADO 23/02/2021</t>
  </si>
  <si>
    <t>040020210000203</t>
  </si>
  <si>
    <t>FAVORABLE 23/02/2021</t>
  </si>
  <si>
    <t>FAVORABLE 26/02/2021</t>
  </si>
  <si>
    <t>Renov. Fuera plazo</t>
  </si>
  <si>
    <t>FAVORABLE 29/01/2021</t>
  </si>
  <si>
    <t>Y8541808J</t>
  </si>
  <si>
    <t>040020210002758</t>
  </si>
  <si>
    <t>Y8539240K</t>
  </si>
  <si>
    <t>040020210002587</t>
  </si>
  <si>
    <t>Y8539126E</t>
  </si>
  <si>
    <t>040020210002574</t>
  </si>
  <si>
    <t>Y4124309D</t>
  </si>
  <si>
    <t>040020210001905</t>
  </si>
  <si>
    <t>Y8526813Z</t>
  </si>
  <si>
    <t>040020210001960</t>
  </si>
  <si>
    <t>040020210002497</t>
  </si>
  <si>
    <t>Y0130486K</t>
  </si>
  <si>
    <t>Y0130469G</t>
  </si>
  <si>
    <t>040020210003051</t>
  </si>
  <si>
    <t>040020210003047</t>
  </si>
  <si>
    <t>ERLINDA IBETA SANCHEZ ROSA</t>
  </si>
  <si>
    <t>34858120X</t>
  </si>
  <si>
    <t>C/ Los Cortijillos, nº 32</t>
  </si>
  <si>
    <t>Tramitación Arraigo Social TORD PATRICE POODA</t>
  </si>
  <si>
    <t>NO FAVORABLE 11/02/2021</t>
  </si>
  <si>
    <t>040020210002451</t>
  </si>
  <si>
    <t>Y8536463G</t>
  </si>
  <si>
    <t>040020210002445</t>
  </si>
  <si>
    <t>Y8537398L</t>
  </si>
  <si>
    <t>040020210002390</t>
  </si>
  <si>
    <t>Y8536666T</t>
  </si>
  <si>
    <t>040020210002455</t>
  </si>
  <si>
    <t>Y8536097Y</t>
  </si>
  <si>
    <t>040020210002438</t>
  </si>
  <si>
    <t>040020210001528</t>
  </si>
  <si>
    <t>Y8518157Y</t>
  </si>
  <si>
    <t>04002021001529</t>
  </si>
  <si>
    <t>Y8518158F</t>
  </si>
  <si>
    <t>040020210001530</t>
  </si>
  <si>
    <t>Y8518176W</t>
  </si>
  <si>
    <t>040020210001531</t>
  </si>
  <si>
    <t>Y8536395M</t>
  </si>
  <si>
    <t>040020210002443</t>
  </si>
  <si>
    <t>657946705/ex 632092679</t>
  </si>
  <si>
    <t>Tramitación Renovación Autorización Residencia y Trabajo PATRIZ SANHA</t>
  </si>
  <si>
    <t>049920210001200</t>
  </si>
  <si>
    <t>ALIOU BAH</t>
  </si>
  <si>
    <t>Avenida Luis Buñuel</t>
  </si>
  <si>
    <t>Tramitación Arraigo Social ALIOU BAH</t>
  </si>
  <si>
    <t>Y8537304V</t>
  </si>
  <si>
    <t xml:space="preserve">OUSMAN MANGA </t>
  </si>
  <si>
    <t>C/ Juan Ramon Jimenez</t>
  </si>
  <si>
    <t>Tramitación Recurso de Reposición OUSMAN MANGA</t>
  </si>
  <si>
    <t>Y5085598J</t>
  </si>
  <si>
    <t>AWA NGET</t>
  </si>
  <si>
    <t>C/ Villaespesa, nº 88, 1º 10</t>
  </si>
  <si>
    <t>04470</t>
  </si>
  <si>
    <t>Laujar de Andarax</t>
  </si>
  <si>
    <t>Tramitación Recurso de Reposición AWA NGET</t>
  </si>
  <si>
    <t>049920200007227</t>
  </si>
  <si>
    <t>Tramitación Recurso de Reposición OMAR GALLA DIOP</t>
  </si>
  <si>
    <t>55072767A</t>
  </si>
  <si>
    <t>SIXTO MANUEL USHIÑA MORALES</t>
  </si>
  <si>
    <t>Paraje Fuente Nueva, nº 90</t>
  </si>
  <si>
    <t>Tramitación Tarjeta Residencia Familiar Ciudadano Unión JESSENIA ARACELY USHIÑA CATAGÑA</t>
  </si>
  <si>
    <t>F04471991</t>
  </si>
  <si>
    <t>C/ San Sebastían, nº 3</t>
  </si>
  <si>
    <t>04271</t>
  </si>
  <si>
    <t>Lubrin</t>
  </si>
  <si>
    <t>Tramitación Arraigo Social MOHAMED RAIS</t>
  </si>
  <si>
    <t>Tasa, certf nacimiento y penales</t>
  </si>
  <si>
    <t>X7157175N</t>
  </si>
  <si>
    <t>FAVORABLE 09/03/2021</t>
  </si>
  <si>
    <t>NO FAVORABLE 10/03/2021</t>
  </si>
  <si>
    <t>Penales ESP.</t>
  </si>
  <si>
    <t>Contrato trabajo</t>
  </si>
  <si>
    <t>informe inserción desfavorable y pruebas</t>
  </si>
  <si>
    <t>FAVORABLE 12/03/2021</t>
  </si>
  <si>
    <t>FAVORABLE 16/03/2021</t>
  </si>
  <si>
    <t>Tramitación CA Inicial ABD- EL FATTAH EL HABBACHE</t>
  </si>
  <si>
    <t>08908331V</t>
  </si>
  <si>
    <t>JOSE ANTONIO GOMEZ FUENTES</t>
  </si>
  <si>
    <t>Crta. Pampanico, nº 43</t>
  </si>
  <si>
    <t>Tramitación CA Inicial RIDA ZAROUK</t>
  </si>
  <si>
    <t>Tramitación CA Inicial GAOUSSOU CAMARA</t>
  </si>
  <si>
    <t>Tasas y certif. matrimonio y traducción</t>
  </si>
  <si>
    <t xml:space="preserve">B04312823    </t>
  </si>
  <si>
    <t>Tramitación Autorización Trasnacional HASSOUM BADJI</t>
  </si>
  <si>
    <t>Tramitación Autorización Trasnacional IBRAHIMA NGOM</t>
  </si>
  <si>
    <t>Tasa y TASA EMPRESA</t>
  </si>
  <si>
    <t>Tramitación Arraigo Social NOUREDDIN AMAROUCHI</t>
  </si>
  <si>
    <t>F04252573</t>
  </si>
  <si>
    <t>SAT FERRO</t>
  </si>
  <si>
    <t>C/ Barlovento, nº 51</t>
  </si>
  <si>
    <t>Tramitación CA Inicial TAMOU ER-RAS</t>
  </si>
  <si>
    <t xml:space="preserve"> </t>
  </si>
  <si>
    <t>53705866S</t>
  </si>
  <si>
    <t>ESTEFANIA RODRIGUEZ FERNANDEZ</t>
  </si>
  <si>
    <t>C/ Chopin, nº 132</t>
  </si>
  <si>
    <t>Y4650220W</t>
  </si>
  <si>
    <t>040020210003784</t>
  </si>
  <si>
    <t>Y8052800P</t>
  </si>
  <si>
    <t>040020210004107</t>
  </si>
  <si>
    <t>FAVORABLE 17/03/2021</t>
  </si>
  <si>
    <t>Y8574518V</t>
  </si>
  <si>
    <t>040020210004117</t>
  </si>
  <si>
    <t>Y8574430K</t>
  </si>
  <si>
    <t>040020210004114</t>
  </si>
  <si>
    <t>040020210004220</t>
  </si>
  <si>
    <t>Cortijo El Panadero, nº 29</t>
  </si>
  <si>
    <t>040020210004309</t>
  </si>
  <si>
    <t>040020210004308</t>
  </si>
  <si>
    <t>040020210004301</t>
  </si>
  <si>
    <t>040020210004310</t>
  </si>
  <si>
    <t>040020210004311</t>
  </si>
  <si>
    <t>040020210004306</t>
  </si>
  <si>
    <t>040020210004305</t>
  </si>
  <si>
    <t>Y8577013M</t>
  </si>
  <si>
    <t>040020210004307</t>
  </si>
  <si>
    <t>040020210004316</t>
  </si>
  <si>
    <t>040020210004303</t>
  </si>
  <si>
    <t>040020210004300</t>
  </si>
  <si>
    <t>040020210004298</t>
  </si>
  <si>
    <t>040020210004299</t>
  </si>
  <si>
    <t>040020210004297</t>
  </si>
  <si>
    <t>040020210004296</t>
  </si>
  <si>
    <t>040020210004315</t>
  </si>
  <si>
    <t>040020210004314</t>
  </si>
  <si>
    <t>040020210004294</t>
  </si>
  <si>
    <t>040020210004313</t>
  </si>
  <si>
    <t>040020210004293</t>
  </si>
  <si>
    <t>040020210004292</t>
  </si>
  <si>
    <t>040020210004291</t>
  </si>
  <si>
    <t>040020210004304</t>
  </si>
  <si>
    <t>040020210004312</t>
  </si>
  <si>
    <t>040020210004295</t>
  </si>
  <si>
    <t>040020210004302</t>
  </si>
  <si>
    <t>040020210004290</t>
  </si>
  <si>
    <t>040020210004288</t>
  </si>
  <si>
    <t>040020210004282</t>
  </si>
  <si>
    <t>040020210004270</t>
  </si>
  <si>
    <t>040020210004289</t>
  </si>
  <si>
    <t>040020210004275</t>
  </si>
  <si>
    <t>040020210004278</t>
  </si>
  <si>
    <t>YOUSSOU MANGARA</t>
  </si>
  <si>
    <t>C/ Barranco del caño, nº 12, BE</t>
  </si>
  <si>
    <t>Tramitación Arraigo Social YOUSSOU MANGARA</t>
  </si>
  <si>
    <t>Y8578787P</t>
  </si>
  <si>
    <t>040020210004409</t>
  </si>
  <si>
    <t>Y8578746J</t>
  </si>
  <si>
    <t>040020210004405</t>
  </si>
  <si>
    <t>Y8576625P</t>
  </si>
  <si>
    <t>HORTICOLA SIERRA VERDE SL</t>
  </si>
  <si>
    <t>Tramitación Certificado Registro Comunitario COSMIN ALEXANDRU LACATUS</t>
  </si>
  <si>
    <t>Tramitación Certificado Registro Comunitario CRISTI-PETRU LACATUS</t>
  </si>
  <si>
    <t>FAVORABLE 25/02/2021</t>
  </si>
  <si>
    <t>Y8578539J</t>
  </si>
  <si>
    <t>040020210004396</t>
  </si>
  <si>
    <t>Av. Sudamerica, nº 232</t>
  </si>
  <si>
    <t>B04925079</t>
  </si>
  <si>
    <t>040020210004416</t>
  </si>
  <si>
    <t>040020210004252</t>
  </si>
  <si>
    <t>Y8576483G</t>
  </si>
  <si>
    <t>Y8576455E</t>
  </si>
  <si>
    <t>040020210004247</t>
  </si>
  <si>
    <t>FAVORABLE 08/03/2021</t>
  </si>
  <si>
    <t>C/ Rafael Zabaleta, nº 3</t>
  </si>
  <si>
    <t>Tramitación Arraigo Social ABDELKHALEK BAIDAN</t>
  </si>
  <si>
    <t>Y1326741T</t>
  </si>
  <si>
    <t>ABDELILAH LACHHAB</t>
  </si>
  <si>
    <t>Cortijo El Puntal POL. 71 PAR. 5</t>
  </si>
  <si>
    <t>Tramitación Reagrupación Familiar AHLAM LACHHAB</t>
  </si>
  <si>
    <t>Y8068226R</t>
  </si>
  <si>
    <t>Tramitación Reagrupación Familiar RAYHANA LACHHAB</t>
  </si>
  <si>
    <t>Y8068106L</t>
  </si>
  <si>
    <t>Tasa y declaración jurad</t>
  </si>
  <si>
    <t>F04770467</t>
  </si>
  <si>
    <t>REBEQUEFRESH SCA</t>
  </si>
  <si>
    <t xml:space="preserve">Paseo las Lomas </t>
  </si>
  <si>
    <t>Tramitación CA Inicial AHMED MESROUR</t>
  </si>
  <si>
    <t>78489606J</t>
  </si>
  <si>
    <t>MONICA BHATIA PEREZ</t>
  </si>
  <si>
    <t>Avda. Sabinal, 494</t>
  </si>
  <si>
    <t>Tramitación CA Inicial YASSMINE MENNANA</t>
  </si>
  <si>
    <t>C/ Mirasol, nº 35</t>
  </si>
  <si>
    <t>Tramitación CA Inicial CHAIMAE HACHOUM</t>
  </si>
  <si>
    <t>Ex 631914950</t>
  </si>
  <si>
    <t>Tramitación Arraigo Social KWEKU SEKYI</t>
  </si>
  <si>
    <t>SAT JUPEDA</t>
  </si>
  <si>
    <t>27491523Z</t>
  </si>
  <si>
    <t>MARIA ISABEL FERNANDEZ SANCHEZ</t>
  </si>
  <si>
    <t>C/ Pomelo, nº 7</t>
  </si>
  <si>
    <t>Tramitación CA Inicial BILAL EL MALLOUKI</t>
  </si>
  <si>
    <t>34846661M</t>
  </si>
  <si>
    <t>PEDRO JESUS CAÑETE MUÑOZ</t>
  </si>
  <si>
    <t>C/ Almoravides, nº 80</t>
  </si>
  <si>
    <t>Tramitación CA Inicial MAOULA NIAKATE</t>
  </si>
  <si>
    <t>C/ Bojares, nº 12</t>
  </si>
  <si>
    <t>Tramitación Arraigo Social AYOUB EL BAKALI</t>
  </si>
  <si>
    <t>Tramitación Arraigo Social EL MOSTAFA MEHBI</t>
  </si>
  <si>
    <t>Tasas y declaración mujer</t>
  </si>
  <si>
    <t>Tasa y DNI renovado</t>
  </si>
  <si>
    <t>FAVORABLE 23/03/2021</t>
  </si>
  <si>
    <t>Y8584458K</t>
  </si>
  <si>
    <t>040020210004644</t>
  </si>
  <si>
    <t>040020210004884</t>
  </si>
  <si>
    <t>Y8588308F</t>
  </si>
  <si>
    <t>040020210004811</t>
  </si>
  <si>
    <t>040020210004812</t>
  </si>
  <si>
    <t>Y8588319H</t>
  </si>
  <si>
    <t>FAVORABLE 18/03/2021</t>
  </si>
  <si>
    <t>FAVORABLE 26/03/2021</t>
  </si>
  <si>
    <t>Tramitación Renovación Autorización Residencia y Trabajo FODE DIOP</t>
  </si>
  <si>
    <t>049920210001410</t>
  </si>
  <si>
    <t>Tramitación Renovación Autorización Residencia y Trabajo ALOU DIAKITE</t>
  </si>
  <si>
    <t>C/ Almirante nº 12</t>
  </si>
  <si>
    <t>Tramitación Arraigo Social FATOU GAYE MBAYE</t>
  </si>
  <si>
    <t>Tramitación Arraigo Social SEDIFO DIOMBERA</t>
  </si>
  <si>
    <t>Y4573653W</t>
  </si>
  <si>
    <t>ALINA BODOMOIU</t>
  </si>
  <si>
    <t>C/ Nueva, nº 2, BJ</t>
  </si>
  <si>
    <t>San Isidro - Nijar</t>
  </si>
  <si>
    <t>Tramitación Certificado Registro Comunitario Permanente ALINA BODOMOIU</t>
  </si>
  <si>
    <t>Tramitación Arraigo Social MAHAMADOU FATOU GUMANI</t>
  </si>
  <si>
    <t>Tasa y nómina marzo</t>
  </si>
  <si>
    <t>Oblg. Tribut.</t>
  </si>
  <si>
    <t>Oblg. Tribut. Y medios eco.</t>
  </si>
  <si>
    <t>Tramitación CA Inicial EL HABIB ED DAIF</t>
  </si>
  <si>
    <t>Y8595502W</t>
  </si>
  <si>
    <t>040020210005133</t>
  </si>
  <si>
    <t>Tramitación Renovación Residencia Reagrupación Familiar DJATO SALBRE YODA</t>
  </si>
  <si>
    <t>Tramitación Renovación Residencia Reagrupación Familiar ABDOUL DRISSOU SALBRE</t>
  </si>
  <si>
    <t>54096763G</t>
  </si>
  <si>
    <t>C/ Esteban Murillo, nº 41, B, E urb Felix</t>
  </si>
  <si>
    <t>Tramitación Arraigo Social ADAMA FAYE</t>
  </si>
  <si>
    <t xml:space="preserve">Tasa, inf. Arraigo y dni </t>
  </si>
  <si>
    <t>Tramitación Arraigo Social MAMOUTOU SAMAKE</t>
  </si>
  <si>
    <t>Tasa, escritura empresa</t>
  </si>
  <si>
    <t>CANCELADO</t>
  </si>
  <si>
    <t>NO FAVORABLE 09/04/2021</t>
  </si>
  <si>
    <t>Y8603896R</t>
  </si>
  <si>
    <t>040020210005671</t>
  </si>
  <si>
    <t>FAVORABLE 24/03/2021</t>
  </si>
  <si>
    <t>Y8106845A</t>
  </si>
  <si>
    <t>YUSLEIDI SIGLER LOPEZ</t>
  </si>
  <si>
    <t>Avda. Unión Europea, nº 39, 3ºC</t>
  </si>
  <si>
    <t>Tasa, nóminas nuevas</t>
  </si>
  <si>
    <t>FAVORABLE 07/04/2021</t>
  </si>
  <si>
    <t>FAVORABLE 09/04/2021</t>
  </si>
  <si>
    <t>Y4410831C</t>
  </si>
  <si>
    <t>SABRINES BOUKRAA</t>
  </si>
  <si>
    <t>Camino Flor, 1, 2º 20</t>
  </si>
  <si>
    <t>049920210001234</t>
  </si>
  <si>
    <t>Y2779074K</t>
  </si>
  <si>
    <t>SEYDOU DIAKITE</t>
  </si>
  <si>
    <t>C/ Garcia Roca, nº 1 B</t>
  </si>
  <si>
    <t>Tramitación Reagrupación Familiar NOUSSO SIDIBE</t>
  </si>
  <si>
    <t>Tasa, IRPF y decl. Cony.</t>
  </si>
  <si>
    <t>Y3988407Z</t>
  </si>
  <si>
    <t>LUIS ALONSO CADAVID RAMIREZ</t>
  </si>
  <si>
    <t>C/ Manuel de Falla, nº 4 BE</t>
  </si>
  <si>
    <t>Tramitación Arraigo Social por Cuenta Propia LUIS ALONSO CADAVID RAMIREZ</t>
  </si>
  <si>
    <t>Tasa, informe autónomo</t>
  </si>
  <si>
    <t>40020210001402</t>
  </si>
  <si>
    <t>Y8351312A</t>
  </si>
  <si>
    <t>Contrato nuevo</t>
  </si>
  <si>
    <t>FAVORABLE 12/04/2021</t>
  </si>
  <si>
    <t>FAVORABLE 13/04/2021</t>
  </si>
  <si>
    <t>Y8610770K</t>
  </si>
  <si>
    <t>040020210005979</t>
  </si>
  <si>
    <t>08904935W</t>
  </si>
  <si>
    <t>Tramitación CA Inicial MIMOUN AHANNAY</t>
  </si>
  <si>
    <t>Tasa, Declaración nueva</t>
  </si>
  <si>
    <t>X7815213C</t>
  </si>
  <si>
    <t>LAMINE DIOUF</t>
  </si>
  <si>
    <t>C/ Regimiento de la corona, nº 2, 2D</t>
  </si>
  <si>
    <t>75227795Q</t>
  </si>
  <si>
    <t>JOSE MIGUEL GONZALEZ BELLIDO</t>
  </si>
  <si>
    <t>C/ Francisco Zurbaran, nº 19</t>
  </si>
  <si>
    <t>04230</t>
  </si>
  <si>
    <t>Huercal de Almería</t>
  </si>
  <si>
    <t>Tramitación Arraigo Social MAFAMA DIOP</t>
  </si>
  <si>
    <t>Tasa  y prueba abril 18'</t>
  </si>
  <si>
    <t>34854934K</t>
  </si>
  <si>
    <t>FRANCISCA FERRER NICOLAS</t>
  </si>
  <si>
    <t>Cortijo Nuevo Nazarero, SN</t>
  </si>
  <si>
    <t>El barranquete - Nijar</t>
  </si>
  <si>
    <t>Tramitación CA Inicial MOHAMED BEN ZAID</t>
  </si>
  <si>
    <t>Y8119776P</t>
  </si>
  <si>
    <t>Tasas y nueva declaración</t>
  </si>
  <si>
    <t>FAVORABLE 14/04/2021</t>
  </si>
  <si>
    <t>Y8611849L</t>
  </si>
  <si>
    <t>040020210006039</t>
  </si>
  <si>
    <t>Y8611112H</t>
  </si>
  <si>
    <t>040020210005991</t>
  </si>
  <si>
    <t>040020210005990</t>
  </si>
  <si>
    <t>040020210006017</t>
  </si>
  <si>
    <t>040020210006018</t>
  </si>
  <si>
    <t>040020210006024</t>
  </si>
  <si>
    <t>FAVORABLE 08/04/2021</t>
  </si>
  <si>
    <t>040020210006108</t>
  </si>
  <si>
    <t>Bioline Iberia</t>
  </si>
  <si>
    <t xml:space="preserve">BIOLINE IBERIA SL </t>
  </si>
  <si>
    <t>B04891891</t>
  </si>
  <si>
    <t>C/ Bremen P.I. La redonda 2</t>
  </si>
  <si>
    <t>La redonda, El Ejido</t>
  </si>
  <si>
    <t>Tramitación Certificado Registro Comunitario + Tasa correspondiente FRANCESCA LAURINI</t>
  </si>
  <si>
    <t>Tramitación CA Inicial NAJIMA KARDIDA</t>
  </si>
  <si>
    <t>Y8615921C</t>
  </si>
  <si>
    <t>040020210006208</t>
  </si>
  <si>
    <t>53503544R</t>
  </si>
  <si>
    <t>LORENA FUENTES JIMENEZ</t>
  </si>
  <si>
    <t>C/ Galera, nº1, Esc: 3 Piso 2 Puerta 10</t>
  </si>
  <si>
    <t>Tramitación Tarjeta Residencia Familiar Ciudadano MOUNIR ZEROUALI</t>
  </si>
  <si>
    <t>Y4952493D</t>
  </si>
  <si>
    <t>FAVORABLE 15/04/2021</t>
  </si>
  <si>
    <t>FAVORABLE 16/04/2021</t>
  </si>
  <si>
    <t>040020210006042</t>
  </si>
  <si>
    <t>Y7483024B</t>
  </si>
  <si>
    <t>Y3502673V</t>
  </si>
  <si>
    <t>040020210006317</t>
  </si>
  <si>
    <t>Y8615910D</t>
  </si>
  <si>
    <t>040020210006207</t>
  </si>
  <si>
    <t>Tramitación Residencia Menor no nacido en España VALERIA BENNETT SIGLER</t>
  </si>
  <si>
    <t>040020210005769</t>
  </si>
  <si>
    <t>Tramitación Recurso Potestativo de Reposición FATIMA EZZAHRA EL KHAYDER</t>
  </si>
  <si>
    <t>FAVORABLE 20/04/2021</t>
  </si>
  <si>
    <t>NO FAVORABLE 20/04/2021</t>
  </si>
  <si>
    <t>FAVORABLE 19/04/2021</t>
  </si>
  <si>
    <t>S.A.T. AGROMONTE</t>
  </si>
  <si>
    <t xml:space="preserve">C/ Zapatera, nº 6 </t>
  </si>
  <si>
    <r>
      <t xml:space="preserve">Tramitación Contingente 2021 + Tasa empresa y trabajador + Billete Barco </t>
    </r>
    <r>
      <rPr>
        <b/>
        <sz val="11"/>
        <rFont val="Calibri"/>
        <family val="2"/>
      </rPr>
      <t>NAOUAL EL HINDI</t>
    </r>
  </si>
  <si>
    <r>
      <t xml:space="preserve">Tramitación Contingente 2021 + Tasa empresa y trabajador + Billete Barco </t>
    </r>
    <r>
      <rPr>
        <b/>
        <sz val="11"/>
        <rFont val="Calibri"/>
        <family val="2"/>
      </rPr>
      <t>RACHIDA CHOUARI</t>
    </r>
  </si>
  <si>
    <r>
      <t xml:space="preserve">Tramitación Contingente 2021 + Tasa empresa y trabajador + Billete Barco </t>
    </r>
    <r>
      <rPr>
        <b/>
        <sz val="11"/>
        <rFont val="Calibri"/>
        <family val="2"/>
      </rPr>
      <t>FATNA REBBAA</t>
    </r>
  </si>
  <si>
    <r>
      <t xml:space="preserve">Tramitación Contingente 2021 + Tasa empresa y trabajador + Billete Barco </t>
    </r>
    <r>
      <rPr>
        <b/>
        <sz val="11"/>
        <rFont val="Calibri"/>
        <family val="2"/>
      </rPr>
      <t>FATIMA EL KAFAZ</t>
    </r>
  </si>
  <si>
    <r>
      <t>Tramitación Contingente 2021 + Tasa empresa y trabajador + Billete Barco</t>
    </r>
    <r>
      <rPr>
        <b/>
        <sz val="11"/>
        <rFont val="Calibri"/>
        <family val="2"/>
      </rPr>
      <t xml:space="preserve"> SAIDA BENHADI</t>
    </r>
  </si>
  <si>
    <r>
      <t>Tramitación Contingente 2021 + Tasa empresa y trabajador + Billete Barco</t>
    </r>
    <r>
      <rPr>
        <b/>
        <sz val="11"/>
        <rFont val="Calibri"/>
        <family val="2"/>
      </rPr>
      <t xml:space="preserve"> ZOHRA EL HAJAMI</t>
    </r>
  </si>
  <si>
    <r>
      <t xml:space="preserve">Tramitación Contingente 2021 + Tasa empresa y trabajador + Billete Barco </t>
    </r>
    <r>
      <rPr>
        <b/>
        <sz val="11"/>
        <rFont val="Calibri"/>
        <family val="2"/>
      </rPr>
      <t>SOUAD BAKHADA</t>
    </r>
  </si>
  <si>
    <r>
      <t>Tramitación Contingente 2021 + Tasa empresa y trabajador + Billete Barco</t>
    </r>
    <r>
      <rPr>
        <b/>
        <sz val="11"/>
        <rFont val="Calibri"/>
        <family val="2"/>
      </rPr>
      <t xml:space="preserve"> FATIMA OULD KAH</t>
    </r>
  </si>
  <si>
    <r>
      <t xml:space="preserve">Tramitación Contingente 2021 + Tasa empresa y trabajador + Billete Barco </t>
    </r>
    <r>
      <rPr>
        <b/>
        <sz val="11"/>
        <rFont val="Calibri"/>
        <family val="2"/>
      </rPr>
      <t>FATIHA HAIDOU</t>
    </r>
  </si>
  <si>
    <r>
      <t xml:space="preserve">Tramitación Contingente 2021 + Tasa empresa y trabajador + Billete Barco </t>
    </r>
    <r>
      <rPr>
        <b/>
        <sz val="11"/>
        <rFont val="Calibri"/>
        <family val="2"/>
      </rPr>
      <t>RACHIDA MHAIROU</t>
    </r>
  </si>
  <si>
    <t>Y0130512R</t>
  </si>
  <si>
    <t>Y0130507L</t>
  </si>
  <si>
    <t>Y0130495F</t>
  </si>
  <si>
    <t>Y0130451D</t>
  </si>
  <si>
    <t>Y0130432J</t>
  </si>
  <si>
    <t>Y0130488T</t>
  </si>
  <si>
    <t>Y0130503S</t>
  </si>
  <si>
    <t>Y0130498X</t>
  </si>
  <si>
    <t>040020210006509</t>
  </si>
  <si>
    <t>040020210006507</t>
  </si>
  <si>
    <t>040020210006506</t>
  </si>
  <si>
    <t>040020210006504</t>
  </si>
  <si>
    <t>Tramitación Arraigo Social M'HAMMED OURKIA</t>
  </si>
  <si>
    <t>Y8619585G</t>
  </si>
  <si>
    <t>040020210006421</t>
  </si>
  <si>
    <t>Y8619554L</t>
  </si>
  <si>
    <t>040020210006418</t>
  </si>
  <si>
    <t>040020210006403</t>
  </si>
  <si>
    <t>Y8619314D</t>
  </si>
  <si>
    <t>Y8619373E</t>
  </si>
  <si>
    <t>040020210006406</t>
  </si>
  <si>
    <t>040020210006394</t>
  </si>
  <si>
    <t>Y8619196Y</t>
  </si>
  <si>
    <t>NO FAVORABLE 16/04/2021</t>
  </si>
  <si>
    <t>Pasaporte datos</t>
  </si>
  <si>
    <t>Medios econ.</t>
  </si>
  <si>
    <t>Empadr. Histórico y envíos dinero</t>
  </si>
  <si>
    <t>0075-0679-71-0604053380</t>
  </si>
  <si>
    <t>A lo mejor deniegan por medios económicos. No Declaración mujer</t>
  </si>
  <si>
    <t>Y8625863A</t>
  </si>
  <si>
    <t>040020210006756</t>
  </si>
  <si>
    <t>040020210006746</t>
  </si>
  <si>
    <t>Y8625633A</t>
  </si>
  <si>
    <t>Declaración</t>
  </si>
  <si>
    <t>040020210006651</t>
  </si>
  <si>
    <t>Y1050556E</t>
  </si>
  <si>
    <t>040020210006641</t>
  </si>
  <si>
    <t>Y8624124N</t>
  </si>
  <si>
    <t>040020210006659</t>
  </si>
  <si>
    <t>Y8616947B</t>
  </si>
  <si>
    <t>040020210006266</t>
  </si>
  <si>
    <t>Y8627818A</t>
  </si>
  <si>
    <t>040020210006869</t>
  </si>
  <si>
    <t>Y8627324S</t>
  </si>
  <si>
    <t>040020210006840</t>
  </si>
  <si>
    <t>Y8629099L</t>
  </si>
  <si>
    <t>040020210006950</t>
  </si>
  <si>
    <t>FAVORABLE 23/04/2021</t>
  </si>
  <si>
    <t>Solicitud y tramitación Cita huella LAMINE DIOUF</t>
  </si>
  <si>
    <t>AGRICOLA LOS MARJALES S.L.</t>
  </si>
  <si>
    <t>Ctra. Malaga</t>
  </si>
  <si>
    <t>Tramitación Renovación Autorización Residencia y Trabajo EKATERINA GIMRANOVA</t>
  </si>
  <si>
    <t>Y4867873Y</t>
  </si>
  <si>
    <t>049920210001838</t>
  </si>
  <si>
    <t>27518897H</t>
  </si>
  <si>
    <t>JOSE MANUEL BAÑOS CARA</t>
  </si>
  <si>
    <t>C/ Lanzarote, nº 11</t>
  </si>
  <si>
    <t>Tramitación Arraigo Social OUSMANE KANTE</t>
  </si>
  <si>
    <t>Tasa y certificado penales</t>
  </si>
  <si>
    <t>241527226G</t>
  </si>
  <si>
    <t>C/ Querubines, 3</t>
  </si>
  <si>
    <t>Tramitación CA Inicial NAOUFAL EL AMMARI</t>
  </si>
  <si>
    <t>Tramitación CA Inicial MALIKA AIT-OUDDI</t>
  </si>
  <si>
    <t>Tasas e informe vida laboral</t>
  </si>
  <si>
    <t>Y8611496B</t>
  </si>
  <si>
    <t>040020210006021</t>
  </si>
  <si>
    <t>Tramitación Recurso Potestativo de Reposición KHALID EDDIB</t>
  </si>
  <si>
    <t>AGRICOLA ESCOGRANADOS, SL</t>
  </si>
  <si>
    <t>Tramitación CA Inicial HAFIDA ABDELGHADI</t>
  </si>
  <si>
    <t>Tasas y certf. Consulado</t>
  </si>
  <si>
    <t>Tramitación CA Inicial MOHAMMED AIT-HSSAIN</t>
  </si>
  <si>
    <t>54097224M</t>
  </si>
  <si>
    <t>C/ Prisma, nº 6, bj, F</t>
  </si>
  <si>
    <t>Tramitación CA Inicial SAIKOU GIKINEH</t>
  </si>
  <si>
    <t>Tasas, cert. Nacimiento y certif. estar al corriente</t>
  </si>
  <si>
    <t>Coprohnijar (Carmen)</t>
  </si>
  <si>
    <t>C/ Principe de Asturias, nº 39</t>
  </si>
  <si>
    <t>Tramitación Arraigo Social ALY COULIBALY</t>
  </si>
  <si>
    <t>Tasa y alguna prueba?</t>
  </si>
  <si>
    <t>34855412Q</t>
  </si>
  <si>
    <t>ANTONIO SIMON ENRIQUE VAZQUEZ</t>
  </si>
  <si>
    <t>C/ Abraham Olano, nº 11</t>
  </si>
  <si>
    <t>Parador Hortichuelas - El Ejido</t>
  </si>
  <si>
    <t>Tramitación Arraigo Social ISHAQ KOLAWOLE IMAM</t>
  </si>
  <si>
    <t>Tasa, pasaporte y pruebas</t>
  </si>
  <si>
    <t>C/ Motores, nº 35</t>
  </si>
  <si>
    <t>San Agustín - El Ejido</t>
  </si>
  <si>
    <t>Tramitación Arraigo Social SOULE CAMARA</t>
  </si>
  <si>
    <t>FAVORABLE 28/04/2021</t>
  </si>
  <si>
    <t>FAVORABLE 29/04/2021</t>
  </si>
  <si>
    <t>FAVORABLE 27/04/2021</t>
  </si>
  <si>
    <t>Tramitación Renovación Residencia Larga Duración SABRINES BOUKRAA</t>
  </si>
  <si>
    <t>75238504F</t>
  </si>
  <si>
    <t>ANGEL MANUEL CAÑADAS MUYOR</t>
  </si>
  <si>
    <t>Tramitación Arraigo Social DEMBA COLY</t>
  </si>
  <si>
    <t>040020210007340</t>
  </si>
  <si>
    <t>Y8634221N</t>
  </si>
  <si>
    <t>Y8638824S</t>
  </si>
  <si>
    <t>040020210007562</t>
  </si>
  <si>
    <t xml:space="preserve">C/ Cortijillos, Nº 37 </t>
  </si>
  <si>
    <t>ramitación Recurso Potestativo de Reposición Mª GUMERCINDA MARQUINA ESCOBEDO DE SANCHEZ</t>
  </si>
  <si>
    <t>040020210007560</t>
  </si>
  <si>
    <t>040020210007565</t>
  </si>
  <si>
    <t>FAVORABLE 26/04/2021</t>
  </si>
  <si>
    <t>NO FAVORABLE 29/04/2021</t>
  </si>
  <si>
    <t>040020210007002</t>
  </si>
  <si>
    <t>75234276B</t>
  </si>
  <si>
    <t>SERAFIN DE HARO LOPEZ</t>
  </si>
  <si>
    <t>C/ Magisterio, 12, 3A</t>
  </si>
  <si>
    <t>Tramitación Arraigo Social BABOUCAR NDONG</t>
  </si>
  <si>
    <t>F04304218</t>
  </si>
  <si>
    <t xml:space="preserve">PG Industrial Los Llanos </t>
  </si>
  <si>
    <t xml:space="preserve">Tramitación Arraigo Social VITALII KRASOV </t>
  </si>
  <si>
    <t>Tasa, Escritura, contrato firmado y más pruebas</t>
  </si>
  <si>
    <t>AMADOU JALLOW</t>
  </si>
  <si>
    <t>C/ San Julian, nº 6</t>
  </si>
  <si>
    <t>Tramitación Arraigo Social AMADOU JALLOW</t>
  </si>
  <si>
    <t>NO FAVORABLE 27/04/2021</t>
  </si>
  <si>
    <t>Pruebas e informe arraigo</t>
  </si>
  <si>
    <t>Y8626761G</t>
  </si>
  <si>
    <t>040020210006820</t>
  </si>
  <si>
    <t>Y8320774D</t>
  </si>
  <si>
    <t>040020210007413</t>
  </si>
  <si>
    <t>FAVORABLE 30/04/2021</t>
  </si>
  <si>
    <t>77154323H</t>
  </si>
  <si>
    <t>RUBEN MOYA PORTERO</t>
  </si>
  <si>
    <t>C/ Almanzora, nº 5</t>
  </si>
  <si>
    <t xml:space="preserve">Venta Gaspar </t>
  </si>
  <si>
    <t>Tramitación Arraigo Social MAGUETTE SOW</t>
  </si>
  <si>
    <t>Tasa y DNI</t>
  </si>
  <si>
    <t>Informe Inserción Social</t>
  </si>
  <si>
    <t>Certificado pareja hecho</t>
  </si>
  <si>
    <t>NO FAVORABLE 23/04/2021</t>
  </si>
  <si>
    <t>ramitación Recurso Potestativo de Reposición CLAUDIA PATRICIA JIMENEZ ARTUNDUAGA</t>
  </si>
  <si>
    <t>X7983692R</t>
  </si>
  <si>
    <t>FAVORABLE 05/05/2021</t>
  </si>
  <si>
    <t>FAVORABLE 06/05/2021</t>
  </si>
  <si>
    <t>Y8650959Y</t>
  </si>
  <si>
    <t>040020210008220</t>
  </si>
  <si>
    <t>040020210004392</t>
  </si>
  <si>
    <t>040020210007693</t>
  </si>
  <si>
    <t>FAVORABLE 03/05/2021</t>
  </si>
  <si>
    <t>FAVORABLE 07/05/2021</t>
  </si>
  <si>
    <t>Y8641399Z</t>
  </si>
  <si>
    <t>040020210007706</t>
  </si>
  <si>
    <t>040020210007732</t>
  </si>
  <si>
    <t>040020210007860</t>
  </si>
  <si>
    <t>Y8643316E</t>
  </si>
  <si>
    <t>040020210008527</t>
  </si>
  <si>
    <t>Y8645540S</t>
  </si>
  <si>
    <t>040020210007997</t>
  </si>
  <si>
    <t>040020210007799</t>
  </si>
  <si>
    <t>Y8642481S</t>
  </si>
  <si>
    <t>Y5481028G</t>
  </si>
  <si>
    <t>040020210008369</t>
  </si>
  <si>
    <t>Y7649123G</t>
  </si>
  <si>
    <t>040020210008234</t>
  </si>
  <si>
    <t>Y8653877A</t>
  </si>
  <si>
    <t>040020210008351</t>
  </si>
  <si>
    <t>Tramitación Cita huella KOUDOU ALEXIS ZAGADOU</t>
  </si>
  <si>
    <t>X1047725Y</t>
  </si>
  <si>
    <t>FAVORABLE 10/05/2021</t>
  </si>
  <si>
    <t>Tramitación Certificado Registro Comunitario LUCIAN DRILEA</t>
  </si>
  <si>
    <t>Tramitación Certificado Registro Comunitario LUMINITA DRILEA</t>
  </si>
  <si>
    <t>040020210008641</t>
  </si>
  <si>
    <t>040020210008239</t>
  </si>
  <si>
    <t>Y8651363L</t>
  </si>
  <si>
    <t>040020210008643</t>
  </si>
  <si>
    <t>Y8659684Z</t>
  </si>
  <si>
    <t>040020210008645</t>
  </si>
  <si>
    <t>Y8659694R</t>
  </si>
  <si>
    <t>44665836C</t>
  </si>
  <si>
    <t>SILVIA MARIA MARTINEZ HUESO</t>
  </si>
  <si>
    <t>C/Butiplaya, nº 7, ESC. 1, 3º 3</t>
  </si>
  <si>
    <t>Mijas (Málaga)</t>
  </si>
  <si>
    <t>Tramitación Arraigo Social IBRAHIMA KEITA</t>
  </si>
  <si>
    <t>I. Arraigo, Penales y alta empresa</t>
  </si>
  <si>
    <t>75722441R</t>
  </si>
  <si>
    <t>C/ Aguila, nº 48</t>
  </si>
  <si>
    <t>Tramitación Renovación Autorización Residencia y Trabajo MOHAMMED HARROU</t>
  </si>
  <si>
    <t>Y8052531S</t>
  </si>
  <si>
    <t>049920210002614</t>
  </si>
  <si>
    <t>DOMICILIAR</t>
  </si>
  <si>
    <t>Y6474238M</t>
  </si>
  <si>
    <t>040020210009074</t>
  </si>
  <si>
    <t>FAVORABLE 12/05/2021</t>
  </si>
  <si>
    <t>Tramitación Renovación Autorización Residencia y Trabajo KASSEM ELHESYNY</t>
  </si>
  <si>
    <t>Y8674932J</t>
  </si>
  <si>
    <t>040020210009358</t>
  </si>
  <si>
    <t>Y8674907B</t>
  </si>
  <si>
    <t>040020210009355</t>
  </si>
  <si>
    <t>Y7644080K</t>
  </si>
  <si>
    <t>040020210009064</t>
  </si>
  <si>
    <t>Y8677607C</t>
  </si>
  <si>
    <t>Tramitación CA Inicial PAPA SYLLAH</t>
  </si>
  <si>
    <t>Tasas, contrato fdo, memoria fda, ivas</t>
  </si>
  <si>
    <t>Resguardo arraigo 15/03</t>
  </si>
  <si>
    <t>FAVORABLE 17/05/2021</t>
  </si>
  <si>
    <t>FAVORABLE 13/05/2021</t>
  </si>
  <si>
    <t>AGRICOLA LOS MARJALES, SL</t>
  </si>
  <si>
    <t>Paseo Pedro Ponce, 115</t>
  </si>
  <si>
    <t>Tramitación CA Inicial EL MILOUD BOUAZZAOUI</t>
  </si>
  <si>
    <t>Tasas, CIF</t>
  </si>
  <si>
    <t>27507038G</t>
  </si>
  <si>
    <t>EMILIA MILAN LOPEZ</t>
  </si>
  <si>
    <t>C/ Andalucía, 13</t>
  </si>
  <si>
    <t>Tramitación CA Inicial FELIX OBENG BOSEA</t>
  </si>
  <si>
    <t>AGROVERDE, SCA</t>
  </si>
  <si>
    <t>C/Aragon, nº 34</t>
  </si>
  <si>
    <t>Tramitación CA Inicial MUSTAPHA NAAIJOU</t>
  </si>
  <si>
    <t>Tramitación Renovación Autorización Residencia y Trabajo EMMANUEL AMOASI ADDEY</t>
  </si>
  <si>
    <t>040020210009451</t>
  </si>
  <si>
    <t>Y7384421D</t>
  </si>
  <si>
    <t>040020210009695</t>
  </si>
  <si>
    <t>NO FAVORABLE 21/05/2021</t>
  </si>
  <si>
    <t>B04889168</t>
  </si>
  <si>
    <t>TIERRA AUREUS 2018, SL</t>
  </si>
  <si>
    <t>C/ Majestad, 61</t>
  </si>
  <si>
    <t>ramitación Recurso Potestativo de Reposición EL KHATTAB HMICHE</t>
  </si>
  <si>
    <t>X6847107F</t>
  </si>
  <si>
    <t>049920210002666</t>
  </si>
  <si>
    <t>040020210005935</t>
  </si>
  <si>
    <t>FAVORABLE 26/05/2021</t>
  </si>
  <si>
    <t>Y8687770V</t>
  </si>
  <si>
    <t>040020210010046</t>
  </si>
  <si>
    <t>Y8689698J</t>
  </si>
  <si>
    <t>040020210010164</t>
  </si>
  <si>
    <t>040020210010157</t>
  </si>
  <si>
    <t>Y8689514J</t>
  </si>
  <si>
    <t>UEPA, S.A.T.</t>
  </si>
  <si>
    <t>Tramitación Certificado Registro Comunitario CLAUDIA SOREATA</t>
  </si>
  <si>
    <t>Tramitación Certificado Registro Comunitario VANDANA SOREATA</t>
  </si>
  <si>
    <t>Tramitación CA Inicial NABILA LASGAA</t>
  </si>
  <si>
    <t>08907005W</t>
  </si>
  <si>
    <t>JUAN MANUEL ALFEREZ PEREZ</t>
  </si>
  <si>
    <t>AV. De la luz, nº 113</t>
  </si>
  <si>
    <t>Tramitación CA Inicial AICHA RAGGANI</t>
  </si>
  <si>
    <t>54098847H</t>
  </si>
  <si>
    <t>JOSE DANIEL MARTIN RODRIGUEZ</t>
  </si>
  <si>
    <t>C/ Abrucena, nº 100</t>
  </si>
  <si>
    <t>Tramitación Renovación Autorización Residencia y Trabajo ABOUBACAR BIRO YOULA</t>
  </si>
  <si>
    <t>189920210000766</t>
  </si>
  <si>
    <t>Prol La cumbre - Poligono 23</t>
  </si>
  <si>
    <t>Tramitación Renovación Residencia Larga Duración DJIBRIL SAMB</t>
  </si>
  <si>
    <t>049920210003284</t>
  </si>
  <si>
    <t>54101724C</t>
  </si>
  <si>
    <t>JAVIER AGUILERA CANO</t>
  </si>
  <si>
    <t>C/ Capitan, 32</t>
  </si>
  <si>
    <t>Tramitación Arraigo Social MAME BOURA BARRO</t>
  </si>
  <si>
    <t>04/05/2022 O 10/05/1996</t>
  </si>
  <si>
    <t>FAVORABLE 01/06/2021</t>
  </si>
  <si>
    <t>FAVORABLE 03/06/2021</t>
  </si>
  <si>
    <t>FAVORABLE 31/05/2021</t>
  </si>
  <si>
    <t>FAVORABLE 24/05/2021</t>
  </si>
  <si>
    <t>Y8694165H</t>
  </si>
  <si>
    <t>040020210010405</t>
  </si>
  <si>
    <t>Y8640931Y</t>
  </si>
  <si>
    <t>040020210007664</t>
  </si>
  <si>
    <t>Y8679388F</t>
  </si>
  <si>
    <t>040020210009569</t>
  </si>
  <si>
    <t>ANDRES VIEDMA RODRIGUEZ</t>
  </si>
  <si>
    <t>25672424P</t>
  </si>
  <si>
    <t>C/Comercio, nº 0</t>
  </si>
  <si>
    <t>Campohermoso - Nijar</t>
  </si>
  <si>
    <t>Tramitación Renovación Autorización Residencia y Trabajo OUSMAN MENDY</t>
  </si>
  <si>
    <t>Y6271114V</t>
  </si>
  <si>
    <t>049920210002674</t>
  </si>
  <si>
    <t>Y3970283Z</t>
  </si>
  <si>
    <t>MUSTAPHA BOUJNAN</t>
  </si>
  <si>
    <t>C/ Santa Rosa, nº 22, 3, C</t>
  </si>
  <si>
    <t>Tramitación Renovación Autorización Residencia y Trabajo MUSTAPHA BOUJNAN</t>
  </si>
  <si>
    <t>Denuncia, resolución, pago</t>
  </si>
  <si>
    <t>Tramitación Arraigo Social AISSATOU COLY</t>
  </si>
  <si>
    <t>causa baja laboral</t>
  </si>
  <si>
    <t>FAVORABLE 18/05/2021</t>
  </si>
  <si>
    <t>FAVORABLE 27/05/2021</t>
  </si>
  <si>
    <t>FAVORABLE 28/05/2021</t>
  </si>
  <si>
    <t>NO FAVORABLE 31/05/2021</t>
  </si>
  <si>
    <t>Tramitación Arraigo Social TRAORE FABOU</t>
  </si>
  <si>
    <t>YOVANY BENNETT BENITEZ</t>
  </si>
  <si>
    <t>C/ Union Europea, 39, 3º C</t>
  </si>
  <si>
    <t>Tramitación Renovación Autorización Residencia y Trabajo YOVANY BENNETT</t>
  </si>
  <si>
    <t xml:space="preserve">C/ Estrella del Sur, nº 9 </t>
  </si>
  <si>
    <t>Tramitación Reagrupación Familiar WIJDAN CHERKAOUI (Abdelaziz Cherkaoui)</t>
  </si>
  <si>
    <t>Tramitación Reagrupación Familiar SABAHE NASYR (Abdelaziz Cherkaoui)</t>
  </si>
  <si>
    <t>NO FAVORABLE 26/05/2021</t>
  </si>
  <si>
    <t>Tramitación Renovación Autorización Residencia y Trabajo MAMADOU KEITA</t>
  </si>
  <si>
    <t>Tramitación CA Inicial YUNUSA SISSOHO</t>
  </si>
  <si>
    <t>049920210002450</t>
  </si>
  <si>
    <t>Tasas, IVA</t>
  </si>
  <si>
    <t>FAVORABLE 09/06/2021</t>
  </si>
  <si>
    <t>Y8708791Q</t>
  </si>
  <si>
    <t>040020210011063</t>
  </si>
  <si>
    <t>X9588183N</t>
  </si>
  <si>
    <t>040020210011009</t>
  </si>
  <si>
    <t>Tramitación Renovación Autorización Residencia y Trabajo ABLAYE NIANG</t>
  </si>
  <si>
    <t>049920210002218</t>
  </si>
  <si>
    <t>Y8708661R</t>
  </si>
  <si>
    <t>040020210011054</t>
  </si>
  <si>
    <t>040020210011324</t>
  </si>
  <si>
    <t>Y4656013E</t>
  </si>
  <si>
    <t>040020210011374</t>
  </si>
  <si>
    <t>FAVORABLE 10/06/2021</t>
  </si>
  <si>
    <t>FAVORABLE 02/06/2021</t>
  </si>
  <si>
    <t>nie CONYUGE</t>
  </si>
  <si>
    <t>Y8716580P</t>
  </si>
  <si>
    <t>040020210011432</t>
  </si>
  <si>
    <t>Asesoría Bafersa</t>
  </si>
  <si>
    <t>C/ Alba, nº 6</t>
  </si>
  <si>
    <t>Tramitación Arraigo Social IMAD AABIDATE</t>
  </si>
  <si>
    <t>Tramitación Arraigo Social BABACAR FAYE</t>
  </si>
  <si>
    <t>53711448P</t>
  </si>
  <si>
    <t>JOSE EMILIO VARGAS SANCHEZ</t>
  </si>
  <si>
    <t>C/ Juan Gris, nº 15</t>
  </si>
  <si>
    <t>Tramitación CA Inicial IHSSANE AL FAJLA</t>
  </si>
  <si>
    <t>Tramitación Recurso Potestativo de Reposición MAOULA NIAKATE</t>
  </si>
  <si>
    <t>pjcanetemunoz@hotmail.com.</t>
  </si>
  <si>
    <t>NO FAVORABLE 22/06/2021</t>
  </si>
  <si>
    <t>FAVORABLE 16/06/2021</t>
  </si>
  <si>
    <t>C/ Sorbas, nº 19</t>
  </si>
  <si>
    <t>Tramitación Arraigo Social KWAME TWENE</t>
  </si>
  <si>
    <t>Tasa Y Cert. Penales</t>
  </si>
  <si>
    <t>Tramitación CA Inicial AHLAME LAHFAYA</t>
  </si>
  <si>
    <t>Tramitación CA Inicial OMAR ENNEJAIY</t>
  </si>
  <si>
    <t>Tasas y DOC. empresa</t>
  </si>
  <si>
    <t>FAVORABLE 14/06/2021</t>
  </si>
  <si>
    <t>Y8722932N</t>
  </si>
  <si>
    <t>040020210011665</t>
  </si>
  <si>
    <t>Y8722897T</t>
  </si>
  <si>
    <t>040020210011663</t>
  </si>
  <si>
    <t>FAVORABLE 18/06/2021</t>
  </si>
  <si>
    <t>FAVORABLE 21/06/2021</t>
  </si>
  <si>
    <t>Tramitación Reagrupación Familiar NASSIROU SALBRE</t>
  </si>
  <si>
    <t>Y8736607W</t>
  </si>
  <si>
    <t>040020210012190</t>
  </si>
  <si>
    <t>040020210010024</t>
  </si>
  <si>
    <t>Tramitación Renovación Autorización Residencia Larga Duración-UE AMADOU DIALLO</t>
  </si>
  <si>
    <t>53710828D</t>
  </si>
  <si>
    <t>CECILIO FERNANDEZ VARGAS</t>
  </si>
  <si>
    <t>C/ Dalias, nº 40</t>
  </si>
  <si>
    <t>Tramitación CA Inicial MOHAMMED EL MAMOUNI</t>
  </si>
  <si>
    <t>500020210007671</t>
  </si>
  <si>
    <t>Y8110519C</t>
  </si>
  <si>
    <t>FAVORABLE 15/06/2021</t>
  </si>
  <si>
    <t>040020210012343</t>
  </si>
  <si>
    <t>Y8616449L</t>
  </si>
  <si>
    <t>NO FAVORABLE 23/06/2021</t>
  </si>
  <si>
    <t>FAVORABLE 25/06/2021</t>
  </si>
  <si>
    <t>Y4311979E</t>
  </si>
  <si>
    <t>Tramitación Renovación Autorización Residencia y Trabajo AHMED RHALI</t>
  </si>
  <si>
    <t>040020210012752</t>
  </si>
  <si>
    <t>Y8739123B</t>
  </si>
  <si>
    <t>FAVORABLE 22/06/2021</t>
  </si>
  <si>
    <t>Tramitación Arraigo Social PAUL DUAH</t>
  </si>
  <si>
    <t>Puede denegarse por no considerar los envíos de dinero. No tiene más pruebas</t>
  </si>
  <si>
    <t>Tramitación Arraigo Social BRAHIM TAIBI</t>
  </si>
  <si>
    <t>Tasa y contrato trabajo</t>
  </si>
  <si>
    <t>34862717F</t>
  </si>
  <si>
    <t>JORGE MANUEL ESCUDERO OCAÑA</t>
  </si>
  <si>
    <t>C/ Puesto Suarez, nº 69</t>
  </si>
  <si>
    <t>Tramitación CA Inicial NOR-EDDINE OUAISSA</t>
  </si>
  <si>
    <t>Tramitación Arraigo Social ALLE GUEYE</t>
  </si>
  <si>
    <t>75237073W</t>
  </si>
  <si>
    <t>DIEGO JESUS FENOY CASADO</t>
  </si>
  <si>
    <t>Tramitación Arraigo Social WILLIAMS KWADWO GYAMFI</t>
  </si>
  <si>
    <t>Tramitación Arraigo Social DRISS FOUHA</t>
  </si>
  <si>
    <t>Tramitación CA Inicial FATI HALIDU</t>
  </si>
  <si>
    <t>Tasas y nuevo I.S.</t>
  </si>
  <si>
    <t>Periodos de pruebas cubiertos por Western Union</t>
  </si>
  <si>
    <t>Tramitación Arraigo Social JOHN TAYLOR</t>
  </si>
  <si>
    <t>Tasa, Pasaporte y certificado penales completo</t>
  </si>
  <si>
    <t>Tramitación Arraigo Social KEITA FAMAKANDING</t>
  </si>
  <si>
    <t>Y6517542T</t>
  </si>
  <si>
    <t>PILAR JASSIRI FERNANDEZ MARRUECOS</t>
  </si>
  <si>
    <t>049920210003186</t>
  </si>
  <si>
    <t>Tramitación Recurso de Reposición SAIKOU GIKINEH</t>
  </si>
  <si>
    <t>SOULEYMANE SAMBOU</t>
  </si>
  <si>
    <t xml:space="preserve">C/ Animas, nº 3, </t>
  </si>
  <si>
    <t>Tramitación Arraigo Social ABDELLAH EL HOUSSAINI</t>
  </si>
  <si>
    <t>Tasa, dni, penales y pasaporte</t>
  </si>
  <si>
    <t>Y5336626L</t>
  </si>
  <si>
    <t>MINETA CAMARA</t>
  </si>
  <si>
    <t>C/ Bullas, nº3b</t>
  </si>
  <si>
    <t>Tramitación Arraigo Laboral MINETA CAMARA</t>
  </si>
  <si>
    <t>Tramitación Residencia Menor nacido en España MAGUETTE NGOM</t>
  </si>
  <si>
    <t>Tramitación Residencia Menor nacido en España ALIOUNE DIONE NGOM</t>
  </si>
  <si>
    <t>Tramitación Arraigo Social RENE FRANCISCO RIVAS MARTINEZ</t>
  </si>
  <si>
    <t>Tasa, doc empresa</t>
  </si>
  <si>
    <t>Tramitación Tarjeta Residencia Familiar Ciudadano CARMEN LUISA SANCHEZ</t>
  </si>
  <si>
    <t>Just. Empadro. Nijar</t>
  </si>
  <si>
    <t>Tramitación Arraigo Social CLEMENT KWAME SAH</t>
  </si>
  <si>
    <t>Y8762045W</t>
  </si>
  <si>
    <t>040020210012979</t>
  </si>
  <si>
    <t>Y8762463Y</t>
  </si>
  <si>
    <t>040020210012992</t>
  </si>
  <si>
    <t>Tasa 062</t>
  </si>
  <si>
    <t>FAVORABLE 06/07/2021</t>
  </si>
  <si>
    <t>Tramitación Arraigo Social IMAD MAAZOUZI</t>
  </si>
  <si>
    <t>JUAN LEONEL GUERRERO CUENCA</t>
  </si>
  <si>
    <t>C/ Alquintera, nº 1, 2E</t>
  </si>
  <si>
    <t>Tramitación Renovación Autorización Residencia y Trabajo JUAN LEONEL GUERRERO CUENCA</t>
  </si>
  <si>
    <t>049920210003967</t>
  </si>
  <si>
    <t>FAVORABLE 08/07/2021</t>
  </si>
  <si>
    <t>Y8770019H</t>
  </si>
  <si>
    <t>040020210013139</t>
  </si>
  <si>
    <t>Y8770040Q</t>
  </si>
  <si>
    <t>040020210013141</t>
  </si>
  <si>
    <t>NO FAVORABLE 06/07/2021</t>
  </si>
  <si>
    <t>Y8773820R</t>
  </si>
  <si>
    <t>040020210013264</t>
  </si>
  <si>
    <t>Tramitación Renovación Autorización Residencia y Trabajo LASSANA NDOUR</t>
  </si>
  <si>
    <t>049920210004123</t>
  </si>
  <si>
    <t>JHONATAN XAVIER GUERRERO CUENCA</t>
  </si>
  <si>
    <t>Tramitación Renovación Autorización Residencia y Trabajo JHONATAN XAVIER GUERRERO CUENCA</t>
  </si>
  <si>
    <t>049920210003968</t>
  </si>
  <si>
    <t>Y0246299Y</t>
  </si>
  <si>
    <t>CHARLES OFORI</t>
  </si>
  <si>
    <t>C/ Rio Jugar, nº 2</t>
  </si>
  <si>
    <t>Tramitación Renovación Residencia Larga Duración-UE CHARLES OFORI</t>
  </si>
  <si>
    <t>Tramitación Renovación Autorización Residencia y Trabajo OMAR MOUSSAOUI</t>
  </si>
  <si>
    <t>049920210003456</t>
  </si>
  <si>
    <t>Tramitación Renovación Autorización Residencia y Trabajo AHMED TIMEJELINE</t>
  </si>
  <si>
    <t>049920210003675</t>
  </si>
  <si>
    <t>enviar a Antonio</t>
  </si>
  <si>
    <t>Tramitación Arraigo Social ABDELALI LOURIZ</t>
  </si>
  <si>
    <t>enviar a Juan José</t>
  </si>
  <si>
    <t>Tramitación CA Inicial MUSTAPHA MINTEH</t>
  </si>
  <si>
    <t>Tasas e impuesto sociedades</t>
  </si>
  <si>
    <t>Pruebas Julio 2018- marzo 2019</t>
  </si>
  <si>
    <t>Y8773545W</t>
  </si>
  <si>
    <t>040020210013246</t>
  </si>
  <si>
    <t>NO FAVORABLE 19/07/2021</t>
  </si>
  <si>
    <t>Cabasc</t>
  </si>
  <si>
    <t>54144666K</t>
  </si>
  <si>
    <t>ALEJANDRO HIDALGO GOMEZ</t>
  </si>
  <si>
    <t>C/ Sirena, nº 3</t>
  </si>
  <si>
    <t>Tramitación Arraigo Social AYADDIM EL HASSANE</t>
  </si>
  <si>
    <t>Y8790366X</t>
  </si>
  <si>
    <t>040020210013630</t>
  </si>
  <si>
    <t>Y8790982M</t>
  </si>
  <si>
    <t>040020210013652</t>
  </si>
  <si>
    <t>Y8791010X</t>
  </si>
  <si>
    <t>040020210013653</t>
  </si>
  <si>
    <t>Y8068744J</t>
  </si>
  <si>
    <t>040020210013642</t>
  </si>
  <si>
    <t>049920210002707</t>
  </si>
  <si>
    <t>049920210003322</t>
  </si>
  <si>
    <t>Tramitación Renovación Autorización Residencia y Trabajo SIHAM JALDA</t>
  </si>
  <si>
    <t>MAMADOU FAYE</t>
  </si>
  <si>
    <t>C/ El Palmeral, nº 12, Piso 2 puerta B</t>
  </si>
  <si>
    <t>Tramitación Arraigo Social MAMADOU FAYE</t>
  </si>
  <si>
    <t>Tramitación Arraigo Social HICHAM EL HAJJAOUI</t>
  </si>
  <si>
    <t>040020210011755</t>
  </si>
  <si>
    <t>040020210013389</t>
  </si>
  <si>
    <t>FAVORABLE 21/07/2021</t>
  </si>
  <si>
    <t>Tramitación Renovación Autorización Residencia y Trabajo HAKIMA LAOURRAYCHI</t>
  </si>
  <si>
    <t>049920210004428</t>
  </si>
  <si>
    <t>08906052S</t>
  </si>
  <si>
    <t>JOSE MOLINA AGUILERA</t>
  </si>
  <si>
    <t>Paseo las Lomas, nº 105</t>
  </si>
  <si>
    <t>FAVORABLE 16/07/2021</t>
  </si>
  <si>
    <t>Tramitación Arraigo Social SOULEYMANE SAMBOU</t>
  </si>
  <si>
    <t>54460295K</t>
  </si>
  <si>
    <t>JULIO ALEXANDRE MARCELO DE LOS SANTOS</t>
  </si>
  <si>
    <t>C/ Tulipanes, nº 3, Piso 2, Puerta C</t>
  </si>
  <si>
    <t>Tramitación Carta de Invitación CRISTHIAN ALEXANDEL MARCELO VALDEZ</t>
  </si>
  <si>
    <t>040020210013760</t>
  </si>
  <si>
    <t>Y8796504F</t>
  </si>
  <si>
    <t>Tramitación CA Inicial BAHIJA MOHATI</t>
  </si>
  <si>
    <t>B04765012</t>
  </si>
  <si>
    <t>AGRICOLAS LAIMUND SL</t>
  </si>
  <si>
    <t>Avda Nicolas Salmeron, nº 69</t>
  </si>
  <si>
    <t>Tramitación Arraigo Social MOHAMMED FAYE</t>
  </si>
  <si>
    <t>Tasa y alguna prueba</t>
  </si>
  <si>
    <t>Tramitación Renovación Autorización Residencia y Trabajo BRAHIM AABAOUI</t>
  </si>
  <si>
    <t>049920210004318</t>
  </si>
  <si>
    <t>Tramitación Arraigo Social BOUBACAR SIDIKI TRAORE</t>
  </si>
  <si>
    <t>FAVORABLE 27/07/2021</t>
  </si>
  <si>
    <t>040020210013902</t>
  </si>
  <si>
    <t>686 57 92 33</t>
  </si>
  <si>
    <t>Tramitación CA Inicial ABDELGHANI ENNACHAT</t>
  </si>
  <si>
    <t>Tramitación CA Inicial CHAHIDA AROUSS</t>
  </si>
  <si>
    <t>X8138643R</t>
  </si>
  <si>
    <t>SEYNI WADE</t>
  </si>
  <si>
    <t>C/ Veintiocho de Febrero, nº 14 , piso 1, puerta A</t>
  </si>
  <si>
    <t>Tramitación Reagrupación Familiar MARIETOU NDIAYE</t>
  </si>
  <si>
    <t>Tasa y certificado matri</t>
  </si>
  <si>
    <t>Tramitación Reagrupación Familiar CHEIKH WADE</t>
  </si>
  <si>
    <t>Tramitación Renovación Autorización Residencia y Trabajo YUSLEIDI SIGLER LOPEZ</t>
  </si>
  <si>
    <t>049920210004538</t>
  </si>
  <si>
    <t>Tramitación Renovación Autorización Menor no Nacido en España VALERIA BENNETT SIGLER</t>
  </si>
  <si>
    <t>Nóminas padre</t>
  </si>
  <si>
    <t>049920210004481</t>
  </si>
  <si>
    <t>Av. Cabo de gata, nº 126, piso 3, puerta 2</t>
  </si>
  <si>
    <t>Tramitación Prórroga Autorización Estancia por Estudios DIANA PATRICIA JIMENEZ MUÑOZ</t>
  </si>
  <si>
    <t>Tramitación Prórroga Estancia familiar estudiante ISAAC ECHEVERRI JIMENEZ</t>
  </si>
  <si>
    <t>049920210003523</t>
  </si>
  <si>
    <t>Empadronamiento, Escrito Universidad, certificado matrimonio apostillado, certificado calificaciones, seguro Adeslas</t>
  </si>
  <si>
    <t>Empadronamiento,seguro Adeslas</t>
  </si>
  <si>
    <t>049920210004453</t>
  </si>
  <si>
    <t>049920210004565</t>
  </si>
  <si>
    <t>DOUDOU DIOUF</t>
  </si>
  <si>
    <t>Paraje La vega, nº 23</t>
  </si>
  <si>
    <t>Tramitación Arraigo Social DOUDOU DIOUF</t>
  </si>
  <si>
    <t>Tasa, revisar pruebas por si acaso</t>
  </si>
  <si>
    <t>Tramitación Arraigo Laboral PORTIA FOSU</t>
  </si>
  <si>
    <r>
      <t xml:space="preserve">Tasa, </t>
    </r>
    <r>
      <rPr>
        <sz val="11"/>
        <color indexed="10"/>
        <rFont val="Calibri"/>
        <family val="2"/>
      </rPr>
      <t>cert. Penales nuevo</t>
    </r>
  </si>
  <si>
    <t>FAVORABLE 30/07/2021</t>
  </si>
  <si>
    <t>NO FAVORABLE 02/08/2021</t>
  </si>
  <si>
    <t>Tramitación Renovación Autorización Residencia y Trabajo BARA GUEYE YADE</t>
  </si>
  <si>
    <t>049920210003468</t>
  </si>
  <si>
    <t>Oblig. S.S.</t>
  </si>
  <si>
    <t>FAVORABLE 09/07/2021</t>
  </si>
  <si>
    <t>NO FAVORABLE 03/08/2021</t>
  </si>
  <si>
    <t>FAVORABLE 03/08/2021</t>
  </si>
  <si>
    <t>FAVORABLE 06/08/2021</t>
  </si>
  <si>
    <t>Y8830315P</t>
  </si>
  <si>
    <t>040020210014705</t>
  </si>
  <si>
    <t>Y8830253S</t>
  </si>
  <si>
    <t>040020210014701</t>
  </si>
  <si>
    <t>040020210015201</t>
  </si>
  <si>
    <t>Y8842562L</t>
  </si>
  <si>
    <t>040020210015110</t>
  </si>
  <si>
    <t>76657310N</t>
  </si>
  <si>
    <t>LUIS ALVARO MOYA-ANGELER LOPEZ</t>
  </si>
  <si>
    <t>Paseo Alcalde García Acien, nº 68, piso 4 puerta B</t>
  </si>
  <si>
    <t>Tramitación Arraigo Social BAKARY SISSOKO</t>
  </si>
  <si>
    <t>Tasa y mas pruebas</t>
  </si>
  <si>
    <t>040020210015040</t>
  </si>
  <si>
    <t>Y8841194P</t>
  </si>
  <si>
    <t>FAVORABLE 10/08/2021</t>
  </si>
  <si>
    <t>FAVORABLE 11/08/2021</t>
  </si>
  <si>
    <t>Y4381438K</t>
  </si>
  <si>
    <t>040020210015147</t>
  </si>
  <si>
    <t>Y8565330Y</t>
  </si>
  <si>
    <t>040020210015257</t>
  </si>
  <si>
    <t>Y8852406L</t>
  </si>
  <si>
    <t>040020210015296</t>
  </si>
  <si>
    <t>FAVORABLE 12/08/2021</t>
  </si>
  <si>
    <t>FAVORABLE 19/08/2021</t>
  </si>
  <si>
    <t>Tramitación Arraigo Social SISSOKO DJIGUIBA</t>
  </si>
  <si>
    <t>FAVORABLE 18/08/2021</t>
  </si>
  <si>
    <t>FAVORABLE 02/08/2021</t>
  </si>
  <si>
    <t>Tramitación CA Inicial YAYE SOUCKO</t>
  </si>
  <si>
    <t>Contrato de trabajo, escritura</t>
  </si>
  <si>
    <t>Tramitación Recurso de Reposición MOHAMMED HARROU</t>
  </si>
  <si>
    <t>Tramitación Recurso de Reposición ALY COULIBALY</t>
  </si>
  <si>
    <t>Tramitación Recurso de Reposición ISHAQ KOLAWOLE IMAM</t>
  </si>
  <si>
    <t>FAVORABLE 13/08/2021</t>
  </si>
  <si>
    <t>FAVORABLE 20/08/2021</t>
  </si>
  <si>
    <t>040020210015522</t>
  </si>
  <si>
    <t>FAVORABLE 23/08/2021</t>
  </si>
  <si>
    <t>FAVORABLE 24/08/2021</t>
  </si>
  <si>
    <t>Tramitación CA Inicial ABOU DIAKITE</t>
  </si>
  <si>
    <t xml:space="preserve">Tasas </t>
  </si>
  <si>
    <t>NO FAVORABLE 18/08/2021</t>
  </si>
  <si>
    <t>Y8864803L</t>
  </si>
  <si>
    <t>040020210015648</t>
  </si>
  <si>
    <t>040020210015621</t>
  </si>
  <si>
    <t>Y8870941Q</t>
  </si>
  <si>
    <t>040020210015799</t>
  </si>
  <si>
    <t>Y8870356Y</t>
  </si>
  <si>
    <t>040020210015776</t>
  </si>
  <si>
    <t>Y8619666Q</t>
  </si>
  <si>
    <t>040020210015740</t>
  </si>
  <si>
    <t>Tramitación Renovación Autorización Residencia y Trabajo SIRANDOU TRAORE</t>
  </si>
  <si>
    <t>049920210004558</t>
  </si>
  <si>
    <t>FAVORABLE 30/08/2021</t>
  </si>
  <si>
    <t>040020210014439</t>
  </si>
  <si>
    <t>NO FAVORABLE 23/08/2021</t>
  </si>
  <si>
    <t>53711022L</t>
  </si>
  <si>
    <t>MARIA CLEMENTINA ROMERA ORTIZ</t>
  </si>
  <si>
    <t xml:space="preserve">Bulevar Ciudad de Vicar, nº 547 </t>
  </si>
  <si>
    <t>Tramitación Arraigo Social NOZHA EZ ZARHOUNI</t>
  </si>
  <si>
    <t>Tasa, DNI empresaria</t>
  </si>
  <si>
    <t>FAVORABLE 31/08/2021</t>
  </si>
  <si>
    <t>B04768644</t>
  </si>
  <si>
    <t>EXPLOTACIONES AGRICOLAS PEREZ NAVARRO, SL</t>
  </si>
  <si>
    <t>C/ Barlovento, nº 85</t>
  </si>
  <si>
    <t>Tramitación Arraigo Social LAHCEN GRAINE</t>
  </si>
  <si>
    <t xml:space="preserve">Tasa, escrito </t>
  </si>
  <si>
    <t>X8246025L</t>
  </si>
  <si>
    <t>040020210016118</t>
  </si>
  <si>
    <t>Tramitación CA Inicial MOHAMMED AANZI</t>
  </si>
  <si>
    <t>040020210014151</t>
  </si>
  <si>
    <t>040020210013605</t>
  </si>
  <si>
    <t>040020210014054</t>
  </si>
  <si>
    <t>MULTIFRUCTICOLA MONLU, SL</t>
  </si>
  <si>
    <t>C/ Azahar, nº 1</t>
  </si>
  <si>
    <t>Tramitación Requerimiento HAROUNA NIKIEMA</t>
  </si>
  <si>
    <t>Y8870999M</t>
  </si>
  <si>
    <t>040020210015801</t>
  </si>
  <si>
    <t>ENVIAR MAIL</t>
  </si>
  <si>
    <t>MAMADOU SANE</t>
  </si>
  <si>
    <t>C/ Rio Andarax, nº 2, 3º 1</t>
  </si>
  <si>
    <t>Tramitación Arraigo Social MAMADOU SANE</t>
  </si>
  <si>
    <t>Tramitación Recurso Reposición JESSENIA ARACELY USHIÑA CATAGÑA</t>
  </si>
  <si>
    <r>
      <t xml:space="preserve">Empadronamiento, </t>
    </r>
    <r>
      <rPr>
        <sz val="11"/>
        <color indexed="62"/>
        <rFont val="Calibri"/>
        <family val="2"/>
      </rPr>
      <t>Matriculación nuevo curso</t>
    </r>
    <r>
      <rPr>
        <sz val="11"/>
        <color indexed="8"/>
        <rFont val="Calibri"/>
        <family val="2"/>
      </rPr>
      <t>, tarjeta sanitaria</t>
    </r>
  </si>
  <si>
    <t>Y8789040H</t>
  </si>
  <si>
    <t>Y8809174G</t>
  </si>
  <si>
    <t>Y8812988T</t>
  </si>
  <si>
    <t>Y8892909L</t>
  </si>
  <si>
    <t>040020210016405</t>
  </si>
  <si>
    <t>040020210016381</t>
  </si>
  <si>
    <t>Y5758457F</t>
  </si>
  <si>
    <t>040020210016183</t>
  </si>
  <si>
    <t>Y8897413S</t>
  </si>
  <si>
    <t>040020210016498</t>
  </si>
  <si>
    <t>Y8886041M</t>
  </si>
  <si>
    <t>040020210016223</t>
  </si>
  <si>
    <t>Tramitación Reagrupación Familiar ALASSANE WADE</t>
  </si>
  <si>
    <t>Y8885832A</t>
  </si>
  <si>
    <t>040020210016219</t>
  </si>
  <si>
    <t>Tramitación Arraigo Social FRANK BAAH</t>
  </si>
  <si>
    <t>NO FAVORABLE 31/08/2021</t>
  </si>
  <si>
    <t>FAVORABLE 06/09/2021</t>
  </si>
  <si>
    <t>Y8891759L</t>
  </si>
  <si>
    <t>040020210016390</t>
  </si>
  <si>
    <t>040020210016430</t>
  </si>
  <si>
    <t>X8991954N</t>
  </si>
  <si>
    <t>Y8893650R</t>
  </si>
  <si>
    <t>040020210016437</t>
  </si>
  <si>
    <t>040020210016840</t>
  </si>
  <si>
    <t>Empadronamiento</t>
  </si>
  <si>
    <t>NO FAVORABLE 06/09/2021</t>
  </si>
  <si>
    <t>FAVORABLE 09/09/2021</t>
  </si>
  <si>
    <t>FAVORABLE 10/09/2021</t>
  </si>
  <si>
    <t>X8704366Q</t>
  </si>
  <si>
    <t>ROMAISSA NOUROU</t>
  </si>
  <si>
    <t>Avda. De los Angeles, nº 69, 2º 1</t>
  </si>
  <si>
    <t>Tramitación Residencia Menor nacido en España AHMED YARTAOUI</t>
  </si>
  <si>
    <t>Tramitación Arraigo Social CHERKAOUI RBIHI</t>
  </si>
  <si>
    <t>nico.miralles@hotmail.com</t>
  </si>
  <si>
    <t xml:space="preserve">Tramitación Recurso de Reposición VITALII KRASOV </t>
  </si>
  <si>
    <t>luisalvaro.mal@gmail.com</t>
  </si>
  <si>
    <t>Y8914800Z</t>
  </si>
  <si>
    <t>040020210017010</t>
  </si>
  <si>
    <t>Y5812862V</t>
  </si>
  <si>
    <t>040020210016505</t>
  </si>
  <si>
    <t>Y8918607A</t>
  </si>
  <si>
    <t>040020210017092</t>
  </si>
  <si>
    <t>Y8927779K</t>
  </si>
  <si>
    <t>040020210017343</t>
  </si>
  <si>
    <t>27236466G</t>
  </si>
  <si>
    <t>MANUEL RODRIGUEZ MALDONADO</t>
  </si>
  <si>
    <t>C/ Juan Goytisolo Sur, nº 17</t>
  </si>
  <si>
    <t>Tramitación Arraigo Social YOUSSEF ZOUHRI</t>
  </si>
  <si>
    <t>54118877S</t>
  </si>
  <si>
    <t>FRANCISCO JAVIER ALVAREZ AMO</t>
  </si>
  <si>
    <t>C/ Lambda, nº 5</t>
  </si>
  <si>
    <t>Tramitación Arraigo Social MOUNIR CHAOUIDLI</t>
  </si>
  <si>
    <t>15428032T</t>
  </si>
  <si>
    <t>MIGUEL ANGEL VAZQUEZ ROSALES</t>
  </si>
  <si>
    <t>Ctra. Vinculo Bajo, SN</t>
  </si>
  <si>
    <t>Tramitación CA Inicial ABDOULAYE CORREA</t>
  </si>
  <si>
    <t>ABDELLAH EL HOUSSAINI</t>
  </si>
  <si>
    <t>Paraje Los Cazadores, nº 222 - 129</t>
  </si>
  <si>
    <t>ceci.fv@hotmail.com</t>
  </si>
  <si>
    <t>INADMISIÓN 13/09/2021</t>
  </si>
  <si>
    <t>Tramitación Renovación Autorización Residencia y Trabajo MARGARITA KUPRYAKHINA</t>
  </si>
  <si>
    <t>049920210005906</t>
  </si>
  <si>
    <t>Puede salir denegado 03072020 - 08022021</t>
  </si>
  <si>
    <t>Y8946557P</t>
  </si>
  <si>
    <t>Y8950203C</t>
  </si>
  <si>
    <t>040020210017948</t>
  </si>
  <si>
    <t>Y5650859A</t>
  </si>
  <si>
    <t>040020210017914</t>
  </si>
  <si>
    <t>FAVORABLE 22/09/2021</t>
  </si>
  <si>
    <t>Y8950325G</t>
  </si>
  <si>
    <t>040020210017958</t>
  </si>
  <si>
    <t>040020210017954</t>
  </si>
  <si>
    <t>Tramitación Modificación No Lucrativa a CA Inicial MOHAMED ED DARRYSY</t>
  </si>
  <si>
    <t>Y6250448M</t>
  </si>
  <si>
    <t>Tasa 052 2.2</t>
  </si>
  <si>
    <t>FAVORABLE 20/09/2021</t>
  </si>
  <si>
    <t>78036640D</t>
  </si>
  <si>
    <t>JOSE ANTONIO CALLEJON GOMEZ</t>
  </si>
  <si>
    <t>C/ Pais de Gales, nº 43, At. A</t>
  </si>
  <si>
    <t>Tramitación Arraigo Social RACHID ZOUHDI</t>
  </si>
  <si>
    <t>FAVORABLE 28/09/2021</t>
  </si>
  <si>
    <t>Tramitación Tarjeta Residencia Familiar Ciudadano UE BERNARDINO BENNETT</t>
  </si>
  <si>
    <t>Tramitación Tarjeta Residencia Familiar Ciudadano UE FELICIA DEBORAK BENITEZ</t>
  </si>
  <si>
    <t>C/ Neon, nº 11</t>
  </si>
  <si>
    <t>Tramitación CA Inicial RACHID BELKAID</t>
  </si>
  <si>
    <t>pacodelin@gmail.com</t>
  </si>
  <si>
    <t>anabel.hidalgo@gmail.com</t>
  </si>
  <si>
    <t>Tramitación CA Inicial AMY SAMB</t>
  </si>
  <si>
    <t>Y8969903D</t>
  </si>
  <si>
    <t>290020210017877</t>
  </si>
  <si>
    <t>FAVORABLE 27/09/2021</t>
  </si>
  <si>
    <t>040020210018900</t>
  </si>
  <si>
    <t>Tramitación Renovación Autorización Residencia y Trabajo YANCOUBA KONTA</t>
  </si>
  <si>
    <t>049920210004541</t>
  </si>
  <si>
    <t>040020210018271</t>
  </si>
  <si>
    <t>Y8964535T</t>
  </si>
  <si>
    <t>Y8972327H</t>
  </si>
  <si>
    <t>040020210018439</t>
  </si>
  <si>
    <t>Y2532442H</t>
  </si>
  <si>
    <t>040020210018510</t>
  </si>
  <si>
    <t>FAVORABLE 30/09/2021</t>
  </si>
  <si>
    <t>llopez@unicagroup.es</t>
  </si>
  <si>
    <t>tberenguel@coprohnijar.net</t>
  </si>
  <si>
    <t>laboral@bafersa.es</t>
  </si>
  <si>
    <t>laboral@fiscosur.com</t>
  </si>
  <si>
    <t>medios econ.</t>
  </si>
  <si>
    <t>jomake4@gmail.com</t>
  </si>
  <si>
    <t>elzo_12@hotmail.com</t>
  </si>
  <si>
    <t>C/ Alboloduy, nº 5, 2ºF</t>
  </si>
  <si>
    <t>Tramitación Renovación Autorización Residencia y Trabajo BELLA BAH</t>
  </si>
  <si>
    <t>049920210005808</t>
  </si>
  <si>
    <t>FAVORABLE 07/10/2021</t>
  </si>
  <si>
    <t>FAVORABLE 06/10/2021</t>
  </si>
  <si>
    <t>34855717E</t>
  </si>
  <si>
    <t>DIEGO CONTRERAS BARON</t>
  </si>
  <si>
    <t>Paraje Zoca, nº 10</t>
  </si>
  <si>
    <t>Tramitación Tarjeta Residencia Familiar Ciudadano Unión NILIEM MEYLÓN TERRY GASCÓN</t>
  </si>
  <si>
    <t>27489547Q</t>
  </si>
  <si>
    <t>FEDERICO MARTINEZ VENTAJA</t>
  </si>
  <si>
    <t>C/ La Palma, nº 19</t>
  </si>
  <si>
    <t>Tramitación CA Inicial FOUZIA ELABRAJ</t>
  </si>
  <si>
    <t>rico.fede.venta@gmail.com</t>
  </si>
  <si>
    <t>dcontrerasbaron@gmail.com</t>
  </si>
  <si>
    <t>alicia@bufetejuanramirez.com</t>
  </si>
  <si>
    <t>Tramitación Arraigo Social EMMANUEL ASIEDU</t>
  </si>
  <si>
    <t>Externo (Jose Angel)</t>
  </si>
  <si>
    <t>MHAMED EMAANGAF</t>
  </si>
  <si>
    <t>Paraje Los Martinez, Los hornilos POL. 158, PAR. 31</t>
  </si>
  <si>
    <t>jagroamis@gmail.com</t>
  </si>
  <si>
    <t>Tramitación Arraigo Social MHAMED EMAANGAF</t>
  </si>
  <si>
    <t>X6786574X</t>
  </si>
  <si>
    <t>AHMED BERROUJ</t>
  </si>
  <si>
    <t>C/ Traiña, nº 10, 1º1</t>
  </si>
  <si>
    <t>Tramitación Reagrupación Familiar HOUDA EZZAHIRI</t>
  </si>
  <si>
    <t>FAVORABLE 13/10/2021</t>
  </si>
  <si>
    <t>NO FAVORABLE 04/10/2021</t>
  </si>
  <si>
    <t>NO FAVORABLE 05/10/2021</t>
  </si>
  <si>
    <t>Sanfruit@hotmail.com</t>
  </si>
  <si>
    <t>Tramitación Renovación Autorización Residencia y Trabajo MODIBO KEITA</t>
  </si>
  <si>
    <t>049920210005244</t>
  </si>
  <si>
    <t>maricarmen18021967@gmail.com</t>
  </si>
  <si>
    <t>Tramitación Renovación Autorización Residencia y Trabajo KHALILOU DIARRA</t>
  </si>
  <si>
    <t>Y4696246M</t>
  </si>
  <si>
    <t>ABDOULAYE GUEYE</t>
  </si>
  <si>
    <t>C/ Agua, nº 2</t>
  </si>
  <si>
    <t>Tramitación Renovación Larga Duración Abdoulaye Gueye</t>
  </si>
  <si>
    <t>MACOURA NDIAYE</t>
  </si>
  <si>
    <t>C/ Julio omero, nº 8, 2ºC</t>
  </si>
  <si>
    <t>Tramitación Arraigo Social MACOURA NDIAYE</t>
  </si>
  <si>
    <t>049920210005354</t>
  </si>
  <si>
    <t>FAVORABLE 18/10/2021</t>
  </si>
  <si>
    <t>040020210018745</t>
  </si>
  <si>
    <t>040020210019211</t>
  </si>
  <si>
    <t>Y8997443H</t>
  </si>
  <si>
    <t>Y9001850D</t>
  </si>
  <si>
    <t>040020210019381</t>
  </si>
  <si>
    <t>040020210019513</t>
  </si>
  <si>
    <t>X6187445P</t>
  </si>
  <si>
    <t>040020210018479</t>
  </si>
  <si>
    <t>FAVORABLE 14/10/2021</t>
  </si>
  <si>
    <t>B04872982</t>
  </si>
  <si>
    <t>RUPI AGRICOLA, SL</t>
  </si>
  <si>
    <t>C/ Loma Cabrera, nº 4</t>
  </si>
  <si>
    <t>Tramitación Arraigo Social SUMAILA TIJANI</t>
  </si>
  <si>
    <t>Tramitación CA Inicial MAMADOU MOUSTAPHA DIOP</t>
  </si>
  <si>
    <t>Tasas e IVA 2020</t>
  </si>
  <si>
    <t>oficina3@andaluciaexportaciones.com</t>
  </si>
  <si>
    <t>sancesmiguel@yahoo.es</t>
  </si>
  <si>
    <t>LLAMARLO</t>
  </si>
  <si>
    <t>I. P. C. ALFA 3 ALMERIMAR SL</t>
  </si>
  <si>
    <t>C/ Voluntarios 2005, nº 15, portal 1, 2ºC</t>
  </si>
  <si>
    <t>rrhh0163@gmail.com</t>
  </si>
  <si>
    <t>Tramitación Requerimiento ISSA GUEBRE</t>
  </si>
  <si>
    <t>Y8993850J</t>
  </si>
  <si>
    <t>040020210019126</t>
  </si>
  <si>
    <t>Tramitación CA Inicial SOUFIANE MRABET</t>
  </si>
  <si>
    <t>DEMBA KONÉ</t>
  </si>
  <si>
    <t>Ctra. La Mojonera, nº 225</t>
  </si>
  <si>
    <t>Tramitación Arraigo Social DEMBA KONÉ</t>
  </si>
  <si>
    <t>Tramitación Renovación Autorización Residencia y Trabajo DABO SECOU</t>
  </si>
  <si>
    <t>B04776811</t>
  </si>
  <si>
    <t>INDALSUR AGRICOLA, SL</t>
  </si>
  <si>
    <t>Cortijo Mateo, nº 5</t>
  </si>
  <si>
    <t>Tramitación CA Inicial JIHAD NAH</t>
  </si>
  <si>
    <t>Tasa, informe arraigo</t>
  </si>
  <si>
    <t>Tramitación Prórroga Autorización para trabajar Julián Echeverri</t>
  </si>
  <si>
    <t>77986200P</t>
  </si>
  <si>
    <t>ABDELFATTAH AICHAOUI EL MORADY</t>
  </si>
  <si>
    <t>C/ Cabeza de Vaca, nº 7</t>
  </si>
  <si>
    <t>loligarcia@bufetejuanramirez.com</t>
  </si>
  <si>
    <t>Tramitación CA Inicial IMANE FLIFLA</t>
  </si>
  <si>
    <t>040020210019872</t>
  </si>
  <si>
    <t xml:space="preserve">040020210019985 </t>
  </si>
  <si>
    <t>Y9028469V</t>
  </si>
  <si>
    <t>040020210020110</t>
  </si>
  <si>
    <t>FAVORABLE 25/10/2021</t>
  </si>
  <si>
    <t>Tramitación Certificado de Concordancia DAYANA SANCHEZ BALDWIN</t>
  </si>
  <si>
    <t>Tramitación Certificado de Concordancia DIEGO SANCHEZ SANCHEZ</t>
  </si>
  <si>
    <t>Tramitación CA Inicial MOAD BOULMAN</t>
  </si>
  <si>
    <t>FAVORABLE 15/07/2021</t>
  </si>
  <si>
    <t>Tramitación CA Inicial SAIDA AZZOUZI</t>
  </si>
  <si>
    <t>FAVORABLE 26/10/2021</t>
  </si>
  <si>
    <t>Y9036980H</t>
  </si>
  <si>
    <t>040020210020388</t>
  </si>
  <si>
    <t>Empadronamiento históricos</t>
  </si>
  <si>
    <t>040020210019270</t>
  </si>
  <si>
    <t>Y8998603M</t>
  </si>
  <si>
    <t>040020210019281</t>
  </si>
  <si>
    <t>Y3870874B</t>
  </si>
  <si>
    <t>08911321V</t>
  </si>
  <si>
    <t>JUAN JOSE FERNANDEZ MALDONADO</t>
  </si>
  <si>
    <t>C/ García Lorca, nº 71</t>
  </si>
  <si>
    <t>Tramitación CA Inicial SAFAE BARKA</t>
  </si>
  <si>
    <t>B04770210</t>
  </si>
  <si>
    <t>EXPLOTACION AGRICOLA LAUMAR, SL</t>
  </si>
  <si>
    <t>C/ Caceres II, nº 73</t>
  </si>
  <si>
    <t>Tramitación Arraigo Social ABDELALI SAHRAOUY</t>
  </si>
  <si>
    <t>jumanatur.jrl@gmail.com</t>
  </si>
  <si>
    <t>Tramitación Arraigo Social ABDELFATTAH ZBAIT</t>
  </si>
  <si>
    <t>Tramitación Arraigo Social LUZ MARINA HERNANDEZ SANCHEZ</t>
  </si>
  <si>
    <t>NO FAVORABLE 28/10/2021</t>
  </si>
  <si>
    <t>FAVORABLE 27/10/2021</t>
  </si>
  <si>
    <t>FAVORABLE 29/10/2021</t>
  </si>
  <si>
    <t>6 meses laborales</t>
  </si>
  <si>
    <t>pruebas Octubre 2020 - Mayo 2021</t>
  </si>
  <si>
    <t>Y9044158C</t>
  </si>
  <si>
    <t>040020210020703</t>
  </si>
  <si>
    <t>Y8931925G</t>
  </si>
  <si>
    <t>180020210007395</t>
  </si>
  <si>
    <t>Y9052637N</t>
  </si>
  <si>
    <t>Tramitación Arraigo Social KARIM LOURIZ</t>
  </si>
  <si>
    <t>54141206B</t>
  </si>
  <si>
    <t>JUAN JOSE FERNANDEZ CRIADO</t>
  </si>
  <si>
    <t>C/ La Pinta, nº 6, 2º B</t>
  </si>
  <si>
    <t>Tramitación Modificación a CA Inicial TANAE LAYSAOUI</t>
  </si>
  <si>
    <t>Y4587571M</t>
  </si>
  <si>
    <t>27522167E</t>
  </si>
  <si>
    <t>DOLORES RUIZ LATORRE</t>
  </si>
  <si>
    <t>C/ Almanzora, nº 3</t>
  </si>
  <si>
    <t>Venta Gaspar - Almería</t>
  </si>
  <si>
    <t>Tramitación CA Inicial KHADIJA M'HAMDAT</t>
  </si>
  <si>
    <t>Declaración renta JUSTA</t>
  </si>
  <si>
    <t>Tramitación Arraigo Social SEYDOU BA</t>
  </si>
  <si>
    <t>NO FAVORABLE 26/10/2021</t>
  </si>
  <si>
    <t>040020210020861</t>
  </si>
  <si>
    <t>Penales y traducción</t>
  </si>
  <si>
    <t>FAVORABLE 28/10/2021</t>
  </si>
  <si>
    <t>040020210020904</t>
  </si>
  <si>
    <t>Y9049958R</t>
  </si>
  <si>
    <t>040020210020723</t>
  </si>
  <si>
    <t>DENEGADO</t>
  </si>
  <si>
    <t>040020210020988</t>
  </si>
  <si>
    <t>Y9053394X</t>
  </si>
  <si>
    <t>gavilanpardo@gmail.com</t>
  </si>
  <si>
    <t>18112423S</t>
  </si>
  <si>
    <t>ANA BELEN MARTIN RIVAS</t>
  </si>
  <si>
    <t>C/ Navarra, nº 36, 1ºA</t>
  </si>
  <si>
    <t>Tramitación Arraigo Social NAJET ACHOUR</t>
  </si>
  <si>
    <t>040020210021014</t>
  </si>
  <si>
    <t>Y9056323H</t>
  </si>
  <si>
    <t>040020210021072</t>
  </si>
  <si>
    <t>040020210021079</t>
  </si>
  <si>
    <t>Y9056379M</t>
  </si>
  <si>
    <t>Y9063238X</t>
  </si>
  <si>
    <t>040020210021256</t>
  </si>
  <si>
    <t>X9177018H</t>
  </si>
  <si>
    <t>LAMINE LENE</t>
  </si>
  <si>
    <t>C/ Almería, nº 17, 1ºD</t>
  </si>
  <si>
    <t>Tramitación Renovación Residencia Larga Duración LAMINE LENE</t>
  </si>
  <si>
    <t>049920210006887</t>
  </si>
  <si>
    <t>Tramitación Renovación Residencia Larga Duración PAPA WALY SARR</t>
  </si>
  <si>
    <t>049920210006409</t>
  </si>
  <si>
    <t>Y4299382Y</t>
  </si>
  <si>
    <t>IBRAHIMA NDONG</t>
  </si>
  <si>
    <t>C/ El Molino, nº 18, Piso 1</t>
  </si>
  <si>
    <t>Tramitación Renovación Residencia Larga Duración IBRAHIMA NDONG</t>
  </si>
  <si>
    <t>049920210006151</t>
  </si>
  <si>
    <t>FAVORABLE 03/11/2021</t>
  </si>
  <si>
    <t>Y9069327G</t>
  </si>
  <si>
    <t>040020210021452</t>
  </si>
  <si>
    <t>Y9075471F</t>
  </si>
  <si>
    <t>040020210021701</t>
  </si>
  <si>
    <t>54097085G</t>
  </si>
  <si>
    <t>MONICA REYES ARCHILLA MARTIN</t>
  </si>
  <si>
    <t>C/ Pensamiento, nº 5, BE</t>
  </si>
  <si>
    <t>Tramitación Arraigo Social ABDOURAHMANE DIOUF</t>
  </si>
  <si>
    <t>75257991J</t>
  </si>
  <si>
    <t>INMACULADA FERNANDEZ HERRERA</t>
  </si>
  <si>
    <t>C/ Chopin, nº 152</t>
  </si>
  <si>
    <t>Tramitación CA Inicial NISSRINE JDAA</t>
  </si>
  <si>
    <t>Y9072654L</t>
  </si>
  <si>
    <t>040020210021567</t>
  </si>
  <si>
    <t>monik.archilla@gmail.com</t>
  </si>
  <si>
    <t>DOMICILIAR ES49 3058 0089 3128 1005 9929</t>
  </si>
  <si>
    <t>Y7300320L</t>
  </si>
  <si>
    <t>040020210021442</t>
  </si>
  <si>
    <t>Y9073243X</t>
  </si>
  <si>
    <t>040020210021600</t>
  </si>
  <si>
    <t>Tasa, traducción, DNI empresa</t>
  </si>
  <si>
    <t>FAVORABLE 09/11/2021</t>
  </si>
  <si>
    <t>ALIOU MBAYE</t>
  </si>
  <si>
    <t>Paraje La Parrica, nº 1</t>
  </si>
  <si>
    <t>04859</t>
  </si>
  <si>
    <t>Cobdar</t>
  </si>
  <si>
    <t>Tramitación Arraigo Social ALIOU MBAYE</t>
  </si>
  <si>
    <t>290020210019775</t>
  </si>
  <si>
    <t>C/ Murcia, nº 33</t>
  </si>
  <si>
    <t>Tramitación Arraigo Social ARBI BADI</t>
  </si>
  <si>
    <t>Tramitación Arraigo Social ABDELAZIZ SAKIOU</t>
  </si>
  <si>
    <t>Tasa, penales nuevos y pruebas</t>
  </si>
  <si>
    <t>FAVORABLE 02/11/2021</t>
  </si>
  <si>
    <t>040020210022141</t>
  </si>
  <si>
    <t>NO FAVORABLE 05/11/2021</t>
  </si>
  <si>
    <t>juanarp@trasmediterranea.es</t>
  </si>
  <si>
    <t>Y9077527Q</t>
  </si>
  <si>
    <t>040020210021772</t>
  </si>
  <si>
    <t>FACTURA PAGADA</t>
  </si>
  <si>
    <t>FAVORABLE 11/11/2021</t>
  </si>
  <si>
    <t>75262026T</t>
  </si>
  <si>
    <t>ZULEIMA SECO ESPAÑA</t>
  </si>
  <si>
    <t>C/ Clavel, nº 20</t>
  </si>
  <si>
    <t>Tramitación Arraigo Social MOHAMED OU MAATAH</t>
  </si>
  <si>
    <t>zuleseco@gmail.com</t>
  </si>
  <si>
    <t>FAVORABLE 17/11/2021</t>
  </si>
  <si>
    <t>Y6173886X</t>
  </si>
  <si>
    <t>040020210022172</t>
  </si>
  <si>
    <t>Y9076013C</t>
  </si>
  <si>
    <t>040020210021715</t>
  </si>
  <si>
    <t>Tramitación CA Inicial FATIMA AOULAD</t>
  </si>
  <si>
    <t>040020210021844</t>
  </si>
  <si>
    <t>Y9079134J</t>
  </si>
  <si>
    <t>040020210022298</t>
  </si>
  <si>
    <t>Y9091327Q</t>
  </si>
  <si>
    <t>Y0657182V</t>
  </si>
  <si>
    <t>040020210022198</t>
  </si>
  <si>
    <t>040020210022204</t>
  </si>
  <si>
    <t>Y9087839R</t>
  </si>
  <si>
    <t>Y9098760C</t>
  </si>
  <si>
    <t>040020210022565</t>
  </si>
  <si>
    <t>Y8954108S</t>
  </si>
  <si>
    <t>040020210022563</t>
  </si>
  <si>
    <t>FAVORABLE 16/11/2021</t>
  </si>
  <si>
    <t>Y9101141D</t>
  </si>
  <si>
    <t>040020210022690</t>
  </si>
  <si>
    <t>FAVORABLE 18/11/2021</t>
  </si>
  <si>
    <t>FAVORABLE 19/11/2021</t>
  </si>
  <si>
    <t>FAVORABLE 15/11/2021</t>
  </si>
  <si>
    <t>LAMINE BADJI</t>
  </si>
  <si>
    <t>Tramitación Arraigo Social LAMINE BADJI</t>
  </si>
  <si>
    <t>B0467430S</t>
  </si>
  <si>
    <t>Tramitación CA Inicial SAID AIT BAHA</t>
  </si>
  <si>
    <t>AGRICOLA CINTA BLANCA, SL</t>
  </si>
  <si>
    <t>Tramitación Certificado Registro Comunitario ESMERALDA SOREATA</t>
  </si>
  <si>
    <t>Tramitación Certificado Registro Comunitario CHRISTOPHE NICOLAS TALBOT</t>
  </si>
  <si>
    <t>Y9118991B</t>
  </si>
  <si>
    <t>Pruebas 26-02-2019 a 02-08-2019</t>
  </si>
  <si>
    <t>Puede ser que nos requieran un nuevo certificado matrimonio por no aceptar consulado</t>
  </si>
  <si>
    <t>C/ Calcita, nº 34</t>
  </si>
  <si>
    <t>Tramitación Arraigo Social YOUNES EL HILLY</t>
  </si>
  <si>
    <t>Tramitación Arraigo Social ZAKARIAE EL HILLY</t>
  </si>
  <si>
    <t>Tramitación Arraigo Social FOUNGNIGUE SORO</t>
  </si>
  <si>
    <t>ES66 3058 0057 2828 1004 8663</t>
  </si>
  <si>
    <t>ES30 2103 0885 99 0010014888</t>
  </si>
  <si>
    <t>Tramitación CA Inicial MOUSSA SEYDI</t>
  </si>
  <si>
    <t>FAVORABLE 23/11/2021</t>
  </si>
  <si>
    <t>Tramitación CA Inicial SUMAILA SISSOKO</t>
  </si>
  <si>
    <t>040020210022735</t>
  </si>
  <si>
    <t>Y9102878K</t>
  </si>
  <si>
    <t>Y9103293E</t>
  </si>
  <si>
    <t>040020210022758</t>
  </si>
  <si>
    <t>Y9109327F</t>
  </si>
  <si>
    <t>040020210022959</t>
  </si>
  <si>
    <t>ES93 3058 0132 9127 20000 6425</t>
  </si>
  <si>
    <t>NO FAVORABLE 18/11/2021</t>
  </si>
  <si>
    <t>Y9123343Q</t>
  </si>
  <si>
    <t>040020210023429</t>
  </si>
  <si>
    <t>Y6156333Y</t>
  </si>
  <si>
    <t>040020210023221</t>
  </si>
  <si>
    <t>Y9113713T</t>
  </si>
  <si>
    <t>040020210023104</t>
  </si>
  <si>
    <t>jesusgomez@agrosolexport.com</t>
  </si>
  <si>
    <t>Tramitación Arraigo Social MUSBAH EL-KHOLTY</t>
  </si>
  <si>
    <t>Tramitación CA Inicial MAMADOU SISSOKO</t>
  </si>
  <si>
    <t>78039536F</t>
  </si>
  <si>
    <t>EVA MARIA MOLINA ROMERO</t>
  </si>
  <si>
    <t>C/ Jimenez Dias, nº 45</t>
  </si>
  <si>
    <t>Tramitación Arraigo Social KADIRI JAOUAD</t>
  </si>
  <si>
    <t>juagrisa@gmail.com</t>
  </si>
  <si>
    <t>satferro@hotmail.com</t>
  </si>
  <si>
    <t>Tramitación CA Inicial AYOUB TAMI</t>
  </si>
  <si>
    <t>papoloautenthic@gmail.com</t>
  </si>
  <si>
    <t>X8542125V</t>
  </si>
  <si>
    <t>SAID OUZINEB</t>
  </si>
  <si>
    <t>C/ Alba, nº 24</t>
  </si>
  <si>
    <t>Tramitación escrito HICHAM RAJAB</t>
  </si>
  <si>
    <t>Y9461083H</t>
  </si>
  <si>
    <t>040020200022363</t>
  </si>
  <si>
    <t>Tramitación CA Inicial MAJDA LBID</t>
  </si>
  <si>
    <t>FAVORABLE 12/11/2021</t>
  </si>
  <si>
    <t>B04679791</t>
  </si>
  <si>
    <t>Cortijo Nuevo cintablanca, S/N</t>
  </si>
  <si>
    <t>Y8547846W</t>
  </si>
  <si>
    <t>FERNANDO DANIEL SANCHEZ</t>
  </si>
  <si>
    <t>C/ Varsovia, nº 46, Bj</t>
  </si>
  <si>
    <t>Tramitación Recurso de Alzada Tarjeta de Residencia Temporal de Familiar de Ciudadano de la Unión FERNANDO DANIEL SANCHEZ</t>
  </si>
  <si>
    <t>040020210003021</t>
  </si>
  <si>
    <t>040020210023775</t>
  </si>
  <si>
    <t>Y9133888G</t>
  </si>
  <si>
    <t>Y9133398C</t>
  </si>
  <si>
    <t>040020210023740</t>
  </si>
  <si>
    <t>040020210023607</t>
  </si>
  <si>
    <t>Y9129994C</t>
  </si>
  <si>
    <t>040020210023733</t>
  </si>
  <si>
    <t>B06944938</t>
  </si>
  <si>
    <t>AGRO BALDWIN, SL</t>
  </si>
  <si>
    <t>C/ Cortijo El Panadero, s/n</t>
  </si>
  <si>
    <t>Tramitación Arraigo Social ANA LUCIA SANCHEZ REYES</t>
  </si>
  <si>
    <t>Tramitación Arraigo Social BRAHIM ZAAITE</t>
  </si>
  <si>
    <t>Y2311029A</t>
  </si>
  <si>
    <t>ANDREEA VALERIA ROMERO</t>
  </si>
  <si>
    <t>Plaza Constitución, nº 8, 3D</t>
  </si>
  <si>
    <t>04560</t>
  </si>
  <si>
    <t>Gador</t>
  </si>
  <si>
    <t>Tramitación Certificado Registro Comunitario permanente ANDREEA VALERIA ROMERO</t>
  </si>
  <si>
    <t>NO FAVORABLE 26/11/2021</t>
  </si>
  <si>
    <t>ISMAILA TRAORE</t>
  </si>
  <si>
    <t>Avda. Luis Buñuel, nº 132, bj 2ºD</t>
  </si>
  <si>
    <t>Tramitación Arraigo Social ISMAILA TRAORE</t>
  </si>
  <si>
    <t>040020210023419</t>
  </si>
  <si>
    <t xml:space="preserve">Cortijo Los Garillos, nº 99, bj 026 </t>
  </si>
  <si>
    <t>josemolina@agricolanavarrodeharo.es</t>
  </si>
  <si>
    <t>javi_pekenin@hotmail.es</t>
  </si>
  <si>
    <t>rosamariaacien@gmail.com</t>
  </si>
  <si>
    <t>ES3730580077722810020906</t>
  </si>
  <si>
    <t>ES8501280723510100006727</t>
  </si>
  <si>
    <t>inmafernandez82@hotmail.com</t>
  </si>
  <si>
    <t>ES0430580097192810099533</t>
  </si>
  <si>
    <t>X8533282Y</t>
  </si>
  <si>
    <t>VICTOR DANIEL STANCU</t>
  </si>
  <si>
    <t>C/ Jaén, nº 11 BJ</t>
  </si>
  <si>
    <t>Tramitación Certificado Registro Comunitario ANDREEA NICOLETA STANCU</t>
  </si>
  <si>
    <t>Y8550146W</t>
  </si>
  <si>
    <t>Prol Garrido, nº 5</t>
  </si>
  <si>
    <t>Tramitación Renovación Autorización Residencia y Trabajo ALIOU FALL</t>
  </si>
  <si>
    <t>049920210006024</t>
  </si>
  <si>
    <t>FAVORABLE 25/11/2021</t>
  </si>
  <si>
    <t>NATURAL BAÑOS, SAT</t>
  </si>
  <si>
    <t>V04781597</t>
  </si>
  <si>
    <t>Tramitación Arraigo Social ABDERRAHIM BRAHMI</t>
  </si>
  <si>
    <t>josemanuelbc@hotmail.es</t>
  </si>
  <si>
    <t>FAVORABLE 29/11/2021</t>
  </si>
  <si>
    <t>Tramitación Arraigo Social IBRAHIMA DRAME</t>
  </si>
  <si>
    <t>JOSE LUIS LOPEZ LOPEZ</t>
  </si>
  <si>
    <t>27515763N</t>
  </si>
  <si>
    <t>C/ Carmen Conde, nº 10</t>
  </si>
  <si>
    <t>Tramitación Arraigo Social RAHMA BADRI</t>
  </si>
  <si>
    <t>X9816749G</t>
  </si>
  <si>
    <t>ABDELLAH AICHAOUI</t>
  </si>
  <si>
    <t>Avenida Almeria, nº 64, 1ºD</t>
  </si>
  <si>
    <t>04639</t>
  </si>
  <si>
    <t>Turre</t>
  </si>
  <si>
    <t>Tramitación Reagrupación Familiar RABIAA CHAIB</t>
  </si>
  <si>
    <t>Tasa y tarjeta sanitaria</t>
  </si>
  <si>
    <t>Tramitación Reagrupación Familiar IMRANE AICHAOUI</t>
  </si>
  <si>
    <t>Tramitación Reagrupación Familiar DRISS AICHAOUI</t>
  </si>
  <si>
    <t>040020210024539</t>
  </si>
  <si>
    <t>Y9172392Y</t>
  </si>
  <si>
    <t>PLAMEN SHTEREV ASENOV</t>
  </si>
  <si>
    <t>C/ Don Juan De Borbon, esc: 3, nº 17, 1º 7</t>
  </si>
  <si>
    <t>ELKA  642512661</t>
  </si>
  <si>
    <t>Tramitación Certificado Registro Comunitario PLAMEN SHTEREV ASENOV</t>
  </si>
  <si>
    <t>040020210020572</t>
  </si>
  <si>
    <t>FAVORABLE 09/12/2021</t>
  </si>
  <si>
    <t>NO FAVORABLE 02/12/2021</t>
  </si>
  <si>
    <t>Pasaporte no ha llegado renovado</t>
  </si>
  <si>
    <t>Y9153097P</t>
  </si>
  <si>
    <t>040020210024242</t>
  </si>
  <si>
    <t>Y6672092J</t>
  </si>
  <si>
    <t>040020210024244</t>
  </si>
  <si>
    <t>040020210024610</t>
  </si>
  <si>
    <t>Y9170980C</t>
  </si>
  <si>
    <t>040020210024571</t>
  </si>
  <si>
    <t>Y9168533B</t>
  </si>
  <si>
    <t>040020210024572</t>
  </si>
  <si>
    <t>Y9168587L</t>
  </si>
  <si>
    <t>MARIBEL TIENE CONTRATO SELLADO</t>
  </si>
  <si>
    <t>040020210020910</t>
  </si>
  <si>
    <t>27511908K</t>
  </si>
  <si>
    <t>GABRIEL PEREZ MARIN</t>
  </si>
  <si>
    <t>C/ Los Ángeles, nº 58</t>
  </si>
  <si>
    <t>Tramitación Arraigo Social HAMZA EN NASSIRY</t>
  </si>
  <si>
    <t>gabry_1988@hotmail.com</t>
  </si>
  <si>
    <t>Solisproduce, SL</t>
  </si>
  <si>
    <t>Villamanrique de la Condesa</t>
  </si>
  <si>
    <t>laboral@solisproduce.com</t>
  </si>
  <si>
    <t>Tramitación Arraigo Social MANSOUR SALL</t>
  </si>
  <si>
    <t>Tramitación Arraigo Social SERIGNE ABDOU NDAME FALL</t>
  </si>
  <si>
    <t>Tramitación Arraigo Social MOR TALLA NDIAYE</t>
  </si>
  <si>
    <t>Tramitación Arraigo Social LAMINE BA</t>
  </si>
  <si>
    <t>C/ Alcala henares, SN</t>
  </si>
  <si>
    <t>Tramitación Renovación Autorización Residencia y Trabajo SAMBA CISSE</t>
  </si>
  <si>
    <t>049920210007763</t>
  </si>
  <si>
    <t>C/ Mar Azul, nº 131, 3º 320</t>
  </si>
  <si>
    <t>Tramitación Arraigo Social MOHAMED JDIDI</t>
  </si>
  <si>
    <t>sanfruit@hotmail.com</t>
  </si>
  <si>
    <t>FAVORABLE 16/12/2021</t>
  </si>
  <si>
    <t>ALFU MANÉ</t>
  </si>
  <si>
    <t>C/ Alhama de Almería, nº 4, 1ºD</t>
  </si>
  <si>
    <t>Tramitación Arraigo Social ALFU MANÉ</t>
  </si>
  <si>
    <t>Tasa y Traducción penales</t>
  </si>
  <si>
    <t>E04411443</t>
  </si>
  <si>
    <t>SALAS Y GONZALEZ, C.B.</t>
  </si>
  <si>
    <t>C/ Las meninas, 26</t>
  </si>
  <si>
    <t>Tramitación Arraigo Social EL HAJ HOUKMI</t>
  </si>
  <si>
    <t>Av. Mediterraneo, nº 29</t>
  </si>
  <si>
    <t>Tramitación Renovación Autorización Residencia y Trabajo MALAFY MARIA</t>
  </si>
  <si>
    <t>049920210008203</t>
  </si>
  <si>
    <t>Y9171067S</t>
  </si>
  <si>
    <t>040020210024613</t>
  </si>
  <si>
    <t>Y9187614W</t>
  </si>
  <si>
    <t>040020210024913</t>
  </si>
  <si>
    <t>Y9191338T</t>
  </si>
  <si>
    <t>040020210025003</t>
  </si>
  <si>
    <t>FAVORABLE 21/12/2021</t>
  </si>
  <si>
    <t>FAVORABLE 22/12/2021</t>
  </si>
  <si>
    <t>54122643D</t>
  </si>
  <si>
    <t>VICTOR MANUEL FERNANDEZ FERNANDEZ</t>
  </si>
  <si>
    <t>C/ Salazon, 2</t>
  </si>
  <si>
    <t>Tramitación CA Inicial ZAKARYAE LAMLIH</t>
  </si>
  <si>
    <t>Y6469898N</t>
  </si>
  <si>
    <t>gestion@olivenciaasesores.com</t>
  </si>
  <si>
    <t>Tramitación Renovación Residencia Extutelado Autorización HAMZA HRIR</t>
  </si>
  <si>
    <t>AGRICOLA VALDIMAR-PONIENTE, SL</t>
  </si>
  <si>
    <t>C/ Playas de la ensenada, nº 19</t>
  </si>
  <si>
    <t>Tramitación Arraigo Social BTISSAM LAKDIOUY</t>
  </si>
  <si>
    <t>agricolavaldimar@hotmail.com</t>
  </si>
  <si>
    <t>ALICIA 656523186</t>
  </si>
  <si>
    <t>Y9180321T</t>
  </si>
  <si>
    <t>040020210024805</t>
  </si>
  <si>
    <t>FAVORABLE 28/12/2021</t>
  </si>
  <si>
    <t>C/ Leon, nº 35</t>
  </si>
  <si>
    <t>Tramitación Arraigo Social ABDELALI LASFAR</t>
  </si>
  <si>
    <t>AHMED HADRIA</t>
  </si>
  <si>
    <t>C/ Santa Rosa, nº 17</t>
  </si>
  <si>
    <t>Tramitación Arraigo Social AHMED HADRIA</t>
  </si>
  <si>
    <t>Tasa y certificado penales y traducicón</t>
  </si>
  <si>
    <t>Barriada la francesa, nº 62</t>
  </si>
  <si>
    <t>MANSOUR SALL</t>
  </si>
  <si>
    <t>SERIGNE ABDOU NDAME FALL</t>
  </si>
  <si>
    <t>MOR TALLA NDIAYE</t>
  </si>
  <si>
    <t>LAMINE BA</t>
  </si>
  <si>
    <t>a.delpino_@hotmail.com</t>
  </si>
  <si>
    <t>Tramitación Reagrupación Familiar SAMOU DIAKITE</t>
  </si>
  <si>
    <t>FAVORABLE 23/12/2021</t>
  </si>
  <si>
    <t>290020210023779</t>
  </si>
  <si>
    <t>040020210025352</t>
  </si>
  <si>
    <t>Recurso de Reposición JIHAD NAH</t>
  </si>
  <si>
    <t>040020210025291</t>
  </si>
  <si>
    <t>Y9207141W</t>
  </si>
  <si>
    <t>Tasa, tarducción, contrato, pruebas</t>
  </si>
  <si>
    <t>Y0940091A</t>
  </si>
  <si>
    <t>040020210025462</t>
  </si>
  <si>
    <t>Y8369702Q</t>
  </si>
  <si>
    <t>27521411W</t>
  </si>
  <si>
    <t>JOSE HERNANDEZ GONZALEZ</t>
  </si>
  <si>
    <t>C/ Averroes, nº 12</t>
  </si>
  <si>
    <t>Tramitación Arraigo Social SALIHA HAIDA</t>
  </si>
  <si>
    <t>Tramitación CA Inicial ROKIA DEMBELE</t>
  </si>
  <si>
    <t>Tramitación CA Inicial MOHAMMED KADICI</t>
  </si>
  <si>
    <t>FAVORABLE 30/12/2021</t>
  </si>
  <si>
    <t>NO FAVORABLE  23/12/2021</t>
  </si>
  <si>
    <t>110020210005641</t>
  </si>
  <si>
    <t>FAVORABLE 12/01/2022</t>
  </si>
  <si>
    <t>75250942W</t>
  </si>
  <si>
    <t>IRENE OLIVENCIA LORENZO</t>
  </si>
  <si>
    <t>C/ Aromo, nº 7</t>
  </si>
  <si>
    <t>Y1694157Z</t>
  </si>
  <si>
    <t>ANA MARIA EUGENIA DOLEA</t>
  </si>
  <si>
    <t>Paraje Polver (EL), nº 37, bj 133</t>
  </si>
  <si>
    <t>Tramitación Certificado Registro Comunitario ADELINA MARIA DOLEA</t>
  </si>
  <si>
    <t>Tramitación Certificado Registro Comunitario ELVIS VASILE DOLEA</t>
  </si>
  <si>
    <t>Tramitación Certificado Registro Comunitario ANA MARIA EUGENIA DOLEA</t>
  </si>
  <si>
    <t>Tramitación Renovación Autorización Residencia y Trabajo MOHMED DJILALI</t>
  </si>
  <si>
    <t>049920210008774</t>
  </si>
  <si>
    <t>Tasa, certificado penales</t>
  </si>
  <si>
    <t>Y8012697V</t>
  </si>
  <si>
    <t>JOSEFINA MANCILLA ROJAS</t>
  </si>
  <si>
    <t>C/ Escuelas, nº 6, 3ºC</t>
  </si>
  <si>
    <t>mvictoriaromero@hotmail.com</t>
  </si>
  <si>
    <t>Tramitación Arraigo Social STEPHEN KWEKU BOATENG</t>
  </si>
  <si>
    <t>Tramitación Arraigo Laboral JOSEFINA MANCILLA</t>
  </si>
  <si>
    <t>Certificado penales</t>
  </si>
  <si>
    <t>B04700696</t>
  </si>
  <si>
    <t>EXPLOTACIONES AGRICOLAS NIPESAN, SL</t>
  </si>
  <si>
    <t>C/ Nicolas Salmeron, nº 69</t>
  </si>
  <si>
    <t>Tramitación Arraigo Social MOHAMED SALHI</t>
  </si>
  <si>
    <t>75220158S</t>
  </si>
  <si>
    <t>MANUEL HERNANDEZ GONZALEZ</t>
  </si>
  <si>
    <t>Camino Torrevieja Los Chocolates, nº 3, bj-4</t>
  </si>
  <si>
    <t>Tramitación CA Inicial CESAR CHRISTIAN RIVAS PACHECO</t>
  </si>
  <si>
    <t>08913638B</t>
  </si>
  <si>
    <t>MIGUEL ANGEL LOPEZ MONTORO</t>
  </si>
  <si>
    <t>C/ Ruben Dario, nº 34</t>
  </si>
  <si>
    <t>Santa María del Águila</t>
  </si>
  <si>
    <t>Tramitación CA Inicial HAMZA EJDAA</t>
  </si>
  <si>
    <t>NO FAVORABLE 11/01/2022</t>
  </si>
  <si>
    <t>NO FAVORABLE 05/01/2022</t>
  </si>
  <si>
    <t>NO FAVORABLE 17/01/2022</t>
  </si>
  <si>
    <t>Penales en España</t>
  </si>
  <si>
    <t>FAVORABLE 17/01/2022</t>
  </si>
  <si>
    <t>mnlhernandezgonzalez63@gmail.com</t>
  </si>
  <si>
    <t>Y9241616T</t>
  </si>
  <si>
    <t>040020210025635</t>
  </si>
  <si>
    <t>Y9241602D</t>
  </si>
  <si>
    <t>040020210025634</t>
  </si>
  <si>
    <t>FAVORABLE 18/01/2022</t>
  </si>
  <si>
    <t>Y9232624R</t>
  </si>
  <si>
    <t>040020210025545</t>
  </si>
  <si>
    <t>Y9232423F</t>
  </si>
  <si>
    <t>040020210025544</t>
  </si>
  <si>
    <t>Y9232178S</t>
  </si>
  <si>
    <t>040020210025543</t>
  </si>
  <si>
    <t>54101318M</t>
  </si>
  <si>
    <t>MANUEL PEREZ RODRIGUEZ</t>
  </si>
  <si>
    <t>C/ Glaucio, nº 19, Bl. 2, 3º 4</t>
  </si>
  <si>
    <t>Tramitación Arraigo Social ABDOURAHAMANE DIALLO</t>
  </si>
  <si>
    <t>galvezcespedes@gmail.com</t>
  </si>
  <si>
    <t>Tramitación Renovación Autorización Residencia y Trabajo VINCENT ADU KUSI</t>
  </si>
  <si>
    <t>Tramitación Renovación Autorización Residencia y Trabajo  FARUK YAHAYA</t>
  </si>
  <si>
    <t>049920210007497</t>
  </si>
  <si>
    <t>Tramitación Arraigo Social RIDA MJAHAD</t>
  </si>
  <si>
    <t>C/ Doctor Gonzalez Vicente. Nº 1, piso 2</t>
  </si>
  <si>
    <t>04240</t>
  </si>
  <si>
    <t>Viator</t>
  </si>
  <si>
    <t>Tramitación Renovación Residencia Larga Duración ABDESSELAM ERRACHIDI</t>
  </si>
  <si>
    <t>049920210008031</t>
  </si>
  <si>
    <t>040020220000577</t>
  </si>
  <si>
    <t>Y9263388Z</t>
  </si>
  <si>
    <t>040020210025889</t>
  </si>
  <si>
    <t>FAVORABLE 31/01/2022</t>
  </si>
  <si>
    <t>Tramitación Toma Huella HAROUNA KAMISSOKO</t>
  </si>
  <si>
    <t>Tramitación Arraigo Social YASSMINE ATIF</t>
  </si>
  <si>
    <t>Tramitación Arraigo Social DEMBA KA</t>
  </si>
  <si>
    <t>Tramitación CA Inicial MAGAN FOFANA</t>
  </si>
  <si>
    <t xml:space="preserve">Y2915278L </t>
  </si>
  <si>
    <t>410020210008454</t>
  </si>
  <si>
    <t>410020210008453</t>
  </si>
  <si>
    <t xml:space="preserve">Y4814491F </t>
  </si>
  <si>
    <t>410020210008456</t>
  </si>
  <si>
    <t>410020210008455</t>
  </si>
  <si>
    <t>Gestión 3</t>
  </si>
  <si>
    <t>Y9297769X</t>
  </si>
  <si>
    <t>DEICY MILAGROS GUILLEN MANRIQUE</t>
  </si>
  <si>
    <t>C/ Mirador de la marina, nº 2H, 3º F</t>
  </si>
  <si>
    <t>04638</t>
  </si>
  <si>
    <t>Mojacar</t>
  </si>
  <si>
    <t>Tramitación Certificado Registro Comunitario DEICY MILAGROS GUILLEN MANRIQUE</t>
  </si>
  <si>
    <t>FAVORABLE 04/02/2022</t>
  </si>
  <si>
    <t>Y7882087R</t>
  </si>
  <si>
    <t>180020210012105</t>
  </si>
  <si>
    <t>NO FAVORABLE 07/02/2022</t>
  </si>
  <si>
    <t>Y9299924A</t>
  </si>
  <si>
    <t>040020210026164</t>
  </si>
  <si>
    <t>Tramitación Renovación Autorización Residencia y Trabajo  SIAKA NDONG</t>
  </si>
  <si>
    <t>049920220000714</t>
  </si>
  <si>
    <t>Tramitación Arraigo Social PORTIA FOSU</t>
  </si>
  <si>
    <t>Tramitación CA Inicial ZAKARIA HOUMMANE</t>
  </si>
  <si>
    <t>Tramitación CA Inicial YOUSRA BEKOUR</t>
  </si>
  <si>
    <t>Tramitación CA Inicial CHARLES ALBERT OWUSU</t>
  </si>
  <si>
    <t>Y9309229Q</t>
  </si>
  <si>
    <t>DIANA SIMONA LEONTE</t>
  </si>
  <si>
    <t>C/ Rosique, nº 19, 2ºD</t>
  </si>
  <si>
    <t>Tramitación Certificado Registro Comunitario DIANA SIMONA LEONTE</t>
  </si>
  <si>
    <t>C/ Tabernas nº 6 1º D</t>
  </si>
  <si>
    <t>Y6155720Z</t>
  </si>
  <si>
    <t>040020210026217</t>
  </si>
  <si>
    <t>040020220001044</t>
  </si>
  <si>
    <t>Y9305362J</t>
  </si>
  <si>
    <t>75222772F</t>
  </si>
  <si>
    <t>PILAR MARRUECOS RODRIGUEZ</t>
  </si>
  <si>
    <t>C/ Faisan, nº 36</t>
  </si>
  <si>
    <t>Tramitación Arraigo Social PRINCE OSEI</t>
  </si>
  <si>
    <t>Tasa, nuevo precontrato</t>
  </si>
  <si>
    <t>Tramitación Arraigo Social MAHAMADOU SINABA</t>
  </si>
  <si>
    <t>HA PRESENTADO RECURSO POR OTRO LADO</t>
  </si>
  <si>
    <t>NO FAVORABLE 09/02/2022</t>
  </si>
  <si>
    <t>Pasaporte Cheikh ilegible</t>
  </si>
  <si>
    <t>Denegado por pruebas 19-20</t>
  </si>
  <si>
    <t>FAVORABLE 14/02/2022</t>
  </si>
  <si>
    <t>FAVORABLE 09/02/2022</t>
  </si>
  <si>
    <t>Tasas, certificado bancario</t>
  </si>
  <si>
    <t xml:space="preserve">Tramitación Renovación Larga Duración Francis Twenefuor Addai </t>
  </si>
  <si>
    <t xml:space="preserve">Tramitación Renovación Larga Duración Lola Princess Addai </t>
  </si>
  <si>
    <t>Tramitación Arraigo Social GEORGE ARTHUR</t>
  </si>
  <si>
    <t>Tramitación Arraigo Social SALOUM SANGARE</t>
  </si>
  <si>
    <t>FAVORABLE 15/02/2022</t>
  </si>
  <si>
    <t>Y9293403Z</t>
  </si>
  <si>
    <t>040020220000853</t>
  </si>
  <si>
    <t>040020210026057</t>
  </si>
  <si>
    <t>18112331S</t>
  </si>
  <si>
    <t>JUAN JOSE GARCIA JIMENEZ</t>
  </si>
  <si>
    <t>C/ Murgis, 164</t>
  </si>
  <si>
    <t>04750</t>
  </si>
  <si>
    <t>Dalias</t>
  </si>
  <si>
    <t>Tramitación Arraigo Social MOHAMED BADOUI</t>
  </si>
  <si>
    <t>Tasas, impuesto sociedades</t>
  </si>
  <si>
    <t>Y9285367M</t>
  </si>
  <si>
    <t>040020210026020</t>
  </si>
  <si>
    <t>Y9290360F</t>
  </si>
  <si>
    <t>08910392P</t>
  </si>
  <si>
    <t>C/ Los Pozos, nº 74</t>
  </si>
  <si>
    <t>Tramitación Arraigo Social SILTIAN JISELA FLORES FLORES</t>
  </si>
  <si>
    <t>FAVORABLE 16/02/2022</t>
  </si>
  <si>
    <t>FAVORABLE 17/02/2022</t>
  </si>
  <si>
    <t>Tramitación Renovación Autorización Residencia y Trabajo ALE BADARA DIAW</t>
  </si>
  <si>
    <t>049920220001346</t>
  </si>
  <si>
    <t>Tramitación Renovación Larga Duración  OUSSEYNOU BARO</t>
  </si>
  <si>
    <t>049920220001293</t>
  </si>
  <si>
    <t>Tramitación CA Inicial FARAH ERRAHIOUI</t>
  </si>
  <si>
    <t>Tramitación Renovación Residencia Larga Duración FATIMA EL ABBOUBI</t>
  </si>
  <si>
    <t>049920210008073</t>
  </si>
  <si>
    <t>Tramitación Renovación Larga Duración ABDOULAYE DIAGOURAGA</t>
  </si>
  <si>
    <t>Tramitación Arraigo Social MAMADOU YORO BA</t>
  </si>
  <si>
    <t>semillerolajoya@gmail.com</t>
  </si>
  <si>
    <t>Tramitación CA Inicial ADIL SALHI</t>
  </si>
  <si>
    <t>Tasas y certificado empr</t>
  </si>
  <si>
    <t>biosan.sca@gmail.com</t>
  </si>
  <si>
    <t>Tramitación Arraigo Social ZANKE DIARRA</t>
  </si>
  <si>
    <t>Tasa, contrato y pruebas</t>
  </si>
  <si>
    <t>FAVORABLE 23/02/2022</t>
  </si>
  <si>
    <t>FAVORABLE 21/02/2022</t>
  </si>
  <si>
    <t>Tramitación Arraigo Social MARIO OMONTE GUTIERREZ</t>
  </si>
  <si>
    <t>B04654695</t>
  </si>
  <si>
    <t>CONSTRUCCIONES Y REFORMAS ALMERILEVANTE, SL</t>
  </si>
  <si>
    <t>C/ Baja, nº 5</t>
  </si>
  <si>
    <t>Lubrín</t>
  </si>
  <si>
    <t>almerilevante@hotmail.es</t>
  </si>
  <si>
    <t>040020220002408</t>
  </si>
  <si>
    <t>040020220002398</t>
  </si>
  <si>
    <t>Y6587143A</t>
  </si>
  <si>
    <t>040020220002177</t>
  </si>
  <si>
    <t>Y9350421S</t>
  </si>
  <si>
    <t>Y9329702L</t>
  </si>
  <si>
    <t>040020220001584</t>
  </si>
  <si>
    <t>040020220001727</t>
  </si>
  <si>
    <t>Y9334635F</t>
  </si>
  <si>
    <t>Y9370337J</t>
  </si>
  <si>
    <t>040020220002611</t>
  </si>
  <si>
    <t>040020220001889</t>
  </si>
  <si>
    <t>Y9333995B</t>
  </si>
  <si>
    <t>040020220001898</t>
  </si>
  <si>
    <t>040020210026043</t>
  </si>
  <si>
    <t>Tasa, Cif, escritura</t>
  </si>
  <si>
    <t>Y9334033A</t>
  </si>
  <si>
    <t>C/ Rafael Ortega, nº 17</t>
  </si>
  <si>
    <t>Tramitación Renovación Residencia Larga Duración AYNINA TALL</t>
  </si>
  <si>
    <t>049920220000624</t>
  </si>
  <si>
    <t>Tramitación Autorización Residencia Jóvenes Extutelados entre 18 y 23 años ABDELHADI ALILOU</t>
  </si>
  <si>
    <t>040020220002227</t>
  </si>
  <si>
    <t>Y7093450B</t>
  </si>
  <si>
    <t>040020220002318</t>
  </si>
  <si>
    <t>Y9358908S</t>
  </si>
  <si>
    <t>Y7401920M</t>
  </si>
  <si>
    <t>040020220002555</t>
  </si>
  <si>
    <t>Y9359268F</t>
  </si>
  <si>
    <t>040020220002327</t>
  </si>
  <si>
    <t>Tramitación Renovación Autorización Residencia y Trabajo FAMARA CISSE</t>
  </si>
  <si>
    <t>049920220001386</t>
  </si>
  <si>
    <t>Tramitación Arraigo Social ISSA CISSÉ</t>
  </si>
  <si>
    <t>Y8559295C</t>
  </si>
  <si>
    <t>Tramitación Arraigo Social LASSANA DIAKITE</t>
  </si>
  <si>
    <t>040020220002856</t>
  </si>
  <si>
    <t>B67960880</t>
  </si>
  <si>
    <t>AGRO SODAMA, SL</t>
  </si>
  <si>
    <t>C/ Alcala de Henares, nº 21</t>
  </si>
  <si>
    <t>Tramitación Renovación Autorización Residencia y Trabajo KADIALY CISSÉ</t>
  </si>
  <si>
    <t>049920220000687</t>
  </si>
  <si>
    <t>Tramitación Renovación Autorización Residencia y Trabajo JAKSON CARLOS MENDES</t>
  </si>
  <si>
    <t>049920220000849</t>
  </si>
  <si>
    <t>040020220003098</t>
  </si>
  <si>
    <t>Certificado Ant. Penales</t>
  </si>
  <si>
    <t>FAVORABLE 10/03/2022</t>
  </si>
  <si>
    <t>CONTRATO INDF.</t>
  </si>
  <si>
    <t>040020220002921</t>
  </si>
  <si>
    <t>Y9378406D</t>
  </si>
  <si>
    <t>Y9378361X</t>
  </si>
  <si>
    <t>040020220002919</t>
  </si>
  <si>
    <t>Y9389639H</t>
  </si>
  <si>
    <t>040020220003063</t>
  </si>
  <si>
    <t>Y6211245V</t>
  </si>
  <si>
    <t>040020220003032</t>
  </si>
  <si>
    <t>LAMINE DIEME</t>
  </si>
  <si>
    <t>C/ Neptuno, nº 7, 1º4</t>
  </si>
  <si>
    <t>Tramitación Arraigo Social LAMINE DIEME</t>
  </si>
  <si>
    <t>Tasa y trad. Penales</t>
  </si>
  <si>
    <t>FAVORABLE 09/03/2022</t>
  </si>
  <si>
    <t>Hermanos Romera</t>
  </si>
  <si>
    <t>75237162E</t>
  </si>
  <si>
    <t>JAVIER GARCIA GARCIA</t>
  </si>
  <si>
    <t>C/ Mirador Del Rio, nº 23</t>
  </si>
  <si>
    <t>Tramitación Arraigo Social FAKEBBA CHAM</t>
  </si>
  <si>
    <t>Tasa, contrato trabajo</t>
  </si>
  <si>
    <t>11-05-20 a 15-11-20 cubierto con envíos de dinero</t>
  </si>
  <si>
    <t>040020220002896</t>
  </si>
  <si>
    <t>Y9382691Q</t>
  </si>
  <si>
    <t>Tasas y contrato indef.</t>
  </si>
  <si>
    <t>Tramitación CA Inicial DJEIDY TRAORÉ</t>
  </si>
  <si>
    <t>B91872283</t>
  </si>
  <si>
    <t>SOLISPRODUCE, SL</t>
  </si>
  <si>
    <t>Barriada Fernandez Viagas, nº11</t>
  </si>
  <si>
    <t>41850</t>
  </si>
  <si>
    <t>Villamanrique de la Condesa (Sevilla)</t>
  </si>
  <si>
    <t>Tramitación Autorización Trasnacional IBRA FAYE</t>
  </si>
  <si>
    <t>Tramitación Autorización Trasnacional FODE BA</t>
  </si>
  <si>
    <t>Tramitación Autorización Trasnacional PAPA ALIOUNE GAYE</t>
  </si>
  <si>
    <t>CONTRATO FIJO-DISC</t>
  </si>
  <si>
    <t>C/ OLIGISTO, 28</t>
  </si>
  <si>
    <t>Las Norias de Daza (El Ejido)</t>
  </si>
  <si>
    <t>Tramitación CA Inicial KHADIJA TALBACHAT</t>
  </si>
  <si>
    <t>Tasa, Tarjeta padre, Contrato fijo-discontinuo</t>
  </si>
  <si>
    <t>FAVORABLE 11/03/2022</t>
  </si>
  <si>
    <t>FAVORABLE 14/03/2022</t>
  </si>
  <si>
    <t>Tramitación Renovación Larga Duración OUSMANE MANE</t>
  </si>
  <si>
    <t>049920220001188</t>
  </si>
  <si>
    <t>Contr. Fijo / IVA 390</t>
  </si>
  <si>
    <t xml:space="preserve">Tramitación Renovación Autorización Residencia y Trabajo OUSMAN MANGA </t>
  </si>
  <si>
    <t>049920220001256</t>
  </si>
  <si>
    <t>0300020210015033</t>
  </si>
  <si>
    <t>Y6452223R</t>
  </si>
  <si>
    <t>040020220003343</t>
  </si>
  <si>
    <t>Y9407065X</t>
  </si>
  <si>
    <t>Y9405281C</t>
  </si>
  <si>
    <t>040020220003476</t>
  </si>
  <si>
    <t xml:space="preserve">Tramitación CA Inicial  SIHAM KADDOURI </t>
  </si>
  <si>
    <t>Y9074945X</t>
  </si>
  <si>
    <t>HADYA DIALLO</t>
  </si>
  <si>
    <t>C/ Jorge Guillén, nº 6, 2º Dcha</t>
  </si>
  <si>
    <t>Solicitud y tramitación Cita huella HADYA DIALLO</t>
  </si>
  <si>
    <t>45584387C</t>
  </si>
  <si>
    <t>BEATRIZ ESPINOSA GIMENEZ</t>
  </si>
  <si>
    <t>Av. Granada, nº21</t>
  </si>
  <si>
    <t>Tramitación CA Inicial HANANE HAIDA</t>
  </si>
  <si>
    <t>Tasa, Contr. Fijo</t>
  </si>
  <si>
    <t>Y6577018K</t>
  </si>
  <si>
    <t>KALY DIAKITE</t>
  </si>
  <si>
    <t>C/ Mar Jonico, nº 18, BE</t>
  </si>
  <si>
    <t>Tramitación Arraigo Laboral KALY DIAKITE</t>
  </si>
  <si>
    <t>Tramitación Renovación Autorización Residencia y Trabajo LAHOUCINE ARISSI</t>
  </si>
  <si>
    <t>Tramitación Arraigo Social YUSUPHA NDURE</t>
  </si>
  <si>
    <t>Tramitación Renovación Autorización Residencia y Trabajo BASSOUROU DIARRA</t>
  </si>
  <si>
    <t>049920220001798</t>
  </si>
  <si>
    <t>FAVORABLE 22/03/2022</t>
  </si>
  <si>
    <t>FAVORABLE 21/03/2022</t>
  </si>
  <si>
    <t>040020220003891</t>
  </si>
  <si>
    <t>Y9438616M</t>
  </si>
  <si>
    <t>040020220003684</t>
  </si>
  <si>
    <t>Y9424326K</t>
  </si>
  <si>
    <t>Tramitación Tarjeta Residencia Familiar Ciudadano UE GERÓNIMO SÁNCHEZ</t>
  </si>
  <si>
    <t>personal@eurosol.es</t>
  </si>
  <si>
    <t>FAVORABLE 16/03/2022</t>
  </si>
  <si>
    <t>FAVORABLE 23/03/2022</t>
  </si>
  <si>
    <t>FAVORABLE 24/03/2022</t>
  </si>
  <si>
    <t>Tramitación Arraigo Social ADAMA CISSÉ</t>
  </si>
  <si>
    <t>Tasa, PRUEBAS</t>
  </si>
  <si>
    <t>Tramitación Arraigo Social DOGNA FOFANA</t>
  </si>
  <si>
    <t>Tasa, Penales</t>
  </si>
  <si>
    <t>18109656P</t>
  </si>
  <si>
    <t>JUAN GABRIEL PEREZ NAVARRO</t>
  </si>
  <si>
    <t>Tramitación Arraigo Social ABDELLATIF HABOU</t>
  </si>
  <si>
    <t>Faltan pruebas 14 01 2019 - 01 07 2019</t>
  </si>
  <si>
    <t>Faltan pruebas 26-12-19 a 01-07-2020 / 19-10-2020 a 19-03-2021</t>
  </si>
  <si>
    <t>54095166V</t>
  </si>
  <si>
    <t>JUAN MANUEL MARTIN FERNANDEZ</t>
  </si>
  <si>
    <t xml:space="preserve">C/ Voluntarios 2005, nº 15 </t>
  </si>
  <si>
    <t>Tramitación Arraigo Social ABDOULAYE BA</t>
  </si>
  <si>
    <t>Tasa y Pruebas</t>
  </si>
  <si>
    <t xml:space="preserve">juagrisa@gmail.com </t>
  </si>
  <si>
    <t>Tramitación Renovación Autorización Residencia y Trabajo NOUREDDINE ATTIA</t>
  </si>
  <si>
    <t>049920220002344</t>
  </si>
  <si>
    <t>juanmegane87@gmail.com</t>
  </si>
  <si>
    <t>629 15 43 29</t>
  </si>
  <si>
    <t>castillocruzagustin@gmail.com</t>
  </si>
  <si>
    <t>Citricos Orgánicos Reunidos SL</t>
  </si>
  <si>
    <t>B16775611</t>
  </si>
  <si>
    <t>CITRICOS ORGANICOS REUNIDOS, S.L.</t>
  </si>
  <si>
    <t>C/ Calerica, SN</t>
  </si>
  <si>
    <t>Tramitación Renovación Autorización Residencia y Trabajo ABOU SY</t>
  </si>
  <si>
    <t>049920220000559</t>
  </si>
  <si>
    <t>Tramitación Arraigo Social BANDIOUGOU FOFANA</t>
  </si>
  <si>
    <t>Intervalos cubiertos con envios dinero 05-02-2019 a 13-06-2019 / 20-07-2020 a 28-01-2021</t>
  </si>
  <si>
    <t>F04817193</t>
  </si>
  <si>
    <t>BIOALPUJARRA, SCA</t>
  </si>
  <si>
    <t>Av. Nicolas Salmerón, S/N</t>
  </si>
  <si>
    <t>Tramitación CA Inicial KHALID CHAFI</t>
  </si>
  <si>
    <t>Tasa y contrato fijo</t>
  </si>
  <si>
    <t>Tramitación Arraigo Social YOUSSEF DOUIDA</t>
  </si>
  <si>
    <t>27231098H</t>
  </si>
  <si>
    <t>JOAQUIN SAEZ SALVADOR</t>
  </si>
  <si>
    <t>C/ Barranco, nº 4</t>
  </si>
  <si>
    <t>Tramitación CA Inicial EL HABIB EL KARMY</t>
  </si>
  <si>
    <t>049920210007682</t>
  </si>
  <si>
    <t>Y9445078G</t>
  </si>
  <si>
    <t>040020220004114</t>
  </si>
  <si>
    <t>040020220004147</t>
  </si>
  <si>
    <t>Y9450926X</t>
  </si>
  <si>
    <t>040020220004125</t>
  </si>
  <si>
    <t>040020220004174</t>
  </si>
  <si>
    <t>Y9451625L</t>
  </si>
  <si>
    <t>Y9471653Z</t>
  </si>
  <si>
    <t>040020220004549</t>
  </si>
  <si>
    <t>X9839551J</t>
  </si>
  <si>
    <t>040020220004166</t>
  </si>
  <si>
    <t>Y9441776Z</t>
  </si>
  <si>
    <t>040020220003937</t>
  </si>
  <si>
    <t>Tramitación Residencia Menor no nacido en España OUSAINOU TUNKARA</t>
  </si>
  <si>
    <t>Tramitación Residencia Menor no nacido en España MAHAMMAD TUNKARA</t>
  </si>
  <si>
    <t>Y3772464H</t>
  </si>
  <si>
    <t>NATALLIA SARYCHAVA</t>
  </si>
  <si>
    <t>Plaza Torre Bahia, nº1 104</t>
  </si>
  <si>
    <t xml:space="preserve">Aguadulce </t>
  </si>
  <si>
    <t>Tramitación Residencia Menor no nacido en España RAMAN ANKHIM</t>
  </si>
  <si>
    <t>FAVORABLE 29/03/2022</t>
  </si>
  <si>
    <t>040020220004774</t>
  </si>
  <si>
    <t>Y3527480F</t>
  </si>
  <si>
    <t xml:space="preserve">Contrato indef. </t>
  </si>
  <si>
    <t>040020220004169</t>
  </si>
  <si>
    <t>Y9451505Z</t>
  </si>
  <si>
    <t>INADMITIR A TRÁMITE 24/03/2022</t>
  </si>
  <si>
    <t>040020220004677</t>
  </si>
  <si>
    <t>FAVORABLE 28/03/2022</t>
  </si>
  <si>
    <t>040020220004804</t>
  </si>
  <si>
    <t>Y9483623R</t>
  </si>
  <si>
    <t>049920220000842</t>
  </si>
  <si>
    <t>Tramitación CA Inicial EL MEHDI ECHAKRAOUI</t>
  </si>
  <si>
    <t>Tramitación CA Inicial YOUSSRA QOUIQA</t>
  </si>
  <si>
    <t>Tasas, declaración rect.</t>
  </si>
  <si>
    <t>Y9495615X</t>
  </si>
  <si>
    <t>040020220005075</t>
  </si>
  <si>
    <t>040020220004972</t>
  </si>
  <si>
    <t>Y9489745M</t>
  </si>
  <si>
    <t>040020220005053</t>
  </si>
  <si>
    <t>040020220004891</t>
  </si>
  <si>
    <t>Contrato fijo discon</t>
  </si>
  <si>
    <t>75244779A</t>
  </si>
  <si>
    <t>JOAQUIN SAEZ SALDAÑA</t>
  </si>
  <si>
    <t>C/ Cristo, nº 11</t>
  </si>
  <si>
    <t>Tramitación CA Inicial MOUAD BALI</t>
  </si>
  <si>
    <t>Tramitación Tarjeta Residencia Familiar Ciudadano Unión MARCIANO EDUARDO MENDES CUARACA</t>
  </si>
  <si>
    <t>Certif. histórico empadr.</t>
  </si>
  <si>
    <t>B04842563</t>
  </si>
  <si>
    <t>GARCIA CROPS, S.L.</t>
  </si>
  <si>
    <t>C/ Huelva, nº 16, 1º</t>
  </si>
  <si>
    <t>625 53 99 98</t>
  </si>
  <si>
    <t>manuelgarcia@brigidalopez.com</t>
  </si>
  <si>
    <t>Tramitación Arraigo Social GELLA MARRA</t>
  </si>
  <si>
    <t>Tasa, pasaporte completo</t>
  </si>
  <si>
    <t>FAVORABLE 04/04/2022</t>
  </si>
  <si>
    <t>FAVORABLE 31/03/2022</t>
  </si>
  <si>
    <t>Tramitación Arraigo Familiar Rosmery Yicell Hernandez</t>
  </si>
  <si>
    <t>X2532881Y</t>
  </si>
  <si>
    <t>MERIAM BOUANANI</t>
  </si>
  <si>
    <t>C/ Cruces, nº 3, PB</t>
  </si>
  <si>
    <t>Presentación Renovación Tarjeta Residencia Familiar Permanente Ciudadano UE MERIAM BOUANANI</t>
  </si>
  <si>
    <t>049920210008584</t>
  </si>
  <si>
    <t>Empadronamiento Colectivo</t>
  </si>
  <si>
    <t>FAVORABLE 06/04/2022</t>
  </si>
  <si>
    <t>FAVORABLE 07/04/2022</t>
  </si>
  <si>
    <t>Y9516611F</t>
  </si>
  <si>
    <t>040020220005467</t>
  </si>
  <si>
    <t>Y9489579T</t>
  </si>
  <si>
    <t>040020220005434</t>
  </si>
  <si>
    <t>040020220003678</t>
  </si>
  <si>
    <t>Y9424242Y</t>
  </si>
  <si>
    <t>040020220005815</t>
  </si>
  <si>
    <t>ESCRITURA CONSTITU</t>
  </si>
  <si>
    <t>Tasa, contrato fijo disco</t>
  </si>
  <si>
    <t>NO FAVORABLE 31/03/2022</t>
  </si>
  <si>
    <t>Y9536474K</t>
  </si>
  <si>
    <t>040020220005828</t>
  </si>
  <si>
    <t>Y9535708Z</t>
  </si>
  <si>
    <t>040020220005788</t>
  </si>
  <si>
    <t>040020220005814</t>
  </si>
  <si>
    <t>Y8572289L</t>
  </si>
  <si>
    <t>040020220005183</t>
  </si>
  <si>
    <t>040020220005919</t>
  </si>
  <si>
    <t>Y9541623H</t>
  </si>
  <si>
    <t>Y9549086Y</t>
  </si>
  <si>
    <t>040020220006079</t>
  </si>
  <si>
    <t>Y5687097Q</t>
  </si>
  <si>
    <t>X7883437A</t>
  </si>
  <si>
    <t>C/ El Palmeral, nº 12, 2ºA</t>
  </si>
  <si>
    <t>Tramitación Renovación Larga Duración MAMADOU NDONG</t>
  </si>
  <si>
    <t>049920220001545</t>
  </si>
  <si>
    <t>FAVORABLE 08/04/2022</t>
  </si>
  <si>
    <t>Tramitación Arraigo Social M'BEMBA SISSOKO</t>
  </si>
  <si>
    <t>administración@bio-alpujarra.com</t>
  </si>
  <si>
    <t>MOUSTAPHA SOUARE</t>
  </si>
  <si>
    <t>C/ Ceuta, nº 57, 1º A</t>
  </si>
  <si>
    <t>Tramitación Arraigo Social MOUSTAPHA SOUARE</t>
  </si>
  <si>
    <t>Tramitación Renovación Autorización Residencia y Trabajo  YOUSSOU MANGARA</t>
  </si>
  <si>
    <t>049920220003357</t>
  </si>
  <si>
    <t>Tramitación Arraigo Social EL KHAMAR EL AIREJ</t>
  </si>
  <si>
    <t>040020220006113</t>
  </si>
  <si>
    <t>Y8795630F</t>
  </si>
  <si>
    <t>Y9554918L</t>
  </si>
  <si>
    <t>040020220006095</t>
  </si>
  <si>
    <t>Y9555508B</t>
  </si>
  <si>
    <t>040020220006131</t>
  </si>
  <si>
    <t>Y9546509M</t>
  </si>
  <si>
    <t>040020220006008</t>
  </si>
  <si>
    <t>Y9558450D</t>
  </si>
  <si>
    <t>040020220006264</t>
  </si>
  <si>
    <t>040020220006299</t>
  </si>
  <si>
    <t>Y9549113X</t>
  </si>
  <si>
    <t>040020220006526</t>
  </si>
  <si>
    <t>Tramitación Renovación Residencia Larga Duración SEYDOU DIAKITE</t>
  </si>
  <si>
    <t>049920220002661</t>
  </si>
  <si>
    <t>FAVORABLE 19/04/2022</t>
  </si>
  <si>
    <t>Tramitación Renovación Autorización Residencia y Trabajo  KHALID EL AAKLY</t>
  </si>
  <si>
    <t>049920220001903</t>
  </si>
  <si>
    <t>290020220006652</t>
  </si>
  <si>
    <t>Y9585193A</t>
  </si>
  <si>
    <t>FAVORABLE 20/04/2022</t>
  </si>
  <si>
    <t>Y9582667F</t>
  </si>
  <si>
    <t>040020220006995</t>
  </si>
  <si>
    <t>Y9567534P</t>
  </si>
  <si>
    <t>040020220006658</t>
  </si>
  <si>
    <t>DAMIAN</t>
  </si>
  <si>
    <t>Tramitación Tarjeta Residencia Familiar Ciudadano UE DIEGO ONOFRE LEYTON PEREZ</t>
  </si>
  <si>
    <t>Tramitación Arraigo Social YASSINE BITOU</t>
  </si>
  <si>
    <t>FAVORABLE 22/04/2022</t>
  </si>
  <si>
    <t>Tramitación Arraigo Social SIDI MOHAMMAD ERIC GUIBLEWEOGO</t>
  </si>
  <si>
    <t>Tasa, Certificado penales</t>
  </si>
  <si>
    <t>Tramitación Arraigo Social BAKARY TOUNKARA</t>
  </si>
  <si>
    <t>GERONIMO PAUL SANCHEZ HERRERA</t>
  </si>
  <si>
    <t>Prol Los Rubiales, SN</t>
  </si>
  <si>
    <t>04260</t>
  </si>
  <si>
    <t>sorbas</t>
  </si>
  <si>
    <t>Tramitación Renovación Autorización Residencia y Trabajo  GERONIMO PAUL SANCHEZ HERRERA</t>
  </si>
  <si>
    <t>049920220001375</t>
  </si>
  <si>
    <t>Y6754021Q</t>
  </si>
  <si>
    <t>049920220002563</t>
  </si>
  <si>
    <t>Tramitación Arraigo Social MOHAMED HABOU</t>
  </si>
  <si>
    <t>00/00/1989</t>
  </si>
  <si>
    <t>JOSE MARTINEZ SANCHEZ</t>
  </si>
  <si>
    <t>Tramitación Certificado Registro Comunitario VICTOR DAVID STANCU</t>
  </si>
  <si>
    <t>Tramitación Certificado Registro Comunitario DANIELA CLAUDIA BOBIRNAC</t>
  </si>
  <si>
    <t>Y9619407G</t>
  </si>
  <si>
    <t>Y4261919X</t>
  </si>
  <si>
    <t>GHITA CHRAIBI</t>
  </si>
  <si>
    <t>C/ Ismael Merlo, nº 6, 1ºD</t>
  </si>
  <si>
    <t>Tramitación Arraigo Social GHITA CHRAIBI</t>
  </si>
  <si>
    <t>Tramitación Arraigo Social RANSFORD YEBOA</t>
  </si>
  <si>
    <t>Y9602275L</t>
  </si>
  <si>
    <t>FAVORABLE 28/04/2022</t>
  </si>
  <si>
    <t>FAVORABLE 26/04/2022</t>
  </si>
  <si>
    <t>FAVORABLE 29/04/2022</t>
  </si>
  <si>
    <t>040020220007447</t>
  </si>
  <si>
    <t>Y9609374B</t>
  </si>
  <si>
    <t>040020220007631</t>
  </si>
  <si>
    <t>FAVORABLE 03/05/2022</t>
  </si>
  <si>
    <t>X8810436X</t>
  </si>
  <si>
    <t>AZIZ JNAH</t>
  </si>
  <si>
    <t>C/ Agustin Gomez Arcos, BJ 3º</t>
  </si>
  <si>
    <t>Loma Cabrera</t>
  </si>
  <si>
    <t>Tramitación Tarjeta Residencia Familiar Ciudadano Unión AZIZ JNAH</t>
  </si>
  <si>
    <t>Certificado de empadronamiento historico</t>
  </si>
  <si>
    <t>Y9620097Q</t>
  </si>
  <si>
    <t>200020220002958</t>
  </si>
  <si>
    <t>Tramitación renovación Autorización Residencia No Lucrativa FATOU GAYE MBAYE</t>
  </si>
  <si>
    <t>049920220003202</t>
  </si>
  <si>
    <t>Vicasol (Emilio)</t>
  </si>
  <si>
    <t>75230813K</t>
  </si>
  <si>
    <t>JOSE EMILIO CASTILLO MARTIN</t>
  </si>
  <si>
    <t>C/ Santa Marta, nº 2, blq. 2, portal 2, piso 1º14</t>
  </si>
  <si>
    <t>Recurso de Reposición KETEVAN NIKURADZE</t>
  </si>
  <si>
    <t>Y5004976Y</t>
  </si>
  <si>
    <t>049920210003785</t>
  </si>
  <si>
    <t>Tramitación Renovación Autorización Residencia y Trabajo TORD PATRICE POODA</t>
  </si>
  <si>
    <t>Tramitación Arraigo Social RAHAL BENJARRARI</t>
  </si>
  <si>
    <t>NO FAVORABLE 28/04/2022</t>
  </si>
  <si>
    <t>NO FAVORABLE 29/04/2022</t>
  </si>
  <si>
    <t>IBRAHIMA NIANE</t>
  </si>
  <si>
    <t>C/ Palmeral, nº 12, 2ºB</t>
  </si>
  <si>
    <t>Tramitación Arraigo Social IBRAHIMA NIANE</t>
  </si>
  <si>
    <t>Y9103085K</t>
  </si>
  <si>
    <t>NO FAVORABLE 05/05/2022</t>
  </si>
  <si>
    <t>049920220003960</t>
  </si>
  <si>
    <t>FAVORABLE 04/05/2022</t>
  </si>
  <si>
    <t>FAVORABLE 06/05/2022</t>
  </si>
  <si>
    <t>Y6611559Q</t>
  </si>
  <si>
    <t>040020220007780</t>
  </si>
  <si>
    <t>Y7339815T</t>
  </si>
  <si>
    <t>040020220008398</t>
  </si>
  <si>
    <t>Y9636419P</t>
  </si>
  <si>
    <t>040020220008267</t>
  </si>
  <si>
    <t>Y9646974Y</t>
  </si>
  <si>
    <t>040020220008463</t>
  </si>
  <si>
    <t>NO FAVORABLE 09/05/2022</t>
  </si>
  <si>
    <t>Tasa, contrato indef.</t>
  </si>
  <si>
    <t>040020220008473</t>
  </si>
  <si>
    <t>Y9649478A</t>
  </si>
  <si>
    <t>040020220008513</t>
  </si>
  <si>
    <t>Y9649724L</t>
  </si>
  <si>
    <t>040020220008519</t>
  </si>
  <si>
    <t>C/ Los Pozos, nº 28</t>
  </si>
  <si>
    <t>Tramitación Renovación Autorización Residencia y Trabajo  EL MOSTAFA MEHBI</t>
  </si>
  <si>
    <t>049920220003831</t>
  </si>
  <si>
    <t>BOUBACAR MENDY</t>
  </si>
  <si>
    <t>Carril Piedra Roda, nº 455, BE</t>
  </si>
  <si>
    <t>Tramitación Arraigo Social BOUBACAR MENDY</t>
  </si>
  <si>
    <t>Tramitación Renovación Autorización Residencia y Trabajo  ABDELKHALEK BAIDAN</t>
  </si>
  <si>
    <t>049920220003304</t>
  </si>
  <si>
    <t>Tramitación Arraigo Social IDRISSA SENE</t>
  </si>
  <si>
    <t>PAPA NDIONE</t>
  </si>
  <si>
    <t>C/ Quinta Avenida, nº 42, 5º1</t>
  </si>
  <si>
    <t>Tramitación Arraigo Social PAPA NDIONE</t>
  </si>
  <si>
    <t>Tasa, INFORME ARRAIGO y solicitud</t>
  </si>
  <si>
    <t>Traducción matrimonio</t>
  </si>
  <si>
    <t>Autor. Parental</t>
  </si>
  <si>
    <t>Y9042583D</t>
  </si>
  <si>
    <t>BOUBACAR SOW</t>
  </si>
  <si>
    <t>C/ Blasco Ibáñez, nº 2, piso 3, puerta 6</t>
  </si>
  <si>
    <t>Recurso de Reposición BOUBACAR SOW</t>
  </si>
  <si>
    <t>040020210020667</t>
  </si>
  <si>
    <t>Tasas y certificado matri</t>
  </si>
  <si>
    <t>NO FAVORABLE 10/05/2022</t>
  </si>
  <si>
    <t>040020220008718</t>
  </si>
  <si>
    <t>040020220008714</t>
  </si>
  <si>
    <t>Y9665048W</t>
  </si>
  <si>
    <t>040020220008844</t>
  </si>
  <si>
    <t>Y7715414D</t>
  </si>
  <si>
    <t>040020220008653</t>
  </si>
  <si>
    <t>040020220008861</t>
  </si>
  <si>
    <t>040020220007397</t>
  </si>
  <si>
    <t>040020220007398</t>
  </si>
  <si>
    <t>Y9670469H</t>
  </si>
  <si>
    <t>040020220008922</t>
  </si>
  <si>
    <t>FAVORABLE 16/05/2022</t>
  </si>
  <si>
    <t>FAVORABLE 12/05/2022</t>
  </si>
  <si>
    <t>ALEJANDRO MANZANO MALDONADO</t>
  </si>
  <si>
    <t>C/ Estrella del sur, nº 28</t>
  </si>
  <si>
    <t>Tramitación Arraigo Social RIDA AGHOULID</t>
  </si>
  <si>
    <t>FAVORABLE 18/05/2022</t>
  </si>
  <si>
    <t>Tramitación Renovación Autorización Residencia y Trabajo MAHAMADOU FATOU GUMANI</t>
  </si>
  <si>
    <t>049920220003716</t>
  </si>
  <si>
    <t>EXPLOTACIONES AGRICOLAS PEREZ NAVARRO</t>
  </si>
  <si>
    <t>Tramitación Arraigo Social THAMI HABOU</t>
  </si>
  <si>
    <t>Tramitación Arraigo Social RIDA EL ABADALLAOUI</t>
  </si>
  <si>
    <t>Y5028382K</t>
  </si>
  <si>
    <t>YOUSSEF HADDY</t>
  </si>
  <si>
    <t>C/ General Rim, nº 1, 1ºA</t>
  </si>
  <si>
    <t>Tramitación Arraigo Social YOUSSEF HADDY</t>
  </si>
  <si>
    <t>Tramitación Arraigo Social ABUBAKARI MOHAMMED</t>
  </si>
  <si>
    <t>andresdavidfernandezbelmonte@gmail.com</t>
  </si>
  <si>
    <t>Recurso de Reposición MANSOUR SALL</t>
  </si>
  <si>
    <t>Recurso de Reposición SERIGNE ABDOU NDAME FALL</t>
  </si>
  <si>
    <t>Recurso de Reposición MOR TALLA NDIAYE</t>
  </si>
  <si>
    <t>Recurso de Reposición LAMINE BA</t>
  </si>
  <si>
    <t>X3984345D</t>
  </si>
  <si>
    <t>OMAR KARIMI</t>
  </si>
  <si>
    <t>Tramitación Toma Huella KHALID BONNOUH</t>
  </si>
  <si>
    <t>Y9315219A</t>
  </si>
  <si>
    <t>Y9687527X</t>
  </si>
  <si>
    <t>040020220009414</t>
  </si>
  <si>
    <t>Trámite duplicado</t>
  </si>
  <si>
    <t>Tramitación CA Inicial BEATRICE ASANTEWAA OBENG</t>
  </si>
  <si>
    <t>040020220008864</t>
  </si>
  <si>
    <t>040020220009126</t>
  </si>
  <si>
    <t>040020220009778</t>
  </si>
  <si>
    <t>Y9705498H</t>
  </si>
  <si>
    <t>78036861T</t>
  </si>
  <si>
    <t>FRANCISCO CRESPO CARMONA</t>
  </si>
  <si>
    <t>Camino del Puerto, nº 26</t>
  </si>
  <si>
    <t>Tramitación Arraigo Social FOUNEKE SOW</t>
  </si>
  <si>
    <t>No estar al corriente y contrato</t>
  </si>
  <si>
    <t>Y9708231Z</t>
  </si>
  <si>
    <t>040020220009837</t>
  </si>
  <si>
    <t>Tramitación Arraigo Social LAMINE SALL</t>
  </si>
  <si>
    <t>Tramitación Arraigo Social TALLA GUEYE</t>
  </si>
  <si>
    <t>Plaza España, nº 2</t>
  </si>
  <si>
    <t>C/ Haza Tableada, s/n</t>
  </si>
  <si>
    <t xml:space="preserve"> 27512163T</t>
  </si>
  <si>
    <t>54104283A</t>
  </si>
  <si>
    <t>Y9715349W</t>
  </si>
  <si>
    <t>040020220010038</t>
  </si>
  <si>
    <t>Y9714090P</t>
  </si>
  <si>
    <t>040020220010013</t>
  </si>
  <si>
    <t xml:space="preserve">Y9716889R </t>
  </si>
  <si>
    <t>040020220010058</t>
  </si>
  <si>
    <t>040020220010198</t>
  </si>
  <si>
    <t>040020220010169</t>
  </si>
  <si>
    <t xml:space="preserve">040020220010167 </t>
  </si>
  <si>
    <t>040020220010163</t>
  </si>
  <si>
    <t>FALLECIMIENTO DEL TRABAJADOR</t>
  </si>
  <si>
    <t>Tramitación Renovación Autorización Residencia y Trabajo AICHA COULIBALY</t>
  </si>
  <si>
    <t>049920220003603</t>
  </si>
  <si>
    <t>joseantonio@comunidadtierrasdealmeria.com</t>
  </si>
  <si>
    <t>Tramitación Renovación Autorización Residencia y Trabajo AYOUB EL BAKALI</t>
  </si>
  <si>
    <t>049920220004396</t>
  </si>
  <si>
    <t>anasabio@hortirecursos.com</t>
  </si>
  <si>
    <r>
      <t xml:space="preserve">Tramitación Contingente 2022 </t>
    </r>
    <r>
      <rPr>
        <b/>
        <sz val="11"/>
        <rFont val="Calibri"/>
        <family val="2"/>
      </rPr>
      <t>NAOUAL EL HINDI</t>
    </r>
  </si>
  <si>
    <r>
      <t xml:space="preserve">Tramitación Contingente 2022 </t>
    </r>
    <r>
      <rPr>
        <b/>
        <sz val="11"/>
        <rFont val="Calibri"/>
        <family val="2"/>
      </rPr>
      <t>RACHIDA CHOUARI</t>
    </r>
  </si>
  <si>
    <r>
      <t xml:space="preserve">Tramitación Contingente 2022 </t>
    </r>
    <r>
      <rPr>
        <b/>
        <sz val="11"/>
        <rFont val="Calibri"/>
        <family val="2"/>
      </rPr>
      <t>FATNA REBBAA</t>
    </r>
  </si>
  <si>
    <r>
      <t xml:space="preserve">Tramitación Contingente 2022 </t>
    </r>
    <r>
      <rPr>
        <b/>
        <sz val="11"/>
        <rFont val="Calibri"/>
        <family val="2"/>
      </rPr>
      <t>FATIMA EL KAFAZ</t>
    </r>
  </si>
  <si>
    <r>
      <t>Tramitación Contingente 2022</t>
    </r>
    <r>
      <rPr>
        <b/>
        <sz val="11"/>
        <rFont val="Calibri"/>
        <family val="2"/>
      </rPr>
      <t xml:space="preserve"> SAIDA BENHADI</t>
    </r>
  </si>
  <si>
    <r>
      <t>Tramitación Contingente 2022</t>
    </r>
    <r>
      <rPr>
        <b/>
        <sz val="11"/>
        <rFont val="Calibri"/>
        <family val="2"/>
      </rPr>
      <t xml:space="preserve"> ZOHRA EL HAJAMI</t>
    </r>
  </si>
  <si>
    <r>
      <t xml:space="preserve">Tramitación Contingente 2022 </t>
    </r>
    <r>
      <rPr>
        <b/>
        <sz val="11"/>
        <rFont val="Calibri"/>
        <family val="2"/>
      </rPr>
      <t>SOUAD BAKHADA</t>
    </r>
  </si>
  <si>
    <r>
      <t>Tramitación Contingente 2022</t>
    </r>
    <r>
      <rPr>
        <b/>
        <sz val="11"/>
        <rFont val="Calibri"/>
        <family val="2"/>
      </rPr>
      <t xml:space="preserve"> FATIMA OULD KAH</t>
    </r>
  </si>
  <si>
    <r>
      <t xml:space="preserve">Tramitación Contingente 2022 </t>
    </r>
    <r>
      <rPr>
        <b/>
        <sz val="11"/>
        <rFont val="Calibri"/>
        <family val="2"/>
      </rPr>
      <t xml:space="preserve">GHIZLANE ERRAI </t>
    </r>
  </si>
  <si>
    <r>
      <t xml:space="preserve">Tramitación Contingente 2022 </t>
    </r>
    <r>
      <rPr>
        <b/>
        <sz val="11"/>
        <rFont val="Calibri"/>
        <family val="2"/>
      </rPr>
      <t>RACHIDA ALGARRAF</t>
    </r>
  </si>
  <si>
    <t>Y0130462C</t>
  </si>
  <si>
    <t>Y0130509K</t>
  </si>
  <si>
    <t>cambio empresa</t>
  </si>
  <si>
    <t>Tasas y contrato 100</t>
  </si>
  <si>
    <t>049920220001852</t>
  </si>
  <si>
    <t>410020220002441</t>
  </si>
  <si>
    <t>Y9517792S</t>
  </si>
  <si>
    <t>410020220002435</t>
  </si>
  <si>
    <t>410020220002433</t>
  </si>
  <si>
    <t>Y9517099N</t>
  </si>
  <si>
    <t>FAVORABLE 31/05/2022</t>
  </si>
  <si>
    <t>FAVORABLE 25/05/2022</t>
  </si>
  <si>
    <t>FAVORABLE 01/06/2022</t>
  </si>
  <si>
    <t>Y9732928D</t>
  </si>
  <si>
    <t>040020220010430</t>
  </si>
  <si>
    <t>040020220010571</t>
  </si>
  <si>
    <t>040020220010412</t>
  </si>
  <si>
    <t>040020220010693</t>
  </si>
  <si>
    <t>Y9744065Z</t>
  </si>
  <si>
    <t>Y9756914Y</t>
  </si>
  <si>
    <t>040020220011044</t>
  </si>
  <si>
    <t>Y9759053Y</t>
  </si>
  <si>
    <t>040020220011051</t>
  </si>
  <si>
    <t>Olivencia Asesores</t>
  </si>
  <si>
    <t>Tramitación Arraigo Social YOUNES HAOUFADI</t>
  </si>
  <si>
    <t>FAVORABLE 07/06/2022</t>
  </si>
  <si>
    <t>040020220006173</t>
  </si>
  <si>
    <t>Y9556305A</t>
  </si>
  <si>
    <t>ANULADO</t>
  </si>
  <si>
    <t>ANULADO SI SALE DENEGADO</t>
  </si>
  <si>
    <t>ARCHIVADO 02/06/2022</t>
  </si>
  <si>
    <t>FAVORABLE 08/06/2022</t>
  </si>
  <si>
    <t>Cert. Matrimonio actualizado</t>
  </si>
  <si>
    <t>Y9763194F</t>
  </si>
  <si>
    <t>040020220011262</t>
  </si>
  <si>
    <t>FAVORABLE 09/06/2022</t>
  </si>
  <si>
    <t xml:space="preserve">Tasa y nóminas </t>
  </si>
  <si>
    <t>Se ha aportado Fijo discontinuo. Contrato fijo modelo 100 también preparado por si acaso</t>
  </si>
  <si>
    <t>BUBAKAR CISSÉ</t>
  </si>
  <si>
    <t>Camino balsa de la Romera, nº 1</t>
  </si>
  <si>
    <t>Tramitación Arraigo Social BUBAKAR CISSE</t>
  </si>
  <si>
    <t>Y5710831Z</t>
  </si>
  <si>
    <t>HANSSA LENGA</t>
  </si>
  <si>
    <t>Paraje Venta Criado, nº 3</t>
  </si>
  <si>
    <t>Tramitación CA Inicial HAMADO LENGA</t>
  </si>
  <si>
    <t>Tramitación Arraigo Social AMARY GUEYE</t>
  </si>
  <si>
    <t>Tramitación CA Inicial HOURIA ECHAFAI</t>
  </si>
  <si>
    <t>Y8054734X</t>
  </si>
  <si>
    <t>049920220003444</t>
  </si>
  <si>
    <t>049920220002879</t>
  </si>
  <si>
    <t>Y5754211Q</t>
  </si>
  <si>
    <t>Y5754137B</t>
  </si>
  <si>
    <t>Tramitación Renovación Autorización Residencia y Trabajo MHAMMED OURKIA</t>
  </si>
  <si>
    <t>049920220004925</t>
  </si>
  <si>
    <t>Certif. histo. Empadr.</t>
  </si>
  <si>
    <t>Tramitación Renovación Autorización ANTONINA SHETELIA</t>
  </si>
  <si>
    <t>Tramitación CA Inicial KEBA SYLLA</t>
  </si>
  <si>
    <t>Tramitación Renovación Autorización Residencia y Trabajo DEMBA COLY</t>
  </si>
  <si>
    <t>049920220005051</t>
  </si>
  <si>
    <t>040020220011771</t>
  </si>
  <si>
    <t>FAVORABLE 13/06/2022</t>
  </si>
  <si>
    <t>Tramitación CA Inicial SIHAM JAB</t>
  </si>
  <si>
    <t>F04211801</t>
  </si>
  <si>
    <t>SAMOVIZ, SOC. COOP. AND.</t>
  </si>
  <si>
    <t>C/ Mirlo, nº 2</t>
  </si>
  <si>
    <t>Presentación Renovación Tarjeta Residencia Familiar Permanente Ciudadano UE GIORGI GURCHUMELIA</t>
  </si>
  <si>
    <t>Presentación Renovación Tarjeta Residencia Familiar Permanente Ciudadano UE MARINA NIKURADZE</t>
  </si>
  <si>
    <t>FAVORABLE 14/06/2022</t>
  </si>
  <si>
    <t>Tramitación Renovación Autorización Residencia y Trabajo KWEKU SEKYI</t>
  </si>
  <si>
    <t>049920220004571</t>
  </si>
  <si>
    <t>Tramitación Arraigo Social SAJA TOURAY</t>
  </si>
  <si>
    <t>FAVORABLE 17/06/2022</t>
  </si>
  <si>
    <t>Tramitación Solicitud Número Afiliación Seg. Soc. ISMAILA TRAORE</t>
  </si>
  <si>
    <t>Y9308573G</t>
  </si>
  <si>
    <t>BIRAMA SAKHO</t>
  </si>
  <si>
    <t>Avda. Apellido Cortijo de Marín</t>
  </si>
  <si>
    <t>Pasaporte 28/06/2022</t>
  </si>
  <si>
    <t>FAVORABLE 16/06/2022</t>
  </si>
  <si>
    <t>040020220011847</t>
  </si>
  <si>
    <t>040020220011850</t>
  </si>
  <si>
    <t>Y9789499T</t>
  </si>
  <si>
    <t>040020220011807</t>
  </si>
  <si>
    <t>040020220011938</t>
  </si>
  <si>
    <t>Y9796019B</t>
  </si>
  <si>
    <t>Tramitación CA Inicial HICHAM KILOULI</t>
  </si>
  <si>
    <t>040020220012408</t>
  </si>
  <si>
    <t>040020220012432</t>
  </si>
  <si>
    <t>FAVORABLE 23/06/2022</t>
  </si>
  <si>
    <t>FAVORABLE 20/06/2022</t>
  </si>
  <si>
    <t>Tramitación Recurso de Reposición BIRAMA SAKHO</t>
  </si>
  <si>
    <t>040020210026249</t>
  </si>
  <si>
    <t>MAGUETTE SOW</t>
  </si>
  <si>
    <t>C/ Ceuta, nº 57, 1º dch</t>
  </si>
  <si>
    <t>Tramitación Renovación Autorización Residencia y Trabajo MAGUETTE SOW</t>
  </si>
  <si>
    <t>049920220005386</t>
  </si>
  <si>
    <t>Tramitación Renovación Autorización Residencia y Trabajo AMADOU JALLOW</t>
  </si>
  <si>
    <t>Tramitación Renovación Autorización Residencia y Trabajo ADAMA TRAORE</t>
  </si>
  <si>
    <t>04992022004727</t>
  </si>
  <si>
    <t>Y9802005V</t>
  </si>
  <si>
    <t>040020220012080</t>
  </si>
  <si>
    <t>Y9803984H</t>
  </si>
  <si>
    <t>040020220012097</t>
  </si>
  <si>
    <t>Y9818862S</t>
  </si>
  <si>
    <t>040020220012545</t>
  </si>
  <si>
    <t>Y9818574A</t>
  </si>
  <si>
    <t>040020220012492</t>
  </si>
  <si>
    <t>Y9823318D</t>
  </si>
  <si>
    <t>040020220012536</t>
  </si>
  <si>
    <t>SIDY SARR</t>
  </si>
  <si>
    <t>Ctra La Mojonera, nº 85, Bj-b</t>
  </si>
  <si>
    <t>Tramitación Arraigo Social SIDY SARR</t>
  </si>
  <si>
    <t>Tramitación Recurso de Reposición ZAKARYAE LAMLIH</t>
  </si>
  <si>
    <t>FAVORABLE 22/06/2022</t>
  </si>
  <si>
    <t>Tramitación Arraigo Social ABDELOUAHED EL MAATI</t>
  </si>
  <si>
    <t>MAMADOU MOUSTAPHA DIAME</t>
  </si>
  <si>
    <t>C/ Mallorca, nº 19</t>
  </si>
  <si>
    <t>Tramitación Renovación Autorización Residencia y Trabajo MAMADOU MOUSTAPHA DIAME</t>
  </si>
  <si>
    <t>049920220005645</t>
  </si>
  <si>
    <t>Y9825818W</t>
  </si>
  <si>
    <t>040020220012578</t>
  </si>
  <si>
    <t>Y9829958W</t>
  </si>
  <si>
    <t>040020220012677</t>
  </si>
  <si>
    <t>040020220012682</t>
  </si>
  <si>
    <t>040020220012752</t>
  </si>
  <si>
    <t>FAVORABLE 28/06/2022</t>
  </si>
  <si>
    <t>FAVORABLE 29/06/2022</t>
  </si>
  <si>
    <t>FAVORABLE 30/06/2022</t>
  </si>
  <si>
    <t>FAVORABLE 01/07/2022</t>
  </si>
  <si>
    <t>ASSANE FALL</t>
  </si>
  <si>
    <t>C/ Hipolito Escola, nº 6, 1º D</t>
  </si>
  <si>
    <t>Tramitación Arraigo Social ASSANE FALL</t>
  </si>
  <si>
    <t>Tasa y factura pagada</t>
  </si>
  <si>
    <t>DOC EMPRESA</t>
  </si>
  <si>
    <t>CONTRATO INDEFINIDO</t>
  </si>
  <si>
    <t>040020220012926</t>
  </si>
  <si>
    <t>Tramitación Arraigo Social DJIBRIL DANFA</t>
  </si>
  <si>
    <t>Y9855577E</t>
  </si>
  <si>
    <t>Tramitación Arraigo Social SOUFIAN MAAZOUZI</t>
  </si>
  <si>
    <t>78036610W</t>
  </si>
  <si>
    <t>MARIA ANGELES HERVAS LOPEZ</t>
  </si>
  <si>
    <t>C/ Zafiro, nº 11, 2, 4ºE</t>
  </si>
  <si>
    <t>649550837 (Raúl marido)</t>
  </si>
  <si>
    <t>raul.minarro@gmail.com</t>
  </si>
  <si>
    <t>Tramitación CA Inicial CHAMA MAAIZ</t>
  </si>
  <si>
    <t>desideriospb@gmail.com</t>
  </si>
  <si>
    <t>Tramitación Arraigo Social AMINE HAFIDI</t>
  </si>
  <si>
    <t>FAVORABLE 08/07/2022</t>
  </si>
  <si>
    <t>Inscr. Matrimonio</t>
  </si>
  <si>
    <t>75724197Y</t>
  </si>
  <si>
    <t>JUAN JOSE AGUILERA HERNANDEZ</t>
  </si>
  <si>
    <t>C/ orense, nº 20, Bj</t>
  </si>
  <si>
    <t>Tramitación Arraigo Social KAMAL ISBBANE</t>
  </si>
  <si>
    <t>Tramitación Arraigo Social SEKOUBA DIABY</t>
  </si>
  <si>
    <t>040020220013396</t>
  </si>
  <si>
    <t>FAVORABLE 12/07/2022</t>
  </si>
  <si>
    <t>DJAMIL DIA</t>
  </si>
  <si>
    <t>C/ Terreros, nº 1, 1F</t>
  </si>
  <si>
    <t>Tramitación Arraigo Social DJAMIL DIA</t>
  </si>
  <si>
    <t>fijo discontinuo</t>
  </si>
  <si>
    <t>RAUL FERNANDEZ PEREZ</t>
  </si>
  <si>
    <t>Av. Calle de la sal, Calle Proa, nº 8</t>
  </si>
  <si>
    <t>Tramitación Arraigo Social MEDOUNE DIOP</t>
  </si>
  <si>
    <t>Y9863534K</t>
  </si>
  <si>
    <t>040020220013598</t>
  </si>
  <si>
    <t>Y9873937M</t>
  </si>
  <si>
    <t>040020220013906</t>
  </si>
  <si>
    <t>040020220014013</t>
  </si>
  <si>
    <t>Y9878247Z</t>
  </si>
  <si>
    <t>Recurso gestionado por otra asesoría y salió desestimado</t>
  </si>
  <si>
    <t>FAVORABLE 11/07/2022</t>
  </si>
  <si>
    <t>Y9887012Q</t>
  </si>
  <si>
    <t>040020220014260</t>
  </si>
  <si>
    <t>Y7071533J</t>
  </si>
  <si>
    <t>040020220014250</t>
  </si>
  <si>
    <t>Y7838513N</t>
  </si>
  <si>
    <t>040020220014329</t>
  </si>
  <si>
    <t>Y9250863R</t>
  </si>
  <si>
    <t>040020220014381</t>
  </si>
  <si>
    <t>FAVORABLE 15/07/2022</t>
  </si>
  <si>
    <t>040020220014402</t>
  </si>
  <si>
    <t>Y9894253N</t>
  </si>
  <si>
    <t>FAVORABLE 13/07/2022</t>
  </si>
  <si>
    <t>FAVORABLE 18/07/2022</t>
  </si>
  <si>
    <t>FAVORABLE 19/07/2022</t>
  </si>
  <si>
    <t>FAVORABLE 20/07/2022</t>
  </si>
  <si>
    <t>Tramitación Arraigo Social ABDOULAYE SYLLA</t>
  </si>
  <si>
    <t>Contrato 100</t>
  </si>
  <si>
    <t>contrato 100</t>
  </si>
  <si>
    <t>FAVORABLE 21/07/2022</t>
  </si>
  <si>
    <t>NO FAVORABLE 08/07/2022</t>
  </si>
  <si>
    <t>Fuera de plazo</t>
  </si>
  <si>
    <t>Tramitación Arraigo Social MAHAMADOU TOGOLA</t>
  </si>
  <si>
    <t xml:space="preserve">Falta prueba 10/05/2020 a 10/11/2020 </t>
  </si>
  <si>
    <t>Tramitación Renovación Autorización Residencia y Trabajo MOHAMED SAHANOKO</t>
  </si>
  <si>
    <t>049920220002749</t>
  </si>
  <si>
    <t>78037822H</t>
  </si>
  <si>
    <t>FAVORABLE 27/07/2022</t>
  </si>
  <si>
    <t xml:space="preserve">Tramitación Arraigo Social HICHAM M'KHANTAR </t>
  </si>
  <si>
    <t>Y5936370S</t>
  </si>
  <si>
    <t>040020220014571</t>
  </si>
  <si>
    <t>Y9905907M</t>
  </si>
  <si>
    <t>040020220014568</t>
  </si>
  <si>
    <t>A04017497</t>
  </si>
  <si>
    <t>AGRUPAPULPI, S.A.U.</t>
  </si>
  <si>
    <t>Ctra. Pulpi - Terreros, km 0,7</t>
  </si>
  <si>
    <t>Pulpi</t>
  </si>
  <si>
    <t>eva@agrupapulpi.es</t>
  </si>
  <si>
    <t>Tramitación Recurso de Reposición ZOHRA EL BOUSIYDY</t>
  </si>
  <si>
    <t>Y9803184T</t>
  </si>
  <si>
    <t>040020220012254</t>
  </si>
  <si>
    <t>Tramitación Recurso de Reposición SAID ENNAHHAL</t>
  </si>
  <si>
    <t>X5002217Q</t>
  </si>
  <si>
    <t>049920220001776</t>
  </si>
  <si>
    <t>75724194Y</t>
  </si>
  <si>
    <t>IBRAHIMA KEITA</t>
  </si>
  <si>
    <t>Avda. Blasco Ibañez, nº 1, BJ-A</t>
  </si>
  <si>
    <t>Tramitación Renovación Autorización Residencia y Trabajo IBRAHIMA KEITA</t>
  </si>
  <si>
    <t>049920220007132</t>
  </si>
  <si>
    <t>Tramitación Arraigo Social MOHAMMED KISSI</t>
  </si>
  <si>
    <t>FAVORABLE 26/07/2022</t>
  </si>
  <si>
    <t>049920220007278</t>
  </si>
  <si>
    <t>Tramitación Renovación Autorización Residencia y Trabajo ALIOU BAH</t>
  </si>
  <si>
    <t>049920220007123</t>
  </si>
  <si>
    <t>049920220007434</t>
  </si>
  <si>
    <t>E04485009</t>
  </si>
  <si>
    <t>SALAS Y PEREZ, CB</t>
  </si>
  <si>
    <t>C/ Plaza Filosofos, nº 26</t>
  </si>
  <si>
    <t>Tramitación CA Inicial MOHAMMED EL KALLAL</t>
  </si>
  <si>
    <t>Tasa Y dni NOEMI</t>
  </si>
  <si>
    <t>08905934N</t>
  </si>
  <si>
    <t>C/ Verdi, nº 19</t>
  </si>
  <si>
    <t>Tramitación Arraigo Social ABDELHADI EN-NASIRY</t>
  </si>
  <si>
    <t>Agricola Navarro de Haro</t>
  </si>
  <si>
    <t>Tramitación Arraigo Social WIDADE EL GUARMAT</t>
  </si>
  <si>
    <t>Tramitación Arraigo Social ELHADJI ABASSE DIAME</t>
  </si>
  <si>
    <t>Tramitación Renovación Residencia Larga Duración MOR TALLA SAMBE</t>
  </si>
  <si>
    <t>049920220006465</t>
  </si>
  <si>
    <t>CLAUDIA ARIADNA DEL BASSO</t>
  </si>
  <si>
    <t>C/ Tahona, nº 9</t>
  </si>
  <si>
    <t>Tramitación Certificado Registro Comunitario CLAUDIA ARIADNA DEL BASSO</t>
  </si>
  <si>
    <t>FAVORABLE 08/08/2022</t>
  </si>
  <si>
    <t>FAVORABLE 04/08/2022</t>
  </si>
  <si>
    <t>049920220007277</t>
  </si>
  <si>
    <t>049920220007310</t>
  </si>
  <si>
    <t>049920220007309</t>
  </si>
  <si>
    <t>049920220007279</t>
  </si>
  <si>
    <t>049920220007276</t>
  </si>
  <si>
    <t>Tramitación Reagrupación Familiar ABDELMOULA AJJANI</t>
  </si>
  <si>
    <t>inf. Vivienda, contrato, extactos, tasa, autorización mardre</t>
  </si>
  <si>
    <t>FAVORABLE 10/08/2022</t>
  </si>
  <si>
    <t>FAVORABLE 11/08/2022</t>
  </si>
  <si>
    <t>FAVORABLE 12/08/2022</t>
  </si>
  <si>
    <t>FAVORABLE 01/04/2022</t>
  </si>
  <si>
    <t>040020220015225</t>
  </si>
  <si>
    <t>Y9969796T</t>
  </si>
  <si>
    <t>Y9008536W</t>
  </si>
  <si>
    <t>040020220015245</t>
  </si>
  <si>
    <t>FAVORABLE 16/08/2022</t>
  </si>
  <si>
    <t>FAVORABLE 17/08/2022</t>
  </si>
  <si>
    <t>NO FAVORABLE 16/08/2022</t>
  </si>
  <si>
    <t>NO FAVORABLE 18/08/2022</t>
  </si>
  <si>
    <t>Pasaporte completo</t>
  </si>
  <si>
    <t>FAVORABLE 18/08/2022</t>
  </si>
  <si>
    <t>Y7980272E</t>
  </si>
  <si>
    <t>040020220015763</t>
  </si>
  <si>
    <t>Y9986139J</t>
  </si>
  <si>
    <t>040020220015518</t>
  </si>
  <si>
    <t>FAVORABLE 19/08/2022</t>
  </si>
  <si>
    <t>NO FAVORABLE 23/08/2022</t>
  </si>
  <si>
    <t>MOR TALLA SAMBE</t>
  </si>
  <si>
    <t>FAVORABLE 24/08/2022</t>
  </si>
  <si>
    <t>FAVORABLE 26/08/2022</t>
  </si>
  <si>
    <t>FAVORABLE 25/08/2022</t>
  </si>
  <si>
    <t>NO FAVORABLE 30/08/2022</t>
  </si>
  <si>
    <t>Y2161508M</t>
  </si>
  <si>
    <t>ALMAMY DRAMMEH</t>
  </si>
  <si>
    <t>Plaza de la mezquita, nº 78, 1ºA</t>
  </si>
  <si>
    <t>Tramitación Renovación Residencia Larga Duración ALMAMY DRAMMEH</t>
  </si>
  <si>
    <t>049920220008294</t>
  </si>
  <si>
    <t>Tramitación Reagrupación Familiar HELENA JOAO UTIAR KEPA</t>
  </si>
  <si>
    <t>Tasa, traducción</t>
  </si>
  <si>
    <t>Tramitación Reagrupación Familiar LEMP MUSSA KEPA</t>
  </si>
  <si>
    <t>Pas. Y baja madre</t>
  </si>
  <si>
    <t>NO FAVORABLE 29/08/2022</t>
  </si>
  <si>
    <t>Tramitación CA Inicial YOUSSEF MAZIANE</t>
  </si>
  <si>
    <t>040020220016347</t>
  </si>
  <si>
    <t>Z0027745N</t>
  </si>
  <si>
    <t>FAVORABLE 29/08/2022</t>
  </si>
  <si>
    <t>FAVORABLE 31/08/2022</t>
  </si>
  <si>
    <t>FAVORABLE 01/09/2022</t>
  </si>
  <si>
    <t>Z0028929T</t>
  </si>
  <si>
    <t>040020220016379</t>
  </si>
  <si>
    <t>Z0028411B</t>
  </si>
  <si>
    <t>040020220016365</t>
  </si>
  <si>
    <t>Z0028369S</t>
  </si>
  <si>
    <t>040020220016364</t>
  </si>
  <si>
    <t>049920220007735</t>
  </si>
  <si>
    <t>Z0015046D</t>
  </si>
  <si>
    <t>040020220016057</t>
  </si>
  <si>
    <t>Tramitación Arraigo Social KHADIJA BOUKHABZA</t>
  </si>
  <si>
    <t>Tramitación Arraigo Social MAHAMADOU FOFANA</t>
  </si>
  <si>
    <t>Y5485964H</t>
  </si>
  <si>
    <t>AMADOU TIDIANE DIALLO</t>
  </si>
  <si>
    <t>C/ Las Palmeras, nº 3, piso 3-d-1</t>
  </si>
  <si>
    <t>Tramitación Renovación Residencia Larga Duración AMADOU TIDIANE DIALLO</t>
  </si>
  <si>
    <t>049920220008536</t>
  </si>
  <si>
    <t>FAVORABLE 30/08/2022</t>
  </si>
  <si>
    <t>FAVORABLE 02/09/2022</t>
  </si>
  <si>
    <t>FAVORABLE 07/09/2022</t>
  </si>
  <si>
    <t>049920220008552</t>
  </si>
  <si>
    <t>Tramitación Renovación Autorización Residencia y Trabajo ALY COULIBALY</t>
  </si>
  <si>
    <t>049920220007760</t>
  </si>
  <si>
    <t>Tramitación Renovación Autorización Residencia y Trabajo JOHN TAYLOR</t>
  </si>
  <si>
    <t>049920220008829</t>
  </si>
  <si>
    <t>FAVORABLE 09/09/2022</t>
  </si>
  <si>
    <t>040020220016799</t>
  </si>
  <si>
    <t>Z0050735W</t>
  </si>
  <si>
    <t>B04250064</t>
  </si>
  <si>
    <t>AGROMAROTO, SL</t>
  </si>
  <si>
    <t>C/ Pasaje, nº 5, 3ºA</t>
  </si>
  <si>
    <t>Tramitación CA Inicial ABDELHAK FIDAH</t>
  </si>
  <si>
    <t>Tramitación Arraigo Social ABDELLAH SAHRAMI</t>
  </si>
  <si>
    <t>Tramitación Renovación Autorización Residencia y Trabajo  AISSATOU COLY</t>
  </si>
  <si>
    <t>049920220007672</t>
  </si>
  <si>
    <t>Tramitación Renovación Autorización Residencia y Trabajo  TRAORE FABOU</t>
  </si>
  <si>
    <t>049920220008240</t>
  </si>
  <si>
    <t>s.alcaina@ciorganic.com</t>
  </si>
  <si>
    <t>Tramitación Arraigo Social MOURAD TACHALLAIT</t>
  </si>
  <si>
    <t>FAVORABLE 13/09/2022</t>
  </si>
  <si>
    <t>FAVORABLE 12/09/2022</t>
  </si>
  <si>
    <t>FAVORABLE 08/09/2022</t>
  </si>
  <si>
    <t>NO FAVORABLE 13/09/2022</t>
  </si>
  <si>
    <t>Tramitación Arraigo Social RAMON ESTEBAN SANCHEZ RODRIGUEZ</t>
  </si>
  <si>
    <t>Tramitación Arraigo Social NAJIB EL MACHKOURI</t>
  </si>
  <si>
    <t>FAVORABLE 15/09/2022</t>
  </si>
  <si>
    <t>CERTIFICADO NOTAS</t>
  </si>
  <si>
    <t>Tramitación sustitución Contrato Arraigo Social AMINE HAFIDI</t>
  </si>
  <si>
    <t>049920220007918</t>
  </si>
  <si>
    <t>Tramitación CA Inicial FERNANDO ANDRADE</t>
  </si>
  <si>
    <t>Tramitación CA Inicial MOHAMED AMHAOUROU</t>
  </si>
  <si>
    <t>FAVORABLE 16/09/2022</t>
  </si>
  <si>
    <t>FAVORABLE 14/09/2022</t>
  </si>
  <si>
    <t>Y6592164X</t>
  </si>
  <si>
    <t>OTHMANE EN-NEJAIY</t>
  </si>
  <si>
    <t>C/ Padres Redentoristas, nº 16, bj</t>
  </si>
  <si>
    <t>04550</t>
  </si>
  <si>
    <t>Gergal</t>
  </si>
  <si>
    <t>Tramitación Tarjeta independiente OTHMANE EN-NEJAIY</t>
  </si>
  <si>
    <t>Tramitación Renovación Autorización Residencia y Trabajo PAUL DUAH</t>
  </si>
  <si>
    <t>PAUL DUAH</t>
  </si>
  <si>
    <t>C/ Joaquin Escobar, nº 132, 2º2</t>
  </si>
  <si>
    <t>049920220008528</t>
  </si>
  <si>
    <t>NO FAVORABLE 15/09/2022</t>
  </si>
  <si>
    <t>Tramitación Arraigo Social MARILYN VALDEZ PEÑA</t>
  </si>
  <si>
    <t>C/ Barranco Hondo, nº 5</t>
  </si>
  <si>
    <t>Tramitación Renovación Reagrupación Familiar ASMA BADI</t>
  </si>
  <si>
    <t>Y8097372Y</t>
  </si>
  <si>
    <t>049920220008971</t>
  </si>
  <si>
    <t>Tramitación sustitución Contrato Arraigo Social SAJA TOURAY</t>
  </si>
  <si>
    <t>Tramitación sustitución Contrato Arraigo Social DJIBRIL DANFA</t>
  </si>
  <si>
    <t>Tramitación Arraigo Social ELHADJI MALICK SOW</t>
  </si>
  <si>
    <t>34857798X</t>
  </si>
  <si>
    <t>ANA MARIA MORALES CANO</t>
  </si>
  <si>
    <t>C/ Arade, nº 5, 4º3</t>
  </si>
  <si>
    <t>Tramitación CA Inicial HASNA SAHEL</t>
  </si>
  <si>
    <t>Tramitación Arraigo Social BAFING DIARRA</t>
  </si>
  <si>
    <t>Y6760795M</t>
  </si>
  <si>
    <t>27253604F</t>
  </si>
  <si>
    <t>ANGELES PINTOR TARIFA</t>
  </si>
  <si>
    <t>Av. Europa, nº 23</t>
  </si>
  <si>
    <t>Tramitación CA Inicial SAADIA LAMNOUER</t>
  </si>
  <si>
    <t>Tramitación sustitución Contrato Arraigo Social MOHAMMED KISSI</t>
  </si>
  <si>
    <t>049920220006801</t>
  </si>
  <si>
    <t>Tramitación Arraigo Social BABACAR BA</t>
  </si>
  <si>
    <t>Tramitación sustitución Contrato Arraigo Social MEDOUNE DIOP</t>
  </si>
  <si>
    <t>Tramitación Renovación Autorización Residencia y Trabajo MAMADOU FOFANA</t>
  </si>
  <si>
    <t>049920220009154</t>
  </si>
  <si>
    <t xml:space="preserve">Tramitación Renovación Autorización Residencia y Trabajo VITALII KRASOV </t>
  </si>
  <si>
    <t>049920220009148</t>
  </si>
  <si>
    <t>FAVORABLE 19/09/2022</t>
  </si>
  <si>
    <t>FAVORABLE 20/09/2022</t>
  </si>
  <si>
    <t>040020220017470</t>
  </si>
  <si>
    <t>Z0091534E</t>
  </si>
  <si>
    <t>040020220017464</t>
  </si>
  <si>
    <t>Z0091445W</t>
  </si>
  <si>
    <t>Tramitación Renovación Autorización Residencia y Trabajo BRAHIM TAIBI</t>
  </si>
  <si>
    <t>049920220009153</t>
  </si>
  <si>
    <t>Tramitación Renovación Autorización Residencia y Trabajo  GAOUSSOU CAMARA</t>
  </si>
  <si>
    <t>049920220008483</t>
  </si>
  <si>
    <t>Tramitación Renovación Autorización Residencia y Trabajo MARI CAMARA</t>
  </si>
  <si>
    <t>049920220008478</t>
  </si>
  <si>
    <t>Tramitación sustitución Contrato Arraigo Social ELHADJI ABASSE DIAME</t>
  </si>
  <si>
    <t>Tramitación Recurso de Reposición BANDIOUGOU FOFANA</t>
  </si>
  <si>
    <t>Tramitación Renovación Autorización Residencia y Trabajo DRISS FOUHA</t>
  </si>
  <si>
    <t>049920220009290</t>
  </si>
  <si>
    <t>Y5928119K</t>
  </si>
  <si>
    <t>040020220017834</t>
  </si>
  <si>
    <t>040020220017909</t>
  </si>
  <si>
    <t>Z0109439X</t>
  </si>
  <si>
    <t>NO FAVORABLE 27/09/2022</t>
  </si>
  <si>
    <t>ARCHIVADO 29/09/2022</t>
  </si>
  <si>
    <t>Tramitación sustitución Contrato Arraigo Social ABDELHADI EN-NASIRY</t>
  </si>
  <si>
    <t>MEDITERRA GREENHOUSE, SCA</t>
  </si>
  <si>
    <t>C/ ALCOR, nº 73</t>
  </si>
  <si>
    <t>F04853503</t>
  </si>
  <si>
    <t>Tramitación Arraigo Social MOHAMADI BOUCHTITA</t>
  </si>
  <si>
    <t>FAVORABLE 27/09/2022</t>
  </si>
  <si>
    <t>FAVORABLE 22/09/2022</t>
  </si>
  <si>
    <t>FAVORABLE 26/09/2022</t>
  </si>
  <si>
    <t>FAVORABLE 23/09/2022</t>
  </si>
  <si>
    <t>FAVORABLE 29/09/2022</t>
  </si>
  <si>
    <t>FAVORABLE 28/09/2022</t>
  </si>
  <si>
    <t>Tramitación CA Inicial DAOUDA COULIBALY</t>
  </si>
  <si>
    <t>05/10/202</t>
  </si>
  <si>
    <t>Z0128447C</t>
  </si>
  <si>
    <t>040020220018435</t>
  </si>
  <si>
    <t>Tramitación Renovación Autorización Residencia y Trabajo OMAR GALLA DIOP</t>
  </si>
  <si>
    <t>049920220009527</t>
  </si>
  <si>
    <t>Tramitación sustitución Contrato Arraigo Socia KHADIJA BOUKHABZA</t>
  </si>
  <si>
    <t>Z0133692K</t>
  </si>
  <si>
    <t>040020220018631</t>
  </si>
  <si>
    <t>Z0133816F</t>
  </si>
  <si>
    <t>040020220018643</t>
  </si>
  <si>
    <t>X7584768N</t>
  </si>
  <si>
    <t>040020220018769</t>
  </si>
  <si>
    <t>FAVORABLE 05/10/2022</t>
  </si>
  <si>
    <t>FAVORABLE 03/10/2022</t>
  </si>
  <si>
    <t>FAVORABLE 04/10/2022</t>
  </si>
  <si>
    <t>C/ Mecina Bombaron, nº 43</t>
  </si>
  <si>
    <t>Tramitación Arraigo Social HAMZA JABLI</t>
  </si>
  <si>
    <t>54121950Y</t>
  </si>
  <si>
    <t>SHEILA LOPEZ RODRIGUEZ</t>
  </si>
  <si>
    <t>C/ Generalife, nº 56</t>
  </si>
  <si>
    <t>Tramitación Arraigo Social MOHAMED IBEN KHALDOUNE</t>
  </si>
  <si>
    <t>74714730N</t>
  </si>
  <si>
    <t>MANUELA RODRIGUEZ RODRIGUEZ</t>
  </si>
  <si>
    <t>Tramitación Arraigo Social SAID IBNEKHALDOUNE</t>
  </si>
  <si>
    <t>Tramitación CA Inicial  MASS DIOP</t>
  </si>
  <si>
    <t>040020220019080</t>
  </si>
  <si>
    <t>Ctra. De Pampanico, nº43</t>
  </si>
  <si>
    <t>Tramitación Arraigo Social MOHAMMED HAOUAS</t>
  </si>
  <si>
    <t>Tramitación Compatibilidad Autorización Cuenta Propia MARGARITA KUPRYAKHINA</t>
  </si>
  <si>
    <t>REDSARA</t>
  </si>
  <si>
    <t>Tramitación Arraigo Social HAMITI SELLAM</t>
  </si>
  <si>
    <t>Tramitación Tarjeta Residencia Familiar Ciudadano UE KETEVAN NIKURADZE</t>
  </si>
  <si>
    <t>Resolución rectificada</t>
  </si>
  <si>
    <t>FAVORABLE 07/10/2022</t>
  </si>
  <si>
    <t>FAVORABLE 10/10/2022</t>
  </si>
  <si>
    <t>informe arraigo</t>
  </si>
  <si>
    <t>Z0149789H</t>
  </si>
  <si>
    <t>040020220019189</t>
  </si>
  <si>
    <t>75711423T</t>
  </si>
  <si>
    <t>RUBEN MARTINEZ CAPEL</t>
  </si>
  <si>
    <t>C/ Bahía de alboran, nº 32</t>
  </si>
  <si>
    <t>Tramitación CA Inicial  ISSAKA YAHAYA</t>
  </si>
  <si>
    <t>75259838C</t>
  </si>
  <si>
    <t>JUAN MOYA PORTERO</t>
  </si>
  <si>
    <t>Camino Alfareria - Cortijo. Demeter-PJ</t>
  </si>
  <si>
    <t>Tramitación Arraigo Social RANSFORD BASOAH</t>
  </si>
  <si>
    <t>moyayfz@hotmail.com</t>
  </si>
  <si>
    <t>040020220019231</t>
  </si>
  <si>
    <t>FAVORABLE 06/10/2022</t>
  </si>
  <si>
    <t xml:space="preserve">Vicasol </t>
  </si>
  <si>
    <t>54096628F</t>
  </si>
  <si>
    <t xml:space="preserve">MIGUEL ANGEL LOPEZ SUAREZ </t>
  </si>
  <si>
    <t>C/ Ignacio Zuloaga, nº 63</t>
  </si>
  <si>
    <t>Tramitación Arraigo Social MAMADOU SARR</t>
  </si>
  <si>
    <t>suarezviso@gmail.com</t>
  </si>
  <si>
    <t>049920220009270</t>
  </si>
  <si>
    <t>FAVORABLE 11/10/2022</t>
  </si>
  <si>
    <t>Z0156590B</t>
  </si>
  <si>
    <t>040020220019424</t>
  </si>
  <si>
    <t>Y9023489M</t>
  </si>
  <si>
    <t>040020220019232</t>
  </si>
  <si>
    <t>NO FAVORABLE 13/10/2020</t>
  </si>
  <si>
    <t>040020220019693</t>
  </si>
  <si>
    <t>040020220019748</t>
  </si>
  <si>
    <t>040020220019802</t>
  </si>
  <si>
    <t>040020220019878</t>
  </si>
  <si>
    <t>040020220019920</t>
  </si>
  <si>
    <t>040020220019923</t>
  </si>
  <si>
    <t>040020220019935</t>
  </si>
  <si>
    <t>FAVORABLE 17/10/2022</t>
  </si>
  <si>
    <t>X9703094S</t>
  </si>
  <si>
    <t>Z0172383A</t>
  </si>
  <si>
    <t>Y5460952F</t>
  </si>
  <si>
    <t>Y2298342N</t>
  </si>
  <si>
    <t>FRANCIS TWENEFOUR ADDAI</t>
  </si>
  <si>
    <t>Cortijo Los Cespedes, Haza Tableada, nº0</t>
  </si>
  <si>
    <t>Tramitación Arraigo Social PROSPER OBOUR</t>
  </si>
  <si>
    <t>addaifrancis154@gmail.com</t>
  </si>
  <si>
    <t>FAVORABLE 05/07/2022</t>
  </si>
  <si>
    <t>FAVORABLE 25/04/2022</t>
  </si>
  <si>
    <t>Z0151567W</t>
  </si>
  <si>
    <t>Tramitación Renovación Autorización Residencia y Trabajo  WILLIAMS KWADWO GYAMFI</t>
  </si>
  <si>
    <t>049920220010006</t>
  </si>
  <si>
    <t>FAVORABLE 13/10/2022</t>
  </si>
  <si>
    <t>FAVORABLE 18/10/2022</t>
  </si>
  <si>
    <t>FAVORABLE 19/10/2022</t>
  </si>
  <si>
    <t>FAVORABLE 20/10/2022</t>
  </si>
  <si>
    <t>54096601A</t>
  </si>
  <si>
    <t>JOSUE GARCIA PEREZ</t>
  </si>
  <si>
    <t>C/ Puesto Suarez</t>
  </si>
  <si>
    <t>Tramitación Arraigo Social DIAGUINE DIALLO</t>
  </si>
  <si>
    <t>Avda. Mar Azul, nº 131, esc. 3, piso 3</t>
  </si>
  <si>
    <t>Tramitación Arraigo Social KHALIL BKIR</t>
  </si>
  <si>
    <t>Tramitación Arraigo Social NORA MORALES ESPINOZA</t>
  </si>
  <si>
    <t>C/ Juglares, nº 22</t>
  </si>
  <si>
    <t>Tramitación CA Inicial MOHAMMED EL OUARDI</t>
  </si>
  <si>
    <t>Tramitación Arraigo Social MOHAMED HBALLAK</t>
  </si>
  <si>
    <t>Tramitación Arraigo Social EL MEHDI EL ATIQI</t>
  </si>
  <si>
    <t>X1552593R</t>
  </si>
  <si>
    <t>BOB RICHAR PEELEN</t>
  </si>
  <si>
    <t>Barriada Garrido, nº 9</t>
  </si>
  <si>
    <t>Tramitación Certificado Registro Comunitario BOB RICHARD PEELEN</t>
  </si>
  <si>
    <t>45601407C</t>
  </si>
  <si>
    <t>LORENA NAVARRO GUTIERREZ</t>
  </si>
  <si>
    <t>C/ Archivo de Indias, nº 2, 1, 3ºB</t>
  </si>
  <si>
    <t>Tramitación Arraigo Social LASSANA DIARRA</t>
  </si>
  <si>
    <t>Tramitación Reagrupación Familiar RAHAOUI MBARKA</t>
  </si>
  <si>
    <t>Tramitación Arraigo Social HICHAM TAICHI</t>
  </si>
  <si>
    <t>Tramitación Arraigo Social SOULEYMANE SARR</t>
  </si>
  <si>
    <t>ainararn08@gmail.com</t>
  </si>
  <si>
    <t>08908427K</t>
  </si>
  <si>
    <t>ENRIQUE ENRIQUEZ LIDUEÑA</t>
  </si>
  <si>
    <t>Paseo de las lomas, nº 137, 3ºF</t>
  </si>
  <si>
    <t>Tramitación Arraigo Social IBRAHIMA SEYDI</t>
  </si>
  <si>
    <t>Y8721646Z</t>
  </si>
  <si>
    <t>040020220020260</t>
  </si>
  <si>
    <t>040020220020272</t>
  </si>
  <si>
    <t>Y8579309R</t>
  </si>
  <si>
    <t>Z0185101W</t>
  </si>
  <si>
    <t>040020220020280</t>
  </si>
  <si>
    <t>Y8579304L</t>
  </si>
  <si>
    <t>040020220020288</t>
  </si>
  <si>
    <t>Z0194751S</t>
  </si>
  <si>
    <t>040020220020557</t>
  </si>
  <si>
    <t>Z0193943N</t>
  </si>
  <si>
    <t>040020220020543</t>
  </si>
  <si>
    <t>Y6707475E</t>
  </si>
  <si>
    <t>040020220020562</t>
  </si>
  <si>
    <t>Z0190773Q</t>
  </si>
  <si>
    <t>040020220020456</t>
  </si>
  <si>
    <t>FAVORABLE 21/10/2022</t>
  </si>
  <si>
    <t>Z0190731C</t>
  </si>
  <si>
    <t>040020220020453</t>
  </si>
  <si>
    <t>040020220020386</t>
  </si>
  <si>
    <t>NO FAVORABLE 18/10/2022</t>
  </si>
  <si>
    <t>Tramitación Arraigo Social AZZ.EDDINE EN.NACIRI</t>
  </si>
  <si>
    <t>NO FAVORABLE 24/10/2022</t>
  </si>
  <si>
    <t>medios eco</t>
  </si>
  <si>
    <t>040020220020893</t>
  </si>
  <si>
    <t>040020220020892</t>
  </si>
  <si>
    <t>040020220020891</t>
  </si>
  <si>
    <t>Z0203687G</t>
  </si>
  <si>
    <t>040020220020769</t>
  </si>
  <si>
    <t>Tramitación Autorización Cainicial por Estudios Julián Echeverri</t>
  </si>
  <si>
    <t>Externo (cohorsan)</t>
  </si>
  <si>
    <t>gaspi1977mc@gmail.com</t>
  </si>
  <si>
    <t>Tramitación Arraigo Social DAVID KWASI KUPOUR</t>
  </si>
  <si>
    <t>Tramitación Arraigo Social YAKUBU MASAWUDU</t>
  </si>
  <si>
    <t>FAVORABLE 26/10/2022</t>
  </si>
  <si>
    <t>FAVORABLE 24/10/2022</t>
  </si>
  <si>
    <t>Cortijo las puntas, sn</t>
  </si>
  <si>
    <t>Tramitación Arraigo Social IBOU NDONG</t>
  </si>
  <si>
    <t>Tramitación Arraigo Familiar UE KETEVAN NIKURADZE</t>
  </si>
  <si>
    <t>pasaporte renovado</t>
  </si>
  <si>
    <t xml:space="preserve">ruben_mc95@hotmail.com </t>
  </si>
  <si>
    <t>FAVORABLE 28/10/2022</t>
  </si>
  <si>
    <t>040020220021333</t>
  </si>
  <si>
    <t>Z0221998F</t>
  </si>
  <si>
    <t>Z0214112X</t>
  </si>
  <si>
    <t>040020220021077</t>
  </si>
  <si>
    <t>Z0231316X</t>
  </si>
  <si>
    <t>040020220021504</t>
  </si>
  <si>
    <t>Y8233156K</t>
  </si>
  <si>
    <t>040020220021404</t>
  </si>
  <si>
    <t>Y6142499H</t>
  </si>
  <si>
    <t>040020220021398</t>
  </si>
  <si>
    <t>Z0226085T</t>
  </si>
  <si>
    <t>040020220021394</t>
  </si>
  <si>
    <t>Z0230191N</t>
  </si>
  <si>
    <t>040020220021454</t>
  </si>
  <si>
    <t>Y8702024B</t>
  </si>
  <si>
    <t>040020220021400</t>
  </si>
  <si>
    <t>Z0236864S</t>
  </si>
  <si>
    <t>040020220021660</t>
  </si>
  <si>
    <t>C/ ecija, nº 3</t>
  </si>
  <si>
    <t>Tramitación Arraigo Social SAID BOURHA</t>
  </si>
  <si>
    <t>FAVORABLE 02/11/2022</t>
  </si>
  <si>
    <t>NO FAVORABLE 10/10/2022</t>
  </si>
  <si>
    <t>Z0241182D</t>
  </si>
  <si>
    <t>040020220021776</t>
  </si>
  <si>
    <t>Z0101347Z</t>
  </si>
  <si>
    <t>040020220021768</t>
  </si>
  <si>
    <t>Z0234472S</t>
  </si>
  <si>
    <t>040020220021602</t>
  </si>
  <si>
    <t>X9265979S</t>
  </si>
  <si>
    <t>040020220021606</t>
  </si>
  <si>
    <t>Externo (Hortichuelas)</t>
  </si>
  <si>
    <t>X3501002B</t>
  </si>
  <si>
    <t>MARCELA LAURA MECCICO</t>
  </si>
  <si>
    <t>C/ Hortichuelas, 18, 1E, blq 1</t>
  </si>
  <si>
    <t>Tramitación Certificado Registro Comunitario MARCELA LAURA MECCICO</t>
  </si>
  <si>
    <t>Y7483028S</t>
  </si>
  <si>
    <t>ARFANG DIENG</t>
  </si>
  <si>
    <t>C/ Buque, nº 11, bj A</t>
  </si>
  <si>
    <t>Tramitación Renovación Autorización Residencia y Trabajo  ARFANG DIENG</t>
  </si>
  <si>
    <t>049920220010437</t>
  </si>
  <si>
    <t>PAPE AMATH SENE</t>
  </si>
  <si>
    <t>C/ Sierra de Laujar, nº 1, piso 1 puerta 1</t>
  </si>
  <si>
    <t>Tramitación Arraigo Social PAPE AMATH SENE</t>
  </si>
  <si>
    <t>Tasas, dni LOLA, cert. Nacimiento</t>
  </si>
  <si>
    <t>Z0249651Z</t>
  </si>
  <si>
    <t>040020220022016</t>
  </si>
  <si>
    <t>040020220022015</t>
  </si>
  <si>
    <t>FAVORABLE 04/11/2022</t>
  </si>
  <si>
    <t>Z0250252V</t>
  </si>
  <si>
    <t>040020220022053</t>
  </si>
  <si>
    <t>040020220021061</t>
  </si>
  <si>
    <t>Z0213631N</t>
  </si>
  <si>
    <t>040020220021589</t>
  </si>
  <si>
    <t>Z0248001C</t>
  </si>
  <si>
    <t>Tramitación Arraigo Social SISSOKO SEKOU</t>
  </si>
  <si>
    <t>Tramitación Arraigo Laboral MARINA NIKURADZE</t>
  </si>
  <si>
    <t>040020220022203</t>
  </si>
  <si>
    <t>Z0259983L</t>
  </si>
  <si>
    <t>040020220022354</t>
  </si>
  <si>
    <t>Tramitación Arraigo Social SALIOU SENE</t>
  </si>
  <si>
    <t>FAVORABLE 10/11/2022</t>
  </si>
  <si>
    <t>FAVORABLE 03/11/2022</t>
  </si>
  <si>
    <t>FRANCISCO JAVIER MONTES LOPEZ</t>
  </si>
  <si>
    <t>54118859C</t>
  </si>
  <si>
    <t>C/ Buero vallejo, nº 82</t>
  </si>
  <si>
    <t>ARCHIVADO 08/11/2022</t>
  </si>
  <si>
    <t>X4559431A</t>
  </si>
  <si>
    <t>ALICIA ELIZABETH LECCESE</t>
  </si>
  <si>
    <t>Tramitación Arraigo Familiar BARBARA STEFANIA GORDILLO</t>
  </si>
  <si>
    <t>Tramitación Arraigo Social PAPA DIOP</t>
  </si>
  <si>
    <t>NO FAVORABLE 03/11/2022</t>
  </si>
  <si>
    <t>contrato FD</t>
  </si>
  <si>
    <t>040020220022397</t>
  </si>
  <si>
    <t>Tramitación CA Inicial HASSANE RIZQY</t>
  </si>
  <si>
    <t>Tramitación CA Inicial KARIM IBTISSAME</t>
  </si>
  <si>
    <t>Pasaporte</t>
  </si>
  <si>
    <t>Tramitación CA Inicial HICHAM BABOUR</t>
  </si>
  <si>
    <t>Tramitación CA Inicial ISMAIL EL FELLAH</t>
  </si>
  <si>
    <t>Tramitación CA Inicial ANOUAR JARHMA</t>
  </si>
  <si>
    <t>FAVORABLE 14/11/2022</t>
  </si>
  <si>
    <t>FAVORABLE 17/11/2022</t>
  </si>
  <si>
    <t>FAVORABLE 16/11/2022</t>
  </si>
  <si>
    <t>CHEIKH TIDIANE BA</t>
  </si>
  <si>
    <t>C/ Gran capitan, nº 150, bj</t>
  </si>
  <si>
    <t>Tramitación Arraigo Social CHEIKH TIDIANE BA</t>
  </si>
  <si>
    <t>Z0270333L</t>
  </si>
  <si>
    <t>040020220022645</t>
  </si>
  <si>
    <t>Z0269902W</t>
  </si>
  <si>
    <t>040020220022634</t>
  </si>
  <si>
    <t>ARCHIVO 17/11/2022</t>
  </si>
  <si>
    <t>Contrato SMI</t>
  </si>
  <si>
    <t>Tramitación Renovación Autorización Residencia y Trabajo BAKARY SISSOKO</t>
  </si>
  <si>
    <t>0499202200010704</t>
  </si>
  <si>
    <t>MAMADOU MANSOUR DIEME</t>
  </si>
  <si>
    <t>Tramitación Arraigo Social MAMADOU MANSOUR DIEME</t>
  </si>
  <si>
    <t>049920220006113</t>
  </si>
  <si>
    <t>049920220007002</t>
  </si>
  <si>
    <t>matrimonio, sanitaria, contrato julian, tasa</t>
  </si>
  <si>
    <t>contrato, santitaria julian, tasa</t>
  </si>
  <si>
    <t>ELHADJI CISSE</t>
  </si>
  <si>
    <t>C/ Las Juaricas, nº 9</t>
  </si>
  <si>
    <t>Cabo de Gata</t>
  </si>
  <si>
    <t>Tramitación Arraigo Social ELHADJI CISSE</t>
  </si>
  <si>
    <t>ARCHIVADO 15/11/2022</t>
  </si>
  <si>
    <t>FAVORABLE 15/11/2022</t>
  </si>
  <si>
    <t>Tramitación CA Inicial ABDERRAHIM LAASIKRI</t>
  </si>
  <si>
    <t>FAVORABLE 21/11/2022</t>
  </si>
  <si>
    <t>Z0280485M</t>
  </si>
  <si>
    <t>040020220022897</t>
  </si>
  <si>
    <t>REQUERIMIENTO 22/11/2022</t>
  </si>
  <si>
    <t>Z0303877Y</t>
  </si>
  <si>
    <t>040020220023305</t>
  </si>
  <si>
    <t>Tramitación Arraigo Social IDRISSA KEITA</t>
  </si>
  <si>
    <t>Tramitación Arraigo Social HAROUNA FANE</t>
  </si>
  <si>
    <t>75261838L</t>
  </si>
  <si>
    <t>ANTONIO LUIS VIÑOLO REQUENA</t>
  </si>
  <si>
    <t>C/ Europa, nº 13</t>
  </si>
  <si>
    <t>campohermoso</t>
  </si>
  <si>
    <t>Tramitación CA Inicial AHMED LEKRIM</t>
  </si>
  <si>
    <t>Tasas, BANCO</t>
  </si>
  <si>
    <t>Tramitación CA Inicial AATIKA EL GOURCH</t>
  </si>
  <si>
    <t>FAVORABLE 22/11/2022</t>
  </si>
  <si>
    <t>Tramitación Arraigo Social HAMADOU MARO</t>
  </si>
  <si>
    <t>Contrato 28/11/2022</t>
  </si>
  <si>
    <t>C/ Caravaca de la Cruz, nº 11</t>
  </si>
  <si>
    <t>Tramitación Arraigo Social MAGUET WOLOU</t>
  </si>
  <si>
    <t>MERCEDES FUENTES MARTINEZ</t>
  </si>
  <si>
    <t>Av. Mar azul, nº 131</t>
  </si>
  <si>
    <t>Tramitación Arraigo Social GHAOUAT OTHMANE</t>
  </si>
  <si>
    <t>Tramitación Arraigo Social TARIK BEKHAKH</t>
  </si>
  <si>
    <t>Faltan pruebas de Julio-noviembre 2020 / Julio-octubre 2021</t>
  </si>
  <si>
    <t>27489433V</t>
  </si>
  <si>
    <t>ANTONIO FRANCISCO FERNANDEZ MALDONADO</t>
  </si>
  <si>
    <t>C/ Huelva, nº 119</t>
  </si>
  <si>
    <t>Tramitación Reagrupación Familiar YEBOAA BEIBO</t>
  </si>
  <si>
    <t>enviar factura Whatsapp</t>
  </si>
  <si>
    <t>AGROSOL NATURE, SL</t>
  </si>
  <si>
    <t>Tramitación CA Inicial DULCE ALBERTO PEREIRA</t>
  </si>
  <si>
    <t>Tramitación Tarjeta Residencia Familiar Ciudadano Unión LUZ MARIA DI LORENZO</t>
  </si>
  <si>
    <t>Pasaportes e informe vida laboral</t>
  </si>
  <si>
    <t>Tramitación Arraigo Social ABDESSAMAD FTAICH</t>
  </si>
  <si>
    <t>REQUERIMIENTO 24/11/2022</t>
  </si>
  <si>
    <t>FAVORABLE 28/11/2022</t>
  </si>
  <si>
    <t>040020220023736</t>
  </si>
  <si>
    <t>27505711B</t>
  </si>
  <si>
    <t xml:space="preserve">ANA BELEN FERNANDEZ HERNANDEZ </t>
  </si>
  <si>
    <t>C/ Homero, nº49</t>
  </si>
  <si>
    <t>686 38 25 23</t>
  </si>
  <si>
    <t>Eurosol (Jose Luis Ruiz)</t>
  </si>
  <si>
    <t>Tramitación Arraigo Social KABIRO DRAMMEH</t>
  </si>
  <si>
    <t>Tasa, nuevo contrato</t>
  </si>
  <si>
    <t>NO FAVORABLE 23/11/2022</t>
  </si>
  <si>
    <t>Y5936182B</t>
  </si>
  <si>
    <t>040020220024098</t>
  </si>
  <si>
    <t>Contrato registrado</t>
  </si>
  <si>
    <t>040020220024016</t>
  </si>
  <si>
    <t>X4559467Q</t>
  </si>
  <si>
    <t xml:space="preserve">Y8492151J </t>
  </si>
  <si>
    <t>Y8492151J</t>
  </si>
  <si>
    <t>040020220024099</t>
  </si>
  <si>
    <t>FAVORABLE 24/11/2022</t>
  </si>
  <si>
    <t>Y8453509B</t>
  </si>
  <si>
    <t>FAVORABLE 30/11/2022</t>
  </si>
  <si>
    <t>Z0333753M</t>
  </si>
  <si>
    <t>040020220024246</t>
  </si>
  <si>
    <t>Z0330943R</t>
  </si>
  <si>
    <t>040020220024126</t>
  </si>
  <si>
    <t>Tasa, pasaporte y nuevo contrato</t>
  </si>
  <si>
    <t>FAVORABLE 29/11/2022</t>
  </si>
  <si>
    <t>FAVORABLE 01/12/2022</t>
  </si>
  <si>
    <t>040020220024170</t>
  </si>
  <si>
    <t>Z0332028M</t>
  </si>
  <si>
    <t>B01782820</t>
  </si>
  <si>
    <t>ECLIPSE LA PARED, SL</t>
  </si>
  <si>
    <t>C/ La Balsa, nº 72</t>
  </si>
  <si>
    <t>Tramitación escrito Subrogación</t>
  </si>
  <si>
    <t>040020220024484</t>
  </si>
  <si>
    <t>asesoria@natursursca.es</t>
  </si>
  <si>
    <t>049920220011150</t>
  </si>
  <si>
    <t>INFORME ARRAIGO</t>
  </si>
  <si>
    <t>PIDIO INFORME ARRAIGO 14/10</t>
  </si>
  <si>
    <t>Externo (Vicasol)</t>
  </si>
  <si>
    <t>LAMINE DIAME</t>
  </si>
  <si>
    <t>C/ Juan Gris, nº 5, 1º1C</t>
  </si>
  <si>
    <t>Tasa, nuevo contrato, informe arraigo</t>
  </si>
  <si>
    <t>040020220024522</t>
  </si>
  <si>
    <t>040020220024521</t>
  </si>
  <si>
    <t>Tramitación CA Inicial SOULIA AAROUSS</t>
  </si>
  <si>
    <t>Tasa, certificado matrimonio</t>
  </si>
  <si>
    <t>FAVORABLE 02/12/2022</t>
  </si>
  <si>
    <t>Columna1</t>
  </si>
  <si>
    <t>Presentación2</t>
  </si>
  <si>
    <t>Z0344135Z</t>
  </si>
  <si>
    <t>FAVORABLE 09/12/2022</t>
  </si>
  <si>
    <t>54199442B</t>
  </si>
  <si>
    <t>MARIA DEL CARMEN FLORES ANTEQUERA</t>
  </si>
  <si>
    <t>C/ Aristoteles, nº 187</t>
  </si>
  <si>
    <t>Tramitación Arraigo Social MOHAMED LAAMAIRY</t>
  </si>
  <si>
    <t>Tramitación CA Inicial HAMZA DAOUDI</t>
  </si>
  <si>
    <t>Tasas, informe vida laboral</t>
  </si>
  <si>
    <t>Tramitación CA Inicial BRAHIM AZAOUAGH</t>
  </si>
  <si>
    <t>040020220024732</t>
  </si>
  <si>
    <t>X7773426R</t>
  </si>
  <si>
    <t>040020220024728</t>
  </si>
  <si>
    <t>ARCHIVADO 14/12/2022</t>
  </si>
  <si>
    <t>Tramitación Residencia Menor nacido en España THIERNO IBRAHIMA DIALLO</t>
  </si>
  <si>
    <t>C/ Gustavo adolfo Bequer, nº 11, 1ºF</t>
  </si>
  <si>
    <t>FAVORABLE 13/12/2022</t>
  </si>
  <si>
    <t>FAVORABLE 14/12/2022</t>
  </si>
  <si>
    <t>Z0365876C</t>
  </si>
  <si>
    <t>040020220024922</t>
  </si>
  <si>
    <t>Tramitación CA Inicial PATRICIO PATRAO DARICAFIM</t>
  </si>
  <si>
    <t>FAVORABLE 13/11/2022</t>
  </si>
  <si>
    <t>Tramitación Renovación Autorización Residencia y Trabajo MAMADOU FAYE</t>
  </si>
  <si>
    <t>049920220012384</t>
  </si>
  <si>
    <t>18110816H</t>
  </si>
  <si>
    <t>MARIA ENCARNACION GALDEANO MARIN</t>
  </si>
  <si>
    <t>C/ Porton, nº 8, 1ºA</t>
  </si>
  <si>
    <t>fjimenez@cabasc.com</t>
  </si>
  <si>
    <t>Tramitación Arraigo Social EL HASSAN BOURHRARA</t>
  </si>
  <si>
    <t>27494022Y</t>
  </si>
  <si>
    <t>FRANCISCO MARTIN GALDEANO</t>
  </si>
  <si>
    <t>C/ Ohanes, nº 11</t>
  </si>
  <si>
    <t>ramartin@cabasc.com</t>
  </si>
  <si>
    <t>Tramitación CA Inicial NATOMA JAWARA</t>
  </si>
  <si>
    <t>ABDOU SARR</t>
  </si>
  <si>
    <t>FAVORABLE 19/12/2022</t>
  </si>
  <si>
    <t>54141044X</t>
  </si>
  <si>
    <t>SERGIO JOSE ESCOBAR ROMERA</t>
  </si>
  <si>
    <t>Paraje Loma del Viento, 74</t>
  </si>
  <si>
    <t>Tramitación Arraigo Social KHLIFIA KHOUADRA</t>
  </si>
  <si>
    <t>REQUERIMIENTO 13/12/2022</t>
  </si>
  <si>
    <t>NO FAVORABLE 13/12/2022</t>
  </si>
  <si>
    <t>sergioyou44@gmail.com</t>
  </si>
  <si>
    <t>MOUHAMED DIOP</t>
  </si>
  <si>
    <t>Barrio San Felix, nº 1352</t>
  </si>
  <si>
    <t>Tramitación Arraigo Social MOUHAMED DIOP</t>
  </si>
  <si>
    <t>C/ Santo Cristo, nº 0</t>
  </si>
  <si>
    <t>Tramitación Arraigo Social ABDOU SARR</t>
  </si>
  <si>
    <t>C/ El Palmeral, nº 12, piso 2</t>
  </si>
  <si>
    <t xml:space="preserve"> Asesoria Bafersa (Externo)</t>
  </si>
  <si>
    <t>040020220025019</t>
  </si>
  <si>
    <t>040020220024848</t>
  </si>
  <si>
    <t>Z0361639S</t>
  </si>
  <si>
    <t>040020220024770</t>
  </si>
  <si>
    <t>040020220024771</t>
  </si>
  <si>
    <t>Z0361630Y</t>
  </si>
  <si>
    <t>Z0367355G</t>
  </si>
  <si>
    <t>040020220024999</t>
  </si>
  <si>
    <t>Z0361619H</t>
  </si>
  <si>
    <t>040020220024801</t>
  </si>
  <si>
    <t>040020220025022</t>
  </si>
  <si>
    <t>Z0371110X</t>
  </si>
  <si>
    <t>040020220025105</t>
  </si>
  <si>
    <t>040020220025003</t>
  </si>
  <si>
    <t>X8944139Z</t>
  </si>
  <si>
    <t>Z0367106P</t>
  </si>
  <si>
    <t>040020220024984</t>
  </si>
  <si>
    <t>Z0367029T</t>
  </si>
  <si>
    <t>040020220024981</t>
  </si>
  <si>
    <t>C/ Magisterio, nº 12, 3ª A</t>
  </si>
  <si>
    <t>Tramitación Arraigo Social ARFANG MBISSINE NDONG</t>
  </si>
  <si>
    <t>LO PRESENTA POR SU CUENTA EL RECURSO</t>
  </si>
  <si>
    <t>Tramitación CA Inicial CHAYMA AIT ALI</t>
  </si>
  <si>
    <t>75263964Y</t>
  </si>
  <si>
    <t>JOSE CARLOS ROMERA MALDONADO</t>
  </si>
  <si>
    <t>C/ Jaén, nº 6</t>
  </si>
  <si>
    <t>Tramitación Arraigo Social ABDELHAFID ER RYNDA</t>
  </si>
  <si>
    <t>joserub@hotmail.es</t>
  </si>
  <si>
    <t>Tramitación Arraigo Social LAMINE DIAME</t>
  </si>
  <si>
    <t>54096177Q</t>
  </si>
  <si>
    <t>FRANCISCO MANUEL AMADOR GOMEZ</t>
  </si>
  <si>
    <t>C/ Matagorda, nº 203</t>
  </si>
  <si>
    <t>Tramitación Arraigo Social ABDELKARIM LAKHLIFI</t>
  </si>
  <si>
    <t>Tasa, NUEVOS PENALES Y CONTRATO NUEVO</t>
  </si>
  <si>
    <t>el_ka@hotmail.com</t>
  </si>
  <si>
    <t>Tramitación Toma Huella MAMADOU SALL</t>
  </si>
  <si>
    <t>Z0381033C</t>
  </si>
  <si>
    <t>040020220025294</t>
  </si>
  <si>
    <t>X9663178G</t>
  </si>
  <si>
    <t>040020220025395</t>
  </si>
  <si>
    <t>Y6945215B</t>
  </si>
  <si>
    <t>040020220025358</t>
  </si>
  <si>
    <t>Z0385945X</t>
  </si>
  <si>
    <t>040020220025474</t>
  </si>
  <si>
    <t>Z0387957K</t>
  </si>
  <si>
    <t>040020220025506</t>
  </si>
  <si>
    <t>Z0399846L</t>
  </si>
  <si>
    <t>040020220025792</t>
  </si>
  <si>
    <t>Z0403838D</t>
  </si>
  <si>
    <t>040020220025909</t>
  </si>
  <si>
    <t>B67824391</t>
  </si>
  <si>
    <t>EXPLOTACIONES AGRICOLAS LIMARIA, SLU</t>
  </si>
  <si>
    <t>CALLE CALERICA, S/N</t>
  </si>
  <si>
    <t>Tramitación Arraigo Social ALY SENE</t>
  </si>
  <si>
    <t>Tasa, NUEVO contrato</t>
  </si>
  <si>
    <t>27501332W</t>
  </si>
  <si>
    <t>GEMA DEL BUEN CONSEJO CARA PADILLA</t>
  </si>
  <si>
    <t>Paraje el rodon, s/n</t>
  </si>
  <si>
    <t>FAVORABLE 23/12/2022</t>
  </si>
  <si>
    <t>NO FAVORABLE 15/12/2022</t>
  </si>
  <si>
    <t>NO FAVORABLE 20/12/2022</t>
  </si>
  <si>
    <t>CONCESIÓN PERMISO ASILO</t>
  </si>
  <si>
    <t>Tramitación Arraigo Social ABDERRAHMANE TOUNKARA</t>
  </si>
  <si>
    <t>Tramitación Renovación Autorización Residencia y Trabajo  NABILA LASGAA</t>
  </si>
  <si>
    <t>049920220011524</t>
  </si>
  <si>
    <t>FAVORABLE 20/12/2022</t>
  </si>
  <si>
    <r>
      <t xml:space="preserve">NOT. </t>
    </r>
    <r>
      <rPr>
        <b/>
        <u/>
        <sz val="10"/>
        <rFont val="Calibri"/>
        <family val="2"/>
      </rPr>
      <t>CORREO/  LLAMAR</t>
    </r>
  </si>
  <si>
    <t>FAVORABLE 27/12/2022</t>
  </si>
  <si>
    <t>Tramitación Renovación Autorización Residencia y Trabajo ABDOULAYE CORREA</t>
  </si>
  <si>
    <t>049920220011337</t>
  </si>
  <si>
    <t xml:space="preserve"> informe arraigo solicitando (23/09)</t>
  </si>
  <si>
    <t xml:space="preserve">Tramitación Arraigo Social ANTONIO TRISTAN SANCHEZ - KHALID FOUAD </t>
  </si>
  <si>
    <t>NO FAVORABLE 27/12/2022</t>
  </si>
  <si>
    <t>B04681821</t>
  </si>
  <si>
    <t>TOMATO ROMA, S.L.</t>
  </si>
  <si>
    <t>C/ La Coruña, nº 56</t>
  </si>
  <si>
    <t>Tramitación Arraigo Social MANUEL NICANOR ANDRADE CANGO</t>
  </si>
  <si>
    <t>CUBIERTO PERIODO PRUEBAS CON CERTIFICADO BANCO ALIMENTOS</t>
  </si>
  <si>
    <t>Tasa, contrato y penales</t>
  </si>
  <si>
    <t>LEIDY JOHANA QUINTERO RENDON</t>
  </si>
  <si>
    <t>C/ Camaras, nº 12</t>
  </si>
  <si>
    <t>Tramitación Arraigo Social LEIDY JOHANA QUINTERO RENDON</t>
  </si>
  <si>
    <t>040020220026117</t>
  </si>
  <si>
    <t>Z0416149S</t>
  </si>
  <si>
    <t>040020220026105</t>
  </si>
  <si>
    <t>Z0436201B</t>
  </si>
  <si>
    <t>040020220026306</t>
  </si>
  <si>
    <t>Z0436198P</t>
  </si>
  <si>
    <t>040020220026305</t>
  </si>
  <si>
    <t>MARIA TERESA ROSALES FONG</t>
  </si>
  <si>
    <t>Tramitación Arraigo Familiar MARIA TERESA ROSALES FONG</t>
  </si>
  <si>
    <t>Certificado penales no legalizado CUBA</t>
  </si>
  <si>
    <t>FAVORABLE 30/12/2022</t>
  </si>
  <si>
    <t>Z0414995B</t>
  </si>
  <si>
    <t>FAVORABLE 10/01/2023</t>
  </si>
  <si>
    <t>FAVORABLE 05/01/2023</t>
  </si>
  <si>
    <t>Tasas, renta marido</t>
  </si>
  <si>
    <t>049920220012250</t>
  </si>
  <si>
    <t>040020230000150</t>
  </si>
  <si>
    <t>Tramitación Renovación Autorización Residencia y Trabajo SOULEYMANE SAMBOU</t>
  </si>
  <si>
    <t>Columna2</t>
  </si>
  <si>
    <t>049920220012913</t>
  </si>
  <si>
    <t>Arraigo Social</t>
  </si>
  <si>
    <t>Cainicial</t>
  </si>
  <si>
    <t>Tipo trámite</t>
  </si>
  <si>
    <t>Arraigo Laboral</t>
  </si>
  <si>
    <t>Arraigo Familiar</t>
  </si>
  <si>
    <t>Familiar Comunitario</t>
  </si>
  <si>
    <t>Certificado Comunitario</t>
  </si>
  <si>
    <t>Tramitación CA Inicial ISSAM MORID</t>
  </si>
  <si>
    <t>Recurso</t>
  </si>
  <si>
    <t>Renovación</t>
  </si>
  <si>
    <t>Renovación L/D</t>
  </si>
  <si>
    <t>Menor no nacido</t>
  </si>
  <si>
    <t>Menor nacido</t>
  </si>
  <si>
    <t>Tipo de trámite</t>
  </si>
  <si>
    <t>Tarjeta independiente</t>
  </si>
  <si>
    <t>Y8412873Q</t>
  </si>
  <si>
    <t>040020220026575</t>
  </si>
  <si>
    <t>Z0443815N</t>
  </si>
  <si>
    <t>040020220026504</t>
  </si>
  <si>
    <t>040020220026422</t>
  </si>
  <si>
    <t>040020220026559</t>
  </si>
  <si>
    <t>Y8556826N</t>
  </si>
  <si>
    <t>Z0457015X</t>
  </si>
  <si>
    <t>ANELIYA BORISOVA STOYANOVA</t>
  </si>
  <si>
    <t>C/ Eduardo Marquina, nº 11</t>
  </si>
  <si>
    <t>Tramitación Certificado Registro Comunitario ANELIYA BORISOVA STOYANOVA</t>
  </si>
  <si>
    <t>Tramitación Renovación Autorización Residencia y Trabajo BOUBACAR SIDIKI TRAORE</t>
  </si>
  <si>
    <t>049920220012554</t>
  </si>
  <si>
    <t>FAVORABLE 16/01/2023</t>
  </si>
  <si>
    <t>FAVORABLE 12/01/2023</t>
  </si>
  <si>
    <t>X4867666S</t>
  </si>
  <si>
    <t>FLORIN GAINUSA</t>
  </si>
  <si>
    <t>X6740096S</t>
  </si>
  <si>
    <t>NICOLETA GAINUSA</t>
  </si>
  <si>
    <t>C/ Lourdes García Carreño, nº 13, BJ</t>
  </si>
  <si>
    <t>Tramitación Certificado Registro Comunitario FLORIN GAINUSA</t>
  </si>
  <si>
    <t>Tramitación Certificado Registro Comunitario NICOLETA GAINUSA</t>
  </si>
  <si>
    <t>Tramitación Arraigo Social TAHER EL KILO</t>
  </si>
  <si>
    <t>NOUREDDINE BENAICHA</t>
  </si>
  <si>
    <t>C/ Ramon y Cajal, nº 9, 4º1</t>
  </si>
  <si>
    <t>Albox</t>
  </si>
  <si>
    <t>04800</t>
  </si>
  <si>
    <t>Tramitación Arraigo Social NOUREDDINE BENAICHA</t>
  </si>
  <si>
    <t>Reagrupacion Familiar</t>
  </si>
  <si>
    <t>Tramitación Reagrupación Familiar CECILIA BEIBO</t>
  </si>
  <si>
    <t>FAVORABLE 18/01/2023</t>
  </si>
  <si>
    <t>Z0458937T</t>
  </si>
  <si>
    <t>040020220026762</t>
  </si>
  <si>
    <t>Z0474521J</t>
  </si>
  <si>
    <t>040020220026992</t>
  </si>
  <si>
    <t>X3054926C</t>
  </si>
  <si>
    <t>GERALD VOLKER VON WNKU LIPINSKI</t>
  </si>
  <si>
    <t>certificado residente</t>
  </si>
  <si>
    <t>Tramitación Certificado Residente</t>
  </si>
  <si>
    <t>C/ Greco, nº 1, 2º DR</t>
  </si>
  <si>
    <t>Y9053650J</t>
  </si>
  <si>
    <t>Tramitación Renovación Autorización Residencia y Trabajo MAMADOU SANE</t>
  </si>
  <si>
    <t>049920230000293</t>
  </si>
  <si>
    <t>DJIBRIL NDAO</t>
  </si>
  <si>
    <t>C/ Animas, nº 3, BE</t>
  </si>
  <si>
    <t>Tramitación Arraigo Social DJIBRIL NDAO</t>
  </si>
  <si>
    <t>Tramitación Renovación Autorización Residencia y Trabajo MOHAMED JDIDI</t>
  </si>
  <si>
    <t>189920230000078</t>
  </si>
  <si>
    <t>MOURAD TACHALLAIT</t>
  </si>
  <si>
    <t>C/ Rulador, nº 38, 1ºA</t>
  </si>
  <si>
    <t>Tramitación Residencia Menor nacido en España BILAL TACHALLAIT</t>
  </si>
  <si>
    <t>Tramitación Arraigo Social IBA FALL</t>
  </si>
  <si>
    <t>FAVORABLE 17/01/2023</t>
  </si>
  <si>
    <t>NO FAVORABLE 17/01/2023</t>
  </si>
  <si>
    <t>NO FAVORABLE 12/01/2023</t>
  </si>
  <si>
    <t>FAVORABLE 25/01/2023</t>
  </si>
  <si>
    <t>040020230000623</t>
  </si>
  <si>
    <t>040020230000680</t>
  </si>
  <si>
    <t>Z0496057K</t>
  </si>
  <si>
    <t>040020220027225</t>
  </si>
  <si>
    <t>Z0502303B</t>
  </si>
  <si>
    <t>Tramitación CA Inicial ALBA IRIS SANTOS VALDEZ</t>
  </si>
  <si>
    <t>Tramitación Renovación Autorización Residencia y Trabajo ABDOURAHMANE DIOUF</t>
  </si>
  <si>
    <t>049920230000450</t>
  </si>
  <si>
    <t>ELHADJI MAMADOU MANGA</t>
  </si>
  <si>
    <t>Av. Luis Buñuel, portal 2, nº132, 2ºJ</t>
  </si>
  <si>
    <t>Tramitación Arraigo Social ELHADJI MAMADOU MANGA</t>
  </si>
  <si>
    <t>040020220027423</t>
  </si>
  <si>
    <t>Z0512977J</t>
  </si>
  <si>
    <t>Z0510810P</t>
  </si>
  <si>
    <t>040020220027375</t>
  </si>
  <si>
    <t>Z0510481R</t>
  </si>
  <si>
    <t>040020230001004</t>
  </si>
  <si>
    <t>Z0505132B</t>
  </si>
  <si>
    <t>040020230000781</t>
  </si>
  <si>
    <t>Tramitación Tarjeta Residencia Familiar Ciudadano UE YONIEL PRATS</t>
  </si>
  <si>
    <t>SEYDOU BA</t>
  </si>
  <si>
    <t>C/ Terreros, bloque 2, nº 1, 1ºF</t>
  </si>
  <si>
    <t>651 87 98 73</t>
  </si>
  <si>
    <t>Tramitación Renovación Autorización Residencia y Trabajo SEYDOU BA</t>
  </si>
  <si>
    <t>049920230000751</t>
  </si>
  <si>
    <t>FAVORABLE 31/01/2023</t>
  </si>
  <si>
    <t>NO FAVORABLE 02/02/2023</t>
  </si>
  <si>
    <t>FAVORABLE 02/02/2023</t>
  </si>
  <si>
    <t>Z0517672Q</t>
  </si>
  <si>
    <t>040020220027551</t>
  </si>
  <si>
    <t>Z0514514D</t>
  </si>
  <si>
    <t>040020220027466</t>
  </si>
  <si>
    <t>Z0514262X</t>
  </si>
  <si>
    <t>040020220027452</t>
  </si>
  <si>
    <t>BACARY SAMUEL COLY</t>
  </si>
  <si>
    <t>Avda. Luis Buñuel, nº 132, portal 1, bj G</t>
  </si>
  <si>
    <t>Tramitación Arraigo Social BACARY SAMUEL COLY</t>
  </si>
  <si>
    <t>Tramitación Arraigo Social ELHADJI MA ANSOU DIAME</t>
  </si>
  <si>
    <t>ELHADJI MA ANSOU DIAME</t>
  </si>
  <si>
    <t>Avda. Luis Buñuel, nº 132, portal 2, 1ºC</t>
  </si>
  <si>
    <t>Prol la parrica, nº 1</t>
  </si>
  <si>
    <t>Tramitación Renovación Autorización Residencia y Trabajo ALIOU MBAYE</t>
  </si>
  <si>
    <t>049920230000878</t>
  </si>
  <si>
    <t>Y9404019T</t>
  </si>
  <si>
    <t>040020230001240</t>
  </si>
  <si>
    <t>Y7968994Z</t>
  </si>
  <si>
    <t>040020220027598</t>
  </si>
  <si>
    <t>Tramitación Certificado Comunitario</t>
  </si>
  <si>
    <t>Z0530261R</t>
  </si>
  <si>
    <t>040020230001542</t>
  </si>
  <si>
    <t>Z0524566X</t>
  </si>
  <si>
    <t>040020220027629</t>
  </si>
  <si>
    <t>Z0522341Q</t>
  </si>
  <si>
    <t>040020230001277</t>
  </si>
  <si>
    <t>Z0525353S</t>
  </si>
  <si>
    <t>040020230001354</t>
  </si>
  <si>
    <t>FAVORABLE 07/02/2023</t>
  </si>
  <si>
    <t>Z0523655L</t>
  </si>
  <si>
    <t>040020230001284</t>
  </si>
  <si>
    <t>040020230001287</t>
  </si>
  <si>
    <t>Z0536621J</t>
  </si>
  <si>
    <t>040020230001772</t>
  </si>
  <si>
    <t>Z0533778E</t>
  </si>
  <si>
    <t>040020230001651</t>
  </si>
  <si>
    <t>Transnacionales</t>
  </si>
  <si>
    <t>040020230001107</t>
  </si>
  <si>
    <t>Tramitación CA Inicial BOUGARY SISSOKO</t>
  </si>
  <si>
    <t>26-02-20 a 07-01-21 se ha aportado resguardos físicos envíos dinero</t>
  </si>
  <si>
    <t>B04875209</t>
  </si>
  <si>
    <t>MAYASGON, S.L.</t>
  </si>
  <si>
    <t>Avda. Albuñol, nº 42</t>
  </si>
  <si>
    <t>Tramitación Arraigo Social HASSAN MELLOUK</t>
  </si>
  <si>
    <t>Tramitación Renovación Autorización Residencia y Trabajo SUMAILA TIJANI</t>
  </si>
  <si>
    <t>049920220013132</t>
  </si>
  <si>
    <t>33897468E</t>
  </si>
  <si>
    <t>MARTA FRANCISCA EXPOSITO FERNANDEZ</t>
  </si>
  <si>
    <t>C/ Templarios</t>
  </si>
  <si>
    <t>04760</t>
  </si>
  <si>
    <t>Escrito subrogación ABDELHAK AMANSOUR</t>
  </si>
  <si>
    <t>C/ Tales de mileto, nº 13</t>
  </si>
  <si>
    <t>Tramitación Arraigo Social HAZIM HAMID</t>
  </si>
  <si>
    <t>E04848065</t>
  </si>
  <si>
    <t>MARTINEZ CAPARROS TITULARIDAD COMPARTIDA</t>
  </si>
  <si>
    <t>C/ Nacimiento Urb. Los Carmenes, nº 24</t>
  </si>
  <si>
    <t>Tramitación Renovación Autorización Residencia y Trabajo ABDELLAH OUMAATAH</t>
  </si>
  <si>
    <t>Y9092317V</t>
  </si>
  <si>
    <t>049920230000875</t>
  </si>
  <si>
    <t>marta.adra@gmail.com</t>
  </si>
  <si>
    <t>Y9773814R</t>
  </si>
  <si>
    <t>MARIE ISABELLE RAMOS</t>
  </si>
  <si>
    <t>C/ cerro, nº 26</t>
  </si>
  <si>
    <t>Tramitación Certificado Registro Comunitario MARIE ISABELLE RAMOS</t>
  </si>
  <si>
    <t>Tramitación Arraigo Social FAROUK AMANCHAR</t>
  </si>
  <si>
    <t>Tramitación Arraigo Social SIDI CISSE</t>
  </si>
  <si>
    <t>Tramitación Arraigo Social KARAMO FAYE</t>
  </si>
  <si>
    <t>Escrito cambio empleador ZAKARIAE RHZALI</t>
  </si>
  <si>
    <t>Y7133111C</t>
  </si>
  <si>
    <t>180020210000811</t>
  </si>
  <si>
    <t>mmendez@coprohnijar.net</t>
  </si>
  <si>
    <t>Tramitación CA Inicial HAMID DAYI</t>
  </si>
  <si>
    <t>Tramitación CA Inicial SALAHEDDINE DAHBI</t>
  </si>
  <si>
    <t>Z0545659N</t>
  </si>
  <si>
    <t>040020230002118</t>
  </si>
  <si>
    <t>Y7616919T</t>
  </si>
  <si>
    <t>040020230002193</t>
  </si>
  <si>
    <t>FAVORABLE 14/02/2023</t>
  </si>
  <si>
    <t>FAVORABLE 10/02/2023</t>
  </si>
  <si>
    <t>Z0556225K</t>
  </si>
  <si>
    <t>040020230002556</t>
  </si>
  <si>
    <t>Z0559506J</t>
  </si>
  <si>
    <t>040020230002669</t>
  </si>
  <si>
    <t>Z0561981G</t>
  </si>
  <si>
    <t>040020230002733</t>
  </si>
  <si>
    <t>FAVORABLE 13/02/2023</t>
  </si>
  <si>
    <t>Tramitación Arraigo Social BAYE COULIBALY</t>
  </si>
  <si>
    <t>Tramitación Renovación Autorización Residencia y Trabajo LAMINE BADJI</t>
  </si>
  <si>
    <t>049920230001190</t>
  </si>
  <si>
    <t>Z0565881V</t>
  </si>
  <si>
    <t>040020230002889</t>
  </si>
  <si>
    <t>08908342M</t>
  </si>
  <si>
    <t>JOSE MIGUEL MAYOR AMAT</t>
  </si>
  <si>
    <t>C/ Celia Viñas, nº 35</t>
  </si>
  <si>
    <t>Tramitación CA Inicial RACHID FIDAH</t>
  </si>
  <si>
    <t>Tasas, Pasaporte buena calidad</t>
  </si>
  <si>
    <t>Z0481764B</t>
  </si>
  <si>
    <t>040020220027066</t>
  </si>
  <si>
    <t>ffuentesbarbero064@gmail.com</t>
  </si>
  <si>
    <t>Tramitación CA Inicial AMANCIO AUGUSTO ACTUPINTE</t>
  </si>
  <si>
    <t>Tasas, traduccion y contrato</t>
  </si>
  <si>
    <t>Tasas, traducción, Pasaporte buena calidad</t>
  </si>
  <si>
    <t>FAVORABLE 15/02/2023</t>
  </si>
  <si>
    <t>FAVORABLE 16/02/2023</t>
  </si>
  <si>
    <t>Tramitación Renovación Autorización Residencia y Trabajo FOUAD OUMAATAH</t>
  </si>
  <si>
    <t>Y9091580Q</t>
  </si>
  <si>
    <t>049920230001308</t>
  </si>
  <si>
    <t>27499070V</t>
  </si>
  <si>
    <t>MIGUEL ANGEL VAZQUEZ MONTES</t>
  </si>
  <si>
    <t>C/ Vinculo, bajo 701</t>
  </si>
  <si>
    <t>Tasas, contrato 1a pagina</t>
  </si>
  <si>
    <t>Tramitación Renovación Autorización Residencia y Trabajo MOHAMED OU MAATAH</t>
  </si>
  <si>
    <t>049920230001224</t>
  </si>
  <si>
    <t>FAVORABLE 17/02/2023</t>
  </si>
  <si>
    <t>FAVORABLE 21/02/2023</t>
  </si>
  <si>
    <t>FAVORABLE 11/02/2023</t>
  </si>
  <si>
    <t>Z0569864K</t>
  </si>
  <si>
    <t>040020230003012</t>
  </si>
  <si>
    <t>Z0569548G</t>
  </si>
  <si>
    <t>040020230002988</t>
  </si>
  <si>
    <t>Tramitación CA Inicial OSSAMA EL MAATI</t>
  </si>
  <si>
    <t>Z0549363J</t>
  </si>
  <si>
    <t>040020230002286</t>
  </si>
  <si>
    <t>Z0580669Q</t>
  </si>
  <si>
    <t>040020230003467</t>
  </si>
  <si>
    <t>Z0580587A</t>
  </si>
  <si>
    <t>040020230003460</t>
  </si>
  <si>
    <t>Tramitación Renovación Autorización Residencia y Trabajo DJIGUIBA SISSOKO</t>
  </si>
  <si>
    <t>049920230001184</t>
  </si>
  <si>
    <t xml:space="preserve">Tasas, IVA, informe vida laboral, contrato firmado por trabajador </t>
  </si>
  <si>
    <t>Tramitación Renovación Autorización Residencia y Trabajo CLEMENT KWAME SAH</t>
  </si>
  <si>
    <t>049920230000594</t>
  </si>
  <si>
    <t>FAVORABLE 20/02/2023</t>
  </si>
  <si>
    <t>Z0583292V</t>
  </si>
  <si>
    <t>040020230003547</t>
  </si>
  <si>
    <t>Tramitación Arraigo Social ABASSE SAKHO</t>
  </si>
  <si>
    <t>040020230002403</t>
  </si>
  <si>
    <t>Z0552668Y</t>
  </si>
  <si>
    <t>Y8405777G</t>
  </si>
  <si>
    <t>Tramitación CA Inicial  FATIMA EZZAHRAE EL MAYH</t>
  </si>
  <si>
    <t>Z0553763C</t>
  </si>
  <si>
    <t>040020230002470</t>
  </si>
  <si>
    <t>Tramitación CA Inicial JOMAROCA AGRICOLA II, SL - SAID HAMID</t>
  </si>
  <si>
    <t>Z0553502N</t>
  </si>
  <si>
    <t>040020230002451</t>
  </si>
  <si>
    <t>Tramitación Arraigo Social ANSOUMANA MANE</t>
  </si>
  <si>
    <t>Tramitación recurso ABDELLAH AMIRAT</t>
  </si>
  <si>
    <t>SAIDO MANE</t>
  </si>
  <si>
    <t>Ctra. Mojonera, nº 214, 1ºb</t>
  </si>
  <si>
    <t>Tramitación Arraigo Social SAIDO MANE</t>
  </si>
  <si>
    <t>Estancia estudios</t>
  </si>
  <si>
    <t>Tramitación Prórroga Autorización Estancia por Estudios GABRIELE LAIS SILVA DOLFINO</t>
  </si>
  <si>
    <t>Y9253456H</t>
  </si>
  <si>
    <t>289920220070959</t>
  </si>
  <si>
    <t>LAIS GABRIELE SILVA DOLFINO</t>
  </si>
  <si>
    <t>Plaza Chinchon, nº 2 bj</t>
  </si>
  <si>
    <t>Getafe</t>
  </si>
  <si>
    <t>Externo (Edén Escobar)</t>
  </si>
  <si>
    <t>Y9818662E</t>
  </si>
  <si>
    <t>Z0594741N</t>
  </si>
  <si>
    <t>040020230003750</t>
  </si>
  <si>
    <t>040020230002514</t>
  </si>
  <si>
    <t>llopez@cohorsan.com</t>
  </si>
  <si>
    <t>Informe arraigo</t>
  </si>
  <si>
    <t>NO FAVORABLE 16/02/2023</t>
  </si>
  <si>
    <t>FAVORABLE 27/02/2023</t>
  </si>
  <si>
    <t>FAVORABLE 01/03/2023</t>
  </si>
  <si>
    <t>FAVORABLE 22/02/2023</t>
  </si>
  <si>
    <t>FAVORABLE 23/02/2023</t>
  </si>
  <si>
    <t>Z0604526E</t>
  </si>
  <si>
    <t>040020230004144</t>
  </si>
  <si>
    <t>HORTICOLA ROGAL, S.L.</t>
  </si>
  <si>
    <t>Ctra. Roquetas de Mar, nº 61</t>
  </si>
  <si>
    <t>Tramitación CA Inicial ABDELGHAFOUR EL HARITY</t>
  </si>
  <si>
    <t>Tasas, contrato arrend.</t>
  </si>
  <si>
    <t>FAVORABLE 06/03/2023</t>
  </si>
  <si>
    <t>Tramitación CA Inicial MOHAMMED KACIDI</t>
  </si>
  <si>
    <t>Tasas, NOMBRE PADRE nacimiento</t>
  </si>
  <si>
    <t>040020230004398</t>
  </si>
  <si>
    <t>040020230004402</t>
  </si>
  <si>
    <t>ELINORE THOMAS</t>
  </si>
  <si>
    <t>HADIL FILALI</t>
  </si>
  <si>
    <t>Tramitación Asignación NIE Hadil Filali</t>
  </si>
  <si>
    <t>Tramitación Asignación NIE Elinore Thomas</t>
  </si>
  <si>
    <t>Tramitación Arraigo Social YOUSSEF MOKHALI</t>
  </si>
  <si>
    <t>Tramitación Renovación Autorización Residencia y Trabajo ABIBOU FAYE</t>
  </si>
  <si>
    <t>049920230001503</t>
  </si>
  <si>
    <t>Av. España, nº 16</t>
  </si>
  <si>
    <t>Tramitación Arraigo Social IUSSUF SEIDI</t>
  </si>
  <si>
    <t>Z0610592Q</t>
  </si>
  <si>
    <t>040020230004376</t>
  </si>
  <si>
    <t>C/ Rio jandula, nº 12, bj-1</t>
  </si>
  <si>
    <t>049920230000840</t>
  </si>
  <si>
    <t>Tramitación Renovación Autorización Residencia y Trabajo ABDELAZIZ SAKIOU</t>
  </si>
  <si>
    <t>FAVORABLE 09/03/2023</t>
  </si>
  <si>
    <t>FAVORABLE 08/03/2023</t>
  </si>
  <si>
    <t>FAVORABLE 07/03/2023</t>
  </si>
  <si>
    <t>Tramitación CA Inicial MAMADY DOUMBIA</t>
  </si>
  <si>
    <t>Z0616802Q</t>
  </si>
  <si>
    <t>040020230004704</t>
  </si>
  <si>
    <t>FAVORABLE 03/03/2023</t>
  </si>
  <si>
    <t>Tramitación Renovación Autorización Residencia y Trabajo HALIDU FATI</t>
  </si>
  <si>
    <t>049920220012589</t>
  </si>
  <si>
    <t>Z0610014J</t>
  </si>
  <si>
    <t>040020230004366</t>
  </si>
  <si>
    <t>Y7942524V</t>
  </si>
  <si>
    <t>040020230004674</t>
  </si>
  <si>
    <t>78033107H</t>
  </si>
  <si>
    <t>PEDRO SABIO ACOSTA</t>
  </si>
  <si>
    <t>C/ Antonio, nº 83</t>
  </si>
  <si>
    <t xml:space="preserve">Tramitación escrito </t>
  </si>
  <si>
    <t>Tasas, IVA 2022</t>
  </si>
  <si>
    <t>08907311D</t>
  </si>
  <si>
    <t>C/ Rio Ebro, nº 1, 2ºA</t>
  </si>
  <si>
    <t>Tramitación CA Inicial LOUBNA LOULIDI</t>
  </si>
  <si>
    <t>18111566D</t>
  </si>
  <si>
    <t>FRANCISCO CRAVIOTTO MANRIQUE</t>
  </si>
  <si>
    <t>Ctra. De Almería, nº 80</t>
  </si>
  <si>
    <t>Tramitación Arraigo Social HAFIDA ABASSAL</t>
  </si>
  <si>
    <t>Y7483080K</t>
  </si>
  <si>
    <t>MOUSTAPHA SARR</t>
  </si>
  <si>
    <t>C/ Palmeral, nº 12, 1ºB</t>
  </si>
  <si>
    <t>Tramitación Arraigo Social MOUSTAPHA SARR</t>
  </si>
  <si>
    <t>Z0626621Z</t>
  </si>
  <si>
    <t>040020230004992</t>
  </si>
  <si>
    <t>Y4698104T</t>
  </si>
  <si>
    <t>BADARA DIOP</t>
  </si>
  <si>
    <t>Avda. Guadalquivir</t>
  </si>
  <si>
    <t>Tramitación Renovación Autorización Residencia y Trabajo BADARA DIOP</t>
  </si>
  <si>
    <t>049920230002211</t>
  </si>
  <si>
    <t>Tramitación Renovación Autorización Residencia y Trabajo  YOUNES EL HILLY</t>
  </si>
  <si>
    <t>Tramitación Renovación Autorización Residencia y Trabajo  ZAKARIAE EL HILLY</t>
  </si>
  <si>
    <t>049920230000985</t>
  </si>
  <si>
    <t>049920230000986</t>
  </si>
  <si>
    <t>NIEVES FERNANDEZ MORENO</t>
  </si>
  <si>
    <t>040020230004913</t>
  </si>
  <si>
    <t>Tramitación Renovación Autorización Residencia y Trabajo  NAJET ACHOUR</t>
  </si>
  <si>
    <t>049920230000979</t>
  </si>
  <si>
    <t>Z0619330Z</t>
  </si>
  <si>
    <t>Z0619348D</t>
  </si>
  <si>
    <t>Tramitación Recurso Reposicion HAMZA DAOUDI</t>
  </si>
  <si>
    <t>ISMAILA SARR</t>
  </si>
  <si>
    <t>Tramitación Arraigo Social ISMAILA SARR</t>
  </si>
  <si>
    <t>040020230005240</t>
  </si>
  <si>
    <t>Tasa, CONTRATO NUEVO, informe de arraigo</t>
  </si>
  <si>
    <t>Z0630802D</t>
  </si>
  <si>
    <t>040020230005203</t>
  </si>
  <si>
    <t>NO FAVORABLE 03/03/2023</t>
  </si>
  <si>
    <t>NO FAVORABLE 10/03/2023</t>
  </si>
  <si>
    <t>FAVORABLE 10/03/2023</t>
  </si>
  <si>
    <t>FAVORABLE 14/03/2023</t>
  </si>
  <si>
    <t>Z0631262D</t>
  </si>
  <si>
    <t>040020230005126</t>
  </si>
  <si>
    <t>Z0649049V</t>
  </si>
  <si>
    <t>FAVORABLE 15/03/2023</t>
  </si>
  <si>
    <t>X7439944L</t>
  </si>
  <si>
    <t>CARMEN LUISA ROBLES ABRAHAM</t>
  </si>
  <si>
    <t>C/ Transfalgar, portal 1, nº 1, 4ºD</t>
  </si>
  <si>
    <t>yperez@cabasc.com</t>
  </si>
  <si>
    <t>Tramitación Renovación Autorización Residencia y Trabajo Extraordinaria CARMEN LUISA ROBLES ABRAHAM</t>
  </si>
  <si>
    <t>ALFU MANE</t>
  </si>
  <si>
    <t>C/ Alhama de Almeria, nº 41, 1ºD</t>
  </si>
  <si>
    <t>Tramitación Renovación Autorización Residencia y Trabajo ALFU MANE</t>
  </si>
  <si>
    <t>049920230002276</t>
  </si>
  <si>
    <t>Tramitación CA Inicial NOURREDINE AKKA</t>
  </si>
  <si>
    <t>Tasas, IVA 390 2022, informe vida laboral</t>
  </si>
  <si>
    <t>Tramitación CA Inicial SAID AKKA</t>
  </si>
  <si>
    <t>Tramitación CA Inicial EL MAHDI CHOUNI</t>
  </si>
  <si>
    <t>Tramitación Arraigo Social SAMBA KEITA</t>
  </si>
  <si>
    <t>Pruebas envíos dinero RIA y certificado Academia Becquer</t>
  </si>
  <si>
    <t>FAVORABLE 16/03/2023</t>
  </si>
  <si>
    <t>FAVORABLE 21/03/2023</t>
  </si>
  <si>
    <t>Z0655340Y</t>
  </si>
  <si>
    <t>040020230005731</t>
  </si>
  <si>
    <t>040020230005663</t>
  </si>
  <si>
    <t>NO FAVORABLE 13/03/2023</t>
  </si>
  <si>
    <t>Tramitación Arraigo Laboral MALICK DIENG</t>
  </si>
  <si>
    <t>Tasas, NUEVA DECLARACION</t>
  </si>
  <si>
    <t>ARCHIVO 20/03/2023</t>
  </si>
  <si>
    <t>78023131R</t>
  </si>
  <si>
    <t>RANZ GUIMERA, ANGEL PEDRO</t>
  </si>
  <si>
    <t>C/ Botavara, nº 22</t>
  </si>
  <si>
    <t>Tramitación Certificado Concordancia ANGEL PEDRO GUIMERA RANZ</t>
  </si>
  <si>
    <t>040020230005558</t>
  </si>
  <si>
    <t>Tramitación CA Inicial NASSIMA ELLATIFI</t>
  </si>
  <si>
    <t>I04202301412425</t>
  </si>
  <si>
    <t>MOUSSA NGOM</t>
  </si>
  <si>
    <t>C/ Regimiento de la corona, nº 2, 2ºD</t>
  </si>
  <si>
    <t>Tramitación Arraigo Social MOUSSA NGOM</t>
  </si>
  <si>
    <t>Tasa, PRUEBAS ENVIO DINERO</t>
  </si>
  <si>
    <t>Costa de Nijar</t>
  </si>
  <si>
    <t>45583520G</t>
  </si>
  <si>
    <t>JUAN RAFAEL ARRIETA SABIO</t>
  </si>
  <si>
    <t>Avda. Pintor Rosales, nº 70</t>
  </si>
  <si>
    <t>arrietasabiojr@gmail.com</t>
  </si>
  <si>
    <t>Tramitación CA Inicial IDRISSA DANFA</t>
  </si>
  <si>
    <t>049920230001913</t>
  </si>
  <si>
    <t>Tramitación Renovación Autorización Residencia y Trabajo COULIBALY SAYON</t>
  </si>
  <si>
    <t>Tramitación Renovación Autorización Residencia y Trabajo HAMZA EN NASSIRY</t>
  </si>
  <si>
    <t>049920230001957</t>
  </si>
  <si>
    <t>040020230005950</t>
  </si>
  <si>
    <t>040020230005932</t>
  </si>
  <si>
    <t>Y6155731W</t>
  </si>
  <si>
    <t>Tramitación CA Inicial FARAH BENACHOUNE</t>
  </si>
  <si>
    <t>FAVORABLE 22/03/2023</t>
  </si>
  <si>
    <t>REQUERIMIENTO 28/03/2023</t>
  </si>
  <si>
    <t>FAVORABLE 23/03/2023</t>
  </si>
  <si>
    <t>NO FAVORABLE 22/03/2023</t>
  </si>
  <si>
    <t>FAVORABLE 28/03/2023</t>
  </si>
  <si>
    <t>040020230006477</t>
  </si>
  <si>
    <t>040020230006443</t>
  </si>
  <si>
    <t>Z0678543W</t>
  </si>
  <si>
    <t>040020230006447</t>
  </si>
  <si>
    <t>040020230005118</t>
  </si>
  <si>
    <t>34843608B</t>
  </si>
  <si>
    <t>ANTONIO JOSE SANCHEZ GONZALEZ</t>
  </si>
  <si>
    <t>C/ Datil, nº 1</t>
  </si>
  <si>
    <t>Tramitación CA Inicial HADDOU JAOUAD</t>
  </si>
  <si>
    <t>NO FAVORABLE 21/03/2023</t>
  </si>
  <si>
    <t>mariajosegonzalezalfaro@yahoo.es</t>
  </si>
  <si>
    <t>manzanocarrasco1965@gmail.com</t>
  </si>
  <si>
    <t>E04751889</t>
  </si>
  <si>
    <t>ALMA, C.B.</t>
  </si>
  <si>
    <t>C/ Almería, nº 109</t>
  </si>
  <si>
    <t>642 17 34 64</t>
  </si>
  <si>
    <t>Tramitación CA Inicial SALAH EDDIN OULAD SI ALI</t>
  </si>
  <si>
    <t>Tasas, doc varia</t>
  </si>
  <si>
    <t>Y1226760T</t>
  </si>
  <si>
    <t>040020230006558</t>
  </si>
  <si>
    <t>masharosales95@gmail.com</t>
  </si>
  <si>
    <t>elinore.sara@gmail.com</t>
  </si>
  <si>
    <t>contigestion@murgiverde.com</t>
  </si>
  <si>
    <t>pgerez@ferva.com</t>
  </si>
  <si>
    <t>mlirola@agroiris.com</t>
  </si>
  <si>
    <t>Tramitación CA Inicial ZAKARIAE LAMLIH</t>
  </si>
  <si>
    <t>Y9694392K</t>
  </si>
  <si>
    <t>040020230005471</t>
  </si>
  <si>
    <t>24274117D</t>
  </si>
  <si>
    <t>JUAN JOSE LINARES GARCIA</t>
  </si>
  <si>
    <t>C/ Salvador, nº 10</t>
  </si>
  <si>
    <t>Tramitación Arraigo Social FAYCAL MRAOUI</t>
  </si>
  <si>
    <t>Tramitación Arraigo Social HAMZA AZZIA</t>
  </si>
  <si>
    <t>Tramitación Arraigo Social SOUFYANE ELOUAFI</t>
  </si>
  <si>
    <t>Tasa, ESCRITURA</t>
  </si>
  <si>
    <t>Tramitación Arraigo Social FERNANDO DA COSTA</t>
  </si>
  <si>
    <t>Y1995599H</t>
  </si>
  <si>
    <t>Z0692272T</t>
  </si>
  <si>
    <t>040020230006997</t>
  </si>
  <si>
    <t>FAVORABLE 30/03/2023</t>
  </si>
  <si>
    <t>040020230006457</t>
  </si>
  <si>
    <t>FAVORABLE 04/04/2023</t>
  </si>
  <si>
    <t>FAVORABLE 31/03/2023</t>
  </si>
  <si>
    <t>040020230007341</t>
  </si>
  <si>
    <t>040020230007175</t>
  </si>
  <si>
    <t>Z0698276R</t>
  </si>
  <si>
    <t>040020230007244</t>
  </si>
  <si>
    <t>Z0697743C</t>
  </si>
  <si>
    <t>040020230007206</t>
  </si>
  <si>
    <t>Z0697412B</t>
  </si>
  <si>
    <t>040020230007180</t>
  </si>
  <si>
    <t>Z0698191P</t>
  </si>
  <si>
    <t>040020230007239</t>
  </si>
  <si>
    <t>040020230007307</t>
  </si>
  <si>
    <t>77156071H</t>
  </si>
  <si>
    <t>JOSE BERENGUEL RAMON</t>
  </si>
  <si>
    <t>C/ Don Luis Abad Carretero, nº 27</t>
  </si>
  <si>
    <t>Tramitación Arraigo Social ASUMAH KWAME</t>
  </si>
  <si>
    <t>joseberenguel33@gmail.com</t>
  </si>
  <si>
    <t>Tasa, pruebas dinero y traducción penales</t>
  </si>
  <si>
    <t>Tramitación CA Inicial EXPLOTACIONES STONE, SL - ALOU DIALLO</t>
  </si>
  <si>
    <t>Y7875167G</t>
  </si>
  <si>
    <t>YSIAKA DEMBA</t>
  </si>
  <si>
    <t>Avda. Blas Infante, nº 2</t>
  </si>
  <si>
    <t>643 61 56 25</t>
  </si>
  <si>
    <t>Tramitación Renovación Autorización Residencia y Trabajo YSIAKA DEMBA</t>
  </si>
  <si>
    <t>049920230003451</t>
  </si>
  <si>
    <t>Tramitación Huella ALEJANDRO DAVID GARCIA</t>
  </si>
  <si>
    <t>Tramitación Renovación Autorización Residencia y Trabajo MAMOUTOU SAMAKE</t>
  </si>
  <si>
    <t>049920230002097</t>
  </si>
  <si>
    <t>Isafer</t>
  </si>
  <si>
    <t>M'HAMED EL KARROUMI</t>
  </si>
  <si>
    <t>C/ Martin Salinas, nº 2</t>
  </si>
  <si>
    <t>Tramitación Reagrupación Familiar ZAHRA HAIMED</t>
  </si>
  <si>
    <t>Tramitación Reagrupación Familiar SAIDA EL KARROUMI</t>
  </si>
  <si>
    <t>Tramitación Reagrupación Familiar NAOUAL EL KARROUMI</t>
  </si>
  <si>
    <t>Tramitación Reagrupación Familiar KHADIJA EL KARROUMI</t>
  </si>
  <si>
    <t>NO FAVORABLE 04/04/2023</t>
  </si>
  <si>
    <t>FAVORABLE 24/03/2023</t>
  </si>
  <si>
    <t>Z0716226B</t>
  </si>
  <si>
    <t>GINA MARINA</t>
  </si>
  <si>
    <t>Av. Puente, nº 2, 3ºA</t>
  </si>
  <si>
    <t>Tramitación Certificado Registro Comunitario GINA MARINA</t>
  </si>
  <si>
    <t>B10689081</t>
  </si>
  <si>
    <t>AGROINDUSTRIA EFINOVA, SL</t>
  </si>
  <si>
    <t>C/ Arco Iris, nº 10</t>
  </si>
  <si>
    <t>Tramitación Renovación Autorización Residencia y Trabajo KEOULE KEITA</t>
  </si>
  <si>
    <t>049920230002640</t>
  </si>
  <si>
    <t>Y9315103W</t>
  </si>
  <si>
    <t>reinoso239@gmail.com</t>
  </si>
  <si>
    <t>FAVORABLE 11/04/2023</t>
  </si>
  <si>
    <t>FAVORABLE 05/04/2023</t>
  </si>
  <si>
    <t>Z0714374E</t>
  </si>
  <si>
    <t>040020230007797</t>
  </si>
  <si>
    <t>Tramitación CA Inicial FATIMA ZAHRA MOKHTARI</t>
  </si>
  <si>
    <t>Tasas, certificado nacimiento</t>
  </si>
  <si>
    <t>Y9292188H</t>
  </si>
  <si>
    <t>040020230007664</t>
  </si>
  <si>
    <t>Y8555419P</t>
  </si>
  <si>
    <t>040020230007681</t>
  </si>
  <si>
    <t>Z0707794C</t>
  </si>
  <si>
    <t>040020230007639</t>
  </si>
  <si>
    <t>040020230007646</t>
  </si>
  <si>
    <t>040020230007671</t>
  </si>
  <si>
    <t>FAVORABLE 12/04/2023</t>
  </si>
  <si>
    <t>Z0711654Q</t>
  </si>
  <si>
    <t>040020230008036</t>
  </si>
  <si>
    <t>Z0720843M</t>
  </si>
  <si>
    <t>040020230008028</t>
  </si>
  <si>
    <t>ALIOU SARR</t>
  </si>
  <si>
    <t>C/ Zurbarán, nº 12, bj 3º</t>
  </si>
  <si>
    <t>Tramitación Arraigo Social ALIOU SARR</t>
  </si>
  <si>
    <t>Tasas, doc empresa, contrato</t>
  </si>
  <si>
    <t>Z0710718T</t>
  </si>
  <si>
    <t>FAVORABLE 14/04/2023</t>
  </si>
  <si>
    <t>FAVORABLE 13/04/2023</t>
  </si>
  <si>
    <t>ALOU DIARRA</t>
  </si>
  <si>
    <t>C/ Mercurio, nº 22 be</t>
  </si>
  <si>
    <t>Tramitación Renovación Autorización Residencia y Trabajo ALOU DIARRA</t>
  </si>
  <si>
    <t>049920230001907</t>
  </si>
  <si>
    <t>75716063V</t>
  </si>
  <si>
    <t>MARIA DEL MAR GARCIA SANCHEZ</t>
  </si>
  <si>
    <t>C/ Jose Amat Benavides, nº 284</t>
  </si>
  <si>
    <t>Tramitación CA Inicial YANKUBA BARROW</t>
  </si>
  <si>
    <t>040020230008242</t>
  </si>
  <si>
    <t>Z0725994G</t>
  </si>
  <si>
    <t>040020230008181</t>
  </si>
  <si>
    <t>040020230008185</t>
  </si>
  <si>
    <t>Y8993812K</t>
  </si>
  <si>
    <t>Z0732598F</t>
  </si>
  <si>
    <t>040020230008496</t>
  </si>
  <si>
    <t>Z0732768Q</t>
  </si>
  <si>
    <t>040020230008563</t>
  </si>
  <si>
    <t>Z0732734M</t>
  </si>
  <si>
    <t>040020230008500</t>
  </si>
  <si>
    <t>Z0732627J</t>
  </si>
  <si>
    <t>040020230008497</t>
  </si>
  <si>
    <t>juan_vo31@hotmail.es</t>
  </si>
  <si>
    <t>MANIANE DIOUCK</t>
  </si>
  <si>
    <t>C/ Real, nº 7, BE</t>
  </si>
  <si>
    <t>04869</t>
  </si>
  <si>
    <t>Fines</t>
  </si>
  <si>
    <t>Tramitación Arraigo Social MANIANE DIOUCK</t>
  </si>
  <si>
    <t>Tasa Y + PRUEBAS</t>
  </si>
  <si>
    <t>Tramitación CA Inicial OHAKI HAKSA</t>
  </si>
  <si>
    <t>Tasas y contrato ultima pagina</t>
  </si>
  <si>
    <t>600217475 (hijo Miguel)</t>
  </si>
  <si>
    <t>NO FAVORABLE 14/04/2023</t>
  </si>
  <si>
    <t>FAVORABLE 19/04/2023</t>
  </si>
  <si>
    <t>Natursur (externo)</t>
  </si>
  <si>
    <t>B04657607</t>
  </si>
  <si>
    <t>HORTIDAYMA, SL</t>
  </si>
  <si>
    <t>C/ Haza Tableada, nº 5</t>
  </si>
  <si>
    <t>Tramitación Arraigo Social ALLOU ELKHATTAB</t>
  </si>
  <si>
    <t>NO FAVORABLE 18/04/2023</t>
  </si>
  <si>
    <t>chachojoze@gmail.com</t>
  </si>
  <si>
    <t>Cortijo Navarro, nº 2413</t>
  </si>
  <si>
    <t>643966713</t>
  </si>
  <si>
    <t>Tramitación Arraigo Social MAMADOU DIOP</t>
  </si>
  <si>
    <t>Z0745742H</t>
  </si>
  <si>
    <t>040020230008737</t>
  </si>
  <si>
    <t>27263599C</t>
  </si>
  <si>
    <t>MANUEL SALAS SALAS</t>
  </si>
  <si>
    <t>C/ Meninas, nº 26</t>
  </si>
  <si>
    <t>Tramitación CA Inicial MIMOUN OUSSOUDAR</t>
  </si>
  <si>
    <t>Tasas, NUEVA DECLARACION y declaración mujer</t>
  </si>
  <si>
    <t>Tramitación Arraigo Social NAJIA EL KHATIR</t>
  </si>
  <si>
    <t>Tramitación Renovación Autorización Residencia y Trabajo KHALID BONNOUH</t>
  </si>
  <si>
    <t>049920230002856</t>
  </si>
  <si>
    <t>F02734366</t>
  </si>
  <si>
    <t>EL ARTISTA, S. COOP. AND.</t>
  </si>
  <si>
    <t>C/ Pericles, nº 10</t>
  </si>
  <si>
    <t>Tramitación CA Inicial PATCHE JOAQUIM MENDES</t>
  </si>
  <si>
    <t>Tasas, ESCRITURA</t>
  </si>
  <si>
    <t>Tramitación CA Inicial PEDRO JOAQUIM MENDES</t>
  </si>
  <si>
    <t>040020230008318</t>
  </si>
  <si>
    <t>NO FAVORABLE 12/04/2023</t>
  </si>
  <si>
    <t>FAVORABLE 20/04/2023</t>
  </si>
  <si>
    <t>FAVORABLE 25/04/2023</t>
  </si>
  <si>
    <t>FAVORABLE 21/04/2023</t>
  </si>
  <si>
    <t>Tramitación Tarjeta Residencia Familiar Ciudadano UE PEDRO ESTIVEN PRATS</t>
  </si>
  <si>
    <t>Tasas y nuevas declaraciones renta</t>
  </si>
  <si>
    <t>FAVORABLE 02/05/2023</t>
  </si>
  <si>
    <t>FAVORABLE 28/04/2023</t>
  </si>
  <si>
    <t>ARCHIVO 27/04/2023</t>
  </si>
  <si>
    <t>INADMISIÓN TRÁMITE 26/04/2023</t>
  </si>
  <si>
    <t>Z0778413Y</t>
  </si>
  <si>
    <t>040020230009376</t>
  </si>
  <si>
    <t>FAVORABLE 04/05/2023</t>
  </si>
  <si>
    <t>Y9541703Y</t>
  </si>
  <si>
    <t>DIEME, YOUSSOUPHA</t>
  </si>
  <si>
    <t>Avda. Luis Buñuel, Portal 2, nº 132 2ºJ</t>
  </si>
  <si>
    <t>Tasa y pruebas envíos dinero</t>
  </si>
  <si>
    <t>MENDY, OUSMAN</t>
  </si>
  <si>
    <t>C/ Rio Guadalquivir, nº 5</t>
  </si>
  <si>
    <t>Tramitación Arraigo Social YOUSSOUPHA DIEME</t>
  </si>
  <si>
    <t>Tramitación Renovación Residencia Larga Duración OUSMAN MENDY</t>
  </si>
  <si>
    <t>049920230003682</t>
  </si>
  <si>
    <t>Z0784301Y</t>
  </si>
  <si>
    <t>040020230009530</t>
  </si>
  <si>
    <t>040020230009334</t>
  </si>
  <si>
    <t>08911880R</t>
  </si>
  <si>
    <t>C/ Opalina, nº 8</t>
  </si>
  <si>
    <t>Tramitación CA Inicial AUGUSTO LUIS COITADE JUNIOR</t>
  </si>
  <si>
    <t>Y4658798R</t>
  </si>
  <si>
    <t>040020230009737</t>
  </si>
  <si>
    <t>Tramitación Arraigo Social ABDELILAH EL BAITAR</t>
  </si>
  <si>
    <t>Tramitación Renovación Autorización Residencia y Trabajo PORTIA FOSU</t>
  </si>
  <si>
    <t>049920230003953</t>
  </si>
  <si>
    <t>Tramitación Arraigo Social ABDELAZIZ EL HADDAOUI</t>
  </si>
  <si>
    <t>FAVORABLE 08/05/2023</t>
  </si>
  <si>
    <t>C/ Cuevas viejas, nº 26</t>
  </si>
  <si>
    <t>04410</t>
  </si>
  <si>
    <t>Benahadux</t>
  </si>
  <si>
    <t>Tramitación Arraigo Social EL HADJI MOUSSA THIAM</t>
  </si>
  <si>
    <t>F06886428</t>
  </si>
  <si>
    <t>ECOPEPE, SCA</t>
  </si>
  <si>
    <t>Santa María del Aguila</t>
  </si>
  <si>
    <t>Tramitación CA Inicial RACHIDA MASLOUHI</t>
  </si>
  <si>
    <t>Tramitación CA Inicial GLORIA KUSI NYARKO</t>
  </si>
  <si>
    <t>040020230009367</t>
  </si>
  <si>
    <t>Z0530843P</t>
  </si>
  <si>
    <t>040020230009721</t>
  </si>
  <si>
    <t>Z0800049E</t>
  </si>
  <si>
    <t>040020230009902</t>
  </si>
  <si>
    <t>FAVORABLE 09/05/2023</t>
  </si>
  <si>
    <t>Tramitación Arraigo Social EL MEHDI ARFAOUI</t>
  </si>
  <si>
    <t>049920230002689</t>
  </si>
  <si>
    <t>Z0777442R</t>
  </si>
  <si>
    <t>Z0804638B</t>
  </si>
  <si>
    <t>040020230010085</t>
  </si>
  <si>
    <t>Z0804363N</t>
  </si>
  <si>
    <t>040020230010074</t>
  </si>
  <si>
    <t>Tramitación Renovación Autorización Residencia y Trabajo ISMAILA TRAORE</t>
  </si>
  <si>
    <t>049920230004527</t>
  </si>
  <si>
    <t>Z0810188H</t>
  </si>
  <si>
    <t>040020230010298</t>
  </si>
  <si>
    <t>Z0808457N</t>
  </si>
  <si>
    <t>040020230010225</t>
  </si>
  <si>
    <t>FAVORABLE 05/05/2023</t>
  </si>
  <si>
    <t>FAVORABLE 10/05/2023</t>
  </si>
  <si>
    <t>Tramitación Arraigo Social HAYAT AIDOU</t>
  </si>
  <si>
    <t>Z0819387V</t>
  </si>
  <si>
    <t>Avda. Curro Romero, nº 15, 4ºC</t>
  </si>
  <si>
    <t>Tramitación Certificado Registro Comunitario CATALINA ELENA MIRON</t>
  </si>
  <si>
    <t>Tramitación Arraigo Familiar GIORGI GURCHUMELIA</t>
  </si>
  <si>
    <t>040020230010648</t>
  </si>
  <si>
    <t>Y6884441A</t>
  </si>
  <si>
    <t>C/ Eras, nº 36 bj</t>
  </si>
  <si>
    <t>Tramitación Renovación Tarjeta Residencia Familiar Permanente Ciudadano UE</t>
  </si>
  <si>
    <t>049920230003731</t>
  </si>
  <si>
    <t>040020230010438</t>
  </si>
  <si>
    <t>C/ Corrida, nº 6, 3º4</t>
  </si>
  <si>
    <t>Tasa, informe notario vivienda</t>
  </si>
  <si>
    <t>C/ Corrida, nº 6, 3º5</t>
  </si>
  <si>
    <t>C/ Corrida, nº 6, 3º6</t>
  </si>
  <si>
    <t>04010</t>
  </si>
  <si>
    <t>Tramitación Reagrupación Familiar FATIMA RAMI</t>
  </si>
  <si>
    <t>Tramitación Reagrupación Familiar MARWANE BEN ALY</t>
  </si>
  <si>
    <t>Tramitación Reagrupación Familiar NAJWA BEN ALY</t>
  </si>
  <si>
    <t>Tramitación CA Inicial ZAKARIA NICH</t>
  </si>
  <si>
    <t>IVA 390 2022, informe vida laboral</t>
  </si>
  <si>
    <t>Cohorsan (externo)</t>
  </si>
  <si>
    <t>78031904B</t>
  </si>
  <si>
    <t>C/ Maria Guerrero, nº 1</t>
  </si>
  <si>
    <t>Tramitación Renovación Autorización Residencia y Trabajo DRISS NOUIOUIRA</t>
  </si>
  <si>
    <t>049920230004631</t>
  </si>
  <si>
    <t>Y8531782S</t>
  </si>
  <si>
    <t>040020230010996</t>
  </si>
  <si>
    <t>X5170698E</t>
  </si>
  <si>
    <t>040020230011059</t>
  </si>
  <si>
    <t>Z0778143N</t>
  </si>
  <si>
    <t>Tramitación Arraigo Familiar NAYELIS ADALIS VAZQUEZ TERRY</t>
  </si>
  <si>
    <t>Y9391361S</t>
  </si>
  <si>
    <t>Y9572705G</t>
  </si>
  <si>
    <t>Tramitación CA Inicial SALOUA KARDIDA</t>
  </si>
  <si>
    <t>Z0829645V</t>
  </si>
  <si>
    <t>040020230011287</t>
  </si>
  <si>
    <t>Z0827304E</t>
  </si>
  <si>
    <t>040020230011131</t>
  </si>
  <si>
    <t>Z0828916R</t>
  </si>
  <si>
    <t>040020230011220</t>
  </si>
  <si>
    <t>Tramitación Renovación Autorización Residencia y Trabajo SILTIAN JISELA FLORES FLORES</t>
  </si>
  <si>
    <t>049920230004818</t>
  </si>
  <si>
    <t>Tasa, tarjeta sanitaria</t>
  </si>
  <si>
    <t>Z0831906R</t>
  </si>
  <si>
    <t>040020230011344</t>
  </si>
  <si>
    <t>Tomasol</t>
  </si>
  <si>
    <t>V04183935</t>
  </si>
  <si>
    <t>TOMASOL, S.A.T.</t>
  </si>
  <si>
    <t>Calle Las Bombardas, 0</t>
  </si>
  <si>
    <t>facturacion@tomasol.org</t>
  </si>
  <si>
    <t>Tramitación CA Inicial AYOUB MOHCINE</t>
  </si>
  <si>
    <t>Tasa, ESCRITURA, PASAPORTE RENOVADO</t>
  </si>
  <si>
    <t>Z0835922S</t>
  </si>
  <si>
    <t>040020230011512</t>
  </si>
  <si>
    <t>Tramitación Arraigo Social AMADOU SOW</t>
  </si>
  <si>
    <t>Cortijo El Panadero</t>
  </si>
  <si>
    <t>Tramitación CA Inicial YOUSSEF TBIB</t>
  </si>
  <si>
    <t>X8630229P</t>
  </si>
  <si>
    <t>040020230011747</t>
  </si>
  <si>
    <t>040020230011692</t>
  </si>
  <si>
    <t>040020230011684</t>
  </si>
  <si>
    <t xml:space="preserve">VALVERDE PEREZ, FRANCISCO JESUS </t>
  </si>
  <si>
    <t xml:space="preserve">BEN ALY, ET TYJANY </t>
  </si>
  <si>
    <t xml:space="preserve">ABREU PEREZ, AMBAR MERCEDES </t>
  </si>
  <si>
    <t xml:space="preserve">MIRON, CATALINA ELENA </t>
  </si>
  <si>
    <t xml:space="preserve">THIAM, EL HADJI MOUSSA </t>
  </si>
  <si>
    <t xml:space="preserve">VALDIVIA ALVAREZ, FRANCISCO JAVIER </t>
  </si>
  <si>
    <t>FAVORABLE 24/05/2023</t>
  </si>
  <si>
    <t>NO FAVORABLE 18/05/2023</t>
  </si>
  <si>
    <t>FAVORABLE 23/05/2023</t>
  </si>
  <si>
    <t>Z0855608J</t>
  </si>
  <si>
    <t>040020230012195</t>
  </si>
  <si>
    <t>X9074320S</t>
  </si>
  <si>
    <t>040020230012193</t>
  </si>
  <si>
    <t>Z0852601L</t>
  </si>
  <si>
    <t>040020230012055</t>
  </si>
  <si>
    <t>Tramitación Renovación Autorización Residencia y Trabajo MOUSSA SEYDI</t>
  </si>
  <si>
    <t>049920230005005</t>
  </si>
  <si>
    <t>Z0863910N</t>
  </si>
  <si>
    <t>040020230012499</t>
  </si>
  <si>
    <t>300020230012865</t>
  </si>
  <si>
    <t>Y6173555R</t>
  </si>
  <si>
    <t>Tramitación CA Inicial NOUREDDINE JALIL</t>
  </si>
  <si>
    <t>Tramitación Renovación Autorización Residencia y Trabajo MAMADOU YORO BA</t>
  </si>
  <si>
    <t>049920230005171</t>
  </si>
  <si>
    <t>Z0857310J</t>
  </si>
  <si>
    <t>040020230012289</t>
  </si>
  <si>
    <t>Z0857245V</t>
  </si>
  <si>
    <t>040020230012285</t>
  </si>
  <si>
    <t>Z0858200Y</t>
  </si>
  <si>
    <t>040020230012326</t>
  </si>
  <si>
    <t>Tasa, doc. empresa</t>
  </si>
  <si>
    <t>empadr. Colectivo</t>
  </si>
  <si>
    <t>Tramitación Renovación Autorización Residencia y Trabajo LAMINE DIEME</t>
  </si>
  <si>
    <t>049920230005297</t>
  </si>
  <si>
    <t>Tramitación CA Inicial MOHAMMED EL MASSADY</t>
  </si>
  <si>
    <t>fjps22@gmail.com</t>
  </si>
  <si>
    <t>78032460S</t>
  </si>
  <si>
    <t>SERGIO ALFEREZ GARCIA</t>
  </si>
  <si>
    <t>C/ Conde de Barcelona, nº 48, D</t>
  </si>
  <si>
    <t>Tramitación CA Inicial NOUREDDINE CHAAIJ</t>
  </si>
  <si>
    <t>Tramitación Arraigo Social FALLIN TAMBA</t>
  </si>
  <si>
    <t>ESCRITURA</t>
  </si>
  <si>
    <t>Tramitación Arraigo Social ZAHRA EL MANSOURI</t>
  </si>
  <si>
    <t>FAVORABLE 31/05/2023</t>
  </si>
  <si>
    <t>040020230012825</t>
  </si>
  <si>
    <t>040020230012827</t>
  </si>
  <si>
    <t>Tramitación CA Inicial SISSOKO MAKHA</t>
  </si>
  <si>
    <t>Tasas, declaración renta y contrato trabajo</t>
  </si>
  <si>
    <t>Tramitación Arraigo Social AMINATA SARR</t>
  </si>
  <si>
    <t>FAVORABLE 06/06/2023</t>
  </si>
  <si>
    <t>040020230013341</t>
  </si>
  <si>
    <t>040020230013343</t>
  </si>
  <si>
    <t>FAVORABLE 02/06/2023</t>
  </si>
  <si>
    <t>040020230012203</t>
  </si>
  <si>
    <t>Z0858986X</t>
  </si>
  <si>
    <t>040020230012408</t>
  </si>
  <si>
    <t>040020230013444</t>
  </si>
  <si>
    <t>040020230013465</t>
  </si>
  <si>
    <t>78037030P</t>
  </si>
  <si>
    <t>Murgiverde (Rosalía)</t>
  </si>
  <si>
    <t>JULIO GONGORA GARCIA</t>
  </si>
  <si>
    <t>C/ Dalias, nº 30</t>
  </si>
  <si>
    <t>Tramitación Renovación Autorización Residencia y Trabajo YOUSSOUPH SAGNA</t>
  </si>
  <si>
    <t>Y8689691Y</t>
  </si>
  <si>
    <t>jgongora90@gmail.com</t>
  </si>
  <si>
    <t>Tramitación Arraigo Social HOURIA ECHAFAI</t>
  </si>
  <si>
    <t>Tramitación Renovación Autorización Residencia y Trabajo ABDOURAHAMANE DIALLO</t>
  </si>
  <si>
    <t>C/ Iglesia, nº 4</t>
  </si>
  <si>
    <t>C/ Iglesia, nº 5</t>
  </si>
  <si>
    <t>04280</t>
  </si>
  <si>
    <t>Tramitación Reagrupación Familiar FOUZIA KDIDECH</t>
  </si>
  <si>
    <t>Tasa, Nómina mayo y ingresos banco</t>
  </si>
  <si>
    <t>Z0911007M</t>
  </si>
  <si>
    <t>040020230013783</t>
  </si>
  <si>
    <t>Z0423873B</t>
  </si>
  <si>
    <t>FAVORABLE 07/06/2023</t>
  </si>
  <si>
    <t>FAVORABLE 08/06/2023</t>
  </si>
  <si>
    <t>Tramitación Recurso Reposicion NASSIMA ELLATIFI</t>
  </si>
  <si>
    <t>Y4670721X</t>
  </si>
  <si>
    <t>YOUSSEF HAMMAD</t>
  </si>
  <si>
    <t>C/ Aljibe Norte, nº 70 bj</t>
  </si>
  <si>
    <t>Tramitación CA Inicial CHAIMAE RAFYQ</t>
  </si>
  <si>
    <t>FAISSAL CHARCHAOUI</t>
  </si>
  <si>
    <t>C/ Rio Segura</t>
  </si>
  <si>
    <t>ex 633642799</t>
  </si>
  <si>
    <t>Tramitación Arraigo Social FAISSAL CHARCHAOUI</t>
  </si>
  <si>
    <t>Tramitación Renovación Residencia Larga Duración MAMADOU KEITA</t>
  </si>
  <si>
    <t>Tramitación Arraigo Social MOHAMMED AMINE</t>
  </si>
  <si>
    <t>mfaus@ramafrut.com</t>
  </si>
  <si>
    <t>Tramitación Autorización Trasnacional SIDI DIOP</t>
  </si>
  <si>
    <t>Tramitación CA Inicial ASMA AIT MOH</t>
  </si>
  <si>
    <t>Tasas, NUEVO impuesto sociedades</t>
  </si>
  <si>
    <t>Tramitación Renovación Autorización Residencia y Trabajo FATIHA HAIDOU</t>
  </si>
  <si>
    <t>Tramitación Renovación Autorización Residencia y Trabajo RACHIDA MHAIROU</t>
  </si>
  <si>
    <t>049920230005652</t>
  </si>
  <si>
    <t>FAVORABLE 12/06/2023</t>
  </si>
  <si>
    <t>FAVORABLE 09/06/2023</t>
  </si>
  <si>
    <t>Z0922930Z</t>
  </si>
  <si>
    <t>040020230014079</t>
  </si>
  <si>
    <t>B04760294</t>
  </si>
  <si>
    <t>HORTIRECURSOS, SL</t>
  </si>
  <si>
    <t xml:space="preserve">Cm Villalobos </t>
  </si>
  <si>
    <t>laboral@hortirecursos.com&gt;</t>
  </si>
  <si>
    <t>Tramitación Arraigo Social DJIBRIL FOFANA</t>
  </si>
  <si>
    <t>Z0920580X</t>
  </si>
  <si>
    <t>040020230014041</t>
  </si>
  <si>
    <t>040020230014258</t>
  </si>
  <si>
    <t>040020230014270</t>
  </si>
  <si>
    <t>Tramitación CA Inicial HAMED KEITA</t>
  </si>
  <si>
    <t>040020230014207</t>
  </si>
  <si>
    <t>FAVORABLE 15/06/2023</t>
  </si>
  <si>
    <t>Z0925811C</t>
  </si>
  <si>
    <t>049920230005651</t>
  </si>
  <si>
    <t>Tramitación Arraigo Social CHEIKH SOW</t>
  </si>
  <si>
    <t>Tasa, pruebas envios dinero</t>
  </si>
  <si>
    <t>Z0937760D</t>
  </si>
  <si>
    <t>040020230014580</t>
  </si>
  <si>
    <t>Z0926902F</t>
  </si>
  <si>
    <t>BOUBACAR DIENG</t>
  </si>
  <si>
    <t>Tramitación Arraigo Social BOUBACAR DIENG</t>
  </si>
  <si>
    <t>18113579K</t>
  </si>
  <si>
    <t>CARMEN DOLORES LOPEZ BARRERA</t>
  </si>
  <si>
    <t>C/ Diagonal, nº 24</t>
  </si>
  <si>
    <t>040020230014673</t>
  </si>
  <si>
    <t>FAVORABLE 19/06/2023</t>
  </si>
  <si>
    <t>54138938C</t>
  </si>
  <si>
    <t>SAMUEL OLVERA PEREZ</t>
  </si>
  <si>
    <t>Tramitación Arraigo Laboral ALASSANE POUYE</t>
  </si>
  <si>
    <t>CANO MARTINEZ, MARIA DEL MAR</t>
  </si>
  <si>
    <t>Tramitación Arraigo Social HOUSSAIN BENYOUCEF</t>
  </si>
  <si>
    <t>Y8142380A</t>
  </si>
  <si>
    <t>NOBLE AUGUSTT</t>
  </si>
  <si>
    <t>C/ Martires, nº 15</t>
  </si>
  <si>
    <t>Juangregorio11@hotmail.com</t>
  </si>
  <si>
    <t>Tramitación Renovación Autorización Residencia y Trabajo NOBLE AUGUSTT</t>
  </si>
  <si>
    <t>049920230005856</t>
  </si>
  <si>
    <t>FAVORABLE 22/06/2023</t>
  </si>
  <si>
    <t>FAVORABLE 20/06/2023</t>
  </si>
  <si>
    <t>NO FAVORABLE 23/06/2023</t>
  </si>
  <si>
    <t>CHERIF IBRAHIMA DIEME</t>
  </si>
  <si>
    <t>Tramitación Arraigo Social CHERIF IBRAHIMA DIEME</t>
  </si>
  <si>
    <t>Tasa, dni jefe y envíos dinero</t>
  </si>
  <si>
    <t>78039897T</t>
  </si>
  <si>
    <t>ELIAS MORENO UCLES</t>
  </si>
  <si>
    <t>C/ Gardenias, nº 5, 3ºD</t>
  </si>
  <si>
    <t>Tramitación Renovación Autorización Residencia y Trabajo AZZEDINE LAKHAL</t>
  </si>
  <si>
    <t>Y9556957B</t>
  </si>
  <si>
    <t>049920230005708</t>
  </si>
  <si>
    <t>MOHAMMED SOUFI</t>
  </si>
  <si>
    <t>Avda. Constitución, nº 226, 2º</t>
  </si>
  <si>
    <t>Tramitación CA Inicial ABDELLAH SOUFI</t>
  </si>
  <si>
    <t>Z0949191D</t>
  </si>
  <si>
    <t>040020230014804</t>
  </si>
  <si>
    <t>Z0945268L</t>
  </si>
  <si>
    <t>040020230014695</t>
  </si>
  <si>
    <t>Y6710773P</t>
  </si>
  <si>
    <t>040020230014810</t>
  </si>
  <si>
    <t>Z0951844V</t>
  </si>
  <si>
    <t>040020230014870</t>
  </si>
  <si>
    <t>Tramitación Reagrupación Familiar MOHAMMED KASMI</t>
  </si>
  <si>
    <t>27536690D</t>
  </si>
  <si>
    <t>JOSE LUIS CORTES GODOY</t>
  </si>
  <si>
    <t>C/ Agua, nº 1</t>
  </si>
  <si>
    <t>Tramitación CA Inicial MUSTAPHA FADIL</t>
  </si>
  <si>
    <t>TASAS, IRPF 2022</t>
  </si>
  <si>
    <t>34846069B</t>
  </si>
  <si>
    <t>ISABEL MARIA CAÑADAS MUYOR</t>
  </si>
  <si>
    <t>C/ Adra, nº 27</t>
  </si>
  <si>
    <t>Tramitación Arraigo Social MAROUANE REZZOUK</t>
  </si>
  <si>
    <t>FAVORABLE 27/06/2023</t>
  </si>
  <si>
    <t>Y8351871X</t>
  </si>
  <si>
    <t>290020230012543</t>
  </si>
  <si>
    <t>INADMISIÓN TRÁMITE 27/06/2023</t>
  </si>
  <si>
    <t>040020230014827</t>
  </si>
  <si>
    <t>Z0947655Z</t>
  </si>
  <si>
    <t>040020230014777</t>
  </si>
  <si>
    <t>Z0947554M</t>
  </si>
  <si>
    <t>040020230014773</t>
  </si>
  <si>
    <t>Z0307724N</t>
  </si>
  <si>
    <t>040020230015322</t>
  </si>
  <si>
    <t>Z0972375D</t>
  </si>
  <si>
    <t>040020230015384</t>
  </si>
  <si>
    <t>Y7978527W</t>
  </si>
  <si>
    <t>040020230015546</t>
  </si>
  <si>
    <t>Tramitación Arraigo Social BASSIROU NGOM</t>
  </si>
  <si>
    <t>Z0963736H</t>
  </si>
  <si>
    <t>040020230015116</t>
  </si>
  <si>
    <t>Z0964277F</t>
  </si>
  <si>
    <t>040020230015119</t>
  </si>
  <si>
    <t>FAVORABLE 30/06/2023</t>
  </si>
  <si>
    <t>Z0983931L</t>
  </si>
  <si>
    <t>040020230015760</t>
  </si>
  <si>
    <t>FAVORABLE 23/06/2023</t>
  </si>
  <si>
    <t>FAVORABLE 29/06/2023</t>
  </si>
  <si>
    <t>NO FAVORABLE 30/06/2023</t>
  </si>
  <si>
    <t>Tramitación Renovación Autorización Residencia y Trabajo MARIO OMONTE GUTIERREZ</t>
  </si>
  <si>
    <t>049920230005216</t>
  </si>
  <si>
    <t>040020230014415</t>
  </si>
  <si>
    <t>Z0927102T</t>
  </si>
  <si>
    <t>Tramitación Arraigo Social EL HOUSSAINE BELKIR</t>
  </si>
  <si>
    <t>Tramitación Residencia Menor nacido en España SOFIANE SALBRE</t>
  </si>
  <si>
    <t>FAVORABLE 04/07/2023</t>
  </si>
  <si>
    <t>FAVORABLE 03/07/2023</t>
  </si>
  <si>
    <t>FAVORABLE 05/07/2023</t>
  </si>
  <si>
    <t>UEVO impuesto sociedades</t>
  </si>
  <si>
    <t>FAVORABLE 06/07/2023</t>
  </si>
  <si>
    <t>Tramitación Arraigo Social HASIM SUFIYANI</t>
  </si>
  <si>
    <t>Nómina mayo y ingresos banco</t>
  </si>
  <si>
    <t>X7430195E</t>
  </si>
  <si>
    <t>KONATE, MAHAMADOU</t>
  </si>
  <si>
    <t>C/ Camino Real, nº42</t>
  </si>
  <si>
    <t>04533</t>
  </si>
  <si>
    <t>Tramitación Renovación Residencia Larga Duración OUMAR KONATE</t>
  </si>
  <si>
    <t>049920230002791</t>
  </si>
  <si>
    <t>Tramitación Renovación Residencia Larga Duración SOULEMANE KONATE</t>
  </si>
  <si>
    <t>049920230002790</t>
  </si>
  <si>
    <t>franjenafrut@gmail.com</t>
  </si>
  <si>
    <t>Tramitación Renovación Autorización Residencia y Trabajo MOUSTAPHA SOUARE</t>
  </si>
  <si>
    <t>Z0997748J</t>
  </si>
  <si>
    <t>040020230016132</t>
  </si>
  <si>
    <t>FAVORABLE 07/07/2023</t>
  </si>
  <si>
    <t>OMAR MOUSSAOUI</t>
  </si>
  <si>
    <t>Av. Lepanto, nº 42, 1ºD</t>
  </si>
  <si>
    <t>049920230005527</t>
  </si>
  <si>
    <t>049920230006538</t>
  </si>
  <si>
    <t>34844154M</t>
  </si>
  <si>
    <t>C/ Barcelona, nº 41, 3º1</t>
  </si>
  <si>
    <t>Tramitación Arraigo Social FOUNEKE KEITA</t>
  </si>
  <si>
    <t>Le faltan muchas pruebas 2020 y 2021 pero han decidido presentar</t>
  </si>
  <si>
    <t>FAVORABLE 12/07/2023</t>
  </si>
  <si>
    <t>Z1016715M</t>
  </si>
  <si>
    <t>040020230016534</t>
  </si>
  <si>
    <t>77245221C</t>
  </si>
  <si>
    <t>DELIA EDITH OLMEDO VALENCIA</t>
  </si>
  <si>
    <t>C/ Rafael Calatrava, nº 11</t>
  </si>
  <si>
    <t>04004</t>
  </si>
  <si>
    <t>Tramitación Tarjeta Residencia Familiar Ciudadano UE DELLY MARIANELLA VALENCIA OLMEDO</t>
  </si>
  <si>
    <t>Tramitación Tarjeta Residencia Familiar Ciudadano UE RONALD FABRICIO RAMIREZ OLMEDO</t>
  </si>
  <si>
    <t>Tramitación Renovación Autorización Residencia y Trabajo STEPHEN KWEKU BOATENG</t>
  </si>
  <si>
    <t>049920230004340</t>
  </si>
  <si>
    <t>Tramitación CA Inicial WUKASHA YUSSIF BEDIAKO</t>
  </si>
  <si>
    <t>Z1021192C</t>
  </si>
  <si>
    <t>040020230016661</t>
  </si>
  <si>
    <t>Z0994227B</t>
  </si>
  <si>
    <t>180020230006665</t>
  </si>
  <si>
    <t>Y9319789L</t>
  </si>
  <si>
    <t>040020230016538</t>
  </si>
  <si>
    <t>Tramitación Arraigo Social ALDJOUMA MACALOU</t>
  </si>
  <si>
    <t>Z1018662C</t>
  </si>
  <si>
    <t>040020230016567</t>
  </si>
  <si>
    <t>Tramitación Arraigo Social ABDOURAHMANE GUEYE</t>
  </si>
  <si>
    <t>C/ Principe de Asturias, nº 59</t>
  </si>
  <si>
    <t>Tramitación Arraigo Social MAMADOU DABO DIOUF</t>
  </si>
  <si>
    <t>ABDERRAHIM CHAGHROUCHI</t>
  </si>
  <si>
    <t>Ctra. La Mojonera, nº 38</t>
  </si>
  <si>
    <t>Tramitación Arraigo Social ABDERRAHIM CHAGHROUCHI</t>
  </si>
  <si>
    <t>FAVORABLE 19/07/2023</t>
  </si>
  <si>
    <t>FAVORABLE 18/07/2023</t>
  </si>
  <si>
    <t>040020230017156</t>
  </si>
  <si>
    <t>040020230017148</t>
  </si>
  <si>
    <t>FAVORABLE 20/07/2023</t>
  </si>
  <si>
    <t>45592897C</t>
  </si>
  <si>
    <t>Av. Principe de Asturias, nº 59</t>
  </si>
  <si>
    <t>Tramitación CA Inicial MOHAMED ED-DAHHAB</t>
  </si>
  <si>
    <t>Tramitación Arraigo Social PATRICIA ADINKRA</t>
  </si>
  <si>
    <t>Tramitación Arraigo Social  JONES OSEI</t>
  </si>
  <si>
    <t>Tramitación Renovación Autorización Residencia y Trabajo IBRAHIMA NIANE</t>
  </si>
  <si>
    <t>049920230007234</t>
  </si>
  <si>
    <t>X5855494Q</t>
  </si>
  <si>
    <t>Z1040537E</t>
  </si>
  <si>
    <t>040020230017169</t>
  </si>
  <si>
    <t>Z1047460E</t>
  </si>
  <si>
    <t>040020230017303</t>
  </si>
  <si>
    <t>MIGUEL ANGEL LOPEZ GIMENEZ</t>
  </si>
  <si>
    <t>JESUS FERNANDEZ ACIEN</t>
  </si>
  <si>
    <t>FAVORABLE 25/07/2023</t>
  </si>
  <si>
    <t>049920230003980</t>
  </si>
  <si>
    <t>FAVORABLE 24/07/2023</t>
  </si>
  <si>
    <t>Z1052964Y</t>
  </si>
  <si>
    <t>040020230017419</t>
  </si>
  <si>
    <t>040020230016685</t>
  </si>
  <si>
    <t>040020230016760</t>
  </si>
  <si>
    <t>C/ Acequias, nº 22</t>
  </si>
  <si>
    <t>Tramitación Arraigo Social SALAH ESSAYAD</t>
  </si>
  <si>
    <t>Tramitación Renovación Autorización Residencia y Trabajo PAPA NDIONE</t>
  </si>
  <si>
    <t>Tramitación CA Inicial OUMOULAY JAMAL</t>
  </si>
  <si>
    <t>54832552T</t>
  </si>
  <si>
    <t>ANTHONY CHIKA IKEH IKEH</t>
  </si>
  <si>
    <t>C/ Alejandro Estrada, nº 29</t>
  </si>
  <si>
    <t>602 04 20 39</t>
  </si>
  <si>
    <t>Tramitación Tarjeta Residencia Familiar Ciudadano UE FRANCISCA IKEH CHIOMA</t>
  </si>
  <si>
    <t>Y6735865F</t>
  </si>
  <si>
    <t>YERLIS PETRONA SALGADO CHAMORRO</t>
  </si>
  <si>
    <t>C/ Alcazaba, nº 17, bj</t>
  </si>
  <si>
    <t>Tramitación Renovación Autorización Residencia y Trabajo YERLIS PETRONA SALGADO CHAMORRO</t>
  </si>
  <si>
    <t>78034551J</t>
  </si>
  <si>
    <t>LOPEZ FERNANDEZ, MARIA ANGELES</t>
  </si>
  <si>
    <t>C/ Fernando Sabater, nº 3</t>
  </si>
  <si>
    <t>Tramitación CA Inicial MAJDA NHIJI</t>
  </si>
  <si>
    <t>TASAS, matrimonio</t>
  </si>
  <si>
    <t>Z0036235S</t>
  </si>
  <si>
    <t>C/ Campoverde, nº 60, 4º2</t>
  </si>
  <si>
    <t>Tramitación Arraigo Social LOURDES JEANETH FLORES FLORES</t>
  </si>
  <si>
    <t>Tramitación Renovación Autorización Residencia y Trabajo RIDA AGHOULID</t>
  </si>
  <si>
    <t>Tramitación Arraigo Social VITALII KONOVALOV</t>
  </si>
  <si>
    <t>FAVORABLE 27/07/2023</t>
  </si>
  <si>
    <t>NO FAVORABLE 27/07/2023</t>
  </si>
  <si>
    <t>FAVORABLE 28/07/2023</t>
  </si>
  <si>
    <t>FAVORABLE 31/07/2023</t>
  </si>
  <si>
    <t>FAVORABLE 01/08/2023</t>
  </si>
  <si>
    <t>Z1069037W</t>
  </si>
  <si>
    <t>040020230017786</t>
  </si>
  <si>
    <t>Z1062053X</t>
  </si>
  <si>
    <t>040020230017645</t>
  </si>
  <si>
    <t>Z1076025K</t>
  </si>
  <si>
    <t>040020230017894</t>
  </si>
  <si>
    <t>Y7668977D</t>
  </si>
  <si>
    <t>C/ Las Copas, nº 8, 4ºB</t>
  </si>
  <si>
    <t>Tramitación Reagrupación Familiar SECKOU FALL</t>
  </si>
  <si>
    <t>Tasa, nomina, pasaporte reagrupante</t>
  </si>
  <si>
    <t>Tramitación Recurso Reposicion PEDRO JOAQUIM MENDES</t>
  </si>
  <si>
    <t>08909426P</t>
  </si>
  <si>
    <t>C/ Rio Duero, nº 12</t>
  </si>
  <si>
    <t>Tramitación CA Inicial RAJAE HAMOUDI</t>
  </si>
  <si>
    <t>Tramitación Arraigo Social FALLOU DIEDHIOU</t>
  </si>
  <si>
    <t>040020230012613</t>
  </si>
  <si>
    <t>Z1065918B</t>
  </si>
  <si>
    <t>040020230017806</t>
  </si>
  <si>
    <t>040020230017832</t>
  </si>
  <si>
    <t>Z1072538F</t>
  </si>
  <si>
    <t>040020230017712</t>
  </si>
  <si>
    <t>040020230017718</t>
  </si>
  <si>
    <t>040020230018024</t>
  </si>
  <si>
    <t>040020230018047</t>
  </si>
  <si>
    <t>Tramitación Reagrupación Familiar DIANA PATRICIA JIMENEZ MUÑOZ</t>
  </si>
  <si>
    <t>Tramitación Reagrupación Familiar ISAAC ECHEVERRI JIMENEZ</t>
  </si>
  <si>
    <t xml:space="preserve">Tasa, APOSTILLA MATRIMONIO </t>
  </si>
  <si>
    <t>FAVORABLE 08/08/2023</t>
  </si>
  <si>
    <t>FAVORABLE 03/08/2023</t>
  </si>
  <si>
    <t>Z1078046H</t>
  </si>
  <si>
    <t>040020230017968</t>
  </si>
  <si>
    <t>Z1075494L</t>
  </si>
  <si>
    <t>040020230017861</t>
  </si>
  <si>
    <t>Z1093159C</t>
  </si>
  <si>
    <t>040020230018312</t>
  </si>
  <si>
    <t>040020230018361</t>
  </si>
  <si>
    <t>FAVORABLE 02/08/2023</t>
  </si>
  <si>
    <t>FAVORABLE 07/08/2023</t>
  </si>
  <si>
    <t>Z1099900E</t>
  </si>
  <si>
    <t>040020230018393</t>
  </si>
  <si>
    <t>040020230018410</t>
  </si>
  <si>
    <t>040020230018408</t>
  </si>
  <si>
    <t>Y7471982D</t>
  </si>
  <si>
    <t>040020230018595</t>
  </si>
  <si>
    <t>Z1104784F</t>
  </si>
  <si>
    <t>040020230018523</t>
  </si>
  <si>
    <t>FAVORABLE 10/08/2023</t>
  </si>
  <si>
    <t>Tramitación Renovación Autorización Residencia y Trabajo BAKARY TOUNKARA</t>
  </si>
  <si>
    <t>C/ Canjayar, nº 7, 2ºA</t>
  </si>
  <si>
    <t>FAVORABLE 17/08/2023</t>
  </si>
  <si>
    <t>040020230010981</t>
  </si>
  <si>
    <t>C/ Jaén, nº 1</t>
  </si>
  <si>
    <t>Tramitación Arraigo Social ASSANE DIAW</t>
  </si>
  <si>
    <t>Z1080084D</t>
  </si>
  <si>
    <t>Tramitación Arraigo Social DABY DIAGOURAGA</t>
  </si>
  <si>
    <t>Y6789578S</t>
  </si>
  <si>
    <t>75237496B</t>
  </si>
  <si>
    <t>FERRER AGUIRRE, MIGUEL</t>
  </si>
  <si>
    <t>C/ Juan Almansa, nº 31, 4º J</t>
  </si>
  <si>
    <t>Tramitación Arraigo Social ALADJI CISSOKHO</t>
  </si>
  <si>
    <t>Tramitación CA Inicial ABDESSAMAD BERGOUNE</t>
  </si>
  <si>
    <t>Y9081763C</t>
  </si>
  <si>
    <t>SEYDI, BOUBACAR</t>
  </si>
  <si>
    <t>C/ America, nº 31, 1º I</t>
  </si>
  <si>
    <t>Tramitación Renovación Autorización Residencia y Trabajo BOUBACAR SEYDI</t>
  </si>
  <si>
    <t>049920230009033</t>
  </si>
  <si>
    <t>TASA 062</t>
  </si>
  <si>
    <t>NO FAVORABLE 11/08/2023</t>
  </si>
  <si>
    <t>FAVORABLE 22/08/2023</t>
  </si>
  <si>
    <t>53709422Y</t>
  </si>
  <si>
    <t>MORON SANCHEZ, JORGE PAUL</t>
  </si>
  <si>
    <t>C/ España, nº31</t>
  </si>
  <si>
    <t>Tramitación CA Inicial JALILA RAMDANI</t>
  </si>
  <si>
    <t>Tramitación Arraigo Social NOUREDDIN CHADLI</t>
  </si>
  <si>
    <t>INADMISIÓN A TRÁMITE 25/08/2023</t>
  </si>
  <si>
    <t xml:space="preserve">FLORES FLORES, LOURDES JEANETH </t>
  </si>
  <si>
    <t xml:space="preserve">MANZANO MALDONADO, ALEJANDRO </t>
  </si>
  <si>
    <t xml:space="preserve">KUPRYAKHINA, MARGARITA </t>
  </si>
  <si>
    <t xml:space="preserve">FALL, MOUSSA </t>
  </si>
  <si>
    <t xml:space="preserve">ACIEN FERNANDEZ, JESUS </t>
  </si>
  <si>
    <t xml:space="preserve">DIEDHIOU, FALLOU </t>
  </si>
  <si>
    <t xml:space="preserve">UCEDA ANTEQUERA, ILUMINADA </t>
  </si>
  <si>
    <t xml:space="preserve">DIAW, ASSANE </t>
  </si>
  <si>
    <t>Z1153020N</t>
  </si>
  <si>
    <t>040020230019537</t>
  </si>
  <si>
    <t>Z1154458R</t>
  </si>
  <si>
    <t>040020230019554</t>
  </si>
  <si>
    <t>X9620247Z</t>
  </si>
  <si>
    <t>040020230019517</t>
  </si>
  <si>
    <t>Y3418252Y</t>
  </si>
  <si>
    <t>Tramitación Renovación Autorización Residencia y Trabajo ABDELOUAHED EL MAATI</t>
  </si>
  <si>
    <t>049920230009434</t>
  </si>
  <si>
    <t>FAVORABLE 30/08/2023</t>
  </si>
  <si>
    <t>040020230019789</t>
  </si>
  <si>
    <t>Z0540675L</t>
  </si>
  <si>
    <t>040020230019799</t>
  </si>
  <si>
    <t>Tramitación Arraigo Familiar MAYCO ALEJANDRO CEDEÑO TERRY</t>
  </si>
  <si>
    <t>Y9573082J</t>
  </si>
  <si>
    <t>32027213N</t>
  </si>
  <si>
    <t>049920230003928</t>
  </si>
  <si>
    <t>FAVORABLE 04/09/2023</t>
  </si>
  <si>
    <t>X3133391D</t>
  </si>
  <si>
    <t>040020230019898</t>
  </si>
  <si>
    <t>Y9694419W</t>
  </si>
  <si>
    <t>JAMMEH, SIAKA</t>
  </si>
  <si>
    <t>Av. Luis Buñuel, nº132, BE-b-1</t>
  </si>
  <si>
    <t>Tramitación Renovación Autorización Residencia y Trabajo SIAKA JAMMEH</t>
  </si>
  <si>
    <t>049920230008156</t>
  </si>
  <si>
    <t>TOURAY, SAIKOU</t>
  </si>
  <si>
    <t>Av. De madrid, nº 51, 2º4</t>
  </si>
  <si>
    <t>Tramitación Renovación Autorización Residencia y Trabajo SAIKOU TOURAY</t>
  </si>
  <si>
    <t>049920230008699</t>
  </si>
  <si>
    <t xml:space="preserve">MORENO LOPEZ, ANTONIO </t>
  </si>
  <si>
    <t>049920230007809</t>
  </si>
  <si>
    <t>Y9619061S</t>
  </si>
  <si>
    <t>YOUSSEF EL KHACHANI</t>
  </si>
  <si>
    <t>C/ Cuatro Calles, nº 45</t>
  </si>
  <si>
    <t>Tramitación Reagrupación Familiar FATIMA ZAHRA MAZDOUF</t>
  </si>
  <si>
    <t>Tramitación Reagrupación Familiar SOLTANE EL KHACHANI</t>
  </si>
  <si>
    <t>FAVORABLE 29/08/2023</t>
  </si>
  <si>
    <t>FAVORABLE 06/09/2023</t>
  </si>
  <si>
    <t>040020230020093</t>
  </si>
  <si>
    <t>TORRES PIEDRA, JUAN JESUS</t>
  </si>
  <si>
    <t>Crta. Viator, nº 24</t>
  </si>
  <si>
    <t>Tramitación Arraigo Social EL MONTASSER AGHMIR</t>
  </si>
  <si>
    <t>X6721886K</t>
  </si>
  <si>
    <t>EL AADRAOUI, RACHID</t>
  </si>
  <si>
    <t>Cortijo Artalejo, nº 1</t>
  </si>
  <si>
    <t>Ruescas (Nijar)</t>
  </si>
  <si>
    <t>Tramitación CA Inicial IKRAM ABAHRI</t>
  </si>
  <si>
    <t>: rachidelaadraoui1@gmail.com</t>
  </si>
  <si>
    <t xml:space="preserve">Tramitación Renovación Autorización Residencia y Trabajo HICHAM M'KHANTAR </t>
  </si>
  <si>
    <t>Tramitación Renovación Autorización Residencia y Trabajo ISSA CISSÉ</t>
  </si>
  <si>
    <t>049920230008744</t>
  </si>
  <si>
    <t>Y8945805S</t>
  </si>
  <si>
    <t>MAMADOU SY</t>
  </si>
  <si>
    <t>C/ Regimiento de la corona, nº 2, 2ºB</t>
  </si>
  <si>
    <t>Tramitación Renovación Autorización Residencia y Trabajo MAMADOU SY</t>
  </si>
  <si>
    <t>FAVORABLE 01/09/2023</t>
  </si>
  <si>
    <t>040020230020311</t>
  </si>
  <si>
    <t>040020230019953</t>
  </si>
  <si>
    <t>Z1188699H</t>
  </si>
  <si>
    <t>040020230020191</t>
  </si>
  <si>
    <t>FAVORABLE 08/09/2023</t>
  </si>
  <si>
    <t>FAVORABLE 12/09/2023</t>
  </si>
  <si>
    <t>Tramitación CA Inicial SISA PACARI ANDRADE JAPON</t>
  </si>
  <si>
    <t>Tramitación Arraigo Social HAKIMA ECHCHAHED</t>
  </si>
  <si>
    <t>Tramitación CA Inicial ZAHRA JIOUAK</t>
  </si>
  <si>
    <t>Tramitación Arraigo Familiar  DELLY MARIANELLA VALENCIA OLMEDO</t>
  </si>
  <si>
    <t>Tramitación Arraigo Familiar  RONALD FABRICIO RAMIREZ OLMEDO</t>
  </si>
  <si>
    <t>Tramitación Renovación Autorización Residencia y Trabajo ASSANE FALL</t>
  </si>
  <si>
    <t>049920230009209</t>
  </si>
  <si>
    <t>Tramitación Renovación Autorización Residencia y Trabajo YOUSSEF EL KHACHANI</t>
  </si>
  <si>
    <t>049920230008263</t>
  </si>
  <si>
    <t>75258890S</t>
  </si>
  <si>
    <t>Ctra. Loma cabrera, edif. Cualitas, nº 4, atico</t>
  </si>
  <si>
    <t>Tramitación Renovación Autorización Residencia y Trabajo KWASI FRIMPONG</t>
  </si>
  <si>
    <t>Y8520176R</t>
  </si>
  <si>
    <t>049920230008414</t>
  </si>
  <si>
    <t>53708815C</t>
  </si>
  <si>
    <t>LOPEZ GARCIA, ALBERTO</t>
  </si>
  <si>
    <t xml:space="preserve">DEL PINO PICO, ANTONIO </t>
  </si>
  <si>
    <t xml:space="preserve">RODRIGUEZ RODRIGUEZ, ANTONIO </t>
  </si>
  <si>
    <t xml:space="preserve">RODRIGUEZ RUIZ, PEDRO M. </t>
  </si>
  <si>
    <t xml:space="preserve">MARTINEZ HERNANDEZ, ANGELES DEL CARMEN </t>
  </si>
  <si>
    <t>C/ Plaza Tajillo, nº 5</t>
  </si>
  <si>
    <t>Tramitación CA Inicial MOHAMMED ZARRAA</t>
  </si>
  <si>
    <t>Z1208970A</t>
  </si>
  <si>
    <t>040020230020466</t>
  </si>
  <si>
    <t>SOULEYMANE DIEDHIOU</t>
  </si>
  <si>
    <t>C/ Medina Alfahar, nº 20, bj-a</t>
  </si>
  <si>
    <t>Tramitación Renovación Autorización Residencia y Trabajo SOULEYMANE DIEDHIOU</t>
  </si>
  <si>
    <t>049920230010429</t>
  </si>
  <si>
    <t>FAVORABLE 11/09/2023</t>
  </si>
  <si>
    <t>NO FAVORABLE 12/09/2023</t>
  </si>
  <si>
    <t>040020230020438</t>
  </si>
  <si>
    <t>Z1203598J</t>
  </si>
  <si>
    <t>040020230020384</t>
  </si>
  <si>
    <t>FAVORABLE 15/09/2023</t>
  </si>
  <si>
    <t>Z1202737A</t>
  </si>
  <si>
    <t>040020230020383</t>
  </si>
  <si>
    <t>Z1202313Q</t>
  </si>
  <si>
    <t>040020230020377</t>
  </si>
  <si>
    <t>C/ Beires nº 8</t>
  </si>
  <si>
    <t>Tramitación CA Inicial HAYAT BAIDI</t>
  </si>
  <si>
    <t>Tramitación Renovación Autorización Residencia y Trabajo YASSINE BITOU</t>
  </si>
  <si>
    <t>049920230007298</t>
  </si>
  <si>
    <t>Tramitación Renovación Autorización Residencia y Trabajo SIDI MOHAMMAD ERIC GUIBLEWEOGO</t>
  </si>
  <si>
    <t>049920230008042</t>
  </si>
  <si>
    <t>X8783146K</t>
  </si>
  <si>
    <t>ABDELHADI ABOUNNAIM</t>
  </si>
  <si>
    <t>Av. Constitución, nº 189</t>
  </si>
  <si>
    <t>Tramitación CA Inicial SIHAM SOUBHI</t>
  </si>
  <si>
    <t>Y4595070Y</t>
  </si>
  <si>
    <t>Y9557033H</t>
  </si>
  <si>
    <t>Tramitación CA Inicial NOUHAILA LABRIGUI</t>
  </si>
  <si>
    <t>Y6174862C</t>
  </si>
  <si>
    <t>040020230020699</t>
  </si>
  <si>
    <t>Y9538968P</t>
  </si>
  <si>
    <t>040020230020644</t>
  </si>
  <si>
    <t>Z1216610F</t>
  </si>
  <si>
    <t>040020230020625</t>
  </si>
  <si>
    <t>Z1025093B</t>
  </si>
  <si>
    <t>Tramitación CA Inicial FATNA EL KASBY</t>
  </si>
  <si>
    <t>040020230020830</t>
  </si>
  <si>
    <t>040020230020827</t>
  </si>
  <si>
    <t>FAVORABLE 19/09/2023</t>
  </si>
  <si>
    <t>SANCHEZ RODRIGUEZ, RAMON ESTEBAN</t>
  </si>
  <si>
    <t xml:space="preserve">Cortijo El Panadero, nº 22 </t>
  </si>
  <si>
    <t>Tramitación Renovación Autorización Residencia y Trabajo RAMON ESTEBAN SANCHEZ RODRIGUEZ</t>
  </si>
  <si>
    <t>049920230010991</t>
  </si>
  <si>
    <t>C/ Del Aire, nº 5, 3 A</t>
  </si>
  <si>
    <t>30860</t>
  </si>
  <si>
    <t>Puerto de Mazarrón</t>
  </si>
  <si>
    <t>Tramitación CA Inicial IBRAHIMA FALL</t>
  </si>
  <si>
    <t>FALL, SIDY BOUYA</t>
  </si>
  <si>
    <t>Y2274465D</t>
  </si>
  <si>
    <t>FAVORABLE 22/09/2023</t>
  </si>
  <si>
    <t>040020230020820</t>
  </si>
  <si>
    <t>Z1227868H</t>
  </si>
  <si>
    <t>040020230020870</t>
  </si>
  <si>
    <t>Y4864543B</t>
  </si>
  <si>
    <t>040020230020772</t>
  </si>
  <si>
    <t>FAVORABLE 21/09/2023</t>
  </si>
  <si>
    <t>Entinas Park, S.L.</t>
  </si>
  <si>
    <t>laboral.smi@gmail.com</t>
  </si>
  <si>
    <t>Tramitación Renovación Residencia Larga Duración AMINATA JABBIE</t>
  </si>
  <si>
    <t>Z0084472K</t>
  </si>
  <si>
    <t>ABDERRAZAK ELFAIZ</t>
  </si>
  <si>
    <t>Tramitación Renovación Autorización Residencia y Trabajo ABDERRAZAK ELFAIZ</t>
  </si>
  <si>
    <t>049920230010934</t>
  </si>
  <si>
    <t>FAVORABLE 26/09/2023</t>
  </si>
  <si>
    <t>Z1245421E</t>
  </si>
  <si>
    <t>040020230021210</t>
  </si>
  <si>
    <t>040020230021082</t>
  </si>
  <si>
    <t>E04421327</t>
  </si>
  <si>
    <t>PACUAL BERENGUEL, CB</t>
  </si>
  <si>
    <t>Camino los sifones, SN</t>
  </si>
  <si>
    <t>Tramitación Arraigo Social derivada de arraigo formación YASSINE EL ASSRI</t>
  </si>
  <si>
    <t>Y4547026D</t>
  </si>
  <si>
    <t>Cortijo Los Granainos, 0</t>
  </si>
  <si>
    <t>Tramitación CA Inicial SOULEYMANE TRAORE</t>
  </si>
  <si>
    <t>VALDEZ PEÑA, MARILYN</t>
  </si>
  <si>
    <t>Ctra. San José, nº 261, 3º</t>
  </si>
  <si>
    <t>Tramitación Renovación Autorización Residencia y Trabajo MARILYN VALDEZ PEÑA</t>
  </si>
  <si>
    <t>049920230011477</t>
  </si>
  <si>
    <t>049920230010571</t>
  </si>
  <si>
    <t>Tramitación CA Inicial SAFAA CHARRADI</t>
  </si>
  <si>
    <t xml:space="preserve"> Tramitación Renovación Autorización Residencia y Trabajo WIDADE EL GUARMAT</t>
  </si>
  <si>
    <t>049920230011256</t>
  </si>
  <si>
    <t>natursur</t>
  </si>
  <si>
    <t>Tramitación Arraigo Social MOHAMED ALANTI</t>
  </si>
  <si>
    <t>040020230021481</t>
  </si>
  <si>
    <t>Z1262598H</t>
  </si>
  <si>
    <t>040020230021613</t>
  </si>
  <si>
    <t>FAVORABLE 28/09/2023</t>
  </si>
  <si>
    <t>54103227M</t>
  </si>
  <si>
    <t>RUBI ALFEREZ, IVAN CESAREO</t>
  </si>
  <si>
    <t>C/ Moya, nº 7</t>
  </si>
  <si>
    <t>Tramitación Arraigo Social LAHCEN LAHRACHE</t>
  </si>
  <si>
    <t>Z1266940J</t>
  </si>
  <si>
    <t>040020230021757</t>
  </si>
  <si>
    <t>FAVORABLE 29/09/2023</t>
  </si>
  <si>
    <t>Y6517570M</t>
  </si>
  <si>
    <t>OURKIA, MOHAMMED</t>
  </si>
  <si>
    <t>Tramitación Renovación Autorización Residencia y Trabajo MOHAMMED OURKIA</t>
  </si>
  <si>
    <t>049920230009885</t>
  </si>
  <si>
    <t>B04874434</t>
  </si>
  <si>
    <t>CULTIVOS BARBERO, SL</t>
  </si>
  <si>
    <t>C/Romanilla, nº 68</t>
  </si>
  <si>
    <t>mmcano@cohorsan.com</t>
  </si>
  <si>
    <t>Tramitación Arraigo Social IBRAHIMA JARJU</t>
  </si>
  <si>
    <t>Contigente</t>
  </si>
  <si>
    <r>
      <t xml:space="preserve">Tramitación Contingente 2023 </t>
    </r>
    <r>
      <rPr>
        <b/>
        <sz val="11"/>
        <rFont val="Calibri"/>
        <family val="2"/>
      </rPr>
      <t>NAOUAL EL HINDI</t>
    </r>
  </si>
  <si>
    <r>
      <t xml:space="preserve">Tramitación Contingente 2023 </t>
    </r>
    <r>
      <rPr>
        <b/>
        <sz val="11"/>
        <rFont val="Calibri"/>
        <family val="2"/>
      </rPr>
      <t>RACHIDA CHOUARI</t>
    </r>
  </si>
  <si>
    <r>
      <t xml:space="preserve">Tramitación Contingente 2023 </t>
    </r>
    <r>
      <rPr>
        <b/>
        <sz val="11"/>
        <rFont val="Calibri"/>
        <family val="2"/>
      </rPr>
      <t>FATNA REBBAA</t>
    </r>
  </si>
  <si>
    <r>
      <t xml:space="preserve">Tramitación Contingente 2023 </t>
    </r>
    <r>
      <rPr>
        <b/>
        <sz val="11"/>
        <rFont val="Calibri"/>
        <family val="2"/>
      </rPr>
      <t>FATIMA EL KAFAZ</t>
    </r>
  </si>
  <si>
    <r>
      <t>Tramitación Contingente 2023</t>
    </r>
    <r>
      <rPr>
        <b/>
        <sz val="11"/>
        <rFont val="Calibri"/>
        <family val="2"/>
      </rPr>
      <t xml:space="preserve"> SAIDA BENHADI</t>
    </r>
  </si>
  <si>
    <r>
      <t>Tramitación Contingente 2023</t>
    </r>
    <r>
      <rPr>
        <b/>
        <sz val="11"/>
        <rFont val="Calibri"/>
        <family val="2"/>
      </rPr>
      <t xml:space="preserve"> ZOHRA EL HAJAMI</t>
    </r>
  </si>
  <si>
    <r>
      <t xml:space="preserve">Tramitación Contingente 2023 </t>
    </r>
    <r>
      <rPr>
        <b/>
        <sz val="11"/>
        <rFont val="Calibri"/>
        <family val="2"/>
      </rPr>
      <t>SOUAD BAKHADA</t>
    </r>
  </si>
  <si>
    <r>
      <t>Tramitación Contingente 2023</t>
    </r>
    <r>
      <rPr>
        <b/>
        <sz val="11"/>
        <rFont val="Calibri"/>
        <family val="2"/>
      </rPr>
      <t xml:space="preserve"> FATIMA OULD KAH</t>
    </r>
  </si>
  <si>
    <r>
      <t xml:space="preserve">Tramitación Contingente 2023 </t>
    </r>
    <r>
      <rPr>
        <b/>
        <sz val="11"/>
        <rFont val="Calibri"/>
        <family val="2"/>
      </rPr>
      <t xml:space="preserve">GHIZLANE ERRAI </t>
    </r>
  </si>
  <si>
    <t>NO FAVORABLE 22/08/2023</t>
  </si>
  <si>
    <t>NO FAVORABLE 26/09/2023</t>
  </si>
  <si>
    <t>Tramitación CA Inicial ABDUL WALIYU ADAMS</t>
  </si>
  <si>
    <t>X2953318A</t>
  </si>
  <si>
    <t>ALLDER, SUSAN LINDA</t>
  </si>
  <si>
    <t>Paraje El Rincón, nº 3 be</t>
  </si>
  <si>
    <t>04274</t>
  </si>
  <si>
    <t>Tramitación tarjeta Brexit SUSAN LINDA ALLDER</t>
  </si>
  <si>
    <t>Tramitación Renovación Autorización Residencia y Trabajo BAFING DIARRA</t>
  </si>
  <si>
    <t>049920230011358</t>
  </si>
  <si>
    <t>Tramitación Renovación Autorización Residencia y Trabajo Julián Echeverri</t>
  </si>
  <si>
    <t>049920230010193</t>
  </si>
  <si>
    <t>Y8316820B</t>
  </si>
  <si>
    <t>MALICK NDONG</t>
  </si>
  <si>
    <t>C/ Rio tajo, nº 6, 2º DR</t>
  </si>
  <si>
    <t>Tramitación Renovación Autorización Residencia y Trabajo MALICK NDONG</t>
  </si>
  <si>
    <t>049920230011625</t>
  </si>
  <si>
    <t>FAVORABLE 04/10/2023</t>
  </si>
  <si>
    <t>FAVORABLE 03/10/2023</t>
  </si>
  <si>
    <t>FAVORABLE 02/10/2023</t>
  </si>
  <si>
    <t>Y9198535K</t>
  </si>
  <si>
    <t>040020230021942</t>
  </si>
  <si>
    <t>Y8246948J</t>
  </si>
  <si>
    <t>040020230021933</t>
  </si>
  <si>
    <t>Z1282488J</t>
  </si>
  <si>
    <t>040020230022160</t>
  </si>
  <si>
    <t>FAVORABLE 06/10/2023</t>
  </si>
  <si>
    <t>X1995819V</t>
  </si>
  <si>
    <t xml:space="preserve">LAN MEI, ZHU </t>
  </si>
  <si>
    <t>C/ Bayarcal, nº 83, 3º D1</t>
  </si>
  <si>
    <t>Tramitación Huella ZHU LAN MEI</t>
  </si>
  <si>
    <t>SHAOGU, HU</t>
  </si>
  <si>
    <t>Tramitación Huella HU SHAOGU</t>
  </si>
  <si>
    <t>Tramitación CA Inicial ABDEL-ELLAH HAJJOU</t>
  </si>
  <si>
    <t>Sánchez Moreno Inversiones, SL</t>
  </si>
  <si>
    <t>Tramitación Arraigo Social ABDOULAYE FOFANA</t>
  </si>
  <si>
    <t>Y3894137K</t>
  </si>
  <si>
    <t>Pruebas movimientos bancarios??</t>
  </si>
  <si>
    <t>Y9797433E</t>
  </si>
  <si>
    <t>KHADRY SOLLY</t>
  </si>
  <si>
    <t>Avda. Martinez Campos, nº 12, 4º C</t>
  </si>
  <si>
    <t>30820</t>
  </si>
  <si>
    <t>Alcantarilla - Murcia</t>
  </si>
  <si>
    <t>Tramitación Renovación Autorización Residencia y Trabajo KHADRY SOLLY</t>
  </si>
  <si>
    <t>309920230010777</t>
  </si>
  <si>
    <t>77154662N</t>
  </si>
  <si>
    <t>NIETO MILAN, ANTONIO</t>
  </si>
  <si>
    <t>C/ Barranco, nº 6</t>
  </si>
  <si>
    <t xml:space="preserve">Tramitación Arraigo Social KYERE OPPONG </t>
  </si>
  <si>
    <t>Tasa, traduccion</t>
  </si>
  <si>
    <t>Z1288446Z</t>
  </si>
  <si>
    <t>040020230022300</t>
  </si>
  <si>
    <t>FAVORABLE 10/10/2023</t>
  </si>
  <si>
    <t>300020230023476</t>
  </si>
  <si>
    <t>040020230021998</t>
  </si>
  <si>
    <t>Z1249859K</t>
  </si>
  <si>
    <t>Tramitación CA Inicial MOUHAMED FALL</t>
  </si>
  <si>
    <t>300020230023500</t>
  </si>
  <si>
    <t>Z1250221S</t>
  </si>
  <si>
    <t>Tramitación Renovación Residencia Larga Duración BELLA BAH</t>
  </si>
  <si>
    <t>049920230010421</t>
  </si>
  <si>
    <t>Tramitación Arraigo Social ABDUL KARIM</t>
  </si>
  <si>
    <t>Z0550735M</t>
  </si>
  <si>
    <t>040020230022755</t>
  </si>
  <si>
    <t>040020230022910</t>
  </si>
  <si>
    <t>Tramitación Renovación Autorización Residencia y Trabajo HICHAM TAICHI</t>
  </si>
  <si>
    <t>049920230012107</t>
  </si>
  <si>
    <t>Tramitación Renovación Autorización Residencia y Trabajo  SEKOUBA DIABY</t>
  </si>
  <si>
    <t>049920230011632</t>
  </si>
  <si>
    <t>27265087J</t>
  </si>
  <si>
    <t>FRANCISCA MAYORAL BERENGUEL</t>
  </si>
  <si>
    <t>Ctra. Los Sifones, nº 10</t>
  </si>
  <si>
    <t>Y8430414P</t>
  </si>
  <si>
    <t>Z1320994V</t>
  </si>
  <si>
    <t>040020230023088</t>
  </si>
  <si>
    <t>Y7633737M</t>
  </si>
  <si>
    <t>BOUJIDA, BILAL</t>
  </si>
  <si>
    <t>C/ Santuario, nº 17, 2ºA</t>
  </si>
  <si>
    <t>Tramitación Renovación Autorización Residencia y Trabajo  BILAL BOUJIDA</t>
  </si>
  <si>
    <t>049920230011052</t>
  </si>
  <si>
    <t>FAVORABLE 17/10/2023</t>
  </si>
  <si>
    <t>Z1329869Z</t>
  </si>
  <si>
    <t>040020230023335</t>
  </si>
  <si>
    <t>Tramitación Arraigo Social derivada de arraigo formación OUSSAMA TAQI</t>
  </si>
  <si>
    <t>040020230023608</t>
  </si>
  <si>
    <t>Requerimiento Empadronamiento</t>
  </si>
  <si>
    <t>Tramitación CA Inicial YASMEIRY ROBLES SANTOS</t>
  </si>
  <si>
    <t>Tramitación CA Inicial KHALID EL HARRATH</t>
  </si>
  <si>
    <t>Tramitación Renovación Autorización Residencia y Trabajo  ADAMA CAMARA</t>
  </si>
  <si>
    <t>Y9269425W</t>
  </si>
  <si>
    <t>Tramitación Renovación Autorización Residencia y Trabajo MEDOUNE DIOP</t>
  </si>
  <si>
    <t>049920230010299</t>
  </si>
  <si>
    <t>FAVORABLE 24/10/2023</t>
  </si>
  <si>
    <t>FAVORABLE 20/10/2023</t>
  </si>
  <si>
    <t>Z1349567R</t>
  </si>
  <si>
    <t>040020230023813</t>
  </si>
  <si>
    <t>Z1349845A</t>
  </si>
  <si>
    <t>040020230023819</t>
  </si>
  <si>
    <t>LAMIN CEESAY</t>
  </si>
  <si>
    <t>C/ Molina, nº 108</t>
  </si>
  <si>
    <t>Tramitación Arraigo Social LAMIN CEESAY</t>
  </si>
  <si>
    <t>FACTURA Y TASA PAGADA</t>
  </si>
  <si>
    <t>Y7647442W</t>
  </si>
  <si>
    <t>Carril Cortijo El Millon</t>
  </si>
  <si>
    <t>Tramitación Arraigo Social HAMZA ZANNE</t>
  </si>
  <si>
    <t xml:space="preserve">ZANNE, HAMZA </t>
  </si>
  <si>
    <t>Z0185851Q</t>
  </si>
  <si>
    <t>DEYVID ADIN POMA SANTIAGO</t>
  </si>
  <si>
    <t>Paraje Aznares, km 3, nº 5, 6</t>
  </si>
  <si>
    <t>04647</t>
  </si>
  <si>
    <t>Tramitación Arraigo Social derivada de arraigo formación DEYVID ADIN POMA SANTIAGO</t>
  </si>
  <si>
    <t>FAVORABLE 18/10/2023</t>
  </si>
  <si>
    <t>Tramitación CA Inicial SAID AZAROUAL</t>
  </si>
  <si>
    <t>X0831238H</t>
  </si>
  <si>
    <t>TASAS, contrato trabajo</t>
  </si>
  <si>
    <t>FAVORABLE 25/10/2023</t>
  </si>
  <si>
    <t>FAVORABLE 31/10/2023</t>
  </si>
  <si>
    <t>Z1369319L</t>
  </si>
  <si>
    <t>FAVORABLE 02/11/2023</t>
  </si>
  <si>
    <t>contrato arrend.</t>
  </si>
  <si>
    <t>X7265911G</t>
  </si>
  <si>
    <t>040020230024436</t>
  </si>
  <si>
    <t>040020230024411</t>
  </si>
  <si>
    <t>040020230024558</t>
  </si>
  <si>
    <t>Z1373759C</t>
  </si>
  <si>
    <t>040020230024566</t>
  </si>
  <si>
    <t>040020230024916</t>
  </si>
  <si>
    <t>Tramitación Huella SALAH EDDINE OMRANE</t>
  </si>
  <si>
    <t>Z0808388N</t>
  </si>
  <si>
    <t>Bioline</t>
  </si>
  <si>
    <t>BIOLINE IBERIA, SL</t>
  </si>
  <si>
    <t>C/ Bremen, nº 2</t>
  </si>
  <si>
    <t>Mmartin@biolineagrosciences.com</t>
  </si>
  <si>
    <t>Tramitación CA Inicial MEHDI BOHLOOLZADEH</t>
  </si>
  <si>
    <t>Y4341119K</t>
  </si>
  <si>
    <t>Tasas e IVA 2022</t>
  </si>
  <si>
    <t>Tramitación Renovación Autorización Residencia y Trabajo MOURAD TACHALLAIT</t>
  </si>
  <si>
    <t>049920230012461</t>
  </si>
  <si>
    <t>Tramitación Renovación Autorización Residencia y Trabajo KHALIL BKIR</t>
  </si>
  <si>
    <t>049920230012007</t>
  </si>
  <si>
    <t>049920230010911</t>
  </si>
  <si>
    <t>SELLAM HAMITI</t>
  </si>
  <si>
    <t>C/ Clavel, nº 3</t>
  </si>
  <si>
    <t>Tramitación Renovación Autorización Residencia y Trabajo SELLAM HAMITI</t>
  </si>
  <si>
    <t>049920230012459</t>
  </si>
  <si>
    <t>Tramitación Reagrupación Familiar ROKIA DEMBELE</t>
  </si>
  <si>
    <t>Tramitación Reagrupación Familiar DIAGUI KONATE</t>
  </si>
  <si>
    <t>Tramitación CA Inicial SI MOHAMED EL FIKRI</t>
  </si>
  <si>
    <t>27270734W</t>
  </si>
  <si>
    <t>DOLORES MERCADER LOPEZ</t>
  </si>
  <si>
    <t>C/ San Antonio, nº 46</t>
  </si>
  <si>
    <t>Tramitación Arraigo Social MAGUETTE DIEYE SENE</t>
  </si>
  <si>
    <t>Tramitación Arraigo Social SOUFIANE EL MZABI</t>
  </si>
  <si>
    <t>Abril, Mayo, Junio de 2021 // Marzo, Abril, Mayo, Junio de 2022</t>
  </si>
  <si>
    <t>ANSOUMANA DIEME</t>
  </si>
  <si>
    <t>C/ China, nº1, 5º4</t>
  </si>
  <si>
    <t>Tramitación Arraigo Social ANSOUMANA DIEME</t>
  </si>
  <si>
    <t>IBRAHIMA NDOUR</t>
  </si>
  <si>
    <t>Av. Del Genil, nº 43, 2ºK</t>
  </si>
  <si>
    <t>Tramitación Arraigo Social IBRAHIMA NDOUR</t>
  </si>
  <si>
    <t>B04899696</t>
  </si>
  <si>
    <t>JASPER FRUIT, SL</t>
  </si>
  <si>
    <t>Bulevar de El Ejido, nº 369</t>
  </si>
  <si>
    <t>Tramitación CA Inicial OMAIMA EL AFFANI</t>
  </si>
  <si>
    <t>NO FAVORABLE 07/11/2023</t>
  </si>
  <si>
    <t>Tramitación Renovación Autorización Residencia y Trabajo MAMADOU MANSOUR DIEME</t>
  </si>
  <si>
    <t>049920230013057</t>
  </si>
  <si>
    <t>FAVORABLE 03/11/2023</t>
  </si>
  <si>
    <t>FAVORABLE 08/11/2023</t>
  </si>
  <si>
    <t>FAVORABLE 07/11/2023</t>
  </si>
  <si>
    <t>FAVORABLE 10/11/2023</t>
  </si>
  <si>
    <t>FAVORABLE 09/11/2023</t>
  </si>
  <si>
    <t>FAVORABLE 13/11/2023</t>
  </si>
  <si>
    <t>040020230025683</t>
  </si>
  <si>
    <t>040020230025720</t>
  </si>
  <si>
    <t>Tramitación Arraigo Social FALLOU NGOM</t>
  </si>
  <si>
    <t>45586920T</t>
  </si>
  <si>
    <t>GALDEANO ENRIQUE, GONZALO</t>
  </si>
  <si>
    <t>C/ Sacramento, nº 2</t>
  </si>
  <si>
    <t>Tramitación Arraigo Social ALIOU DIOUF</t>
  </si>
  <si>
    <t>08909150P</t>
  </si>
  <si>
    <t>MALDONADO RODRIGUEZ, ANTONIO</t>
  </si>
  <si>
    <t>Paraje Cabriles</t>
  </si>
  <si>
    <t>Tramitación Escrito FATIMA EZZAHRAE EL MALYH</t>
  </si>
  <si>
    <t>78121508F</t>
  </si>
  <si>
    <t>CLAUDIA GONZALEZ SANCHEZ</t>
  </si>
  <si>
    <t>C/ Juego del mediterraneo, nº 4, BA, E</t>
  </si>
  <si>
    <t>Tramitación Arraigo Social ABDELATI EL OUATTAJI</t>
  </si>
  <si>
    <t>Z0755771L</t>
  </si>
  <si>
    <t>040020230025848</t>
  </si>
  <si>
    <t>Z1419314N</t>
  </si>
  <si>
    <t>040020230025842</t>
  </si>
  <si>
    <t>Z1419566B</t>
  </si>
  <si>
    <t>040020230025847</t>
  </si>
  <si>
    <t>040020230025999</t>
  </si>
  <si>
    <t>Z1429651E</t>
  </si>
  <si>
    <t>040020230026106</t>
  </si>
  <si>
    <t>Z1421279E</t>
  </si>
  <si>
    <t>040020230025882</t>
  </si>
  <si>
    <t>040020230025875</t>
  </si>
  <si>
    <t>FAVORABLE 14/11/2023</t>
  </si>
  <si>
    <t>FAVORABLE 15/11/2023</t>
  </si>
  <si>
    <t>049920230010246</t>
  </si>
  <si>
    <t>Z1426695X</t>
  </si>
  <si>
    <t>040020230026047</t>
  </si>
  <si>
    <t>Z1426874M</t>
  </si>
  <si>
    <t>040020230026060</t>
  </si>
  <si>
    <t>Y6756101A</t>
  </si>
  <si>
    <t>MARC NESTOR LEPOIVRE</t>
  </si>
  <si>
    <t>Paraje Oro Verde, nº 10 BE 1</t>
  </si>
  <si>
    <t>Tramitación certificado comunitario MARC NESTOR LEPOIVRE y MARIE LOUIS FAVERIAU</t>
  </si>
  <si>
    <t>BABACAR DIOUF</t>
  </si>
  <si>
    <t>Barriada Los Morenos</t>
  </si>
  <si>
    <t>Tramitación Arraigo Social BABACAR DIOUF</t>
  </si>
  <si>
    <t>MUSA BAH</t>
  </si>
  <si>
    <t>C/ DR. JUAN BRAVO, nº7, 1ºE</t>
  </si>
  <si>
    <t>Tramitación Arraigo Social MUSA BAH</t>
  </si>
  <si>
    <t>C/ Mirasol, nº 34</t>
  </si>
  <si>
    <t>Tramitación CA Inicial FATIMA EL MIRRAOUY</t>
  </si>
  <si>
    <t>Avda. Albuñol, 42</t>
  </si>
  <si>
    <t>Tramitación Arraigo Social MUSTAPHA ECH-CHAYEB</t>
  </si>
  <si>
    <t>Tramitación CA Inicial HASSAN TAMYM</t>
  </si>
  <si>
    <t>B04388005</t>
  </si>
  <si>
    <t>SALGISA 5, SL</t>
  </si>
  <si>
    <t>Pasaje Llano de Salvadora, nº 20</t>
  </si>
  <si>
    <t>Tramitación Arraigo Social ABIB MBAYE</t>
  </si>
  <si>
    <t>Tramitación Arraigo Social ABDELLATIF RAMZ</t>
  </si>
  <si>
    <t>Tramitación CA Inicial CECILIA BEIBO</t>
  </si>
  <si>
    <t>TASAS, DNI y certificado completo</t>
  </si>
  <si>
    <t>Tramitación Renovación Autorización Residencia y Trabajo DIAGUINE DIALLO</t>
  </si>
  <si>
    <t>049920230012929</t>
  </si>
  <si>
    <t>040020230025793</t>
  </si>
  <si>
    <t>Tramitación CA Inicial MOMODOU LAMIN GIKINEH</t>
  </si>
  <si>
    <t>TASAS, Contrato rectificado</t>
  </si>
  <si>
    <t>Y8298862Q</t>
  </si>
  <si>
    <t>040020230026232</t>
  </si>
  <si>
    <t>Y9862310Q</t>
  </si>
  <si>
    <t>040020230026238</t>
  </si>
  <si>
    <t>FAVORABLE 17/11/2023</t>
  </si>
  <si>
    <t>Tramitación Renovación Tarjeta Residencia Familiar Ciudadano UE FLOR DE MARIA PEREZ MEDINA</t>
  </si>
  <si>
    <t>Y6680475R</t>
  </si>
  <si>
    <t>049920230007601</t>
  </si>
  <si>
    <t>Z1443498T</t>
  </si>
  <si>
    <t>040020230026488</t>
  </si>
  <si>
    <t>Y8311802F</t>
  </si>
  <si>
    <t>040020230026347</t>
  </si>
  <si>
    <t>040020230026281</t>
  </si>
  <si>
    <t>FAVORABLE 16/11/2023</t>
  </si>
  <si>
    <t>Y8337307M</t>
  </si>
  <si>
    <t>040020230026508</t>
  </si>
  <si>
    <t>Y8352640C</t>
  </si>
  <si>
    <t>040020230026509</t>
  </si>
  <si>
    <t>54199457A</t>
  </si>
  <si>
    <t>LOPEZ MARTIN, ADRIAN</t>
  </si>
  <si>
    <t>Tramitación Arraigo Social MOUSSA SY</t>
  </si>
  <si>
    <t>Z1444041Z</t>
  </si>
  <si>
    <t>040020230026505</t>
  </si>
  <si>
    <t>Z1443663G</t>
  </si>
  <si>
    <t>040020230026495</t>
  </si>
  <si>
    <t>Z1443790Q</t>
  </si>
  <si>
    <t>040020230026498</t>
  </si>
  <si>
    <t>Z1444501Z</t>
  </si>
  <si>
    <t>040020230026515</t>
  </si>
  <si>
    <t>Z1449221L</t>
  </si>
  <si>
    <t>040020230026652</t>
  </si>
  <si>
    <t>Y9139869M</t>
  </si>
  <si>
    <t>040020230026499</t>
  </si>
  <si>
    <t>040020230026562</t>
  </si>
  <si>
    <t>FAVORABLE 20/11/2023</t>
  </si>
  <si>
    <t>ABDOU AZIZ DIEDHIOU</t>
  </si>
  <si>
    <t>Tramitación Arraigo Social ABDOU AZIZ DIEDHIOU</t>
  </si>
  <si>
    <t>Tasa, LEGALIZAR PENALES</t>
  </si>
  <si>
    <t>FUSENI ADAMS</t>
  </si>
  <si>
    <t>Av. Alcantarilla</t>
  </si>
  <si>
    <t>30167</t>
  </si>
  <si>
    <t>La Raya (Murcia)</t>
  </si>
  <si>
    <t>Tramitación Arraigo Social FUSENI ADAMS</t>
  </si>
  <si>
    <t>THOMAS AWINI</t>
  </si>
  <si>
    <t>Camino Fuentsanta</t>
  </si>
  <si>
    <t>30010</t>
  </si>
  <si>
    <t>San Pio X (Murcia)</t>
  </si>
  <si>
    <t>ABDOU BEYE</t>
  </si>
  <si>
    <t>Paraje Larache</t>
  </si>
  <si>
    <t>Arraigo Formación</t>
  </si>
  <si>
    <t>Tramitación Arraigo Formación ABDOU BEYE</t>
  </si>
  <si>
    <t>34862611Q</t>
  </si>
  <si>
    <t>ESCUDERO OCAÑA, FRANCISCO</t>
  </si>
  <si>
    <t>C/ Emilio Viciana Gongora, nº 5 5º 3</t>
  </si>
  <si>
    <t>04006</t>
  </si>
  <si>
    <t>Tramitación Arraigo Social THOMAS AWINI</t>
  </si>
  <si>
    <t>Tramitación CA Inicial CHERQAOUI KROUIT</t>
  </si>
  <si>
    <t>FAVORABLE 21/11/2023</t>
  </si>
  <si>
    <t>Tramitación Arraigo Social ABDOULAYE NDIAYE</t>
  </si>
  <si>
    <t>Tramitación Renovación Autorización Residencia y Trabajo ELHADJI CISSE</t>
  </si>
  <si>
    <t>049920230013351</t>
  </si>
  <si>
    <t>AGROVERDE, S.COOP.AND.</t>
  </si>
  <si>
    <t>C/ Aragon, nº 34</t>
  </si>
  <si>
    <t>Tramitación CA Inicial MOHAMED EL HOURATI</t>
  </si>
  <si>
    <t>FAVORABLE 27/11/2023</t>
  </si>
  <si>
    <t>Z1462030V</t>
  </si>
  <si>
    <t>040020230026931</t>
  </si>
  <si>
    <t>Z0718085F</t>
  </si>
  <si>
    <t>Z0510406H</t>
  </si>
  <si>
    <t>Tramitación Arraigo Social BARA NDIAYE</t>
  </si>
  <si>
    <t>E01852169</t>
  </si>
  <si>
    <t>HERMANOS GARZON, C.B.</t>
  </si>
  <si>
    <t>C/ Glaucio, nº 15, 2º 1</t>
  </si>
  <si>
    <t>Tramitación Arraigo Social ABDESLAM BENMANA</t>
  </si>
  <si>
    <t>I04202301948799</t>
  </si>
  <si>
    <t>Tasa, cif, acta consti. Dni comunero 2</t>
  </si>
  <si>
    <t>X6751372K</t>
  </si>
  <si>
    <t>BREHIMA COULIBALY</t>
  </si>
  <si>
    <t>C/ Venus, 15 bj</t>
  </si>
  <si>
    <t>Tramitación Certificado Penales BREHIMA COULIBALY</t>
  </si>
  <si>
    <t>FAVORABLE 22/11/2023</t>
  </si>
  <si>
    <t>FAVORABLE 24/11/2023</t>
  </si>
  <si>
    <t>Escrito para paralizar exp</t>
  </si>
  <si>
    <t>FAVORABLE 23/11/2023</t>
  </si>
  <si>
    <t>NO FAVORABLE 24/11/2023</t>
  </si>
  <si>
    <t>Y9069464A</t>
  </si>
  <si>
    <t>040020230027364</t>
  </si>
  <si>
    <t>Y8352174Z</t>
  </si>
  <si>
    <t>040020230027333</t>
  </si>
  <si>
    <t>Z1464131W</t>
  </si>
  <si>
    <t>040020230026972</t>
  </si>
  <si>
    <t>FAVORABLE 28/11/2023</t>
  </si>
  <si>
    <t>FAVORABLE 30/11/2023</t>
  </si>
  <si>
    <t>FAVORABLE 01/12/2023</t>
  </si>
  <si>
    <t>Tramitación Recurso Reposición FAISSAL CHARCHAOUI</t>
  </si>
  <si>
    <t>Tramitación Recurso Reposición  IKRAM ABAHRI</t>
  </si>
  <si>
    <t>Tramitación Arraigo Social HASSANE EZZIKOURI</t>
  </si>
  <si>
    <t>Z0503896V</t>
  </si>
  <si>
    <t>B04820056</t>
  </si>
  <si>
    <t>HORTIMARGAR XXI, SL</t>
  </si>
  <si>
    <t>Tramitación CA Inicial MERIEM HANFAOUI</t>
  </si>
  <si>
    <t>Z1483393J</t>
  </si>
  <si>
    <t>040020230027466</t>
  </si>
  <si>
    <t>Z1481968Z</t>
  </si>
  <si>
    <t>040020230027439</t>
  </si>
  <si>
    <t>ELHADJI CISSE(MURCIA)</t>
  </si>
  <si>
    <t>C/ Jose mouliaa, nº 12</t>
  </si>
  <si>
    <t>30800</t>
  </si>
  <si>
    <t>Lorca</t>
  </si>
  <si>
    <t>Y9860175C</t>
  </si>
  <si>
    <t>309920230012805</t>
  </si>
  <si>
    <t>049920230013620</t>
  </si>
  <si>
    <t>B04643516</t>
  </si>
  <si>
    <t>MAYE FRUIT, SL</t>
  </si>
  <si>
    <t>Paseo Pedro Ponce, nº 113</t>
  </si>
  <si>
    <t>Tramitación CA Inicial KHADIJA JILLALI</t>
  </si>
  <si>
    <t>FODAY SONKO</t>
  </si>
  <si>
    <t>C/ Desamparados, nº 2, piso 3</t>
  </si>
  <si>
    <t>30004</t>
  </si>
  <si>
    <t>Murcia</t>
  </si>
  <si>
    <t>Tramitación Arraigo Social FODAY SONKO</t>
  </si>
  <si>
    <t>Tramitación Arraigo Social IBRAHIMA SORY CAMARA</t>
  </si>
  <si>
    <t>27250251N</t>
  </si>
  <si>
    <t>JOSE HIDALGO VARGAS</t>
  </si>
  <si>
    <t>PZ Nereidass, nº 8, 2ºA</t>
  </si>
  <si>
    <t>Tramitación Arraigo Social IBRAHIMA NDIAYE</t>
  </si>
  <si>
    <t>Tramitación CA Inicial HOSSAME HABOU</t>
  </si>
  <si>
    <t>Hortirecursos</t>
  </si>
  <si>
    <t>54102873L</t>
  </si>
  <si>
    <t>FRANCISCO MIGUEL SABIO URBANO</t>
  </si>
  <si>
    <t>C/ Periscopio Flamingo Park, nº 80</t>
  </si>
  <si>
    <t>laboral@hortirecursos.com</t>
  </si>
  <si>
    <t>Tramitación CA Inicial MOHAMED SAID EL AOUAINA</t>
  </si>
  <si>
    <t>ILIASS EL FACHTALI</t>
  </si>
  <si>
    <t>Avenida Pio XII, nº 1, 2ºC</t>
  </si>
  <si>
    <t>Tramitación Arraigo Social ILIASS EL FACHTALI</t>
  </si>
  <si>
    <t>75256015S</t>
  </si>
  <si>
    <t>JERONIMA MARIA RODRIGUEZ GAZQUEZ</t>
  </si>
  <si>
    <t>C/ Rubi, nº 4</t>
  </si>
  <si>
    <t>Tramitación Renovación Autorización Residencia y Trabajo ALIOUNE THIAM</t>
  </si>
  <si>
    <t>Z0151378C</t>
  </si>
  <si>
    <t>049920230012636</t>
  </si>
  <si>
    <t>FAVORABLE 07/12/2023</t>
  </si>
  <si>
    <t>FAVORABLE 05/12/2023</t>
  </si>
  <si>
    <t>FAVORABLE 09/12/2023</t>
  </si>
  <si>
    <t>FAVORABLE 04/12/2023</t>
  </si>
  <si>
    <t>NO FAVORABLE 04/12/2023</t>
  </si>
  <si>
    <t>ARCHIVO POR ANULACIÓN EXP.</t>
  </si>
  <si>
    <t>FAVORABLE 11/12/2023</t>
  </si>
  <si>
    <t>Y7318199G</t>
  </si>
  <si>
    <t>REDOUAN GHAZI</t>
  </si>
  <si>
    <t>Tramitación Renovación Autorización Residencia y Trabajo REDOUAN GHAZI</t>
  </si>
  <si>
    <t>049920230013285</t>
  </si>
  <si>
    <t>FAVORABLE 12/12/2023</t>
  </si>
  <si>
    <t>Tramitación Arraigo Social derivada de arraigo formación LAHCEN EL MANSOURI</t>
  </si>
  <si>
    <t>Y8273557B</t>
  </si>
  <si>
    <t>Tramitación Arraigo Social NABIL BENCHRIF</t>
  </si>
  <si>
    <t>Tramitación Arraigo Social MODOU DIAGNE</t>
  </si>
  <si>
    <t>Y8351817W</t>
  </si>
  <si>
    <t>Tramitación Renovación Autorización Residencia y Trabajo SISSOKO SEKOU</t>
  </si>
  <si>
    <t>049920230013391</t>
  </si>
  <si>
    <t>Z0989949B</t>
  </si>
  <si>
    <t>Tramitación Arraigo Social BREHIMA TRAORE</t>
  </si>
  <si>
    <t>HAOUFADI, YOUNES</t>
  </si>
  <si>
    <t>C/ Rafael piedra, nº10, bj</t>
  </si>
  <si>
    <t>Tramitación Renovación Autorización Residencia y Trabajo YOUNES HAOUFADI</t>
  </si>
  <si>
    <t>049920230008449</t>
  </si>
  <si>
    <t>SAHRAMI, ABDELLAH</t>
  </si>
  <si>
    <t>Pasaje Huerta Grande, Pol. Cien, Parcela 35</t>
  </si>
  <si>
    <t>Tramitación Renovación Autorización Residencia y Trabajo ABDELLAH SAHRAMI</t>
  </si>
  <si>
    <t>049920230011127</t>
  </si>
  <si>
    <t>FAVORABLE 18/12/2023</t>
  </si>
  <si>
    <t>El viso</t>
  </si>
  <si>
    <t>Tramitación Arraigo Social LAMINE DIOUANE</t>
  </si>
  <si>
    <t>Penales y Pruebas</t>
  </si>
  <si>
    <t>27518474D</t>
  </si>
  <si>
    <t>FRANCISCO RAMOS MUÑOZ</t>
  </si>
  <si>
    <t>C/ Juan Miro Urb. Felix, nº 53</t>
  </si>
  <si>
    <t>Tramitación Arraigo Social IBRAHIMA SARR</t>
  </si>
  <si>
    <t>Tasa, traduccion penales</t>
  </si>
  <si>
    <t>Tasa, CONTR. ARREN.</t>
  </si>
  <si>
    <t>Tramitación CA Inicial SOHAILA ELMAATI</t>
  </si>
  <si>
    <t>SAMBA KEITA</t>
  </si>
  <si>
    <t>Avda. Luis Buñuel, Portal 2, nº 132 1ªA</t>
  </si>
  <si>
    <t>53713581W</t>
  </si>
  <si>
    <t>FELIPE SANCHEZ RODRIGUEZ</t>
  </si>
  <si>
    <t>C/ Perices, nº 10</t>
  </si>
  <si>
    <t>Tramitación CA Inicial ABEL DA COSTA</t>
  </si>
  <si>
    <t>Tramitación Arraigo Social IBRAHIM MOURABIT</t>
  </si>
  <si>
    <t>00/00/1984</t>
  </si>
  <si>
    <t>Z1537877X</t>
  </si>
  <si>
    <t>040020230028648</t>
  </si>
  <si>
    <t>Y8285989T</t>
  </si>
  <si>
    <t>040020230028631</t>
  </si>
  <si>
    <t>54101959W</t>
  </si>
  <si>
    <t>AMANDA BAÑOS REAL</t>
  </si>
  <si>
    <t>Paraje Romeral y Atochares</t>
  </si>
  <si>
    <t>Tramitación Arraigo Social MOHAMED ROUIFI</t>
  </si>
  <si>
    <t>Y1583565Y</t>
  </si>
  <si>
    <t>040020230028618</t>
  </si>
  <si>
    <t>Z1529230B</t>
  </si>
  <si>
    <t>040020230028457</t>
  </si>
  <si>
    <t>Z1529990N</t>
  </si>
  <si>
    <t>040020230028480</t>
  </si>
  <si>
    <t>Z1543264S</t>
  </si>
  <si>
    <t>040020230028759</t>
  </si>
  <si>
    <t>NO FAVORABLE 14/12/2023</t>
  </si>
  <si>
    <t>Tramitación Arraigo Social BABACAR MBAYE</t>
  </si>
  <si>
    <t>MAKHOUDIA DIOUF</t>
  </si>
  <si>
    <t>Tramitación Arraigo Social MAKHOUDIA DIOUF</t>
  </si>
  <si>
    <t>Y1715429B</t>
  </si>
  <si>
    <t>MAMADOU MANGA</t>
  </si>
  <si>
    <t>Plaza Andalucia, nº 9 2º DCH</t>
  </si>
  <si>
    <t>Tramitación CA Inicial MARIETOU DIEME</t>
  </si>
  <si>
    <t>I04202302005330</t>
  </si>
  <si>
    <t>TASAS, IVA, ESCRITURA</t>
  </si>
  <si>
    <t>460020230034331</t>
  </si>
  <si>
    <t>460020230034335</t>
  </si>
  <si>
    <t>460020230034333</t>
  </si>
  <si>
    <t>460020230034338</t>
  </si>
  <si>
    <t>Y8383871V</t>
  </si>
  <si>
    <t>040020230029120</t>
  </si>
  <si>
    <t>040020230029130</t>
  </si>
  <si>
    <t>Tramitación Renovación Autorización Residencia y Trabajo SALIOU SENE</t>
  </si>
  <si>
    <t>049920230015287</t>
  </si>
  <si>
    <t>FAVORABLE 22/12/2023</t>
  </si>
  <si>
    <t>Z0319680P</t>
  </si>
  <si>
    <t>Tramitación CA Inicial DRISS BOUNADAR</t>
  </si>
  <si>
    <t>Tramitación Renovación Autorización Residencia y Trabajo ISSAKA YAHAYA</t>
  </si>
  <si>
    <t>049920230013610</t>
  </si>
  <si>
    <t>Y6155808X</t>
  </si>
  <si>
    <t>FATTOUMA BEN MANOU</t>
  </si>
  <si>
    <t>C/ Almería, nº 42 BE</t>
  </si>
  <si>
    <t>FAVORABLE 21/12/2023</t>
  </si>
  <si>
    <t>Z1571800P</t>
  </si>
  <si>
    <t>040020230029531</t>
  </si>
  <si>
    <t>Z1571524P</t>
  </si>
  <si>
    <t>040020230029516</t>
  </si>
  <si>
    <t>040020230029278</t>
  </si>
  <si>
    <t>Z1564892T</t>
  </si>
  <si>
    <t>040020230029275</t>
  </si>
  <si>
    <t>Y9778930B</t>
  </si>
  <si>
    <t>C/ Mecina Alfahar, nº 20, 1ºD</t>
  </si>
  <si>
    <t>Y8618164D</t>
  </si>
  <si>
    <t>C/ Mercado común, nº 20, 4ºA</t>
  </si>
  <si>
    <t>Tramitación Huella BASIRU FISIRU</t>
  </si>
  <si>
    <t>Tramitación Huella SOUMIA EZZAOUTI</t>
  </si>
  <si>
    <t>Tramitación Arraigo Social KONTE VIEUX</t>
  </si>
  <si>
    <t>Enero - junio 2021 academia Becquer</t>
  </si>
  <si>
    <t>Z1529348Z</t>
  </si>
  <si>
    <t>040020230028467</t>
  </si>
  <si>
    <t>Tramitación CA Inicial MADI DIAWARA</t>
  </si>
  <si>
    <t>Z1556651Q</t>
  </si>
  <si>
    <t>040020230029141</t>
  </si>
  <si>
    <t>FAVORABLE 30/12/2023</t>
  </si>
  <si>
    <t>300020230028549</t>
  </si>
  <si>
    <t>Z1579279N</t>
  </si>
  <si>
    <t>040020230029656</t>
  </si>
  <si>
    <t>300020230028505</t>
  </si>
  <si>
    <t>Z1327160L</t>
  </si>
  <si>
    <t>040020240000025</t>
  </si>
  <si>
    <t>FAVORABLE 02/01/2024</t>
  </si>
  <si>
    <t>FAVORABLE 27/12/2023</t>
  </si>
  <si>
    <t>Z1587442X</t>
  </si>
  <si>
    <t>040020230029705</t>
  </si>
  <si>
    <t>Tramitación CA Inicial MOHAMMED SAADAOUI</t>
  </si>
  <si>
    <t>53706017M</t>
  </si>
  <si>
    <t>C/ Atenas, nº 6</t>
  </si>
  <si>
    <t>Tramitación CA Inicial OLIVER DA COSTA</t>
  </si>
  <si>
    <t>TASAS, CATASTRO</t>
  </si>
  <si>
    <t>FAVORABLE 09/01/2024</t>
  </si>
  <si>
    <t>Z1554766V</t>
  </si>
  <si>
    <t>040020230029081</t>
  </si>
  <si>
    <t>Tramitación CA Inicial HANAE OUALLA</t>
  </si>
  <si>
    <t>Z1564839Q</t>
  </si>
  <si>
    <t>040020230029273</t>
  </si>
  <si>
    <t>049920230013534</t>
  </si>
  <si>
    <t>Z0521933E</t>
  </si>
  <si>
    <t>Av. Luis Buñuel</t>
  </si>
  <si>
    <t>Tramitación Recurso Reposición ABDOU KARIM DIOP</t>
  </si>
  <si>
    <t>040020230017944</t>
  </si>
  <si>
    <t>X7924196Y</t>
  </si>
  <si>
    <t>Camino Barrio San Felix, nº1352</t>
  </si>
  <si>
    <t>Tramitación Arraigo Social FABAKARY SAINE</t>
  </si>
  <si>
    <t>TASA, DNI empresario</t>
  </si>
  <si>
    <t>angeles@vicasol.com</t>
  </si>
  <si>
    <t>75234296P</t>
  </si>
  <si>
    <t>Carretera Mojonera, nº 3781</t>
  </si>
  <si>
    <t>Tramitación Escrito ABDOU KARIM GAYE</t>
  </si>
  <si>
    <t>Tramitación Reagrupación Familiar BILAL TACHALLAIT</t>
  </si>
  <si>
    <t>049920230012427</t>
  </si>
  <si>
    <t>tasa, escolarización, nomina diciembre</t>
  </si>
  <si>
    <t>300020230030570</t>
  </si>
  <si>
    <t>Tramitación Renovación Autorización Residencia y Trabajo MAMADOU SARR</t>
  </si>
  <si>
    <t>049920230015175</t>
  </si>
  <si>
    <t>08905123Y</t>
  </si>
  <si>
    <t>CAIncial</t>
  </si>
  <si>
    <t>Tramitación CA Inicial  MORAD SAIDI</t>
  </si>
  <si>
    <t>Y6102889Z</t>
  </si>
  <si>
    <t>BEN SAKOUM, SOUAD</t>
  </si>
  <si>
    <t>C/ Agata, nº 10</t>
  </si>
  <si>
    <t>Tramitación Arraigo Social SUAD BEN SAKOUM</t>
  </si>
  <si>
    <t>Y8680696G</t>
  </si>
  <si>
    <t>040020230029742</t>
  </si>
  <si>
    <t>Z1591376B</t>
  </si>
  <si>
    <t>040020230029757</t>
  </si>
  <si>
    <t>Z1594571D</t>
  </si>
  <si>
    <t>040020240000216</t>
  </si>
  <si>
    <t>12/01/2024 FAVORABLE</t>
  </si>
  <si>
    <t>Tramitación CA Inicial EL HASSAN ELMAATAOUI</t>
  </si>
  <si>
    <t>Z1597544S</t>
  </si>
  <si>
    <t>040020230029828</t>
  </si>
  <si>
    <t>sef</t>
  </si>
  <si>
    <t>Essan Almería, SL</t>
  </si>
  <si>
    <t>B04320727</t>
  </si>
  <si>
    <t>ESSAN ALMERIA, SL</t>
  </si>
  <si>
    <t>edenessan@gmail.com</t>
  </si>
  <si>
    <t>Tramitación CA Inicial LAIS GABRIELE SILVA DOLFINO</t>
  </si>
  <si>
    <t>TASAS, certificado formación</t>
  </si>
  <si>
    <t>040020230029868</t>
  </si>
  <si>
    <t>Z1599320C</t>
  </si>
  <si>
    <t>040020240000306</t>
  </si>
  <si>
    <t>Y8364672T</t>
  </si>
  <si>
    <t>C/ Ramon y Cajal, nº3</t>
  </si>
  <si>
    <t>Tramitación Arraigo Social EL HADJI MALICK GAYE</t>
  </si>
  <si>
    <t>TASA, prueba finales 2023</t>
  </si>
  <si>
    <t>Tramitación Arraigo Social KWADWO MARFO</t>
  </si>
  <si>
    <t>Tramitación Renovación Autorización Residencia y Trabajo MARINA NIKURADZE</t>
  </si>
  <si>
    <t>049920230013690</t>
  </si>
  <si>
    <t>Tramitación Arraigo Social MAODO GUEYE</t>
  </si>
  <si>
    <t xml:space="preserve">TASA, NUEVO contrato </t>
  </si>
  <si>
    <t>FAVORABLE 08/01/2024</t>
  </si>
  <si>
    <t>NO FAVORABLE 13/01/2024</t>
  </si>
  <si>
    <t>Tramitación CA inicial RABIA AIT OUTKIR</t>
  </si>
  <si>
    <t>FAVORABLE 10/01/2024</t>
  </si>
  <si>
    <t>Z1621100L</t>
  </si>
  <si>
    <t>040020240000593</t>
  </si>
  <si>
    <t>Z1599374M</t>
  </si>
  <si>
    <t>040020240000307</t>
  </si>
  <si>
    <t>X9362804X</t>
  </si>
  <si>
    <t>040020240000586</t>
  </si>
  <si>
    <t>040020240000639</t>
  </si>
  <si>
    <t>FAVORABLE 11/01/2024</t>
  </si>
  <si>
    <t>FAVORABLE 16/01/2024</t>
  </si>
  <si>
    <t>FAVORABLE 19/01/2024</t>
  </si>
  <si>
    <t>FAVORABLE 17/01/2024</t>
  </si>
  <si>
    <t>FAVORABLE 18/01/2024</t>
  </si>
  <si>
    <t>Tramitación Arraigo Social LASSANA SANE</t>
  </si>
  <si>
    <t>Z1642455F</t>
  </si>
  <si>
    <t>040020240001056</t>
  </si>
  <si>
    <t>75223757A</t>
  </si>
  <si>
    <t>C/ Mirlo, nº 59</t>
  </si>
  <si>
    <t>Tramitación Arraigo Social SUMAILA SADJO</t>
  </si>
  <si>
    <t>finales 2020 - julio 2021 / octubre 2021 - febrero 2022</t>
  </si>
  <si>
    <t>Tramitación Renovación Autorización Residencia y Trabajo ABDERRAHMANE TOUNKARA</t>
  </si>
  <si>
    <t>0499202400000495</t>
  </si>
  <si>
    <t>NO FAVORABLE 06/10/2023</t>
  </si>
  <si>
    <t>No había renunciado solicitud asilo</t>
  </si>
  <si>
    <t>FAVORABLE 23/01/2024</t>
  </si>
  <si>
    <t>FAVORABLE 22/01/2024</t>
  </si>
  <si>
    <t>Tramitación Renovación Autorización Residencia y Trabajo EN NACIRI AZZ EDDINE</t>
  </si>
  <si>
    <t>049920230014235</t>
  </si>
  <si>
    <t>Tramitación Renovación Autorización Residencia y Trabajo BABACAR BA</t>
  </si>
  <si>
    <t>049920230015568</t>
  </si>
  <si>
    <t>Tramitación Renovación Autorización Residencia y Trabajo DAVID KWASI KUPOUR</t>
  </si>
  <si>
    <t>049920230015620</t>
  </si>
  <si>
    <t>Tramitación Renovación Autorización Residencia y Trabajo NORA MORALES ESPINOZA</t>
  </si>
  <si>
    <t>049920230015482</t>
  </si>
  <si>
    <t>Y8534281F</t>
  </si>
  <si>
    <t>040020240001322</t>
  </si>
  <si>
    <t>Tramitación Renovación Autorización Residencia y Trabajo MAGUET WOLOU</t>
  </si>
  <si>
    <t>049920230015447</t>
  </si>
  <si>
    <t>Tramitación Renovación Autorización Residencia y Trabajo HAMADOU MARO</t>
  </si>
  <si>
    <t>049920230015696</t>
  </si>
  <si>
    <t>049920240000575</t>
  </si>
  <si>
    <t>Tramitación Renovación Autorización Residencia y Trabajo MANUEL NICANOR ANDRADE CANGO</t>
  </si>
  <si>
    <t>049920240000525</t>
  </si>
  <si>
    <t>040020240001469</t>
  </si>
  <si>
    <t>Z1660474V</t>
  </si>
  <si>
    <t>040020240001488</t>
  </si>
  <si>
    <t>FAVORABLE 26/01/2024</t>
  </si>
  <si>
    <t>FAVORABLE 25/01/2024</t>
  </si>
  <si>
    <t>FAVORABLE 24/01/2024</t>
  </si>
  <si>
    <t>NO FAVORABLE 22/01/2024</t>
  </si>
  <si>
    <t>Tramitación Renovación Autorización Residencia y Trabajo MASS DIOP</t>
  </si>
  <si>
    <t xml:space="preserve">MARTINEZ CAPEL, RUBEN </t>
  </si>
  <si>
    <t xml:space="preserve">FISIRU, BASIRU </t>
  </si>
  <si>
    <t xml:space="preserve">EZZAOUTI, SOUMIA </t>
  </si>
  <si>
    <t xml:space="preserve">FERNANDEZ HERNANDEZ, ANA BELEN </t>
  </si>
  <si>
    <t xml:space="preserve">GARCIA ALCANTARA, DOLORES MARIA </t>
  </si>
  <si>
    <t xml:space="preserve">DIOP, MATAR </t>
  </si>
  <si>
    <t xml:space="preserve">DIOP, ABDOU KARIM </t>
  </si>
  <si>
    <t xml:space="preserve">SAINE, FABAKARY </t>
  </si>
  <si>
    <t xml:space="preserve">GONZALEZ REAL, DAVID </t>
  </si>
  <si>
    <t xml:space="preserve">TACHALLAIT, MOURAD </t>
  </si>
  <si>
    <t xml:space="preserve">LOPEZ SUAREZ, MIGUEL ANGEL </t>
  </si>
  <si>
    <t xml:space="preserve">FERNANDEZ FERNANDEZ, JOSE SALVADOR </t>
  </si>
  <si>
    <t xml:space="preserve">MARTIN FERNANDEZ, JUAN MANUEL </t>
  </si>
  <si>
    <t xml:space="preserve">GAYE, EL HADJI MALICK </t>
  </si>
  <si>
    <t xml:space="preserve">CASTILLO MARTIN, JOSE EMILIO </t>
  </si>
  <si>
    <t xml:space="preserve">MARTIN MAGAN, FRANCISCA </t>
  </si>
  <si>
    <t xml:space="preserve">CAÑADAS MUYOR, ANGEL MANUEL </t>
  </si>
  <si>
    <t xml:space="preserve">SONERA BLANES, JOSE </t>
  </si>
  <si>
    <t xml:space="preserve">LOPEZ BARRERA, ROSA MARIA </t>
  </si>
  <si>
    <t xml:space="preserve">GIMENEZ GIMENEZ, MARIA DEL CARMEN </t>
  </si>
  <si>
    <t xml:space="preserve">ENRIQUE VAZQUEZ, JUAN CARLOS </t>
  </si>
  <si>
    <t xml:space="preserve">ENRIQUE VAZQUEZ, ANTONIO SIMON </t>
  </si>
  <si>
    <t xml:space="preserve">LOPEZ BARRERA, CELEDONIO </t>
  </si>
  <si>
    <t>CLIENTES NUEVOS</t>
  </si>
  <si>
    <t>Z1674826V</t>
  </si>
  <si>
    <t>040020240001747</t>
  </si>
  <si>
    <t>FAVORABLE 24/01/2023</t>
  </si>
  <si>
    <t>Tramitación Renovación Autorización Residencia y Trabajo ABDOUR SARR</t>
  </si>
  <si>
    <t>049920240000888</t>
  </si>
  <si>
    <t>Y9727867P</t>
  </si>
  <si>
    <t>040020240001799</t>
  </si>
  <si>
    <t>040020240001718</t>
  </si>
  <si>
    <t>ABOU SY</t>
  </si>
  <si>
    <t>C/ Alfonso XIII, nº 36, bj-b</t>
  </si>
  <si>
    <t>049920240001254</t>
  </si>
  <si>
    <t>Tramitación Arraigo Social IBRAHIMA KANDE</t>
  </si>
  <si>
    <t>FALTA PRUEBAS DIC 2020 - 18-08-21</t>
  </si>
  <si>
    <t>Tramitación Arraigo Social OUSMANE NDIAYE</t>
  </si>
  <si>
    <t>TASA, Pasaporte nuevo renovado</t>
  </si>
  <si>
    <t>FAVORABLE 01/02/2024</t>
  </si>
  <si>
    <t>FAVORABLE 31/01/2024</t>
  </si>
  <si>
    <t>FAVORABLE 02/02/2024</t>
  </si>
  <si>
    <t xml:space="preserve">FAVORABLE 31/01/2024 </t>
  </si>
  <si>
    <t xml:space="preserve">FAVORABLE 02/02/2024 </t>
  </si>
  <si>
    <t>NO FAVORABLE 01/02/2024</t>
  </si>
  <si>
    <t>FAVORABLE 30/01/2024</t>
  </si>
  <si>
    <t>Y8174815P</t>
  </si>
  <si>
    <t>040020240002088</t>
  </si>
  <si>
    <t>Y8437602C</t>
  </si>
  <si>
    <t>BABACAR DIOP</t>
  </si>
  <si>
    <t>C/ Rio Jandula, nº 3, 1ºT</t>
  </si>
  <si>
    <t>Tramitación Renovación Autorización Residencia y Trabajo  BABACAR DIOP</t>
  </si>
  <si>
    <t>049920240001351</t>
  </si>
  <si>
    <t>NUEVO</t>
  </si>
  <si>
    <t>049920240000991</t>
  </si>
  <si>
    <t>MOUSTAPHA LAM</t>
  </si>
  <si>
    <t>C/ Alcobendas, nº 3</t>
  </si>
  <si>
    <t>Tramitación Arraigo Social MOUSTAPHA LAM</t>
  </si>
  <si>
    <t>YANKOUBA MANCAL</t>
  </si>
  <si>
    <t>Ctra. La Mojonera, nº 215</t>
  </si>
  <si>
    <t>Tramitación Arraigo Social YANKOUBA MANCAL</t>
  </si>
  <si>
    <t>Tramitación Renovación Autorización Residencia y Trabajo LEIDY JOHANA QUINTERO RENDON</t>
  </si>
  <si>
    <t>049920240000852</t>
  </si>
  <si>
    <t>X8154752X</t>
  </si>
  <si>
    <t>Tasas, imp. Sociedades, escritura</t>
  </si>
  <si>
    <t>Tramitación Renovación Autorización Residencia y Trabajo FERNANDO ANDRADE</t>
  </si>
  <si>
    <t>049920230014598</t>
  </si>
  <si>
    <t>NO FAVORABLE 06/02/2024</t>
  </si>
  <si>
    <t>FAVORABLE 07/02/2024</t>
  </si>
  <si>
    <t>FAVORABLE 06/02/2024</t>
  </si>
  <si>
    <t>FAVORABLE 08/02/2024</t>
  </si>
  <si>
    <t xml:space="preserve">FAVORABLE 09/02/2024 </t>
  </si>
  <si>
    <t>Z1690603Q</t>
  </si>
  <si>
    <t>040020240002148</t>
  </si>
  <si>
    <t>NO FAVORABLE 02/02/2024</t>
  </si>
  <si>
    <t>Tramitación Renovación Autorización Residencia y Trabajo ABASSE SAKHO</t>
  </si>
  <si>
    <t>049920240001623</t>
  </si>
  <si>
    <t>C/ Sahara, nº 22, bj 3</t>
  </si>
  <si>
    <t>OMAR ETTANJI</t>
  </si>
  <si>
    <t>Cortijo El Panadero, nº 220</t>
  </si>
  <si>
    <t>Tramitación Arraigo Social OMAR ETTANJI</t>
  </si>
  <si>
    <t>Tramitación Reagrupación Familiar SALMA KASMI</t>
  </si>
  <si>
    <t>Tramitación Reagrupación Familiar MOUMNA KASMI</t>
  </si>
  <si>
    <t>Tramitación Reagrupación Familiar YOUSSEF KASMI</t>
  </si>
  <si>
    <t>Tramitación Arraigo Social KHALID OUGOUG</t>
  </si>
  <si>
    <t xml:space="preserve">FAVORABLE 07/02/2024 </t>
  </si>
  <si>
    <t xml:space="preserve">FAVORABLE 06/02/2024 </t>
  </si>
  <si>
    <t xml:space="preserve">FAVORABLE 08/02/2024 </t>
  </si>
  <si>
    <t>FAVORABLE 09/02/2024</t>
  </si>
  <si>
    <t>040020230028444</t>
  </si>
  <si>
    <t xml:space="preserve">FAVORABLE 13/02/2024 </t>
  </si>
  <si>
    <t>FAVORABLE 13/02/2024</t>
  </si>
  <si>
    <t>Tramitación Renovación Autorización Residencia y Trabajo TAHER EL KILO</t>
  </si>
  <si>
    <t>049920240000958</t>
  </si>
  <si>
    <t>14/11/976</t>
  </si>
  <si>
    <t>040020240002873</t>
  </si>
  <si>
    <t>Z1724553H</t>
  </si>
  <si>
    <t>Z1728722R</t>
  </si>
  <si>
    <t>040020240003025</t>
  </si>
  <si>
    <t>Z1730688N</t>
  </si>
  <si>
    <t>040020240003087</t>
  </si>
  <si>
    <t>Z1733251E</t>
  </si>
  <si>
    <t>040020240003076</t>
  </si>
  <si>
    <t>X8772053Z</t>
  </si>
  <si>
    <t>040020240003055</t>
  </si>
  <si>
    <t>Z1730639D</t>
  </si>
  <si>
    <t>040020240003085</t>
  </si>
  <si>
    <t>FAVORABLE 19/02/2024</t>
  </si>
  <si>
    <t>FAVORABLE 15/02/2024</t>
  </si>
  <si>
    <t>040020240003312</t>
  </si>
  <si>
    <t>NO FAVORABLE 07/02/2024</t>
  </si>
  <si>
    <t>53714386W</t>
  </si>
  <si>
    <t>RODRIGUEZ GAZQUEZ, ANA ISABEL</t>
  </si>
  <si>
    <t>C/ Balsa Romera, nº 12</t>
  </si>
  <si>
    <t>Tramitación Renovación Autorización Residencia y Trabajo MAMADY KANE</t>
  </si>
  <si>
    <t>Z0161219V</t>
  </si>
  <si>
    <t>049920230014088</t>
  </si>
  <si>
    <t>Y9445056M</t>
  </si>
  <si>
    <t>KOFI KYERE</t>
  </si>
  <si>
    <t>C/ Viena, nº 48, bj</t>
  </si>
  <si>
    <t>Tramitación Arraigo Social KOFI KYERE</t>
  </si>
  <si>
    <t xml:space="preserve">TASA, NUEVO contrato, ESCRITURA </t>
  </si>
  <si>
    <t>54103651S</t>
  </si>
  <si>
    <t>URRUTIA RODRIGUEZ, SILVIA</t>
  </si>
  <si>
    <t>C/ La Linea, 7</t>
  </si>
  <si>
    <t>Tramitación CA Inicial ABDERRAHIM JERDA</t>
  </si>
  <si>
    <t>TASAS, Traducción nacimiento</t>
  </si>
  <si>
    <t>Y6473182F</t>
  </si>
  <si>
    <t>LAMINE DIONE</t>
  </si>
  <si>
    <t>C/ Santo Cristo, nº 62</t>
  </si>
  <si>
    <t>Tramitación Renovación Autorización Residencia y Trabajo LAMINE DIONE</t>
  </si>
  <si>
    <t>049920240001835</t>
  </si>
  <si>
    <t xml:space="preserve">FAVORABLE 20/02/2024 </t>
  </si>
  <si>
    <t>Tramitación CA Inicial TARIK EL BAGUE</t>
  </si>
  <si>
    <t>FAVORABLE 20/02/2024</t>
  </si>
  <si>
    <t>FAVORABLE 21/02/2024</t>
  </si>
  <si>
    <t xml:space="preserve">FAVORABLE 21/02/2024 </t>
  </si>
  <si>
    <t>OUSMAN MANGA</t>
  </si>
  <si>
    <t>Tramitación Renovación Autorización Residencia y Trabajo OUSMAN MANGA</t>
  </si>
  <si>
    <t>049920240001821</t>
  </si>
  <si>
    <t>Tramitación Renovación Autorización derivada de arraigo formación RADOUAN GHNINOU</t>
  </si>
  <si>
    <t>Z0813685L</t>
  </si>
  <si>
    <t>049920230014145</t>
  </si>
  <si>
    <t xml:space="preserve">FAVORABLE 22/02/2024 </t>
  </si>
  <si>
    <t>FAVORABLE 23/02/2024</t>
  </si>
  <si>
    <t>Tramitación Renovación Autorización Residencia y Trabajo IBA FALL</t>
  </si>
  <si>
    <t>049920240001364</t>
  </si>
  <si>
    <t>Tramitación Renovación Autorización Residencia y Trabajo ALY SENE</t>
  </si>
  <si>
    <t>049920240001686</t>
  </si>
  <si>
    <t>Tasas, ESCRITURA 2</t>
  </si>
  <si>
    <t>Tramitación Renovación Larga Duración-UE DJIBRIL SAMB</t>
  </si>
  <si>
    <t>Tramitación CA Inicial ABDELHAKIM BOURAOUI</t>
  </si>
  <si>
    <t>040020240003829</t>
  </si>
  <si>
    <t>040020240003576</t>
  </si>
  <si>
    <t>040020240003564</t>
  </si>
  <si>
    <t>Z1751249B</t>
  </si>
  <si>
    <t>040020240003734</t>
  </si>
  <si>
    <t>Y8392438M</t>
  </si>
  <si>
    <t>040020240003752</t>
  </si>
  <si>
    <t>Tramitación CA Inicial AHMED RIFI</t>
  </si>
  <si>
    <t>040020240003542</t>
  </si>
  <si>
    <t>Y8461772V</t>
  </si>
  <si>
    <t>040020240003754</t>
  </si>
  <si>
    <t>FAVORABLE 27/02/2024</t>
  </si>
  <si>
    <t>SAMBA SAHO</t>
  </si>
  <si>
    <t>C/ Vicente Aleixandre, nº 2</t>
  </si>
  <si>
    <t>Tramitación Renovación Autorización Residencia y Trabajo SAMBA SAHO</t>
  </si>
  <si>
    <t>049920240002635</t>
  </si>
  <si>
    <t>X9784195H</t>
  </si>
  <si>
    <t>040020240004135</t>
  </si>
  <si>
    <t xml:space="preserve">FAVORABLE 29/02/2024 </t>
  </si>
  <si>
    <t xml:space="preserve">FAVORABLE 23/02/2024 </t>
  </si>
  <si>
    <t>FAVORABLE 29/02/2024</t>
  </si>
  <si>
    <t>NO FAVORABLE 26/02/2024</t>
  </si>
  <si>
    <t>Z1770685N</t>
  </si>
  <si>
    <t>040020240004218</t>
  </si>
  <si>
    <t>Tramitación Renovación Autorización Residencia y Trabajo NATOMA JAWARA</t>
  </si>
  <si>
    <t>Llevar denuncia NIE con HUELLA</t>
  </si>
  <si>
    <t>049920240001693</t>
  </si>
  <si>
    <t>049920240001480</t>
  </si>
  <si>
    <t>FAVORABLE 04/03/2024</t>
  </si>
  <si>
    <t>Tramitación Renovación Autorización Residencia y Trabajo ELHADJI MA ANSOU DIAME</t>
  </si>
  <si>
    <t>049920240002408</t>
  </si>
  <si>
    <t>Tramitación Renovación Autorización Residencia y Trabajo ELHADJI MAMADOU MANGA</t>
  </si>
  <si>
    <t>049920240002390</t>
  </si>
  <si>
    <t>45595456A</t>
  </si>
  <si>
    <t>JAVIER ROMERA MANZANO</t>
  </si>
  <si>
    <t>C/ Virgen del Carmen, nº 36</t>
  </si>
  <si>
    <t>Tramitación CA Inicial FATOU COLY</t>
  </si>
  <si>
    <t>SAMPSON AMIDU</t>
  </si>
  <si>
    <t>C/ Felipe V, nº 34</t>
  </si>
  <si>
    <t>50460</t>
  </si>
  <si>
    <t>Longares (zaragoza)</t>
  </si>
  <si>
    <t>Tramitación Arraigo Social SAMPSON AMIDU</t>
  </si>
  <si>
    <t>TASA, ESCRITURA Y DESIGNACION REPRESENTANT</t>
  </si>
  <si>
    <t>LILIANA ELISA OLIVARES RODRIGUEZ</t>
  </si>
  <si>
    <t>C/ Generalife, nº 30</t>
  </si>
  <si>
    <t>Tramitación Arraigo Social LILIANA ELISA OLIVARES RODRIGUEZ</t>
  </si>
  <si>
    <t>FAVORABLE 05/03/2024</t>
  </si>
  <si>
    <t>040020240004756</t>
  </si>
  <si>
    <t>Z1788701L</t>
  </si>
  <si>
    <t>040020240004759</t>
  </si>
  <si>
    <t>Tramitación Arraigo Social MODOU DIAKHATE</t>
  </si>
  <si>
    <t>NO FAVORABLE 06/03/2024</t>
  </si>
  <si>
    <t>MALICK BA</t>
  </si>
  <si>
    <t>C/ Felipe Rinaldi, nº 24, 4º1</t>
  </si>
  <si>
    <t>Tramitación Arraigo Formación MODOU DIAKHATE</t>
  </si>
  <si>
    <t>TASA, TRADUCCIÓN JURADA</t>
  </si>
  <si>
    <t>KHALID BONNOUH</t>
  </si>
  <si>
    <t>Plaza del Pilar, nº 8</t>
  </si>
  <si>
    <t>18512</t>
  </si>
  <si>
    <t>Dólar (Granada)</t>
  </si>
  <si>
    <t>Tramitación Reagrupación Familiar SAIDA MASKOUH</t>
  </si>
  <si>
    <t>FAVORABLE 07/03/2024</t>
  </si>
  <si>
    <t>040020240004203</t>
  </si>
  <si>
    <t>040020240002858</t>
  </si>
  <si>
    <t>Tramitación Renovación Autorización Residencia y Trabajo HASSAN MELLOUK</t>
  </si>
  <si>
    <t>049920240002100</t>
  </si>
  <si>
    <t>Z1797365N</t>
  </si>
  <si>
    <t>040020240004999</t>
  </si>
  <si>
    <t>Y6851124J</t>
  </si>
  <si>
    <t>500020240003870</t>
  </si>
  <si>
    <t>040020240005020</t>
  </si>
  <si>
    <t>Y8294367Y</t>
  </si>
  <si>
    <t>040020240005132</t>
  </si>
  <si>
    <t>KAROL ADRIANA MALDONADO LUIS</t>
  </si>
  <si>
    <t>Av. Pio XII, nº 1, 2ºA</t>
  </si>
  <si>
    <t>Tramitación Arraigo Familiar KAROL ADRIANA MALDONADO LUIS</t>
  </si>
  <si>
    <t>Tramitación Arraigo Social VIVIANA OVIEDO GUTIERREZ</t>
  </si>
  <si>
    <t>TASAS, ESCRITURA, PRUEBAS Y ESCRITO</t>
  </si>
  <si>
    <t>Tramitación Renovación Larga DuraciónMAMINA SARR</t>
  </si>
  <si>
    <t>049920240001162</t>
  </si>
  <si>
    <t>Tramitación Renovación Autorización Residencia y Trabajo BACARY SAMUEL COLY</t>
  </si>
  <si>
    <t>049920240002869</t>
  </si>
  <si>
    <t>Tramitación CA Inicial JAMAL EDDOUMI</t>
  </si>
  <si>
    <t>FAVORABLE 29/01/2024</t>
  </si>
  <si>
    <t>X8279080T</t>
  </si>
  <si>
    <t>Tramitación Arraigo Social MALICK DIENG</t>
  </si>
  <si>
    <t>54144761R</t>
  </si>
  <si>
    <t>JOSE ANTONIO VARGAS GONZALEZ</t>
  </si>
  <si>
    <t>CT La Mojonera Puesto Pallares, nº 3784</t>
  </si>
  <si>
    <t>Puebla de Vicar</t>
  </si>
  <si>
    <t>Tramitación CA Inicial KAWTAR ECH CHARQAOUY</t>
  </si>
  <si>
    <t>Tramitación Renovación Autorización Residencia y Trabajo SERIGNE ABDOU NDAME FALL</t>
  </si>
  <si>
    <t>419920240000096</t>
  </si>
  <si>
    <t>X7714887C</t>
  </si>
  <si>
    <t>040020240005284</t>
  </si>
  <si>
    <t>040020240005181</t>
  </si>
  <si>
    <t>Z1802309B</t>
  </si>
  <si>
    <t>180020240002343</t>
  </si>
  <si>
    <t>FAVORABLE 13/03/2024</t>
  </si>
  <si>
    <t>FAVORABLE 26/10/2023</t>
  </si>
  <si>
    <t>Tramitación Arraigo Social MOHAMED HAIROUF</t>
  </si>
  <si>
    <t>Tramitación Arraigo Social SHAKUR KHALID</t>
  </si>
  <si>
    <t>TASA, PRUEBAS COMPL.</t>
  </si>
  <si>
    <t>X8507385F</t>
  </si>
  <si>
    <t>MIHAELA CARMEN VARZARI</t>
  </si>
  <si>
    <t>C/ LA CANALILLA, SN</t>
  </si>
  <si>
    <t>Tramitación Certificado comunitario</t>
  </si>
  <si>
    <t>X6785047A</t>
  </si>
  <si>
    <t>VANDANA VADUVA</t>
  </si>
  <si>
    <t>C/ Narajanjo, nº 13, 3º A</t>
  </si>
  <si>
    <t>Tramitación Renovación Autorización Residencia y Trabajo LAMINE BA</t>
  </si>
  <si>
    <t>Tramitación Renovación Autorización Residencia y Trabajo MANSOUR FALL</t>
  </si>
  <si>
    <t>419920240000124</t>
  </si>
  <si>
    <t>4199202400000119</t>
  </si>
  <si>
    <t>Tramitación CA Inicial BALI HASSAN</t>
  </si>
  <si>
    <t>Tramitación Renovación Autorización Residencia y Trabajo SIDI CISSE</t>
  </si>
  <si>
    <t>049920240003065</t>
  </si>
  <si>
    <t>Tramitación Renovación Autorización Residencia y Trabajo SAIDO MANE</t>
  </si>
  <si>
    <t>049920240003353</t>
  </si>
  <si>
    <t>040020240005549</t>
  </si>
  <si>
    <t>Z1817193Z</t>
  </si>
  <si>
    <t>040020240005579</t>
  </si>
  <si>
    <t>Y4899621Z</t>
  </si>
  <si>
    <t>040020240005486</t>
  </si>
  <si>
    <t>Z1816514W</t>
  </si>
  <si>
    <t>040020240005551</t>
  </si>
  <si>
    <t>Z1818523X</t>
  </si>
  <si>
    <t>040020240005605</t>
  </si>
  <si>
    <t>Y8848222K</t>
  </si>
  <si>
    <t>040020240005519</t>
  </si>
  <si>
    <t xml:space="preserve">FAVORABLE 12/03/2024 </t>
  </si>
  <si>
    <t xml:space="preserve">FAVORABLE 13/03/2024 </t>
  </si>
  <si>
    <t xml:space="preserve">FAVORABLE 15/03/2024 </t>
  </si>
  <si>
    <t>FAVORABLE 08/03/2024</t>
  </si>
  <si>
    <t>Z1825355B</t>
  </si>
  <si>
    <t>040020240005803</t>
  </si>
  <si>
    <t>Tramitación Arraigo Social ALMAMO SEYDI</t>
  </si>
  <si>
    <t>Y8600630R</t>
  </si>
  <si>
    <t>Tramitación Arraigo Social MOUNAIM OURKIA</t>
  </si>
  <si>
    <t>Z1825981Q</t>
  </si>
  <si>
    <t>040020240005825</t>
  </si>
  <si>
    <t>Z1829590Z</t>
  </si>
  <si>
    <t>040020240005888</t>
  </si>
  <si>
    <t>Tramitación CA Inicial MOHAMMED EL FADILY</t>
  </si>
  <si>
    <t>040020240005915</t>
  </si>
  <si>
    <t>Z1828538C</t>
  </si>
  <si>
    <t>040020240005863</t>
  </si>
  <si>
    <t>Tramitación Renovación Autorización Residencia y Trabajo HICHAM KILOULI</t>
  </si>
  <si>
    <t>049920240003236</t>
  </si>
  <si>
    <t>Tramitación Renovación Autorización Residencia y Trabajo DJIBRIL NDAO</t>
  </si>
  <si>
    <t>049920240002374</t>
  </si>
  <si>
    <t>Tramitación Arraigo Social MAMADOU CAMARA</t>
  </si>
  <si>
    <t>Y8383784E</t>
  </si>
  <si>
    <t>OU MAATAH, MOHAMED</t>
  </si>
  <si>
    <t>C/ Malecon, nº 3, bj-iz</t>
  </si>
  <si>
    <t>Tramitación Reagrupación Familiar IKRAM FADILY</t>
  </si>
  <si>
    <t>TASA, Certificado matrimonio y pasaporte completo reagrupante</t>
  </si>
  <si>
    <t>Tramitación Renovación Autorización Residencia y Trabajo MOHAMED LAAMAIRY</t>
  </si>
  <si>
    <t>040020240006072</t>
  </si>
  <si>
    <t>040020240006212</t>
  </si>
  <si>
    <t>08913116H</t>
  </si>
  <si>
    <t>MARTIN MALDONADO, ANTONIO</t>
  </si>
  <si>
    <t>C/ Cádiz, nº 7</t>
  </si>
  <si>
    <t>Tramitación CA Inicial MOHAMED ALI DIRA</t>
  </si>
  <si>
    <t>049920240002865</t>
  </si>
  <si>
    <t xml:space="preserve">FAVORABLE 19/03/2024 </t>
  </si>
  <si>
    <t>FAVORABLE 21/03/2024</t>
  </si>
  <si>
    <t>FAVORABLE 18/03/2024</t>
  </si>
  <si>
    <t>FAVORABLE 22/03/2024</t>
  </si>
  <si>
    <t>Tramitación Certificado Concordancia ALOU DIARRA</t>
  </si>
  <si>
    <t xml:space="preserve">FAVORABLE 22/03/2024 </t>
  </si>
  <si>
    <t xml:space="preserve">FAVORABLE 20/03/2024 </t>
  </si>
  <si>
    <t>FAVORABLE 20/03/2024</t>
  </si>
  <si>
    <t>040020240006397</t>
  </si>
  <si>
    <t>NO FAVORABLE 21/03/2024</t>
  </si>
  <si>
    <t>TALBI, ABDERRAHIM</t>
  </si>
  <si>
    <t>C/ Calvario, nº 28</t>
  </si>
  <si>
    <t>Tramitación Reagrupación Familiar MARIYA EL HILI</t>
  </si>
  <si>
    <t>Tramitación Reagrupación Familiar BRAHIM TALBI</t>
  </si>
  <si>
    <t>TASA, justificantes bancarios</t>
  </si>
  <si>
    <t>Tramitación Reagrupación Familiar MOHAMED TALBI</t>
  </si>
  <si>
    <t>NO FAVORABLE 14/03/2024</t>
  </si>
  <si>
    <t>X6785647A</t>
  </si>
  <si>
    <t>75712508G</t>
  </si>
  <si>
    <t>BUENO RUBIO, FRANCISCO</t>
  </si>
  <si>
    <t>C/ Teatro, nº 4 BJ E</t>
  </si>
  <si>
    <t>Tramitación Arraigo Social ABEID SIDI</t>
  </si>
  <si>
    <t>Tasa y Certificado penales original</t>
  </si>
  <si>
    <t>Tramitación Renovación Autorización Residencia y Trabajo ALBA IRIS SANTOS VALDEZ</t>
  </si>
  <si>
    <t>049920240003721</t>
  </si>
  <si>
    <t>Tramitación CA Inicial MATOU SAMAKE</t>
  </si>
  <si>
    <t>TASAS, nuevo contrato y traducción</t>
  </si>
  <si>
    <t>NO FAVORABLE 13/03/2024</t>
  </si>
  <si>
    <t>Z1864908G</t>
  </si>
  <si>
    <t>040020240006958</t>
  </si>
  <si>
    <t>040020240006597</t>
  </si>
  <si>
    <t>Z1854242X</t>
  </si>
  <si>
    <t>FAVORABLE 26/03/2024</t>
  </si>
  <si>
    <t>Y8436205A</t>
  </si>
  <si>
    <t>040020240006932</t>
  </si>
  <si>
    <t>030020240006821</t>
  </si>
  <si>
    <t>FAVORABLE 01/04/2024</t>
  </si>
  <si>
    <t>Tramitación Renovación Autorización derivada de arraigo formación CHARAF FANNANE</t>
  </si>
  <si>
    <t>Tramitación CA Inicial OUAFAE EL KOUAA</t>
  </si>
  <si>
    <t>TASAS, Contrato trabajo firmado</t>
  </si>
  <si>
    <t>Tramitación Renovación Autorización Residencia y Trabajo  OTMANE ZAIDA</t>
  </si>
  <si>
    <t>Z0582611A</t>
  </si>
  <si>
    <t>049920240002453</t>
  </si>
  <si>
    <t>SE HA APORTADO FACTURAS A MANO  Sep-dic 2021 y dic 2022 - febrero 2023</t>
  </si>
  <si>
    <t xml:space="preserve">FAVORABLE 26/03/2024 </t>
  </si>
  <si>
    <t>Z1848732C</t>
  </si>
  <si>
    <t>040020240006475</t>
  </si>
  <si>
    <t>FAVORABLE 03/04/2024</t>
  </si>
  <si>
    <t>NO FAVORABLE 02/04/2024</t>
  </si>
  <si>
    <t xml:space="preserve">FAVORABLE 01/04/2024 </t>
  </si>
  <si>
    <t>Z1859080H</t>
  </si>
  <si>
    <t>040020240006716</t>
  </si>
  <si>
    <t>Tramitación Reagrupación Familiar YASSINE TALBI</t>
  </si>
  <si>
    <t>Z1859376S</t>
  </si>
  <si>
    <t>040020240006756</t>
  </si>
  <si>
    <t>Z1859130E</t>
  </si>
  <si>
    <t>040020240006729</t>
  </si>
  <si>
    <t>Z1859096B</t>
  </si>
  <si>
    <t>040020240006720</t>
  </si>
  <si>
    <t>FAVORABLE 05/04/2024</t>
  </si>
  <si>
    <t>FAVORABLE 08/04/2024</t>
  </si>
  <si>
    <t>X7394795L</t>
  </si>
  <si>
    <t>C/ Ruescas, nº 31, bj</t>
  </si>
  <si>
    <t>Ruescas</t>
  </si>
  <si>
    <t>Tramitación Huella ABDERRAHIM EL KAHLAOUI Y FAMILIA</t>
  </si>
  <si>
    <t>FAVORABLE 09/04/2024</t>
  </si>
  <si>
    <t>FAVORABLE 04/04/2024</t>
  </si>
  <si>
    <t>Tramitación Arraigo Social BOUSSELHAM HBALLAK</t>
  </si>
  <si>
    <t>TASA, CONTRATO</t>
  </si>
  <si>
    <t>DANIEL HUGO</t>
  </si>
  <si>
    <t>Tramitación CA Inicial ALEXANDER JOSEPH SANCHEZ</t>
  </si>
  <si>
    <t>TASAS, medios económicos</t>
  </si>
  <si>
    <t>C/ Manuel Moreno, nº 17</t>
  </si>
  <si>
    <t>Tramitación Arraigo Social OUSMANE BERETE</t>
  </si>
  <si>
    <t>TASA, ESCRITO</t>
  </si>
  <si>
    <t>FAVORABLE 10/04/2024</t>
  </si>
  <si>
    <t>Tramitación CA Inicial YOUNESS BENCHIKH</t>
  </si>
  <si>
    <t>34866713R</t>
  </si>
  <si>
    <t>Tramitación CA Inicial CHEIKH AHMED TIDIANE SAR</t>
  </si>
  <si>
    <t>INADMISIÓN A TRÁMITE 10/04/2024</t>
  </si>
  <si>
    <t>040020240006319</t>
  </si>
  <si>
    <t>Tramitación Renovación Autorización Residencia y Trabajo IUSSUF SEIDI</t>
  </si>
  <si>
    <t>049920240004840</t>
  </si>
  <si>
    <t>Tramitación Arraigo Familiar FLOR DE MARIA PEREZ MEDINA</t>
  </si>
  <si>
    <t>040020240007546</t>
  </si>
  <si>
    <t>Z1892502K</t>
  </si>
  <si>
    <t>040020240007678</t>
  </si>
  <si>
    <t>040020240007628</t>
  </si>
  <si>
    <t>Y8233227T</t>
  </si>
  <si>
    <t>040020240007943</t>
  </si>
  <si>
    <t xml:space="preserve">FAVORABLE 09/04/2024 </t>
  </si>
  <si>
    <t xml:space="preserve">FAVORABLE 10/04/2024 </t>
  </si>
  <si>
    <t xml:space="preserve">FAVORABLE 02/04/2024 </t>
  </si>
  <si>
    <t>Z1905328J</t>
  </si>
  <si>
    <t>040020240007996</t>
  </si>
  <si>
    <t>FAVORABLE 12/04/2024</t>
  </si>
  <si>
    <t>Paraje Larache, nº 3, 1ºb</t>
  </si>
  <si>
    <t xml:space="preserve">04260 </t>
  </si>
  <si>
    <t>CHEIKHOU NDIAYE SOW</t>
  </si>
  <si>
    <t>Barriada Garrido, nº 5</t>
  </si>
  <si>
    <t>Tramitación Arraigo Social CHEIKHOU NDIAYE SOW</t>
  </si>
  <si>
    <t xml:space="preserve">TASA, PRUEBAS </t>
  </si>
  <si>
    <t>TASA, PRUEBAS, dni empresa</t>
  </si>
  <si>
    <t>FAVORABLE 16/04/2024</t>
  </si>
  <si>
    <t>Z1911341T</t>
  </si>
  <si>
    <t>040020240008122</t>
  </si>
  <si>
    <t>Z0822134G</t>
  </si>
  <si>
    <t>040020240008133</t>
  </si>
  <si>
    <t>Z1913158T</t>
  </si>
  <si>
    <t>040020240008136</t>
  </si>
  <si>
    <t>FAVORABLE 15/04/2024</t>
  </si>
  <si>
    <t>C/ Camino del Puerto, nº 26</t>
  </si>
  <si>
    <t>Tramitación Arraigo Social TANDIA BILALY</t>
  </si>
  <si>
    <t>Y7637026M</t>
  </si>
  <si>
    <t>SOLLY, MAMADOU LAMINE</t>
  </si>
  <si>
    <t>Avda. Andalucia, nº 8</t>
  </si>
  <si>
    <t>29400</t>
  </si>
  <si>
    <t>Ronda</t>
  </si>
  <si>
    <t>Tramitación Renovación Autorización Residencia y Trabajo MAMADOU LAMINE SOLLY</t>
  </si>
  <si>
    <t>299920240005363</t>
  </si>
  <si>
    <t>Tramitación Arraigo Social ABDELGHANI OURKYA</t>
  </si>
  <si>
    <t>FAVORABLE 18/04/2024</t>
  </si>
  <si>
    <t>Z1920640F</t>
  </si>
  <si>
    <t>040020240008313</t>
  </si>
  <si>
    <t>Y8275874M</t>
  </si>
  <si>
    <t>040020240008289</t>
  </si>
  <si>
    <t xml:space="preserve">BERETE, OUSMANE </t>
  </si>
  <si>
    <t xml:space="preserve">EL KAHLAOUI, ABDERRAHIM </t>
  </si>
  <si>
    <t xml:space="preserve">CABEO GARCIA, ANTONIO FRANCISCO </t>
  </si>
  <si>
    <t xml:space="preserve">SALAS SALAS, JUAN ANTONIO </t>
  </si>
  <si>
    <t xml:space="preserve">RODRIGUEZ QUERO, MARIA ANGELES </t>
  </si>
  <si>
    <t xml:space="preserve">SANCHEZ BALDWIN, DAYANA </t>
  </si>
  <si>
    <t xml:space="preserve">DIARRA, ALOU </t>
  </si>
  <si>
    <t xml:space="preserve">FERNANDEZ HINOJO, MANUEL JESUS </t>
  </si>
  <si>
    <t xml:space="preserve">PEREZ GOMEZ, MARIA JESUS </t>
  </si>
  <si>
    <t>040020240008206</t>
  </si>
  <si>
    <t>Tramitación Arraigo Social OUSSAMA LAAROUSSI</t>
  </si>
  <si>
    <t xml:space="preserve">TASA, Nuevo contrato y pruebas 2024  </t>
  </si>
  <si>
    <t>administracion@bio-alpujarra.com</t>
  </si>
  <si>
    <t>Z0847723V</t>
  </si>
  <si>
    <t>040020240008513</t>
  </si>
  <si>
    <t>Tramitación Arraigo Social ABDOULAYE DIAW</t>
  </si>
  <si>
    <t>Y8338211N</t>
  </si>
  <si>
    <t>54144397M</t>
  </si>
  <si>
    <t>MANZANO ORTEGA, JOSE DAVID</t>
  </si>
  <si>
    <t>C/ Benito Perez Galdos, nº 6, 1ºD</t>
  </si>
  <si>
    <t>Tramitación CA Inicial SAMAKE, IBRAHIM</t>
  </si>
  <si>
    <t>Tramitación CA Inicial AICHA AIT ICHOU</t>
  </si>
  <si>
    <t xml:space="preserve">TASAS, Nuevo contrato </t>
  </si>
  <si>
    <t>FAVORABLE 22/04/2024</t>
  </si>
  <si>
    <t>040020240008612</t>
  </si>
  <si>
    <t>Z1935117V</t>
  </si>
  <si>
    <t>Y8395065X</t>
  </si>
  <si>
    <t>040020240008741</t>
  </si>
  <si>
    <t>26854522K</t>
  </si>
  <si>
    <t>AREVALO FACUNDO, MARIANA DE JESUS</t>
  </si>
  <si>
    <t>C/ Buenos Aires, nº 4, 1ºB</t>
  </si>
  <si>
    <t>Tramitación Arraigo Familiar SANTOS CRISTINA FACUNDO HUAMAN</t>
  </si>
  <si>
    <t>Tramitación Arraigo Social HASSNA AIT OUDDI</t>
  </si>
  <si>
    <t>Tramitación Arraigo Social OMAR SARR</t>
  </si>
  <si>
    <t>Paraje Cerro Blanco Cortijo Apero, SN</t>
  </si>
  <si>
    <t>Tramitación CA Inicial MAGUETTE SANE</t>
  </si>
  <si>
    <t>Tramitación Renovación Autorización Residencia y Trabajo ISMAIL EL FELLAH</t>
  </si>
  <si>
    <t>049920240005030</t>
  </si>
  <si>
    <t>FAVORABLE 23/04/2024</t>
  </si>
  <si>
    <t>Tramitación Renovación Autorización Residencia y Trabajo ABDERRAZAK EL KAHLAOUI</t>
  </si>
  <si>
    <t>049920240004343</t>
  </si>
  <si>
    <t>C/ Almoravides, nº 58</t>
  </si>
  <si>
    <t>C/ Trinidad, nº 9</t>
  </si>
  <si>
    <t>692 35 07 57</t>
  </si>
  <si>
    <t>Tramitación CA Inicial OBED DAMOAH</t>
  </si>
  <si>
    <t>sonera.benzal@gmail.com</t>
  </si>
  <si>
    <t>claudiagonzalezsanchez322@gmail.com</t>
  </si>
  <si>
    <t>antoniorodriguezrodriguez1966@gmail.com</t>
  </si>
  <si>
    <t>torrespiedras2@gmail.com</t>
  </si>
  <si>
    <t>FAVORABLE 24/04/2024</t>
  </si>
  <si>
    <t>FAVORABLE 19/04/2024</t>
  </si>
  <si>
    <t>FAVORABLE 25/04/2024</t>
  </si>
  <si>
    <t>75720389L</t>
  </si>
  <si>
    <t>VARGAS RODRIGUEZ, JUAN FRANCISCO</t>
  </si>
  <si>
    <t>C/ Holanda, nº 2 2 1 F</t>
  </si>
  <si>
    <t>Tramitación Renovación Autorización derivada de arraigo formación ABDELALI ELBAYANE</t>
  </si>
  <si>
    <t>Z0665638T</t>
  </si>
  <si>
    <t>Tramitación CA Inicial OMAIMA MESIOURA</t>
  </si>
  <si>
    <t>TASAS, escritura e IVA 2024</t>
  </si>
  <si>
    <t>Z1002156M</t>
  </si>
  <si>
    <t>040020240009006</t>
  </si>
  <si>
    <t>Z1946807T</t>
  </si>
  <si>
    <t>040020240008938</t>
  </si>
  <si>
    <t>Z1946613J</t>
  </si>
  <si>
    <t>040020240008930</t>
  </si>
  <si>
    <t>Z1948190A</t>
  </si>
  <si>
    <t>040020240008984</t>
  </si>
  <si>
    <t>040020240008981</t>
  </si>
  <si>
    <t>Z1951385R</t>
  </si>
  <si>
    <t>040020240009064</t>
  </si>
  <si>
    <t>FAVORABLE 02/05/2024</t>
  </si>
  <si>
    <t>FAVORABLE 26/04/2024</t>
  </si>
  <si>
    <t>FAVORABLE 17/04/2024</t>
  </si>
  <si>
    <t>MEHDI BOHLOOLZADEH</t>
  </si>
  <si>
    <t>Camino Roquetas, nº 15, 3ºD</t>
  </si>
  <si>
    <t>bohloolzadeh@gmail.com</t>
  </si>
  <si>
    <t>Tramitación Arraigo Social ATEFEH SADEGHI</t>
  </si>
  <si>
    <t xml:space="preserve">TASA, PENALES </t>
  </si>
  <si>
    <t>Z1960463V</t>
  </si>
  <si>
    <t>040020240009261</t>
  </si>
  <si>
    <t>Tramitación CA Inicial SONKON KAMISSOKO</t>
  </si>
  <si>
    <t>Z1202359Q</t>
  </si>
  <si>
    <t xml:space="preserve">NJIE, SUWARO </t>
  </si>
  <si>
    <t>C/ Sancho Panza, nº 17 bj</t>
  </si>
  <si>
    <t>02006</t>
  </si>
  <si>
    <t>Albacete</t>
  </si>
  <si>
    <t>Tramitación Renovación Autorización derivada de arraigo formación SUWARO NJIE</t>
  </si>
  <si>
    <t>C/ De Muro, nº2</t>
  </si>
  <si>
    <t>Tramitación Arraigo Social ISMAILA JAMMEH</t>
  </si>
  <si>
    <t>TASA, CESION VIVIENDA</t>
  </si>
  <si>
    <t>Tramitación CA Inicial ASSANE FALL</t>
  </si>
  <si>
    <t>Tramitación Renovación Larga Duración-UE BELLA BAH</t>
  </si>
  <si>
    <t>Y8296023Y</t>
  </si>
  <si>
    <t>ZAHIRE, AZZ EDINE</t>
  </si>
  <si>
    <t xml:space="preserve">BAH, BELLA </t>
  </si>
  <si>
    <t xml:space="preserve">JAMMEH, ISMAILA </t>
  </si>
  <si>
    <t>Paraje La cumbre, nº 101 D</t>
  </si>
  <si>
    <t>049920240005042</t>
  </si>
  <si>
    <t>NO FAVORABLE 25/04/2024</t>
  </si>
  <si>
    <t>040020240008862</t>
  </si>
  <si>
    <t>Z1349738B</t>
  </si>
  <si>
    <t>040020240009320</t>
  </si>
  <si>
    <t>040020240009445</t>
  </si>
  <si>
    <t>040020240009543</t>
  </si>
  <si>
    <t>Y7115585C</t>
  </si>
  <si>
    <t>b04867008</t>
  </si>
  <si>
    <t>HORTITORMO, SL</t>
  </si>
  <si>
    <t>Carretera San Agustin, 9</t>
  </si>
  <si>
    <t>Tramitación Arraigo Social MAMBAYE DIOP</t>
  </si>
  <si>
    <t>Z1975276H</t>
  </si>
  <si>
    <t>040020240009703</t>
  </si>
  <si>
    <t>Tramitación Renovación Autorización derivada de arraigo formación AZZ EDDINE ZAHIRE</t>
  </si>
  <si>
    <t>040020240010031</t>
  </si>
  <si>
    <t>C/ Fresal, nº 9, 2ºC</t>
  </si>
  <si>
    <t>Tramitación Arraigo Social OGUIS NDIAYE</t>
  </si>
  <si>
    <t>TASA, tRADUCCIÓN JURADA, contrato firmado</t>
  </si>
  <si>
    <t>Plaza Francisco Molina Rodriguez, nº 7</t>
  </si>
  <si>
    <t>Tramitación Arraigo Social EL MEHDI LAMHANDI</t>
  </si>
  <si>
    <t>TASA, CIF</t>
  </si>
  <si>
    <t>LACHGAR, KHADIJA</t>
  </si>
  <si>
    <t xml:space="preserve">NDIAYE, OGUIS </t>
  </si>
  <si>
    <t xml:space="preserve">LAMHANDI ,EL MEHDI </t>
  </si>
  <si>
    <t>C/ Federico Garcia Lora, nº 22, BE</t>
  </si>
  <si>
    <t>X8528157X</t>
  </si>
  <si>
    <t>Tramitación Tarjeta independiente KHADIJA LACHGAR</t>
  </si>
  <si>
    <t>08/05/2024 REQUERIMIENTO</t>
  </si>
  <si>
    <t>Z1985190L</t>
  </si>
  <si>
    <t>040020240009927</t>
  </si>
  <si>
    <t>Z1985702W</t>
  </si>
  <si>
    <t>040020240009941</t>
  </si>
  <si>
    <t>Y8377235M</t>
  </si>
  <si>
    <t>040020240009902</t>
  </si>
  <si>
    <t>TASA, ESCRITUR</t>
  </si>
  <si>
    <t>NO FAVORABLE 02/05/2024</t>
  </si>
  <si>
    <t>FAVORABLE 07/05/2024</t>
  </si>
  <si>
    <t>FAVORABLE 06/05/2024</t>
  </si>
  <si>
    <t>PRESENTACION FUERA DE VIGENCIA TARJETA RESIDENCIA</t>
  </si>
  <si>
    <t>FAVORABLE 09/05/2024</t>
  </si>
  <si>
    <t>040020240010070</t>
  </si>
  <si>
    <t>34849001E</t>
  </si>
  <si>
    <t>ELOY AGUILERA HERNANDEZ</t>
  </si>
  <si>
    <t>C/ Piqueras, nº 9</t>
  </si>
  <si>
    <t>asesorialaboral@coprohnijar.es</t>
  </si>
  <si>
    <t>Tramitación CA Inicial AYOUB EL-HARMAOUI</t>
  </si>
  <si>
    <t>B13853601</t>
  </si>
  <si>
    <t>FRAMIAGRO, SL</t>
  </si>
  <si>
    <t>C/ Swing, nº 39</t>
  </si>
  <si>
    <t>Tramitación Renovación Autorización Residencia y Trabajo ISSAM MORID</t>
  </si>
  <si>
    <t>049920240003973</t>
  </si>
  <si>
    <t>049920240004756</t>
  </si>
  <si>
    <t>040020240010199</t>
  </si>
  <si>
    <t>040020240010217</t>
  </si>
  <si>
    <t>Z1995272G</t>
  </si>
  <si>
    <t>040020240010192</t>
  </si>
  <si>
    <t>Y7964640F</t>
  </si>
  <si>
    <t>040020240010184</t>
  </si>
  <si>
    <t>Tramitación CA Inicial MOHAMED ABAKHOUCH</t>
  </si>
  <si>
    <t>TASAS, ESCRITUR</t>
  </si>
  <si>
    <t>Z1837112S</t>
  </si>
  <si>
    <t>Z2002252S</t>
  </si>
  <si>
    <t>040020240010354</t>
  </si>
  <si>
    <t>GUEBRE, ABDOUL-SOUWAIDOU</t>
  </si>
  <si>
    <t>C/ Rosa Chacel, nº 5</t>
  </si>
  <si>
    <t>Tramitación Arraigo Social ABDOUL-SOUWAIDOU GUEBRE</t>
  </si>
  <si>
    <t>TASA, ESCRITUR, PENALES</t>
  </si>
  <si>
    <t>Tramitación CA Inicial AYA TAOUDI</t>
  </si>
  <si>
    <t>040020240010389</t>
  </si>
  <si>
    <t>FAVORABLE 13/05/2024</t>
  </si>
  <si>
    <t>FAVORABLE 14/05/2024</t>
  </si>
  <si>
    <t>049920240005595</t>
  </si>
  <si>
    <t>Tramitación Renovación Autorización Residencia y Trabajo ELHADJI MALICK SOW</t>
  </si>
  <si>
    <t>Z0661914W</t>
  </si>
  <si>
    <t>DIATTA, NOUHA</t>
  </si>
  <si>
    <t>C/ Leon Felipe, nº 14, 1º DR</t>
  </si>
  <si>
    <t>049920240005427</t>
  </si>
  <si>
    <t>Tramitación Arraigo Social MAMADOU DIOUF</t>
  </si>
  <si>
    <t>Tramitación Arraigo Social MOHAMMED LAKHDADMA</t>
  </si>
  <si>
    <t>Y7414729A</t>
  </si>
  <si>
    <t>020020240002407</t>
  </si>
  <si>
    <t>040020240010795</t>
  </si>
  <si>
    <t>Z2019728B</t>
  </si>
  <si>
    <t>040020240010853</t>
  </si>
  <si>
    <t>040020240010895</t>
  </si>
  <si>
    <t>040020240010898</t>
  </si>
  <si>
    <t>Z2018356L</t>
  </si>
  <si>
    <t>040020240010814</t>
  </si>
  <si>
    <t>FAVORABLE 20/05/2024</t>
  </si>
  <si>
    <t>FAVORABLE 17/05/2024</t>
  </si>
  <si>
    <t>NO FAVORABLE 16/05/2024</t>
  </si>
  <si>
    <t>FAVORABLE 16/05/2024</t>
  </si>
  <si>
    <t>Y0195916Q</t>
  </si>
  <si>
    <t>GIGI MAIANU</t>
  </si>
  <si>
    <t>C/ Camino viejo del faro, nº 2, bj-A</t>
  </si>
  <si>
    <t>Tramitación Certificado comunitario FAMILIA MAIANU</t>
  </si>
  <si>
    <t>B01955152</t>
  </si>
  <si>
    <t>BIOESCOBAR, S.L.</t>
  </si>
  <si>
    <t>Crta. La Mojonera, nº 126</t>
  </si>
  <si>
    <t>mcarmen.garcia@escobi.es</t>
  </si>
  <si>
    <t>Tramitación Arraigo Social LAMIN TOURAY</t>
  </si>
  <si>
    <t>TASA, ESCRITURA</t>
  </si>
  <si>
    <t>Z1947486N</t>
  </si>
  <si>
    <t>040020240008962</t>
  </si>
  <si>
    <t>Tramitación CA Inicial MUSTAPHA KRIMIA</t>
  </si>
  <si>
    <t>FAVORABLE 22/05/2024</t>
  </si>
  <si>
    <t>FAVORABLE 23/05/2024</t>
  </si>
  <si>
    <t>FAVORABLE 24/05/2024</t>
  </si>
  <si>
    <t>FAVORABLE 25/05/2024</t>
  </si>
  <si>
    <t>FAVORABLE 29/05/2024</t>
  </si>
  <si>
    <t xml:space="preserve">FAVORABLE 15/05/2024 </t>
  </si>
  <si>
    <t>Tramitación Renovación Autorización derivada de arraigo formación MOHAMMED SAMIR</t>
  </si>
  <si>
    <t>Y8378454M</t>
  </si>
  <si>
    <t>Tramitación Renovación Autorización Residencia y Trabajo MOUSSA NGOM</t>
  </si>
  <si>
    <t>049920240006172</t>
  </si>
  <si>
    <t>Tramitación CA Inicial MARIAM EL MOKADDAM</t>
  </si>
  <si>
    <t>Tramitación CA Inicial MBAREK JAMMAL</t>
  </si>
  <si>
    <t>Tramitación Renovación Autorización Residencia y Trabajo RANSFORD BASOAH</t>
  </si>
  <si>
    <t>049920240005806</t>
  </si>
  <si>
    <t>INADMISIÓN A TRÁMITE 27/05/2024</t>
  </si>
  <si>
    <t>FAVORABLE 28/05/2024</t>
  </si>
  <si>
    <t>FAVORABLE 27/05/2024</t>
  </si>
  <si>
    <t>34844196R</t>
  </si>
  <si>
    <t>GARRIDO PUERTAS, MANUEL</t>
  </si>
  <si>
    <t>BD Pujaire, nº0</t>
  </si>
  <si>
    <t xml:space="preserve">Cabo de gata </t>
  </si>
  <si>
    <t>Tramitación CA Inicial RACHID OUFATTOUL</t>
  </si>
  <si>
    <t>Z2042057F</t>
  </si>
  <si>
    <t>Z0462946F</t>
  </si>
  <si>
    <t>040020240011489</t>
  </si>
  <si>
    <t>DA COSTA, FERNANDO</t>
  </si>
  <si>
    <t>C/ Iman, nº 5</t>
  </si>
  <si>
    <t>Tramitación Renovación Autorización Residencia y Trabajo FERNANDO DA COSTA</t>
  </si>
  <si>
    <t>049920240006458</t>
  </si>
  <si>
    <t>FAVORABLE 31/05/2024</t>
  </si>
  <si>
    <t>Z2053902F</t>
  </si>
  <si>
    <t>040020240011727</t>
  </si>
  <si>
    <t>Z2051926D</t>
  </si>
  <si>
    <t>040020240011687</t>
  </si>
  <si>
    <t>NO FAVORABLE 31/05/2024</t>
  </si>
  <si>
    <t>CONCESION PROTECCION INTERNACIONAL</t>
  </si>
  <si>
    <t>FAVORABLE 03/06/2024</t>
  </si>
  <si>
    <t>FAVORABLE 04/06/2024</t>
  </si>
  <si>
    <t>Tramitación CA Inicial ZAHRA CHRIF</t>
  </si>
  <si>
    <t>TASAS, Certificado matrimonio completo</t>
  </si>
  <si>
    <t>54118226P</t>
  </si>
  <si>
    <t>MERCEDES ROMERA VILLEGAS</t>
  </si>
  <si>
    <t>Cl Dinamarca, 14</t>
  </si>
  <si>
    <t>Escrito</t>
  </si>
  <si>
    <t>Tramitación Escrito MUSTAPHA SLAITI</t>
  </si>
  <si>
    <t>Tramitación Arraigo Familiar YEUDY ANTONIO PAULINO REYNOSO</t>
  </si>
  <si>
    <t>Tramitación Reagrupación Familiar OUSSEYNOU SY</t>
  </si>
  <si>
    <t>Tramitación Reagrupación Familiar DIARRY DIACKO</t>
  </si>
  <si>
    <t xml:space="preserve">TASA + Declaracion </t>
  </si>
  <si>
    <t>Z0288489M</t>
  </si>
  <si>
    <t>SAIKOU SAMATEH</t>
  </si>
  <si>
    <t>C/ Jose Mouliaa, nº 12, 4º</t>
  </si>
  <si>
    <t>Tramitación Renovación Autorización Residencia y Trabajo SAIKOU SAMATEH</t>
  </si>
  <si>
    <t>309920240009589</t>
  </si>
  <si>
    <t>C/ Jose Bergamin, nº 2, 2ºC</t>
  </si>
  <si>
    <t>632 74 29 27</t>
  </si>
  <si>
    <t>Tramitación Renovación Autorización Residencia y Trabajo SHEIKH OMAR JALLOW</t>
  </si>
  <si>
    <t xml:space="preserve">JALLOW, SHEIKH OMAR </t>
  </si>
  <si>
    <t>040020240011832</t>
  </si>
  <si>
    <t>049920240006252</t>
  </si>
  <si>
    <t>Y6470290J</t>
  </si>
  <si>
    <t>MARICO, BASSIN</t>
  </si>
  <si>
    <t>C/ Cala Carbon, nº 4</t>
  </si>
  <si>
    <t>642 22 57 66</t>
  </si>
  <si>
    <t>Tramitación Renovación Larga Duración BASSIN MARICO</t>
  </si>
  <si>
    <t>Tramitación Arraigo Social ALPHA DIALLO</t>
  </si>
  <si>
    <t>Tramitación Arraigo Social EL FAID BOCHRA</t>
  </si>
  <si>
    <t>Cohorsan (Externo)</t>
  </si>
  <si>
    <t>COULIBALY, BAYE</t>
  </si>
  <si>
    <t>Av. Luis Buñuel, nº 132, 1ºA</t>
  </si>
  <si>
    <t>641 14 44 78</t>
  </si>
  <si>
    <t>Y6465245M</t>
  </si>
  <si>
    <t>BAKARY DIOUF</t>
  </si>
  <si>
    <t>C/ Granada, nº 11, 3ºA</t>
  </si>
  <si>
    <t>04860</t>
  </si>
  <si>
    <t>Olula del Rio</t>
  </si>
  <si>
    <t>Tramitación Reagrupación Familiar YOUSSOUPHA DIOUF</t>
  </si>
  <si>
    <t>ERIKA VANESSA GOMEZ BUITRAGO</t>
  </si>
  <si>
    <t>C/ Sol, nº 24</t>
  </si>
  <si>
    <t>30379</t>
  </si>
  <si>
    <t>Roda (murcia)</t>
  </si>
  <si>
    <t>Tramitación Arraigo Formación ERIKA VANESSA GOMEZ BUITRAGO</t>
  </si>
  <si>
    <t>TASA, INFO CURSO Y PASAPORTE COMPLETO BUENA CALIDAD</t>
  </si>
  <si>
    <t>FAVORABLE 30/05/2024</t>
  </si>
  <si>
    <t>FAVORABLE 07/06/2024</t>
  </si>
  <si>
    <t>NO FAVORABLE 03/06/2024</t>
  </si>
  <si>
    <t>Z2077669S</t>
  </si>
  <si>
    <t>040020240012271</t>
  </si>
  <si>
    <t>FAVORABLE 05/06/2024</t>
  </si>
  <si>
    <t>17483008H</t>
  </si>
  <si>
    <t>VICTOR ASENJO BLANQUE</t>
  </si>
  <si>
    <t>C/ Hierbabuena, 10</t>
  </si>
  <si>
    <t>Primera prueba válida 18/08/21</t>
  </si>
  <si>
    <t>Tramitación Renovación Autorización Residencia y Trabajo OSSAMA EL MAATI</t>
  </si>
  <si>
    <t>049920240006204</t>
  </si>
  <si>
    <t>Tramitación Autorización residencia Menor no Nacido MAHOOR BOHLOOLZADEH</t>
  </si>
  <si>
    <t>Y7116359N</t>
  </si>
  <si>
    <t>NO FAVORABLE 10/06/2024</t>
  </si>
  <si>
    <t>NO FAVORABLE 11/06/2024</t>
  </si>
  <si>
    <t>MOMODOU BALDEH</t>
  </si>
  <si>
    <t>C/ Los Motores, nº 10, bj-d</t>
  </si>
  <si>
    <t>Tramitación Arraigo Social MOMODOU BALDEH</t>
  </si>
  <si>
    <t>FAVORABLE 12/06/2024</t>
  </si>
  <si>
    <t>NO FAVORABLE 07/06/2024</t>
  </si>
  <si>
    <t>FAVORABLE 11/06/2024</t>
  </si>
  <si>
    <t>FAVORABLE 13/06/2024</t>
  </si>
  <si>
    <t>300020240014527</t>
  </si>
  <si>
    <t>NO FAVORABLE 12/06/24</t>
  </si>
  <si>
    <t>Z2103183E</t>
  </si>
  <si>
    <t>040020240012963</t>
  </si>
  <si>
    <t>Tramitación CA Inicial MOHAMED KILOULI</t>
  </si>
  <si>
    <t>Tramitación CA Inicial ALEXANDER REYES VALDEZ</t>
  </si>
  <si>
    <t>FAVORABLE 17/06/2024</t>
  </si>
  <si>
    <t>34857050K</t>
  </si>
  <si>
    <t>MORALES FERNANDEZ, MANUEL</t>
  </si>
  <si>
    <t>Carril de Cuenca, nº 8, 5ºL</t>
  </si>
  <si>
    <t>mperez@cabasc.com</t>
  </si>
  <si>
    <t>Tramitación Recurso Reposición MOURAD EL GHAZAOUI</t>
  </si>
  <si>
    <t>Z1963468D</t>
  </si>
  <si>
    <t>040020240009347</t>
  </si>
  <si>
    <t>040020240013061</t>
  </si>
  <si>
    <t>Z2110156A</t>
  </si>
  <si>
    <t>040020240013094</t>
  </si>
  <si>
    <t>Z2110087A</t>
  </si>
  <si>
    <t>040020240013092</t>
  </si>
  <si>
    <t>FAVORABLE 18/06/2024</t>
  </si>
  <si>
    <t>Tramitación CA Inicial NOREDDINE MORID</t>
  </si>
  <si>
    <t>TASAS, ARREND. E IMPUESTO SOCIEDADES</t>
  </si>
  <si>
    <t>Tramitación CA Inicial NAJIB LAMARTI</t>
  </si>
  <si>
    <t>049920240007154</t>
  </si>
  <si>
    <t>040020240014223</t>
  </si>
  <si>
    <t>Tramitación CA Inicial JAWAD BERGOUNE</t>
  </si>
  <si>
    <t>Tramitación CA Inicial CHRIF AHLAME</t>
  </si>
  <si>
    <t>Z1633652J</t>
  </si>
  <si>
    <t>Z2107967E</t>
  </si>
  <si>
    <t>Tramitación CA Inicial WISSAL AJRADA</t>
  </si>
  <si>
    <t>NO FAVORABLE 18/06/24</t>
  </si>
  <si>
    <t>NO FAVORABLE 13/06/2024</t>
  </si>
  <si>
    <t>FAVORABLE 21/06/2024</t>
  </si>
  <si>
    <t>Tramitación Renovación Autorización Residencia y Trabajo NOUHA DIATTA</t>
  </si>
  <si>
    <t>Y7931109X</t>
  </si>
  <si>
    <t xml:space="preserve">040020240013627 </t>
  </si>
  <si>
    <t xml:space="preserve"> Z2133882Q</t>
  </si>
  <si>
    <t xml:space="preserve">040020240013579 </t>
  </si>
  <si>
    <t>Y8407835S</t>
  </si>
  <si>
    <t>040020240013794</t>
  </si>
  <si>
    <t xml:space="preserve">040020240013354 </t>
  </si>
  <si>
    <t>Z2128480L</t>
  </si>
  <si>
    <t>040020240013459</t>
  </si>
  <si>
    <t>040020240013846</t>
  </si>
  <si>
    <t>FAVORABLE 26/06/2024</t>
  </si>
  <si>
    <t>040020240011441</t>
  </si>
  <si>
    <t>FAVORABLE 20/06/2024</t>
  </si>
  <si>
    <t>040020240013332</t>
  </si>
  <si>
    <t>040020240013649</t>
  </si>
  <si>
    <t>Z2155663Q</t>
  </si>
  <si>
    <t>Z2156362W</t>
  </si>
  <si>
    <t>040020240014273</t>
  </si>
  <si>
    <t>Z2162213B</t>
  </si>
  <si>
    <t>040020240014464</t>
  </si>
  <si>
    <t>FAVORABLE 01/07/2024</t>
  </si>
  <si>
    <t>Z2121863A</t>
  </si>
  <si>
    <t>Tramitación CA Inicial LILY MAGALI PACCI DOMINGUEZ</t>
  </si>
  <si>
    <t>Tramitación CA Inicial OTHMANE ZRAIDI</t>
  </si>
  <si>
    <t>Z2168267Q</t>
  </si>
  <si>
    <t>040020240014683</t>
  </si>
  <si>
    <t>040020240014682</t>
  </si>
  <si>
    <t>Z2168257Y</t>
  </si>
  <si>
    <t>040020240014685</t>
  </si>
  <si>
    <t>X9620447F</t>
  </si>
  <si>
    <t>040020240014689</t>
  </si>
  <si>
    <t>Tramitación Arraigo Social LANG CONTEH</t>
  </si>
  <si>
    <t>27232025W</t>
  </si>
  <si>
    <t>MARTIN VICENTE, JUAN</t>
  </si>
  <si>
    <t>AV. Bulevar de El Ejido, nº 164, 2ºB</t>
  </si>
  <si>
    <t>Tramitación Arraigo Social AMADOU DIOP</t>
  </si>
  <si>
    <t>Y8494208T</t>
  </si>
  <si>
    <t>X6373969W</t>
  </si>
  <si>
    <t>SERRER, MOHAMED</t>
  </si>
  <si>
    <t>C/ Soleares, nº 19, 5º2</t>
  </si>
  <si>
    <t>Tramitación Arraigo Social IZZA SALMI</t>
  </si>
  <si>
    <t>F01754332</t>
  </si>
  <si>
    <t>AGRONATURE, SCA</t>
  </si>
  <si>
    <t>C/ Chopin, nº 120</t>
  </si>
  <si>
    <t>Tramitación CA Inicial SALOUA REFAI</t>
  </si>
  <si>
    <t>jmvargas613@gmail.com</t>
  </si>
  <si>
    <t>FAVORABLE 28/06/2024</t>
  </si>
  <si>
    <t>FAVORABLE 02/07/2024</t>
  </si>
  <si>
    <t>Z2172209W</t>
  </si>
  <si>
    <t>040020240014776</t>
  </si>
  <si>
    <t>Z2169265W</t>
  </si>
  <si>
    <t>040020240014696</t>
  </si>
  <si>
    <t>Z2177101H</t>
  </si>
  <si>
    <t>040020240014908</t>
  </si>
  <si>
    <t>FAVORABLE 03/07/2024</t>
  </si>
  <si>
    <t>FAVORABLE 04/07/2024</t>
  </si>
  <si>
    <t>Z2179580J</t>
  </si>
  <si>
    <t>040020240014984</t>
  </si>
  <si>
    <t>Y3423046Q</t>
  </si>
  <si>
    <t>040020240015094</t>
  </si>
  <si>
    <t>040020240015091</t>
  </si>
  <si>
    <t>Z2183819C</t>
  </si>
  <si>
    <t>040020240015076</t>
  </si>
  <si>
    <t>FAVORABLE 05/07/2024</t>
  </si>
  <si>
    <t>049920240007191</t>
  </si>
  <si>
    <t>Tramitación Arraigo Social MOR DIENG</t>
  </si>
  <si>
    <t>TASA y penales</t>
  </si>
  <si>
    <t>TASA, informe de arraigo</t>
  </si>
  <si>
    <t>Tramitación Arraigo Social BILAL MATRANE</t>
  </si>
  <si>
    <t>Tasa y PRUEBAS 23-24</t>
  </si>
  <si>
    <t xml:space="preserve">BALDE, ALFA </t>
  </si>
  <si>
    <t>C/ Estación, nº 7, 3ºC</t>
  </si>
  <si>
    <t>Tramitación Arraigo Social ALFA VALDE</t>
  </si>
  <si>
    <t>TASA y escrito pruebas</t>
  </si>
  <si>
    <t>Tramitación Renovación Residencia Menor nacido en España MAGUETTE NGOM</t>
  </si>
  <si>
    <t>Tramitación Renovación Residencia Menor nacido en España ALIOUNE DIONE NGOM</t>
  </si>
  <si>
    <t>049920240004614</t>
  </si>
  <si>
    <t>TASA, escrito, matrimonio y doc laboral</t>
  </si>
  <si>
    <t>TASA Y ESCRITO, matrimonio y doc laboral</t>
  </si>
  <si>
    <t>049920240004818</t>
  </si>
  <si>
    <t>Tramitación Arraigo Social ADIL FANGACHI</t>
  </si>
  <si>
    <t>Tramitación Renovación Autorización Residencia y Trabajo DJAMIL DIA</t>
  </si>
  <si>
    <t>049920240007804</t>
  </si>
  <si>
    <t>CHEIKH AHMED TIDIANE DIA</t>
  </si>
  <si>
    <t>C/ El Palmeral, nº 12, 2ºD</t>
  </si>
  <si>
    <t>Tramitación Arraigo Social CHEIKH AHMED TIDIANE DIA</t>
  </si>
  <si>
    <t>tasa, dni empresa y traducción jurada</t>
  </si>
  <si>
    <t>B04825915</t>
  </si>
  <si>
    <t>AGRICULTURA INTEGRAL RAMIVAR, SL</t>
  </si>
  <si>
    <t>C/ Finlandia, nº 28</t>
  </si>
  <si>
    <t>Tramitación Arraigo Social YOUSSEF EL AZRAK</t>
  </si>
  <si>
    <t>TASA, doc empresa, contrato firmado</t>
  </si>
  <si>
    <t>Z2205573Q</t>
  </si>
  <si>
    <t>040020240015555</t>
  </si>
  <si>
    <t>Y9594675D</t>
  </si>
  <si>
    <t>040020240015529</t>
  </si>
  <si>
    <t>040020240015492</t>
  </si>
  <si>
    <t>FAVORABLE 11/07/2024</t>
  </si>
  <si>
    <t>FAVORABLE 16/07/2024</t>
  </si>
  <si>
    <t>FAVORABLE 15/07/2024</t>
  </si>
  <si>
    <t>FAVORABLE 17/07/2024</t>
  </si>
  <si>
    <t>Y8415891K</t>
  </si>
  <si>
    <t>040020240015652</t>
  </si>
  <si>
    <t>Z2209324H</t>
  </si>
  <si>
    <t>040020240015712</t>
  </si>
  <si>
    <t>040020240015650</t>
  </si>
  <si>
    <t>Z2212434T</t>
  </si>
  <si>
    <t>AGRO SODAMA, S.L.</t>
  </si>
  <si>
    <t>Tramitación Arraigo Social ALI GASSAMA</t>
  </si>
  <si>
    <t>45593866T</t>
  </si>
  <si>
    <t>C/ Arevalo, nº 6, Escalera 2, 4º A2</t>
  </si>
  <si>
    <t>Tramitación Escrito SIDIKI DIARRA y MAMADOU NDIAYE</t>
  </si>
  <si>
    <t>NO FAVORABLE 11/07/2024</t>
  </si>
  <si>
    <t>Tramitación Arraigo Social MUSTAPHA BOBB</t>
  </si>
  <si>
    <t>Y8383792F</t>
  </si>
  <si>
    <t>TASA, pruebas</t>
  </si>
  <si>
    <t>Tramitación CA Inicial MOURAD EL GHAZAOUI</t>
  </si>
  <si>
    <t>Tramitación CA Inicial AMINA YAHAYA</t>
  </si>
  <si>
    <t>TASAS, TRADUCCION MATRIMONIO</t>
  </si>
  <si>
    <t>Tramitación Renovación Autorización Residencia y Trabajo MOUSTAPHA SARR</t>
  </si>
  <si>
    <t>049920240006535</t>
  </si>
  <si>
    <t>049920240007741</t>
  </si>
  <si>
    <t xml:space="preserve">LOPEZ BARRERA, MIGUEL ANGEL </t>
  </si>
  <si>
    <t xml:space="preserve">VIÑOLO MORAL, ANTONIO JESUS </t>
  </si>
  <si>
    <t>B04718037</t>
  </si>
  <si>
    <t>RUBINSA PONIENTE, SL</t>
  </si>
  <si>
    <t>C/ San Sovino, nº 28</t>
  </si>
  <si>
    <t>Tramitación CA Inicial NABIL ABAB</t>
  </si>
  <si>
    <t>TASAS, cert matrimonio y tarduccion, ESCRITURAS, contrato firmado</t>
  </si>
  <si>
    <t>Tramitación Renovación Autorización Residencia y Trabajo ZAKARIAE LAMLIH</t>
  </si>
  <si>
    <t>75241307G</t>
  </si>
  <si>
    <t>SEGURA GIMENEZ, ISMAEL</t>
  </si>
  <si>
    <t>C/ Turquesa, nº 15</t>
  </si>
  <si>
    <t>Tramitación CA Inicial PATRICK KOFI KRAIKUE</t>
  </si>
  <si>
    <t>MARIA DANIELA MONTES GUERRERO</t>
  </si>
  <si>
    <t>C/ Ramon y Cajal, nº19</t>
  </si>
  <si>
    <t>Tramitación Arraigo Formación MARIA DANIELA MONTES GUERRERO</t>
  </si>
  <si>
    <t>Tramitación Renovación Autorización Residencia y Trabajo HAMZA AZZIA</t>
  </si>
  <si>
    <t>049920240006786</t>
  </si>
  <si>
    <t>Tramitación Renovación Autorización Residencia y Trabajo ALIOU SARR</t>
  </si>
  <si>
    <t>FAVORABLE 26/07/2024</t>
  </si>
  <si>
    <t>TASA, TRADUCCION NACIMIENTO</t>
  </si>
  <si>
    <t>Tramitación CA Inicial PATRICK OWUSU</t>
  </si>
  <si>
    <t>049920240008509</t>
  </si>
  <si>
    <t>Tramitación Arraigo Social KAMAL BOUCHALOU</t>
  </si>
  <si>
    <t>Z2275757G</t>
  </si>
  <si>
    <t>NO FAVORABLE 26/07/24</t>
  </si>
  <si>
    <t>NO FAVORABLE 24/07/24</t>
  </si>
  <si>
    <t>040020240016473</t>
  </si>
  <si>
    <t>Y6531546C</t>
  </si>
  <si>
    <t xml:space="preserve">040020240016516 </t>
  </si>
  <si>
    <t>Tramitación CA Inicial FATIMA EL HABCHI</t>
  </si>
  <si>
    <t>TASAS, informe vida laboral</t>
  </si>
  <si>
    <t>FAVORABLE 07/08/2024</t>
  </si>
  <si>
    <t>Ingenio, STP</t>
  </si>
  <si>
    <t>B04651352</t>
  </si>
  <si>
    <t>INGENIO, STP</t>
  </si>
  <si>
    <t>Av. De las cantinas, nº 2</t>
  </si>
  <si>
    <t>Tramitación CA inicial MOHAMED OUHDIROU</t>
  </si>
  <si>
    <t>Y8679631C</t>
  </si>
  <si>
    <t>Y8558629K</t>
  </si>
  <si>
    <t>Tramitación CA Inicial MOHAMED JABRI</t>
  </si>
  <si>
    <t>TASAS, Contrato arrendamiento</t>
  </si>
  <si>
    <t>77243639W</t>
  </si>
  <si>
    <t>JUAREZ PEREZ, YASMINA</t>
  </si>
  <si>
    <t>C/ Olimpiadas, nº 2, bj 1</t>
  </si>
  <si>
    <t>Tramitación CA Inicial NAJAT EL AMRANI</t>
  </si>
  <si>
    <t>TASAS, DOC EMPRESA</t>
  </si>
  <si>
    <t>Z1169669D</t>
  </si>
  <si>
    <t>TASA, INFORME VIVIENDA</t>
  </si>
  <si>
    <t>Posible denegación por medios eco. No quier presentar certificado saldo bancario</t>
  </si>
  <si>
    <t>NO FAVORABLE 22/07/2024</t>
  </si>
  <si>
    <t>FAVORABLE 02/08/2024</t>
  </si>
  <si>
    <t>040020240015486</t>
  </si>
  <si>
    <t>Tramitación Renovación Autorización Residencia y Trabajo YOUSSOUPHA DIEME</t>
  </si>
  <si>
    <t>049920240009395</t>
  </si>
  <si>
    <t>FAVORABLE 12/08/2024</t>
  </si>
  <si>
    <t>Y8352648M</t>
  </si>
  <si>
    <t>040020240017378</t>
  </si>
  <si>
    <t>TASAS, cert matrimonio orginal y pasaporte completo buena calidad</t>
  </si>
  <si>
    <t>Tramitación Renovación Larga Duración</t>
  </si>
  <si>
    <t>040020240017695</t>
  </si>
  <si>
    <t>Z2311419Q</t>
  </si>
  <si>
    <t>040020240017667</t>
  </si>
  <si>
    <t>040020240017606</t>
  </si>
  <si>
    <t>Tramitación Arraigo Social KHADIM DIOP</t>
  </si>
  <si>
    <t>040020240017618</t>
  </si>
  <si>
    <t>Tramitación Autorización Menor no nacido en España ISABELLA MONTES SALGADO</t>
  </si>
  <si>
    <t>Y6735867D</t>
  </si>
  <si>
    <t>040020240017687</t>
  </si>
  <si>
    <t>040020240017577</t>
  </si>
  <si>
    <t>040020240016992</t>
  </si>
  <si>
    <t>Z2319193Q</t>
  </si>
  <si>
    <t>040020240017821</t>
  </si>
  <si>
    <t>Z2326187H</t>
  </si>
  <si>
    <t>040020240018009</t>
  </si>
  <si>
    <t>040020240018100</t>
  </si>
  <si>
    <t>040020240017583</t>
  </si>
  <si>
    <t>Z2306630B</t>
  </si>
  <si>
    <t>040020240018097</t>
  </si>
  <si>
    <t>FAVORABLE 21/08/24</t>
  </si>
  <si>
    <t>Z2339526V</t>
  </si>
  <si>
    <t>040020240018258</t>
  </si>
  <si>
    <t>X5086678K</t>
  </si>
  <si>
    <t>040020240018272</t>
  </si>
  <si>
    <t>040020240018226</t>
  </si>
  <si>
    <t>FAVORABLE 22/08/2024</t>
  </si>
  <si>
    <t>Y8753486E</t>
  </si>
  <si>
    <t>SAMBOU, YUSUPHA</t>
  </si>
  <si>
    <t>C/ Gabriel Ciscar, nº 37, 2º</t>
  </si>
  <si>
    <t xml:space="preserve">02005 </t>
  </si>
  <si>
    <t>Tramitación Renovación Autorización Residencia y Trabajo YUSUPHA SAMBOU</t>
  </si>
  <si>
    <t>029920240002075</t>
  </si>
  <si>
    <t>Tramitación Renovación Autorización Residencia y Trabajo YANKUBA BARROW</t>
  </si>
  <si>
    <t>049920240008306</t>
  </si>
  <si>
    <t xml:space="preserve">SANCHEZ RODRIGUEZ, FELIPE </t>
  </si>
  <si>
    <t>TASAS, informe vida laboral y IRPF</t>
  </si>
  <si>
    <t>18107920C</t>
  </si>
  <si>
    <t>ANDRES MALDONADO RODRIGUEZ</t>
  </si>
  <si>
    <t>Paraje Loma de Cabriles</t>
  </si>
  <si>
    <t>Tramitación CA Inicial ISMAIL ZRIGUI</t>
  </si>
  <si>
    <t>DESC incluido precio</t>
  </si>
  <si>
    <t>TASAS, DNI EMPESARIO</t>
  </si>
  <si>
    <t>DOUDO SANE</t>
  </si>
  <si>
    <t>Tramitación Arraigo Formación DOUDO SANE</t>
  </si>
  <si>
    <t>Tramitación Renovación Residencia Larga Duración - UE ALMAMY DRAMMEH</t>
  </si>
  <si>
    <t>FAVORABLE 29/08/2024</t>
  </si>
  <si>
    <t>FAVORABLE 30/08/2024</t>
  </si>
  <si>
    <t>FAVORABLE 04/09/2024</t>
  </si>
  <si>
    <t>53708749T</t>
  </si>
  <si>
    <t>LOPEZ ORTIZ, FRANCISCO JAVIER</t>
  </si>
  <si>
    <t>C/ Fuentes, nº 3</t>
  </si>
  <si>
    <t>Tramitación CA Inicial MADI COULIBALY</t>
  </si>
  <si>
    <t>TASAS, catastro</t>
  </si>
  <si>
    <t>ZAHIRI, CHARAF</t>
  </si>
  <si>
    <t>C/ Princesa, nº 19, 5ºD</t>
  </si>
  <si>
    <t>30002</t>
  </si>
  <si>
    <t>Tramitación Arraigo Social CHARAF ZAHIRI</t>
  </si>
  <si>
    <t>Tramitación Renovación Autorización Residencia y Trabajo MANIANE DIOUCK</t>
  </si>
  <si>
    <t>049920240010124</t>
  </si>
  <si>
    <t>FAVORABLE 01/09/2024</t>
  </si>
  <si>
    <t>FAVORABLE 06/09/2024</t>
  </si>
  <si>
    <t>040020240018697</t>
  </si>
  <si>
    <t>Z2389522B</t>
  </si>
  <si>
    <t>040020240019119</t>
  </si>
  <si>
    <t>FAVORABLE 10/09/2024</t>
  </si>
  <si>
    <t>Y8497203M</t>
  </si>
  <si>
    <t>040020240019274</t>
  </si>
  <si>
    <t>040020240019133</t>
  </si>
  <si>
    <t>040020240019279</t>
  </si>
  <si>
    <t>E04833356</t>
  </si>
  <si>
    <t>BEREMAR, C.B.</t>
  </si>
  <si>
    <t>C/ Viriato, nº 4</t>
  </si>
  <si>
    <t>Tramitación CA Inicial KOUSSE ENTONIO TOUNKARA</t>
  </si>
  <si>
    <t>TASAS, Escritura, memoria</t>
  </si>
  <si>
    <t>Tramitación Arraigo Social LAMINE DIEDHIOU</t>
  </si>
  <si>
    <t>Tramitación Renovación Autorización Residencia y Trabajo EL HADJI MOUSSA THIAM</t>
  </si>
  <si>
    <t>049920240009367</t>
  </si>
  <si>
    <t>GARCIA PEREZ, JOSUE</t>
  </si>
  <si>
    <t>Tramitación Arraigo Social ANTOUMANE COULIBALY</t>
  </si>
  <si>
    <t>PAPA ANSOUMANA KEITA</t>
  </si>
  <si>
    <t>C/ Sevilla, nº 7, 2º1</t>
  </si>
  <si>
    <t>631 22 40 18</t>
  </si>
  <si>
    <t>Tramitación Arraigo Social PAPA ANSOUMANA KEITA</t>
  </si>
  <si>
    <t>Tramitación CA Inicial WIAM EL GARTITE</t>
  </si>
  <si>
    <t>Y9398473C</t>
  </si>
  <si>
    <t>AGRICOLA NAVALOP, SL</t>
  </si>
  <si>
    <t>C/ Las Lomas, nº 6</t>
  </si>
  <si>
    <t>Tramitación CA Inicial BASIR CAMARA</t>
  </si>
  <si>
    <t>Tramitación CA Inicial MOHAMMED KNIA</t>
  </si>
  <si>
    <t>77136575A</t>
  </si>
  <si>
    <t>DAVID MORALES GARCIA</t>
  </si>
  <si>
    <t>Ctra. De Malaga, nº 41, 2ºF</t>
  </si>
  <si>
    <t>Tramitación Arraigo Social CHEIKH TIDIANE CISSE</t>
  </si>
  <si>
    <t>460020240027477</t>
  </si>
  <si>
    <t>Tramitación Arraigo Social SAYDOU SIGNATE</t>
  </si>
  <si>
    <t>C/ Ceuta, nº 14, 1º2</t>
  </si>
  <si>
    <t>Tramitación Renovación Autorización Residencia y Trabajo PAPE MOUSSA DIOP</t>
  </si>
  <si>
    <t>049920240009189</t>
  </si>
  <si>
    <t xml:space="preserve">Biosabor </t>
  </si>
  <si>
    <t>Y7905315E</t>
  </si>
  <si>
    <t>FATIMA EL ABDI</t>
  </si>
  <si>
    <t>C/ Mariposa, nº 4, 1ºb</t>
  </si>
  <si>
    <t>Tramitación Renovación Autorización derivada de arraigo formación FATIMA EL ABDI</t>
  </si>
  <si>
    <t>Z2409309H</t>
  </si>
  <si>
    <t>040020240019532</t>
  </si>
  <si>
    <t>FAVORABLE 16/09/2024</t>
  </si>
  <si>
    <t>FAVORABLE 12/09/2024</t>
  </si>
  <si>
    <t>FAVORABLE 19/09/2024</t>
  </si>
  <si>
    <t>FAVORABLE 15/09/2024</t>
  </si>
  <si>
    <t>FAVORABLE 03/09/2024</t>
  </si>
  <si>
    <t>FAVORABLE 25/06/2024</t>
  </si>
  <si>
    <t>23/09//2024</t>
  </si>
  <si>
    <t>FAVORABLE 17/09/2024</t>
  </si>
  <si>
    <t>23//09/2024</t>
  </si>
  <si>
    <t>NO FAVORABLE 04/09/2024</t>
  </si>
  <si>
    <t>contratos originales YO</t>
  </si>
  <si>
    <t>NO FAVORABLE 16/09/2024</t>
  </si>
  <si>
    <t>FAVORABLE 06/06/2024</t>
  </si>
  <si>
    <t>Tramitación Renovación Larga Duración OKSANA SHETELIA</t>
  </si>
  <si>
    <t>Tramitación Renovación Autorización derivada de arraigo formación KHAIR EDDINE MARZAOUI</t>
  </si>
  <si>
    <t>Y8323156E</t>
  </si>
  <si>
    <t>Tramitación Renovación Autorización Residencia y Trabajo BASSIROU NGOM</t>
  </si>
  <si>
    <t>049920240011007</t>
  </si>
  <si>
    <t>04992024009638</t>
  </si>
  <si>
    <t>34846646J</t>
  </si>
  <si>
    <t>SANCES FERNANDEZ, MIGUEL ANTONIO</t>
  </si>
  <si>
    <t>C/ Francisco Piedra Cuadrado, nº 36</t>
  </si>
  <si>
    <t>Tramitación CA Inicial ESTHER AMPONSAH</t>
  </si>
  <si>
    <t>X5896851L</t>
  </si>
  <si>
    <t>MOUSTAGHFIR, BOUZEKRI</t>
  </si>
  <si>
    <t>C/ Buho Real, nº 15</t>
  </si>
  <si>
    <t xml:space="preserve">Tramitación Renovación Autorización derivada de arraigo formación ISMAIL AMINE </t>
  </si>
  <si>
    <t>Y9208455M</t>
  </si>
  <si>
    <t>Tramitación Renovación Autorización derivada de arraigo formación MOHAMED DAHBI</t>
  </si>
  <si>
    <t>Tramitación CA Inicial ABDELWAFI BOUMEZIANE</t>
  </si>
  <si>
    <t>040020240019753</t>
  </si>
  <si>
    <t>Y9972177N</t>
  </si>
  <si>
    <t>040020240019209</t>
  </si>
  <si>
    <t>Z2433185C</t>
  </si>
  <si>
    <t>040020240019928</t>
  </si>
  <si>
    <t>040020240019893</t>
  </si>
  <si>
    <t>Z2430064G</t>
  </si>
  <si>
    <t>040020240019888</t>
  </si>
  <si>
    <t>Z2441192T</t>
  </si>
  <si>
    <t>040020240020075</t>
  </si>
  <si>
    <t>Y8742423E</t>
  </si>
  <si>
    <t>040020240020099</t>
  </si>
  <si>
    <t>FAVORABLE 24/08/2024</t>
  </si>
  <si>
    <t>FAVORABLE 21/09/2024</t>
  </si>
  <si>
    <t>FAVORABLE 22/09/2024</t>
  </si>
  <si>
    <t>04992024010414</t>
  </si>
  <si>
    <t>FAVORABLE 23/09/2024</t>
  </si>
  <si>
    <t>049920240008062</t>
  </si>
  <si>
    <t>FAVORABLE 26/09/2024</t>
  </si>
  <si>
    <t>Y8863811Q</t>
  </si>
  <si>
    <t>040020240020203</t>
  </si>
  <si>
    <t>Y8758925X</t>
  </si>
  <si>
    <t>ELBA LILIA MARTINEZ ROJAS</t>
  </si>
  <si>
    <t>C/ Carmen, nº 23 BE</t>
  </si>
  <si>
    <t>Tramitación Arraigo Laboral ELBA LILIA MARTINEZ ROJAS</t>
  </si>
  <si>
    <t>040020240019648</t>
  </si>
  <si>
    <t>Tramitación Arraigo Social MBAYE NDOUR</t>
  </si>
  <si>
    <t>B56137581</t>
  </si>
  <si>
    <t>49920240011646</t>
  </si>
  <si>
    <t>Barfoots Iberica</t>
  </si>
  <si>
    <t>Tramitación Renovación Autorización Residencia y Trabajo DOUDO DIOUF</t>
  </si>
  <si>
    <t>Tramitación Renovación Autorización Residencia y Trabajo CHERIF IBRAHIMA DIEME</t>
  </si>
  <si>
    <t>049920240011428</t>
  </si>
  <si>
    <t>661 98 20 44</t>
  </si>
  <si>
    <t>Tramitación Renovación Autorización Residencia y Trabajo KEITA FAMAKANDING</t>
  </si>
  <si>
    <t>049920240009722</t>
  </si>
  <si>
    <t>BARFOOTS IBERICA, S.L.</t>
  </si>
  <si>
    <t>C/ Paraje La Cumbre, S/N</t>
  </si>
  <si>
    <t>B04808523</t>
  </si>
  <si>
    <t>Tramitación Número Seguridad Social SALEH KALMAOUA</t>
  </si>
  <si>
    <t>Tramitación Renovación Autorización Residencia y Trabajo AMINATA SARR</t>
  </si>
  <si>
    <t>049920240010857</t>
  </si>
  <si>
    <t>040020240020645</t>
  </si>
  <si>
    <t>Y5824617L</t>
  </si>
  <si>
    <t>Tramitación Renovación Autorización derivada de arraigo formación MALICK BA</t>
  </si>
  <si>
    <t>300020240021644</t>
  </si>
  <si>
    <t>Y8338829D</t>
  </si>
  <si>
    <t>NO FAVORABLE 03/09/2024</t>
  </si>
  <si>
    <t>NO FAVORABLE 12/09/2024</t>
  </si>
  <si>
    <t>Tramitación Arraigo Social AROUNA SEYDI</t>
  </si>
  <si>
    <t>040020240020846</t>
  </si>
  <si>
    <t>ROMERA MANZANO, JAVIER</t>
  </si>
  <si>
    <t>Tramitación Renovación Autorización Residencia y Trabajo PATRICIA ALEXANDRA GUAILLAS</t>
  </si>
  <si>
    <t>Y8660332H</t>
  </si>
  <si>
    <t>049920240004620</t>
  </si>
  <si>
    <t>Tramitación Renovación Autorización Residencia y Trabajo  HOUSSAIN BENYOUCEF</t>
  </si>
  <si>
    <t>049920240011541</t>
  </si>
  <si>
    <t>45586824L</t>
  </si>
  <si>
    <t>GARCIA HERRERO, MARIA CARMEN</t>
  </si>
  <si>
    <t>C/ Mar Egeo, nº 29</t>
  </si>
  <si>
    <t>Llanos de Vicar</t>
  </si>
  <si>
    <t>Tramitación CA Inicial ASMAE ELABDOUSSI</t>
  </si>
  <si>
    <t>Tramitación Arraigo Social CHARAF FANNANE</t>
  </si>
  <si>
    <t>049920240011053</t>
  </si>
  <si>
    <t>Tramitación Renovación Autorización Residencia y Trabajo HAYAT AIDOU</t>
  </si>
  <si>
    <t>Tramitación Renovación Autorización Residencia y Trabajo SIHAM SOUBHI</t>
  </si>
  <si>
    <t>309920240015184</t>
  </si>
  <si>
    <t>Tramitación Renovación Autorización Residencia y Trabajo MOUSTAPHA AYOUJIL</t>
  </si>
  <si>
    <t>049920240010916</t>
  </si>
  <si>
    <t>45585166V</t>
  </si>
  <si>
    <t>HERNANDEZ REDONDO, TRINIDAD MANUEL</t>
  </si>
  <si>
    <t>C/Huerta de los aros, 18</t>
  </si>
  <si>
    <t>Tramitación Renovación Autorización derivada de arraigo formación ESSHAKI LAKBIR</t>
  </si>
  <si>
    <t>Y7706074F</t>
  </si>
  <si>
    <t>X9695466T</t>
  </si>
  <si>
    <t>ORTIZ, ALESSANDRO</t>
  </si>
  <si>
    <t>Urb Torre Del Campo, nº 101 bj</t>
  </si>
  <si>
    <t>53713211T</t>
  </si>
  <si>
    <t>DOÑAS MALDONADO, MIGUEL</t>
  </si>
  <si>
    <t>C/ San Jose, nº 27</t>
  </si>
  <si>
    <t>Tramitación Recurso Reposicion Hamza Lachkar</t>
  </si>
  <si>
    <t>Z2331314Q</t>
  </si>
  <si>
    <t>040020240018125</t>
  </si>
  <si>
    <t>040020240017596</t>
  </si>
  <si>
    <t>Z2307173W</t>
  </si>
  <si>
    <t>Y8730304R</t>
  </si>
  <si>
    <t>040020240020601</t>
  </si>
  <si>
    <t>Z0272581J</t>
  </si>
  <si>
    <t>040020240020576</t>
  </si>
  <si>
    <t>Z2463724S</t>
  </si>
  <si>
    <t>040020240020570</t>
  </si>
  <si>
    <t>FAVORABLE 30/09/2024</t>
  </si>
  <si>
    <t>FAVORABLE 01/10/2024</t>
  </si>
  <si>
    <t>FAVORABLE 02/10/2024</t>
  </si>
  <si>
    <t>Y8385643H</t>
  </si>
  <si>
    <t>040020240021152</t>
  </si>
  <si>
    <t>NO FAVORABLE 02/10/2024</t>
  </si>
  <si>
    <t>X3832648C</t>
  </si>
  <si>
    <t>TBIB, BOUAZZA</t>
  </si>
  <si>
    <t>Cortijo Panadero, 0</t>
  </si>
  <si>
    <t>Tramitación Renovación Autorización derivada de arraigo formación YASSINE KASIMI</t>
  </si>
  <si>
    <t>Y8880412B</t>
  </si>
  <si>
    <t>Tramitación Renovación Autorización Residencia y Trabajo ISHAQ KOLAWOLE IMAM</t>
  </si>
  <si>
    <t>049920240009776</t>
  </si>
  <si>
    <t>049920240008376</t>
  </si>
  <si>
    <t>040020240020639</t>
  </si>
  <si>
    <t>040020240020996</t>
  </si>
  <si>
    <t>Z1025224G</t>
  </si>
  <si>
    <t>SARR, IBRAHIMA</t>
  </si>
  <si>
    <t>C/ Valdemoro, nº 1, 1ºA</t>
  </si>
  <si>
    <t>Tramitación Renovación Autorización Residencia y Trabajo IBRAHIMA SARR</t>
  </si>
  <si>
    <t>049920240012180</t>
  </si>
  <si>
    <t>613 29 39 23</t>
  </si>
  <si>
    <t>049920240009885</t>
  </si>
  <si>
    <t>VASYL SHETELIA</t>
  </si>
  <si>
    <t>Tramitación Renovación Larga Duración VASYL SHETELIA</t>
  </si>
  <si>
    <t>54121775S</t>
  </si>
  <si>
    <t>TORTOSA RODRIGUEZ, ALBA</t>
  </si>
  <si>
    <t>C/ Gloria, nº 48</t>
  </si>
  <si>
    <t>TASA, DNI EMPRESARIA</t>
  </si>
  <si>
    <t>040020240020704</t>
  </si>
  <si>
    <t>54313302K</t>
  </si>
  <si>
    <t>MALDONADO BONILLA, CRISTIAN</t>
  </si>
  <si>
    <t>Paraje Chozas de redondo</t>
  </si>
  <si>
    <t>Tramitación CA Inicial JIHAD EL MALYH</t>
  </si>
  <si>
    <t>FAVORABLE 15/10/2024</t>
  </si>
  <si>
    <t>REQUERIMIENTO 08/10/2024</t>
  </si>
  <si>
    <t>FAVORABLE 09/10/2024</t>
  </si>
  <si>
    <t>FAVORABLE 16/10/2024</t>
  </si>
  <si>
    <t>FAVORABLE 14/10/2024</t>
  </si>
  <si>
    <t>FAVORABLE 11/10/2024</t>
  </si>
  <si>
    <t>Tramitación CA Inicial NOUR EDDINE AIT BAHA</t>
  </si>
  <si>
    <t>Z2490800C</t>
  </si>
  <si>
    <t>040020240021173</t>
  </si>
  <si>
    <t>Z2505054Z</t>
  </si>
  <si>
    <t>040020240021513</t>
  </si>
  <si>
    <t>Z2508711Z</t>
  </si>
  <si>
    <t>040020240021599</t>
  </si>
  <si>
    <t>Y8427362S</t>
  </si>
  <si>
    <t>040020240021661</t>
  </si>
  <si>
    <t>040020240021966</t>
  </si>
  <si>
    <t>ARCHIVO 08/10/2024</t>
  </si>
  <si>
    <r>
      <t xml:space="preserve">Cohorsan </t>
    </r>
    <r>
      <rPr>
        <sz val="11"/>
        <color rgb="FFFF0000"/>
        <rFont val="Calibri"/>
        <family val="2"/>
      </rPr>
      <t>(Externo)</t>
    </r>
  </si>
  <si>
    <t>C/ Barrancho Hondo, nº 0</t>
  </si>
  <si>
    <t>NO FAVORABLE 16/10/2024</t>
  </si>
  <si>
    <t>Prohibición espacio Schengen 29/07/2025</t>
  </si>
  <si>
    <t>Tramitación CA Inicial SAMUEL KWADWO BOADI</t>
  </si>
  <si>
    <t>Tramitación CA Inicial ISAAC AGYEI ABO</t>
  </si>
  <si>
    <t>040020240021394</t>
  </si>
  <si>
    <t>040020240021807</t>
  </si>
  <si>
    <t>Tramitación Renovación Autorización Residencia y Trabajo SALAH ESSAYAD</t>
  </si>
  <si>
    <t>049920240012521</t>
  </si>
  <si>
    <t>Tramitación Renovación Autorización Residencia y Trabajo LUIS ALONSO CADAVID RAMIREZ</t>
  </si>
  <si>
    <t>Tramitación Renovación Autorización Residencia y Trabajo ABDERRAHIM CHAGHROUCHI</t>
  </si>
  <si>
    <t>049920240012117</t>
  </si>
  <si>
    <t>Tramitación Renovación Autorización Residencia y Trabajo LOURDES JEANETH FLORES FLORES</t>
  </si>
  <si>
    <t>049920240012648</t>
  </si>
  <si>
    <t>FAVORABLE 21/10/2024</t>
  </si>
  <si>
    <t>FAVORABLE 08/10/2024</t>
  </si>
  <si>
    <t>NO FAVORABLE 11/10/2024</t>
  </si>
  <si>
    <t>040020240022570</t>
  </si>
  <si>
    <t>040020240021014</t>
  </si>
  <si>
    <t>040020240023375</t>
  </si>
  <si>
    <t>040020240022618</t>
  </si>
  <si>
    <t>040020240022575</t>
  </si>
  <si>
    <t>Y8876049H</t>
  </si>
  <si>
    <t>040020240022629</t>
  </si>
  <si>
    <t>Tramitación Arraigo Social BACARY MENDY</t>
  </si>
  <si>
    <t>Z2540664C</t>
  </si>
  <si>
    <t xml:space="preserve">PARALIZACION 16/10/24 </t>
  </si>
  <si>
    <t>FAVORABLE 18/10/2024</t>
  </si>
  <si>
    <t>Z2546583M</t>
  </si>
  <si>
    <t>040020240022780</t>
  </si>
  <si>
    <t>Z2546418R</t>
  </si>
  <si>
    <t>040020240022774</t>
  </si>
  <si>
    <t>Tramitación Arraigo Social GUILELLY KONE</t>
  </si>
  <si>
    <t>Tramitación CA Inicial BOUTAINA ZRHIMAR</t>
  </si>
  <si>
    <t>45603126Z</t>
  </si>
  <si>
    <t>DANIEL UCLES LOPEZ</t>
  </si>
  <si>
    <t>C/ Turina, nº 2, 1ºB</t>
  </si>
  <si>
    <t>04779</t>
  </si>
  <si>
    <t>rasesoria@cabasc.com</t>
  </si>
  <si>
    <t>Tramitación CA Inicial KAOUTAR ATELTOUL</t>
  </si>
  <si>
    <t>04002040018698</t>
  </si>
  <si>
    <t>Tramitación Renovación Autorización Residencia y Trabajo VITALII KONOVALOV</t>
  </si>
  <si>
    <t>049920240012407</t>
  </si>
  <si>
    <t>34863984D</t>
  </si>
  <si>
    <t>JOSE MANUEL SALVADOR HERNANDEZ</t>
  </si>
  <si>
    <t>AV. Colonización Puebloblanco, 56</t>
  </si>
  <si>
    <t>629 63 26 79</t>
  </si>
  <si>
    <t>Tramitación Arraigo Social LASSANA DJITTE</t>
  </si>
  <si>
    <t>Tramitación Renovación Autorización Residencia y Trabajo FATIMA ZAHRA MOKHTARI</t>
  </si>
  <si>
    <t>049920240011009</t>
  </si>
  <si>
    <t>FAVORABLE 22/10/2024</t>
  </si>
  <si>
    <t>FAVORABLE 23/10/2024</t>
  </si>
  <si>
    <t>FAVORABLE 24/10/2024</t>
  </si>
  <si>
    <t>FAVORABLE 25/10/2024</t>
  </si>
  <si>
    <t>FAVORABLE 28/10/2024</t>
  </si>
  <si>
    <t>040020240019927</t>
  </si>
  <si>
    <t>FAVORABLE 29/10/2024</t>
  </si>
  <si>
    <t>040020240022971</t>
  </si>
  <si>
    <t>54118860K</t>
  </si>
  <si>
    <t>MONTES LOPEZ, JOSE ANTONIO</t>
  </si>
  <si>
    <t>C/ Sacromonte, nº 157</t>
  </si>
  <si>
    <t>Barriada los morenos, nº 4</t>
  </si>
  <si>
    <t xml:space="preserve">MBENGUE, KHADIM </t>
  </si>
  <si>
    <t>Tramitación Arraigo Social KHADIM MBENGUE</t>
  </si>
  <si>
    <t>SAWO, PADI</t>
  </si>
  <si>
    <t>C/ Rosalia, nº 16, 2ºD</t>
  </si>
  <si>
    <t>Tramitación Arraigo Social PADI SAWO</t>
  </si>
  <si>
    <t>Tramitación Arraigo Social SAMBA ONGOLU</t>
  </si>
  <si>
    <t>X7652292P</t>
  </si>
  <si>
    <t>MOUSSAOUI, HASSANE</t>
  </si>
  <si>
    <t>Avenida Lepanto, nº 42, 1ºD</t>
  </si>
  <si>
    <t>albox</t>
  </si>
  <si>
    <t>632 53 16 82</t>
  </si>
  <si>
    <t>Tramitación Renovación Autorización Residencia y Trabajo HASSANE MOUSSAOUI</t>
  </si>
  <si>
    <t>I04202402667655</t>
  </si>
  <si>
    <t>Tasa, CONTRATO</t>
  </si>
  <si>
    <t>Tramitación CA Inicial DJIGUI KEITA</t>
  </si>
  <si>
    <t>Tramitación Arraigo Social MOHAMED EL GHDIRI</t>
  </si>
  <si>
    <t>Tramitación Arraigo Social OMAR SANIBAL</t>
  </si>
  <si>
    <t>NO FAVORABLE 29/10/2024</t>
  </si>
  <si>
    <t>FAVORABLE 31/10/2024</t>
  </si>
  <si>
    <t>Z2432992B</t>
  </si>
  <si>
    <t>FAVORABLE 05/11/2024</t>
  </si>
  <si>
    <t>FAVORABLE 04/11/2024</t>
  </si>
  <si>
    <t>FAVORABLE 07/11/2024</t>
  </si>
  <si>
    <t>Tramitación Renovación Autorización Residencia y Trabajo FALLOU DIEDHIOU</t>
  </si>
  <si>
    <t>049920240012898</t>
  </si>
  <si>
    <t>YASION JCJJC, SL</t>
  </si>
  <si>
    <t>B04847406</t>
  </si>
  <si>
    <t>Tramitación Renovación Autorización Residencia y Trabajo JONES OSEI</t>
  </si>
  <si>
    <t>049920240012507</t>
  </si>
  <si>
    <t>Tramitación Renovación Autorización Residencia y Trabajo FAMARA SARR</t>
  </si>
  <si>
    <t>049920240011238</t>
  </si>
  <si>
    <t>Y9350956K</t>
  </si>
  <si>
    <t>DEAZA SANCHEZ, DEIVISON</t>
  </si>
  <si>
    <t>Cortijo Panadero, 220, bj 91</t>
  </si>
  <si>
    <t>tarjeta independiente</t>
  </si>
  <si>
    <t>Tramitación Tarjeta independiente DEIVISON DEAZA SANCHEZ</t>
  </si>
  <si>
    <t>Tramitación Renovación Autorización derivada de arraigo formación CHEIKH DRAME</t>
  </si>
  <si>
    <t>Y6460706C</t>
  </si>
  <si>
    <t>X2644108M</t>
  </si>
  <si>
    <t>LAHCEN BENACHOUNE</t>
  </si>
  <si>
    <t>Paraje La Galiana, nº 224</t>
  </si>
  <si>
    <t>Las Norias</t>
  </si>
  <si>
    <t>Tramitación Recuperación Residencia Larga Duración LAHCEN BENACHOUNE</t>
  </si>
  <si>
    <t>I04202402684359</t>
  </si>
  <si>
    <t>Tramitación Arraigo Social BALDE ALASSANE</t>
  </si>
  <si>
    <t>Tramitación Arraigo Social BALDE ALADJI MANDJAM</t>
  </si>
  <si>
    <t>Tramitación Renovación Autorización Residencia y Trabajo IBRAHIMA FAYE</t>
  </si>
  <si>
    <t>Z1022713T</t>
  </si>
  <si>
    <t>FAVORABLE 12/11/2024</t>
  </si>
  <si>
    <t>CONTRATO ORIGINAL LO TENGO YO</t>
  </si>
  <si>
    <t>Z0299111R</t>
  </si>
  <si>
    <t>DEAZA SANCHEZ, RADHAELI</t>
  </si>
  <si>
    <t>Cortijo el panadero, SN</t>
  </si>
  <si>
    <t>Tramitación Arraigo Formación RADHAELI DEAZA</t>
  </si>
  <si>
    <t>Y0143181C</t>
  </si>
  <si>
    <t>KASSIMI, SALAH</t>
  </si>
  <si>
    <t>Plaza Cerro del Almirez, nº 5</t>
  </si>
  <si>
    <t>Tramitación Renovación Autorización derivada de arraigo formación ABDELHADI HASSAR</t>
  </si>
  <si>
    <t>Z1111442H</t>
  </si>
  <si>
    <t>Tramitación CA Inicial FRANCIS ADEI FOSU</t>
  </si>
  <si>
    <t>54097791C</t>
  </si>
  <si>
    <t>EMILIO JOSE LOPEZ VILLEGAS</t>
  </si>
  <si>
    <t>C/ Oceania, nº 7</t>
  </si>
  <si>
    <t>Tramitación CA Inicial FATIMA-ZOHRA EL BOUGH</t>
  </si>
  <si>
    <t>LAHRACH, ABDELJALIL</t>
  </si>
  <si>
    <t>C/ Pastor, nº 4</t>
  </si>
  <si>
    <t>Tramitación Arraigo Social ABDELJALIL LAHRACH</t>
  </si>
  <si>
    <t>08908611K</t>
  </si>
  <si>
    <t>VAZQUEZ RODRIGUEZ, ISABEL</t>
  </si>
  <si>
    <t>C/ Dorada, nº 6</t>
  </si>
  <si>
    <t>Tramitación Arraigo Social BABACAR KADE</t>
  </si>
  <si>
    <t>FAVORABLE 19/11/2024</t>
  </si>
  <si>
    <t>FAVORABLE 13/11/2024</t>
  </si>
  <si>
    <t>FAVORABLE 18/11/2024</t>
  </si>
  <si>
    <t>049920220009070</t>
  </si>
  <si>
    <t>FAVORABLE 08/11/2024</t>
  </si>
  <si>
    <t>049920240013132</t>
  </si>
  <si>
    <t>049920240012970</t>
  </si>
  <si>
    <t>Z2618638R</t>
  </si>
  <si>
    <t>Z2616128K</t>
  </si>
  <si>
    <t>040020240024344</t>
  </si>
  <si>
    <t>Z2615536G</t>
  </si>
  <si>
    <t>040020240024070</t>
  </si>
  <si>
    <t>040020240024637</t>
  </si>
  <si>
    <t>Y8435888P</t>
  </si>
  <si>
    <t>040020240024201</t>
  </si>
  <si>
    <t>Z2626860N</t>
  </si>
  <si>
    <t>040020240024592</t>
  </si>
  <si>
    <t>Z2633255J</t>
  </si>
  <si>
    <t>040020240024748</t>
  </si>
  <si>
    <t>Z1832042M</t>
  </si>
  <si>
    <t>BRAIBER, YOUSSEF</t>
  </si>
  <si>
    <t>Cortijo uno (el), nº 207</t>
  </si>
  <si>
    <t>Tramitación Renovación Autorización derivada de arraigo formación YOUSSEF BRAIBER</t>
  </si>
  <si>
    <t>Y8952782T</t>
  </si>
  <si>
    <t>040020240024949</t>
  </si>
  <si>
    <t>Z2638612B</t>
  </si>
  <si>
    <t>040020240024928</t>
  </si>
  <si>
    <t>Y8355390X</t>
  </si>
  <si>
    <t>040020240024760</t>
  </si>
  <si>
    <t>Y9005213Z</t>
  </si>
  <si>
    <t>040020240024783</t>
  </si>
  <si>
    <t>NO FAVORABLE 12/11/2024</t>
  </si>
  <si>
    <t>No estar corriente AEAT</t>
  </si>
  <si>
    <t>040020240025041</t>
  </si>
  <si>
    <t>Z2656093N</t>
  </si>
  <si>
    <t>040020240025354</t>
  </si>
  <si>
    <t>Z2656274D</t>
  </si>
  <si>
    <t>040020240025358</t>
  </si>
  <si>
    <t>MANGARA, MOUSTAPHA</t>
  </si>
  <si>
    <t>Tramitación Arraigo Social MOUSTAPHA MANGARA</t>
  </si>
  <si>
    <t>BACHAR, SAMIR</t>
  </si>
  <si>
    <t>Prol los cazadores, nº 222</t>
  </si>
  <si>
    <t>Tramitación Arraigo Social SAMIR BACHAR</t>
  </si>
  <si>
    <t>JARJU, OUSMAN</t>
  </si>
  <si>
    <t>Tramitación Arraigo Social OUSMAN JARJU</t>
  </si>
  <si>
    <t>Tramitación Renovación Autorización Residencia y Trabajo MOHAMED ALANTI</t>
  </si>
  <si>
    <t>040020240013360</t>
  </si>
  <si>
    <t>Tramitación Renovación Autorización Residencia y Trabajo ALADJI CISSOKHO</t>
  </si>
  <si>
    <t>040020240013864</t>
  </si>
  <si>
    <t>76661771B</t>
  </si>
  <si>
    <t>AGOUZOUL TAYBI JAMAA</t>
  </si>
  <si>
    <t>Av. De la paz, nº 16, A</t>
  </si>
  <si>
    <t>Tramitación Renovación Autorización Residencia y Trabajo ABDELHAQ ELKARRAZ</t>
  </si>
  <si>
    <t>Z1127243H</t>
  </si>
  <si>
    <t>049920240012936</t>
  </si>
  <si>
    <t>STEPHANIE MICHELLE LUNA ECHEVERRIA</t>
  </si>
  <si>
    <t>Tramitación CA inicial STEPHANIE MICHELLE LUNA ECHEVERRIA</t>
  </si>
  <si>
    <t>Tramitación CA inicial SAT LA PIEDRA - NASEREDDINE AZZOUZI</t>
  </si>
  <si>
    <t>020020240006115</t>
  </si>
  <si>
    <t>Tramitación Arraigo Social SOULEYMANE SAGNA</t>
  </si>
  <si>
    <t>040020240024394</t>
  </si>
  <si>
    <t>04002024026159</t>
  </si>
  <si>
    <t>Y8710949N</t>
  </si>
  <si>
    <t>040020240025719</t>
  </si>
  <si>
    <t>Y8391733J</t>
  </si>
  <si>
    <t>040020240025715</t>
  </si>
  <si>
    <t>Z2664464B</t>
  </si>
  <si>
    <t>040020240025521</t>
  </si>
  <si>
    <t>Z2661464R</t>
  </si>
  <si>
    <t>040020240025457</t>
  </si>
  <si>
    <t>040020240025483</t>
  </si>
  <si>
    <t>NO FAVORABLE 19/11/2024</t>
  </si>
  <si>
    <t>FAVORABLE 20/11/2024</t>
  </si>
  <si>
    <t>INADMITIR A TRÁMITE 22/11/2024</t>
  </si>
  <si>
    <t>NO FAVORABLE 13/11/2024</t>
  </si>
  <si>
    <t>CONTRATO DE TRABAJO SELLADO</t>
  </si>
  <si>
    <t>040020240025330</t>
  </si>
  <si>
    <t>FAVORABLE 26/11/2024</t>
  </si>
  <si>
    <t>Tramitación Autorización Trasnacional OUSMANE BA</t>
  </si>
  <si>
    <t>460020240034348</t>
  </si>
  <si>
    <t>460020240034350</t>
  </si>
  <si>
    <t>460020240034354</t>
  </si>
  <si>
    <t>460020240034359</t>
  </si>
  <si>
    <t>Z0990066J</t>
  </si>
  <si>
    <t>20/05//1977</t>
  </si>
  <si>
    <t>Y9101687A</t>
  </si>
  <si>
    <t>040020240026400</t>
  </si>
  <si>
    <t>Y9009822T</t>
  </si>
  <si>
    <t>040020240026414</t>
  </si>
  <si>
    <t>Y9000230E</t>
  </si>
  <si>
    <t>040020240026403</t>
  </si>
  <si>
    <t>Tramitación Arraigo Social DEMBA BIAYE</t>
  </si>
  <si>
    <t>Tramitación Renovación Autorización Residencia y Trabajo MOUSSA SY</t>
  </si>
  <si>
    <t>049920240014375</t>
  </si>
  <si>
    <t>Tramitación Renovación Autorización Residencia y Trabajo LAMIN CEESAY</t>
  </si>
  <si>
    <t>049920240014094</t>
  </si>
  <si>
    <t>Tramitación Renovación Autorización Residencia y Trabajo ANSOUMANA DIEME</t>
  </si>
  <si>
    <t>049920240014241</t>
  </si>
  <si>
    <t>I04202402724894</t>
  </si>
  <si>
    <t>Tramitación Certificado Comunitario ERMELINDA MARIO MENDES PEREIRA</t>
  </si>
  <si>
    <t>Z0545880A</t>
  </si>
  <si>
    <t>BRAVO, SINDY TERESA</t>
  </si>
  <si>
    <t>C/ Malvarrosa, nº 16, 1º5</t>
  </si>
  <si>
    <t>Tramitación Arraigo Social SINDY TERESA BRAVO</t>
  </si>
  <si>
    <t>Tramitación Arraigo Social HAMZA NAJOUI</t>
  </si>
  <si>
    <t>Tramitación Renovación Autorización Residencia y Trabajo LAIS GABRIELE SILVA DOLFINO</t>
  </si>
  <si>
    <t>15428998T</t>
  </si>
  <si>
    <t>VAZQUEZ ROSALES, ALVARO</t>
  </si>
  <si>
    <t>C/ Costa Blanca, nº 34, 5º1</t>
  </si>
  <si>
    <t>Tramitación CA Inicial YAYA DOUMBIA</t>
  </si>
  <si>
    <t>049920240014024</t>
  </si>
  <si>
    <t>DIA, MODOU</t>
  </si>
  <si>
    <t>C/ Rambla, escalera 4</t>
  </si>
  <si>
    <t>Tramitación Arraigo Social MODOU DIA</t>
  </si>
  <si>
    <t>B04896759</t>
  </si>
  <si>
    <t>CARPITRANS EL PUNTAL, SL</t>
  </si>
  <si>
    <t>Barriada El Puntal, nº 1</t>
  </si>
  <si>
    <t>carpinteria_elpuntal@hotmail.com</t>
  </si>
  <si>
    <t>Tramitación CA Inicial ALEXEIN CONDE</t>
  </si>
  <si>
    <t>Tramitación Renovación Autorización Residencia y Trabajo YASMEIRY ROBLES SANTOS</t>
  </si>
  <si>
    <t>049920240014528</t>
  </si>
  <si>
    <t>Y8997483N</t>
  </si>
  <si>
    <t>DJIBA, DJIBRIL</t>
  </si>
  <si>
    <t>C/ del duende, nº 23, 4º1</t>
  </si>
  <si>
    <t>Tramitación Renovación Autorización Residencia y Trabajo DJIBRIL DJIBA</t>
  </si>
  <si>
    <t>049920240013986</t>
  </si>
  <si>
    <t>Tramitación Renovación Autorización Residencia y Trabajo BABACAR DIOUF</t>
  </si>
  <si>
    <t>049920240014133</t>
  </si>
  <si>
    <t>Tramitación Renovación Autorización Residencia y Trabajo MUSA BAH</t>
  </si>
  <si>
    <t>049920240014227</t>
  </si>
  <si>
    <t>Z0124084G</t>
  </si>
  <si>
    <t>C/ Clavel, nº 7, 12º</t>
  </si>
  <si>
    <t>Tramitación Renovación Autorización Residencia y Trabajo ALICIA MARGARITA LOPEZ LOPEZ</t>
  </si>
  <si>
    <t xml:space="preserve">LOPEZ LOPEZ, ALICIA MARGARITA </t>
  </si>
  <si>
    <t>049920240012771</t>
  </si>
  <si>
    <t>Z2705171P</t>
  </si>
  <si>
    <t>040020240026704</t>
  </si>
  <si>
    <t>FAVORABLE 27/11/2024</t>
  </si>
  <si>
    <t>FAVORABLE 29/11/2024</t>
  </si>
  <si>
    <t>FAVORABLE 14/11/2024</t>
  </si>
  <si>
    <t>FAVORABLE 28/11/2024</t>
  </si>
  <si>
    <t>NO FAVORABLE 12/12/2024</t>
  </si>
  <si>
    <t>Z2713278L</t>
  </si>
  <si>
    <t>040020240026908</t>
  </si>
  <si>
    <t>040020240025096</t>
  </si>
  <si>
    <t>Y6493191Y</t>
  </si>
  <si>
    <t>040020240026869</t>
  </si>
  <si>
    <t>Y9051921D</t>
  </si>
  <si>
    <t>040020240027101</t>
  </si>
  <si>
    <t>Por penales en España</t>
  </si>
  <si>
    <t>MBENGUE, MOR</t>
  </si>
  <si>
    <t>C/ Rio Turia, Escalera 3, nº 8 BJ 44</t>
  </si>
  <si>
    <t>612 43 51 97</t>
  </si>
  <si>
    <t>Tramitación Arraigo Social MOR MBENGUE</t>
  </si>
  <si>
    <t>Tramitación Arraigo Social MASSAMAN KONE</t>
  </si>
  <si>
    <t>Tramitación CA Inicial KAOUTAR ECHAFII</t>
  </si>
  <si>
    <t>049920240014018</t>
  </si>
  <si>
    <t>Tramitación CA Inicial AUGUSTINE HASSAN</t>
  </si>
  <si>
    <t>Tramitación Renovación Autorización Residencia y Trabajo IBRAHIMA NDOUR</t>
  </si>
  <si>
    <t>049920240014413</t>
  </si>
  <si>
    <t>FAVORABLE 12/12/2024</t>
  </si>
  <si>
    <t>Tramitación CA Inicial ABDENNABI JAOUA</t>
  </si>
  <si>
    <t>DRAME, MOUSTAPHA KEMO</t>
  </si>
  <si>
    <t>Avda. Reino de España, Escalera A, nº 26, 1º2</t>
  </si>
  <si>
    <t>672 92 09 47</t>
  </si>
  <si>
    <t>Tramitación Arraigo Social MOUSTAPHA KEMO DRAME</t>
  </si>
  <si>
    <t>TASA, traducción</t>
  </si>
  <si>
    <t>Tramitación Arraigo Social EL HADJI NIANG</t>
  </si>
  <si>
    <t>TASA, envios dinero</t>
  </si>
  <si>
    <t>Tramitación Renovación Autorización Residencia y Trabajo YAKUBU MASAWUDU</t>
  </si>
  <si>
    <t>049920240014504</t>
  </si>
  <si>
    <t>LASSAL, HICHAM</t>
  </si>
  <si>
    <t>Prol Camino de Roquetas, nº 7, 7º</t>
  </si>
  <si>
    <t>Tramitación CA Inicial HICHAM LASSAL</t>
  </si>
  <si>
    <t>049920240015016</t>
  </si>
  <si>
    <t>SISSOKO, MAKHA</t>
  </si>
  <si>
    <t>Tramitación Renovación Autorización Residencia y Trabajo MAKHA SISSOKO</t>
  </si>
  <si>
    <t>049920240014777</t>
  </si>
  <si>
    <t>040020240027113</t>
  </si>
  <si>
    <t>Z2720601M</t>
  </si>
  <si>
    <t>040020240027119</t>
  </si>
  <si>
    <t>FAVORABLE 10/12/2024</t>
  </si>
  <si>
    <t>Y8494210W</t>
  </si>
  <si>
    <t>040020240027614</t>
  </si>
  <si>
    <t>TASA, PENALES COMPLETO</t>
  </si>
  <si>
    <t>Z2744851J</t>
  </si>
  <si>
    <t>040020240027657</t>
  </si>
  <si>
    <t>B13899760</t>
  </si>
  <si>
    <t>AGRICOLA AGROMARAL, SL</t>
  </si>
  <si>
    <t>Avda. de la aduana, nº 66, 3ºb</t>
  </si>
  <si>
    <t>Tramitación CA Inicial BASMA ATTOU</t>
  </si>
  <si>
    <t>Z2746298B</t>
  </si>
  <si>
    <t>040020240027707</t>
  </si>
  <si>
    <t>FAVORABLE 17/12/2024</t>
  </si>
  <si>
    <t>NO FAVORABLE 16/12/2024</t>
  </si>
  <si>
    <t>FAVORABLE 25/11/2024</t>
  </si>
  <si>
    <t>Tramitación Renovación Autorización Residencia y Trabajo ABDOU AZIZ DIEDHIOU</t>
  </si>
  <si>
    <t>049920240015030</t>
  </si>
  <si>
    <t>AKWASI COMPANY, EVANS</t>
  </si>
  <si>
    <t>C/ Martin de Goiti, nº 1</t>
  </si>
  <si>
    <t>Tramitación Arraigo Social EVANS AKWASI COMPANY</t>
  </si>
  <si>
    <t>BOATENG, CHARITY</t>
  </si>
  <si>
    <t>Cortijo Los Morenos, 31, bj 227</t>
  </si>
  <si>
    <t>Tramitación Arraigo Social CHARITY BOATENG</t>
  </si>
  <si>
    <t>18107900T</t>
  </si>
  <si>
    <t>PADILLA SANTIAGO, MIGUEL ANGEL</t>
  </si>
  <si>
    <t>27523396D</t>
  </si>
  <si>
    <t>GUERRERO GARCIA, MANUEL</t>
  </si>
  <si>
    <t>Cortijo Los Pelaos, sn</t>
  </si>
  <si>
    <t>Tramitación Renovación Autorización derivada de arraigo formación EL BACHIR FATEH</t>
  </si>
  <si>
    <t>Tramitación Arraigo Social YOUSSEF LOUBBAIZ</t>
  </si>
  <si>
    <t>Y7540305E</t>
  </si>
  <si>
    <t>GOMEZ MALDONADO, ANA BELEN</t>
  </si>
  <si>
    <t>Av 28 de febrero, nº 60</t>
  </si>
  <si>
    <t>Tramitación Renovación Autorización derivada de arraigo formación YOUSSEF BOULMAIZE</t>
  </si>
  <si>
    <t>Y9089703W</t>
  </si>
  <si>
    <t>KEITA, ADAMA</t>
  </si>
  <si>
    <t>Avda. Luis Buñuel, Portal 2, nº 132 1ºA</t>
  </si>
  <si>
    <t>Tramitación Arraigo Social ADAMA KEITA</t>
  </si>
  <si>
    <t>TASA, TRADUCCION PENALES</t>
  </si>
  <si>
    <t>X6703116L</t>
  </si>
  <si>
    <t>LEGHRIB, EL HABIB</t>
  </si>
  <si>
    <t>Avda. Mediterraneo, bloque 3, nº 50, 4º5</t>
  </si>
  <si>
    <t>Tramitación Reagrupación Familiar BOUCHRA EL HADDAJ</t>
  </si>
  <si>
    <t>TASA, SANITARIA Y ACTA NOTARIAL</t>
  </si>
  <si>
    <t>Tramitación Reagrupación Familiar ASSIA LEGHRIB</t>
  </si>
  <si>
    <t>Tramitación Reagrupación Familiar ADNANE LEGHRIB</t>
  </si>
  <si>
    <t>049920240015445</t>
  </si>
  <si>
    <t>PRATS SANCHEZ, PEDRO ESTIVEN</t>
  </si>
  <si>
    <t>C/ Churre, nº 53, 1º9</t>
  </si>
  <si>
    <t>Tramitación Tarjeta Independiente Pedro Estiven Prats Sanchez</t>
  </si>
  <si>
    <t>TASAS, APOSTILLA PENALES</t>
  </si>
  <si>
    <r>
      <t xml:space="preserve">Tramitación Llamamiento Contingente 2024 </t>
    </r>
    <r>
      <rPr>
        <b/>
        <sz val="11"/>
        <rFont val="Calibri"/>
        <family val="2"/>
      </rPr>
      <t>NAOUAL EL HINDI</t>
    </r>
  </si>
  <si>
    <r>
      <t xml:space="preserve">Tramitación Llamamiento Contingente 2024 </t>
    </r>
    <r>
      <rPr>
        <b/>
        <sz val="11"/>
        <rFont val="Calibri"/>
        <family val="2"/>
      </rPr>
      <t>RACHIDA CHOUARI</t>
    </r>
  </si>
  <si>
    <r>
      <t xml:space="preserve">Tramitación Llamamiento Contingente 2024 </t>
    </r>
    <r>
      <rPr>
        <b/>
        <sz val="11"/>
        <rFont val="Calibri"/>
        <family val="2"/>
      </rPr>
      <t>FATNA REBBAA</t>
    </r>
  </si>
  <si>
    <r>
      <t xml:space="preserve">Tramitación Llamamiento Contingente 2024 </t>
    </r>
    <r>
      <rPr>
        <b/>
        <sz val="11"/>
        <rFont val="Calibri"/>
        <family val="2"/>
      </rPr>
      <t>FATIMA EL KAFAZ</t>
    </r>
  </si>
  <si>
    <r>
      <t>Tramitación Llamamiento Contingente 2024</t>
    </r>
    <r>
      <rPr>
        <b/>
        <sz val="11"/>
        <rFont val="Calibri"/>
        <family val="2"/>
      </rPr>
      <t xml:space="preserve"> FATIMA OULD KAH</t>
    </r>
  </si>
  <si>
    <t>FAVORABLE 15/12/2024</t>
  </si>
  <si>
    <t>Z2763601H</t>
  </si>
  <si>
    <t>040020240028207</t>
  </si>
  <si>
    <t>Z2767697C</t>
  </si>
  <si>
    <t>040020240028341</t>
  </si>
  <si>
    <t>Z2763713S</t>
  </si>
  <si>
    <t>040020240028213</t>
  </si>
  <si>
    <t>Z2763002V</t>
  </si>
  <si>
    <t>040020240028190</t>
  </si>
  <si>
    <t>Y7479203P</t>
  </si>
  <si>
    <t>040020240028155</t>
  </si>
  <si>
    <t>Z1724776B</t>
  </si>
  <si>
    <t>040020240028444</t>
  </si>
  <si>
    <t>Z2770157L</t>
  </si>
  <si>
    <t>040020240028432</t>
  </si>
  <si>
    <t>Z2769992S</t>
  </si>
  <si>
    <t>040020240028422</t>
  </si>
  <si>
    <t>Z2774956B</t>
  </si>
  <si>
    <t>040020240028540</t>
  </si>
  <si>
    <t>Z2775080C</t>
  </si>
  <si>
    <t>040020240028545</t>
  </si>
  <si>
    <t>Z2775033L</t>
  </si>
  <si>
    <t>040020240028543</t>
  </si>
  <si>
    <t>040020240028565</t>
  </si>
  <si>
    <t>Z1727077N</t>
  </si>
  <si>
    <t>040020240028537</t>
  </si>
  <si>
    <t>Z2774933B</t>
  </si>
  <si>
    <t>040020240028539</t>
  </si>
  <si>
    <t>Tramitación Renovación Autorización derivada de arraigo formación LAHOUCINE KARIMI</t>
  </si>
  <si>
    <t>Z0851448Q</t>
  </si>
  <si>
    <t>Z1618363L</t>
  </si>
  <si>
    <t>CORTES, HUEJE, OSCAR HERNANDO</t>
  </si>
  <si>
    <t>Avda. Pio XII, nº 1, 2ºA</t>
  </si>
  <si>
    <t>Tramitación Arraigo Social OSCAR HERNANDO CORTES HUEJE</t>
  </si>
  <si>
    <t>27268407K</t>
  </si>
  <si>
    <t>BENAVIDES ROMAN, ENRIQUE</t>
  </si>
  <si>
    <t>Cl Rambla de las Cruces, nº 62, 1º</t>
  </si>
  <si>
    <t>Tramitación Renovación Autorización derivada de arraigo formación YOUSSEF AIT HSAINE</t>
  </si>
  <si>
    <t>Z1588999A</t>
  </si>
  <si>
    <t>Tramitación CA Inicial HABIBA SAHLI</t>
  </si>
  <si>
    <t>23306393X</t>
  </si>
  <si>
    <t>RAMON ALEJANDRO VALLE CASTILLO</t>
  </si>
  <si>
    <t>C/ Chuecos, nº 5, 1ºC</t>
  </si>
  <si>
    <t>Tramitación Arraigo Familiar Jose David Valle Castillo</t>
  </si>
  <si>
    <t>TASA, envios dinero y empadronamiento colectivo</t>
  </si>
  <si>
    <t>SANMIGUEL VALDERRAMA, ANDRES FELIPE</t>
  </si>
  <si>
    <t>C/ San Leonard, nº 1, 4ºB</t>
  </si>
  <si>
    <t>Tramitación Arraigo Social ANDRES FELIPE SANMIGUEL VALDERRAMA</t>
  </si>
  <si>
    <t>ANSU, EVANS KWASI</t>
  </si>
  <si>
    <t>C/ China, nº 1, 1º</t>
  </si>
  <si>
    <t>Tramitación Arraigo Social EVANS KWASI ANSU</t>
  </si>
  <si>
    <t>Tramitación Renovación Autorización Residencia y Trabajo MUSTAPHA ECH-CHAYEB</t>
  </si>
  <si>
    <t>049920240014214</t>
  </si>
  <si>
    <t>Camino Depositos, nº 66, 1ºJ</t>
  </si>
  <si>
    <t>Tramitación Renovación Autorización Residencia y Trabajo IBRAHIMA JARJU</t>
  </si>
  <si>
    <t>049920240014290</t>
  </si>
  <si>
    <t>HACER FACTURA</t>
  </si>
  <si>
    <t>Tramitación Renovación Autorización Residencia y Trabajo FALLOU NGOM</t>
  </si>
  <si>
    <t>049920240014981</t>
  </si>
  <si>
    <t>Tramitación CA Inicial KHADIJA OUAALIJAN</t>
  </si>
  <si>
    <t>Y9131576S</t>
  </si>
  <si>
    <t>040020240028903</t>
  </si>
  <si>
    <t>FAVORABLE 07/01/2025</t>
  </si>
  <si>
    <t>049920240013250</t>
  </si>
  <si>
    <t>FAVORABLE 30/12/2024</t>
  </si>
  <si>
    <t>FAVORABLE 26/12/2024</t>
  </si>
  <si>
    <t>Tramitación Renovación Autorización Residencia y Trabajo MODOU DIAGNE</t>
  </si>
  <si>
    <t>049920240015694</t>
  </si>
  <si>
    <t>FAVORABLE 03/01/2025</t>
  </si>
  <si>
    <t>Tramitación Renovación Autorización Residencia y Trabajo BARA NDIAYE</t>
  </si>
  <si>
    <t>049920240015765</t>
  </si>
  <si>
    <t>049920240014252</t>
  </si>
  <si>
    <t>Tramitación CA Inicial HAJAR BENDAQA</t>
  </si>
  <si>
    <t>049920240014992</t>
  </si>
  <si>
    <t>Tramitación Renovación Larga Duración OTHMANE EN-NEJAIY</t>
  </si>
  <si>
    <t>Tramitación Renovación Autorización Residencia y Trabajo ILIASS EL FACHTALI</t>
  </si>
  <si>
    <t>Tramitación Renovación Autorización Residencia y Trabajo MAJDA NHIJI</t>
  </si>
  <si>
    <t>049920240013577</t>
  </si>
  <si>
    <t>FAVORABL10/01/2025</t>
  </si>
  <si>
    <t>Z2801106X</t>
  </si>
  <si>
    <t>040020240028950</t>
  </si>
  <si>
    <t>Z2803249Z</t>
  </si>
  <si>
    <t>040020240028984</t>
  </si>
  <si>
    <t>040020240028988</t>
  </si>
  <si>
    <t>040020250000407</t>
  </si>
  <si>
    <t>Externo (Fetek)</t>
  </si>
  <si>
    <t>X9060958Q</t>
  </si>
  <si>
    <t>HICHAM EL HANAFY</t>
  </si>
  <si>
    <t>Cortijo Acebuchal, nº 41 BJ</t>
  </si>
  <si>
    <t>Tramitación CA Inicial ACHRAF ARABI</t>
  </si>
  <si>
    <t>Y1507522R</t>
  </si>
  <si>
    <t>KA, BASSIROU</t>
  </si>
  <si>
    <t>C/ agua, nº 3</t>
  </si>
  <si>
    <t>641 34 44 21</t>
  </si>
  <si>
    <t>Tramitación Cancelación Penales Bassirou Ka</t>
  </si>
  <si>
    <t>B16473878</t>
  </si>
  <si>
    <t>BIOMARLAU, SL</t>
  </si>
  <si>
    <t>Paraje Tristanes</t>
  </si>
  <si>
    <t>Tramitación Arraigo Social PAULA ANDREA LOPEZ HERNANDEZ</t>
  </si>
  <si>
    <t>TASA, ESCRITURA, DNI, CIF, DINERO</t>
  </si>
  <si>
    <t>Tramitación Arraigo Social OUSMANE CISSE</t>
  </si>
  <si>
    <t>Tramitación Renovación Autorización Residencia y Trabajo MOHAMMED ZARRAA</t>
  </si>
  <si>
    <t>049920240014573</t>
  </si>
  <si>
    <t>FAVORABLE 15/01/2025</t>
  </si>
  <si>
    <t>FAVORABLE 10/01/2025</t>
  </si>
  <si>
    <t>FAVORABLE 16/01/2025</t>
  </si>
  <si>
    <t>Z2824934X</t>
  </si>
  <si>
    <t>040020250000466</t>
  </si>
  <si>
    <t>Z0559552J</t>
  </si>
  <si>
    <t>040020250000468</t>
  </si>
  <si>
    <t>Tramitación Arraigo Social SIDIKI NAMOKO</t>
  </si>
  <si>
    <t>Z2828341J</t>
  </si>
  <si>
    <t>040020250000562</t>
  </si>
  <si>
    <t>040020250000450</t>
  </si>
  <si>
    <t>Tramitación CA Inicial ASSETOU DIANY</t>
  </si>
  <si>
    <t>NO FAVORABLE 16/01/2025</t>
  </si>
  <si>
    <t>Z2838096Q</t>
  </si>
  <si>
    <t>040020250000802</t>
  </si>
  <si>
    <t>040020250000846</t>
  </si>
  <si>
    <t>040020250000851</t>
  </si>
  <si>
    <t>X6767288K</t>
  </si>
  <si>
    <t>BOUZEKRI ABOUNNAIM</t>
  </si>
  <si>
    <t>Paraje Las Capitanas</t>
  </si>
  <si>
    <t>Tramitación Renovación Autorización Residencia y Trabajo RACHID FAJOUI</t>
  </si>
  <si>
    <t>Z0886191Y</t>
  </si>
  <si>
    <t>049920240016101</t>
  </si>
  <si>
    <t>040020250001071</t>
  </si>
  <si>
    <t>Tramitación CA Inicial MOUNIR FIDAH</t>
  </si>
  <si>
    <t>Tramitación CA Inicial M'HAMMED HARRAQ</t>
  </si>
  <si>
    <t>Tramitación Arraigo Social ABDOU KOUNTA NDIAYE</t>
  </si>
  <si>
    <t>X4945448B</t>
  </si>
  <si>
    <t>GREISET BENETT BENITEZ</t>
  </si>
  <si>
    <t>C/ Polonia, nº 5 A01 A</t>
  </si>
  <si>
    <t>622 19 85 13</t>
  </si>
  <si>
    <t>Tramitación Renovación Autorización Residencia y Trabajo MAROUANE REZZOUK</t>
  </si>
  <si>
    <t>189920240008689</t>
  </si>
  <si>
    <t>Tramitación Renovación Autorización Residencia y Trabajo EL MONTASSER AGHMIR</t>
  </si>
  <si>
    <t>049920240015911</t>
  </si>
  <si>
    <t>Tramitación Renovación Autorización Residencia y Trabajo ABDOU KARIM DIOP</t>
  </si>
  <si>
    <t>049920250000132</t>
  </si>
  <si>
    <t>Tramitación Renovación Autorización Residencia y Trabajo MAKHOUDIA DIOUF</t>
  </si>
  <si>
    <t>049920250000085</t>
  </si>
  <si>
    <t>049920250000262</t>
  </si>
  <si>
    <t>Tramitación Renovación Autorización Residencia y Trabajo IBRAHIM MOURABIT</t>
  </si>
  <si>
    <t>049920240016153</t>
  </si>
  <si>
    <t>Entinas Park</t>
  </si>
  <si>
    <t>Tramitación Renovación Autorización Residencia y Trabajo HASIM SUFIYANI</t>
  </si>
  <si>
    <t>049920240016466</t>
  </si>
  <si>
    <t>049920250000339</t>
  </si>
  <si>
    <t>Tramitación Renovación Autorización Residencia y Trabajo FALLIN TAMBA</t>
  </si>
  <si>
    <t>Tramitación Renovación Autorización Residencia y Trabajo ABDOURAHMANE GUEYE</t>
  </si>
  <si>
    <t>049920240016114</t>
  </si>
  <si>
    <t>CAMARA, MAMADOU</t>
  </si>
  <si>
    <t>Av. Luis Buñuel, portal 2</t>
  </si>
  <si>
    <t>13/012/1999</t>
  </si>
  <si>
    <t>Tramitación Renovación Autorización Residencia y Trabajo HAMED KEITA</t>
  </si>
  <si>
    <t>049920240012191</t>
  </si>
  <si>
    <t>Tramitación Arraigo Social ABDELOUAHED ZAY</t>
  </si>
  <si>
    <t>Y8410331G</t>
  </si>
  <si>
    <t>TASA, JUSTIFICANTES NOMINAS</t>
  </si>
  <si>
    <t>FAVORABLE 22/01/2025</t>
  </si>
  <si>
    <t>Tramitación CA Inicial FATOUMATA TUNKARA</t>
  </si>
  <si>
    <t>TASAS, traducción, iva 2024</t>
  </si>
  <si>
    <t>Y9785325N</t>
  </si>
  <si>
    <t>040020250000969</t>
  </si>
  <si>
    <t>Y9124032S</t>
  </si>
  <si>
    <t>040020250000974</t>
  </si>
  <si>
    <t>Z2852886V</t>
  </si>
  <si>
    <t>040020250001120</t>
  </si>
  <si>
    <t>Y9409350H</t>
  </si>
  <si>
    <t>040020250001122</t>
  </si>
  <si>
    <t>FAVORABLE 17/01/2025</t>
  </si>
  <si>
    <t>Y9114471E</t>
  </si>
  <si>
    <t>040020250001189</t>
  </si>
  <si>
    <t>FAVORABLE 21/01/2025</t>
  </si>
  <si>
    <t>23/01/2025 Traslado expediente a OEX Almería</t>
  </si>
  <si>
    <t>FAVORABLE 24/01/2025</t>
  </si>
  <si>
    <t>FAVORABLE 23/01/2025</t>
  </si>
  <si>
    <t>FAVORABLE 28/01/2025</t>
  </si>
  <si>
    <t>Tramitación Renovación Autorización derivada de arraigo formación MOHAMED MANSORI</t>
  </si>
  <si>
    <t>Y8879322W</t>
  </si>
  <si>
    <t>Tramitación Renovación Autorización Residencia y Trabajo BABACAR MBAYE</t>
  </si>
  <si>
    <t>049920250000240</t>
  </si>
  <si>
    <t>049920250015509</t>
  </si>
  <si>
    <t>Bioescobar SL</t>
  </si>
  <si>
    <t xml:space="preserve">FANGACHI, ABDELILLLAH </t>
  </si>
  <si>
    <t>C/ Leon Felipe, nº 18, 1º dch</t>
  </si>
  <si>
    <t>Tramitación Arraigo Social ABDELILLAH FANGACHI</t>
  </si>
  <si>
    <t>VALDI-FRUIT, SCA</t>
  </si>
  <si>
    <t>C/ Galiana, 26</t>
  </si>
  <si>
    <t>Tramitación CA Inicial LATIFA BOURASS</t>
  </si>
  <si>
    <t>Z1929749P</t>
  </si>
  <si>
    <t>Tramitación Renovación Autorización Residencia y Trabajo MAODO GUEYE</t>
  </si>
  <si>
    <t>049920250000614</t>
  </si>
  <si>
    <t>300020250000073</t>
  </si>
  <si>
    <t>23721801S</t>
  </si>
  <si>
    <t>MARTIN ROMERO, MARIA</t>
  </si>
  <si>
    <t>C/ Arenas, 45</t>
  </si>
  <si>
    <r>
      <t xml:space="preserve">Tramitación CA Inicial </t>
    </r>
    <r>
      <rPr>
        <b/>
        <sz val="11"/>
        <rFont val="Calibri"/>
        <family val="2"/>
      </rPr>
      <t xml:space="preserve">GHIZLANE ERRAI </t>
    </r>
  </si>
  <si>
    <t xml:space="preserve">TASAS, Medios eco. </t>
  </si>
  <si>
    <t>Z2802701H</t>
  </si>
  <si>
    <t>040020240026870</t>
  </si>
  <si>
    <t>Z2885932N</t>
  </si>
  <si>
    <t>040020250001814</t>
  </si>
  <si>
    <t>Z2201060B</t>
  </si>
  <si>
    <t>040020250001848</t>
  </si>
  <si>
    <t>040020250001978</t>
  </si>
  <si>
    <t>FAVORABLE 30/01/2025</t>
  </si>
  <si>
    <t>Tramitación Renovación Autorización Residencia y Trabajo ABDOUL KARIM DANSOKO</t>
  </si>
  <si>
    <t>Z14647348R</t>
  </si>
  <si>
    <t>049920250000966</t>
  </si>
  <si>
    <t>FAVORABLE 31/01/2025</t>
  </si>
  <si>
    <t>Tramitación Renovación Autorización derivada de arraigo formación LAWRENTA ANTHONY</t>
  </si>
  <si>
    <t>049920240015923</t>
  </si>
  <si>
    <t>FAVORABLE 03/02/2025</t>
  </si>
  <si>
    <t>049920240011665</t>
  </si>
  <si>
    <t>FAVORABLE 29/01/2025</t>
  </si>
  <si>
    <t>ARCHIVO 06/02/2025</t>
  </si>
  <si>
    <t>Z2899334M</t>
  </si>
  <si>
    <t>040020250002132</t>
  </si>
  <si>
    <t>049920240013540</t>
  </si>
  <si>
    <t>FAVORABLE 04/02/2025</t>
  </si>
  <si>
    <t>049920240012770</t>
  </si>
  <si>
    <t>Tramitación Renovación Autorización Residencia y Trabajo ABDUL WALIYU YAHAYA</t>
  </si>
  <si>
    <t>049920240016059</t>
  </si>
  <si>
    <t>Y8718797V</t>
  </si>
  <si>
    <t>040020250002227</t>
  </si>
  <si>
    <t>631 42 84 07</t>
  </si>
  <si>
    <t>B04452660</t>
  </si>
  <si>
    <t>GABRIEL ESCOBAR, SLU</t>
  </si>
  <si>
    <t>Crta. La Mojonera, 126</t>
  </si>
  <si>
    <t>Tramitación CA Inicial ILYAS BENGHANEM</t>
  </si>
  <si>
    <t>Tramitación CA Inicial ILHAM CHAHID</t>
  </si>
  <si>
    <t>049920250000185</t>
  </si>
  <si>
    <t>Tramitación Renovación Autorización derivada de arraigo formación OTHMAN SALIMI</t>
  </si>
  <si>
    <t>040020250002046</t>
  </si>
  <si>
    <t>PARDO SANCHEZ, CARMEN DOLORES</t>
  </si>
  <si>
    <t>LG Cortijo Los Cespedes, 0</t>
  </si>
  <si>
    <t>Tramitación Renovación Autorización derivada de arraigo formación AZ EDDINE ATTI</t>
  </si>
  <si>
    <t>Z1650273M</t>
  </si>
  <si>
    <t>Tramitación CA Inicial SIRIMAN DIAKITE</t>
  </si>
  <si>
    <t>Z2911353H</t>
  </si>
  <si>
    <t>040020250002502</t>
  </si>
  <si>
    <t>FAVORABLE 10/02/2025</t>
  </si>
  <si>
    <t>Z1909405L</t>
  </si>
  <si>
    <t>040020250002506</t>
  </si>
  <si>
    <t>FAVORABLE 07/02/2025</t>
  </si>
  <si>
    <t>Y7928965M</t>
  </si>
  <si>
    <t>ETTAAZI, BOUCHRA</t>
  </si>
  <si>
    <t>C/ Barranco del Caño, nº 9, be</t>
  </si>
  <si>
    <t>Tramitación Renovación Autorización derivada de arraigo formación BOUCHRA ETTAAZI</t>
  </si>
  <si>
    <t>040020250002739</t>
  </si>
  <si>
    <t>54199251G</t>
  </si>
  <si>
    <t>MARTINEZ GARCIA, ALEJANDRO</t>
  </si>
  <si>
    <t>C/ Pozoblanco, nº 25</t>
  </si>
  <si>
    <t>Tramitación Arraigo Social IBRAHIMA DIARRA</t>
  </si>
  <si>
    <t>Z2913648J</t>
  </si>
  <si>
    <t>040020250002554</t>
  </si>
  <si>
    <t>78037494N</t>
  </si>
  <si>
    <t>ANTEQUERA ORTIZ, ANA MARIA</t>
  </si>
  <si>
    <t>C/ Tales de Mileto</t>
  </si>
  <si>
    <t>Tramitación CA Inicial ABDELHAQ EL FELLAH</t>
  </si>
  <si>
    <t>TASAS, DNI y CONTRATO</t>
  </si>
  <si>
    <t>Tramitación CA Inicial EBENEZER BAE BUSIA</t>
  </si>
  <si>
    <t>Tramitación CA Inicial HAMZA EL HARRAS</t>
  </si>
  <si>
    <t>FAVORABLE 11/02/2025</t>
  </si>
  <si>
    <t>Tramitación CA Inicial AZZEDDINE EL HAOUZI</t>
  </si>
  <si>
    <t>Tramitación Renovación Autorización Residencia y Trabajo EL HADJI MALICK GAYE</t>
  </si>
  <si>
    <t>049920250000575</t>
  </si>
  <si>
    <t>049920250000885</t>
  </si>
  <si>
    <t>040020250000636</t>
  </si>
  <si>
    <t>FAVORABLE 12/02/2025</t>
  </si>
  <si>
    <t>040020250002350</t>
  </si>
  <si>
    <t>FAVORABLE 06/02/2025</t>
  </si>
  <si>
    <t>049920250000104</t>
  </si>
  <si>
    <t>X8567112A</t>
  </si>
  <si>
    <t>ATTI, KAMAL</t>
  </si>
  <si>
    <t>C/ San Mateo, nº 7, 2º1</t>
  </si>
  <si>
    <t>Tramitación Residencia Menor nacido en España GHALI ATTI</t>
  </si>
  <si>
    <t>TASA, solicitud domicilio</t>
  </si>
  <si>
    <t>Tramitación Renovación Autorización Residencia y Trabajo SISA PACARI ANDRADE JAPON</t>
  </si>
  <si>
    <t>049920250000117</t>
  </si>
  <si>
    <t>administracion@cohorsan.com</t>
  </si>
  <si>
    <t>Tramitación Renovación Autorización Residencia y Trabajo SAMBA KEITA</t>
  </si>
  <si>
    <t>049920250001646</t>
  </si>
  <si>
    <t>Tramitación Renovación Autorización Residencia y Trabajo YANKOUBA MANCAL</t>
  </si>
  <si>
    <t>049920250001637</t>
  </si>
  <si>
    <t>TASAS, IVA 2024</t>
  </si>
  <si>
    <t>OPPONG, THOMAS</t>
  </si>
  <si>
    <t>C/ Antonio Canovas, nº 11, 6ºC</t>
  </si>
  <si>
    <t>50004</t>
  </si>
  <si>
    <t>Zaragoza</t>
  </si>
  <si>
    <t>Tramitación Arraigo Social THOMAS OPPONG</t>
  </si>
  <si>
    <t>TASA, CONTRATO NUEVO FIRMADO</t>
  </si>
  <si>
    <t>INADMISIÓN 06/02/2025</t>
  </si>
  <si>
    <t>X5250823S</t>
  </si>
  <si>
    <t>KAMA, DIOKEL</t>
  </si>
  <si>
    <t>C/ La Manga, nº 13</t>
  </si>
  <si>
    <t>Tramitación Reagrupación Familiar JOSEPH TOFENE KAMA</t>
  </si>
  <si>
    <t>Tramitación CA Inicial FATIMA ZAHRAE DROUSSI con la empresa JOSE A. GOMEZ MONTOYA</t>
  </si>
  <si>
    <t>TASAS, PASAPORTE Y CONTRATO</t>
  </si>
  <si>
    <t>049920250000779</t>
  </si>
  <si>
    <t>049920250001534</t>
  </si>
  <si>
    <t>Tramitación CA Inicial DIALIKA MANGA</t>
  </si>
  <si>
    <t>Tramitación Arraigo Social OUSMANE SARR</t>
  </si>
  <si>
    <t>FAVORABLE 13/02/2025</t>
  </si>
  <si>
    <t>FAVORABLE 18/02/2025</t>
  </si>
  <si>
    <t>Z2924329E</t>
  </si>
  <si>
    <t>040020250002833</t>
  </si>
  <si>
    <t>Z2924279H</t>
  </si>
  <si>
    <t>040020250002827</t>
  </si>
  <si>
    <t>Z2932975C</t>
  </si>
  <si>
    <t>040020250003060</t>
  </si>
  <si>
    <t>Z2924206Z</t>
  </si>
  <si>
    <t>040020250002819</t>
  </si>
  <si>
    <t>Z2924220M</t>
  </si>
  <si>
    <t>040020250002822</t>
  </si>
  <si>
    <t>NO FAVORABLE 07/02/2025</t>
  </si>
  <si>
    <t>Curso ya ha empezado</t>
  </si>
  <si>
    <t>Z2946461M</t>
  </si>
  <si>
    <t>040020250003383</t>
  </si>
  <si>
    <t>Y9089455F</t>
  </si>
  <si>
    <t>500020250002752</t>
  </si>
  <si>
    <t>Tramitación CA Inicial GAOUSSOU DIBASSY</t>
  </si>
  <si>
    <t>Y7484795B</t>
  </si>
  <si>
    <t>040020250003711</t>
  </si>
  <si>
    <t>FAVORABLE 14/02/2025</t>
  </si>
  <si>
    <t>FAVORABLE 20/02/2025</t>
  </si>
  <si>
    <t>040020250003972</t>
  </si>
  <si>
    <t>B04867008</t>
  </si>
  <si>
    <t>040020250003939</t>
  </si>
  <si>
    <t>indy</t>
  </si>
  <si>
    <t>Tramitación Renovación Autorización Residencia y Trabajo MOUSTAPHA LAM</t>
  </si>
  <si>
    <t>049920250001457</t>
  </si>
  <si>
    <t>Tramitación Arraigo Social MOUSSA WADE</t>
  </si>
  <si>
    <t>Tramitación Arraigo Social MOUSTAPHA DIEYE</t>
  </si>
  <si>
    <t>27521154K</t>
  </si>
  <si>
    <t xml:space="preserve">FERNANDEZ PEREZ, RAUL </t>
  </si>
  <si>
    <t>ROMERO GRANADOS, MARIA VICTORIA</t>
  </si>
  <si>
    <t>Tramitación Arraigo Social JOSEFINA MANCILLA ROJAS</t>
  </si>
  <si>
    <t>Tramitación Renovación Autorización Residencia y Trabajo FADIL AZIZ</t>
  </si>
  <si>
    <t>Y9023663H</t>
  </si>
  <si>
    <t>049920250001948</t>
  </si>
  <si>
    <t>RODRIGUEZ QUERO, JUAN MANUEL</t>
  </si>
  <si>
    <t>C/ Antonio Carolino, nº 3</t>
  </si>
  <si>
    <t>18470</t>
  </si>
  <si>
    <t>Medina Alfahar</t>
  </si>
  <si>
    <t>Tramitación Renovación Autorización derivada de arraigo formación RAHMA EN NESSAH</t>
  </si>
  <si>
    <t>Y6174958R</t>
  </si>
  <si>
    <t>Tramitación Renovación Autorización Residencia y Trabajo KWADWO MARFO</t>
  </si>
  <si>
    <t>049920250001080</t>
  </si>
  <si>
    <t>Tramitación CA Inicial GALLO BADIANE</t>
  </si>
  <si>
    <t>TASAS y traduccion matrimonio</t>
  </si>
  <si>
    <t>Tramitación CA Inicial DRISS AGHBALOU</t>
  </si>
  <si>
    <t>Tramitación CA Inicial M'BANADY KEITA</t>
  </si>
  <si>
    <t>X9768796Y</t>
  </si>
  <si>
    <t>DRAMMEH, ABDOULIE</t>
  </si>
  <si>
    <t>C/ Gandil, nº 5</t>
  </si>
  <si>
    <t>604 84 96 00</t>
  </si>
  <si>
    <t>Tramitación Renovación Extutelado ABDOULIE DRAMMEH</t>
  </si>
  <si>
    <t>049920250001395</t>
  </si>
  <si>
    <t>DJATA, SADJO</t>
  </si>
  <si>
    <t>C/ Rafael Alberti, nº 13, 1º4</t>
  </si>
  <si>
    <t>04890</t>
  </si>
  <si>
    <t>631 11 76 82</t>
  </si>
  <si>
    <t>Tramitación Arraigo Social SADJO DJATA</t>
  </si>
  <si>
    <t>310020250000248</t>
  </si>
  <si>
    <t>Y9604162C</t>
  </si>
  <si>
    <t>F04909271</t>
  </si>
  <si>
    <t>AGROLORU, SCA</t>
  </si>
  <si>
    <t>C/ Chopin, nº 126</t>
  </si>
  <si>
    <t>agroloru@gmail.com</t>
  </si>
  <si>
    <t>Tramitación CA Inicial EMILIE MENDES</t>
  </si>
  <si>
    <t>MBAYE, ALIOU</t>
  </si>
  <si>
    <t>Pasaje La Parrica, nº 1</t>
  </si>
  <si>
    <t>049920250000716</t>
  </si>
  <si>
    <t>ENVIAR FACTURA</t>
  </si>
  <si>
    <t>Tramitación Renovación Autorización Residencia y Trabajo OUSMANE NDIAYE</t>
  </si>
  <si>
    <t>049920250001498</t>
  </si>
  <si>
    <t>Tramitación CA Inicial HAMZA EBENJARRARI</t>
  </si>
  <si>
    <t>Tramitación CA Inicial RABAB CHAHID</t>
  </si>
  <si>
    <t>FAVORABLE 24/02/2025</t>
  </si>
  <si>
    <t>FAVORABLE 26/02/2025</t>
  </si>
  <si>
    <t>Z2973011J</t>
  </si>
  <si>
    <t>040020250004084</t>
  </si>
  <si>
    <t>Z2972522F</t>
  </si>
  <si>
    <t>040020250004069</t>
  </si>
  <si>
    <t>CEBALLOS SANCHEZ, CARLOS MARIO</t>
  </si>
  <si>
    <t>C/ Salvador Dali, nº 38</t>
  </si>
  <si>
    <t>La mojonera</t>
  </si>
  <si>
    <t>Tramitación Arraigo Social CARLOS MARIO CEBALLOS SANCHEZ</t>
  </si>
  <si>
    <t>049920240016272</t>
  </si>
  <si>
    <t>Tramitación CA Inicial SOUKAINA LOUTANE</t>
  </si>
  <si>
    <t>08912074B</t>
  </si>
  <si>
    <t>FERNANDEZ FERNANDEZ, ANA MARIA</t>
  </si>
  <si>
    <t>Tramitación CA Inicial SARA GMAIH</t>
  </si>
  <si>
    <t>C/ Satelite, nº 31</t>
  </si>
  <si>
    <t>Tramitación CA Inicial SAMIRA ELMOUFTAKIR</t>
  </si>
  <si>
    <t>Tramitación Renovación Autorización Residencia y Trabajo HICHAM IMRAN</t>
  </si>
  <si>
    <t>Y8442373F</t>
  </si>
  <si>
    <t>049920250001246</t>
  </si>
  <si>
    <t>FAVORABLE 27/02/2025</t>
  </si>
  <si>
    <t>FAVORABLE 04/03/2025</t>
  </si>
  <si>
    <t>Y8502375W</t>
  </si>
  <si>
    <t>FAVORABLE 05/04/2025</t>
  </si>
  <si>
    <t>FAVORABLE 05/03/2025</t>
  </si>
  <si>
    <t>Z2960609P</t>
  </si>
  <si>
    <t>040020250003765</t>
  </si>
  <si>
    <t>Z2990386T</t>
  </si>
  <si>
    <t>040020250004475</t>
  </si>
  <si>
    <t>Y8870550Q</t>
  </si>
  <si>
    <t>040020250004382</t>
  </si>
  <si>
    <t>Z2992770S</t>
  </si>
  <si>
    <t>040020250004551</t>
  </si>
  <si>
    <t>040020250004396</t>
  </si>
  <si>
    <t>Z2990224E</t>
  </si>
  <si>
    <t>040020250004467</t>
  </si>
  <si>
    <t>Z2990303D</t>
  </si>
  <si>
    <t>040020250004472</t>
  </si>
  <si>
    <t>040020250004375</t>
  </si>
  <si>
    <t>Z2987421W</t>
  </si>
  <si>
    <t>Z2994710T</t>
  </si>
  <si>
    <t>040020250004605</t>
  </si>
  <si>
    <t>Z2994159R</t>
  </si>
  <si>
    <t>040020250004581</t>
  </si>
  <si>
    <t>X8007616M</t>
  </si>
  <si>
    <t>040020250004601</t>
  </si>
  <si>
    <t>040020250004434</t>
  </si>
  <si>
    <t>Y8964680F</t>
  </si>
  <si>
    <t>54102771D</t>
  </si>
  <si>
    <t>ESCOBAR FERNANDEZ, NORBERTO</t>
  </si>
  <si>
    <t>C/ Torre del Oro, nº 52</t>
  </si>
  <si>
    <t>Tramitación CA Inicial MANGA DIAWARA</t>
  </si>
  <si>
    <t>Tramitación Renovación Autorización Residencia y Trabajo HANANE OUALLA</t>
  </si>
  <si>
    <t>049920250001731</t>
  </si>
  <si>
    <t>049920250001131</t>
  </si>
  <si>
    <t>049920250001276</t>
  </si>
  <si>
    <t>antoniocabeogarcia@gmail.com</t>
  </si>
  <si>
    <t>FERNANDEZ SALINAS , YOLANDA</t>
  </si>
  <si>
    <t xml:space="preserve">MARTIN RODRIGUEZ, JOSE DANIEL </t>
  </si>
  <si>
    <t>CORREGIR CONTRATO DE TRABAJO SELLADO</t>
  </si>
  <si>
    <t>Y8736800B</t>
  </si>
  <si>
    <t>040020250004805</t>
  </si>
  <si>
    <t>Z3008979D</t>
  </si>
  <si>
    <t>040020250004941</t>
  </si>
  <si>
    <t>Z3009121J</t>
  </si>
  <si>
    <t>040020250004952</t>
  </si>
  <si>
    <t>I04202502951804</t>
  </si>
  <si>
    <t>54101158Y</t>
  </si>
  <si>
    <t>C/ Balandro, 8</t>
  </si>
  <si>
    <t>Tramitación Escrito cambio condiciones contrato DEMBA DIATTA</t>
  </si>
  <si>
    <t>Y8863962Y</t>
  </si>
  <si>
    <t>Tramitación Arraigo Social NAZHA BOUHRIBA</t>
  </si>
  <si>
    <t>TASA, PASAPORTE COMPLETO y Pruebas 2024</t>
  </si>
  <si>
    <t>78037011N</t>
  </si>
  <si>
    <t>ROMERO MARTINEZ, JAIME</t>
  </si>
  <si>
    <t>Paraje Pedro Ponce, nº 109, 1 R</t>
  </si>
  <si>
    <t>Tramitación CA Inicial ACHOUAK ELBZAKH</t>
  </si>
  <si>
    <t>TASAS, CERTIFICADO ORIGINAL</t>
  </si>
  <si>
    <t>FAVORABLE 07/03/2025</t>
  </si>
  <si>
    <t>FAVORABLE 11/03/2025</t>
  </si>
  <si>
    <t>FAVORABLE 10/03/2025</t>
  </si>
  <si>
    <t>Z3020159B</t>
  </si>
  <si>
    <t>040020250005245</t>
  </si>
  <si>
    <t>FAVORABLE 12/03/2025</t>
  </si>
  <si>
    <t>FAVORABLE 17/03/2025</t>
  </si>
  <si>
    <t>Tramitación CA Inicial KAMAL BOUSELAMAH</t>
  </si>
  <si>
    <t>TASAS, APOSTILLA DIPLOMA</t>
  </si>
  <si>
    <t>Tramitación CA Inicial ABDERRAHIM EL KHARMOUDI</t>
  </si>
  <si>
    <t>78263175V</t>
  </si>
  <si>
    <t>DILSHAD MALIK, SHAHID ALI</t>
  </si>
  <si>
    <t>C/ Poeta Juan Berbel, nº 3 BE 20</t>
  </si>
  <si>
    <t>677 77 88 88</t>
  </si>
  <si>
    <t>Tramitación Carta Invitación</t>
  </si>
  <si>
    <t>Z2968269D</t>
  </si>
  <si>
    <t>Tramitación Renovación Autorización Residencia y Trabajo SUMAILA SADJO</t>
  </si>
  <si>
    <t>049920250002885</t>
  </si>
  <si>
    <t>F04665311</t>
  </si>
  <si>
    <t>JOSMAR, SCA</t>
  </si>
  <si>
    <t>C/ Mendez nuñez, 10</t>
  </si>
  <si>
    <t>Tramitación Renovación Autorización derivada de arraigo formación NASREDDINE EL GHAOUTI</t>
  </si>
  <si>
    <t>Y9352890T</t>
  </si>
  <si>
    <t>FAVORABLE 14/03/2025</t>
  </si>
  <si>
    <t>FAVORABLE 13/03/2025</t>
  </si>
  <si>
    <t>NO FAVORABLE 10/03/2025</t>
  </si>
  <si>
    <t>NO FAVORABLE 05/03/2025</t>
  </si>
  <si>
    <t>040020250005500</t>
  </si>
  <si>
    <t>Z3032009Q</t>
  </si>
  <si>
    <t>040020250005529</t>
  </si>
  <si>
    <t>Y7928584S</t>
  </si>
  <si>
    <t>040020250005613</t>
  </si>
  <si>
    <t>049920250001413</t>
  </si>
  <si>
    <t>Tramitación Renovación Autorización Residencia y Trabajo BOUBACAR MENDY</t>
  </si>
  <si>
    <t>049920250002844</t>
  </si>
  <si>
    <t>Tramitación Renovación Autorización Residencia y Trabajo IBRAHIMA KANDE</t>
  </si>
  <si>
    <t>049920250002056</t>
  </si>
  <si>
    <t>049920250001378</t>
  </si>
  <si>
    <t>040020250006216</t>
  </si>
  <si>
    <t>34845719Y</t>
  </si>
  <si>
    <t>GARCIA RIVAS, AMALIA</t>
  </si>
  <si>
    <t>Tramitación CA Inicial ACHRAF BACHIRI</t>
  </si>
  <si>
    <t>Z3061687R</t>
  </si>
  <si>
    <t>PRISACARIU, CONSTANTIN</t>
  </si>
  <si>
    <t>Avda. Cortijos de marin, nº 3, bj 1 portal 2</t>
  </si>
  <si>
    <t>DRAME, MBACKE</t>
  </si>
  <si>
    <t>C/ La Tierra, nº1,4º2</t>
  </si>
  <si>
    <t>Tramitación Arraigo Social MBACKE DRAME</t>
  </si>
  <si>
    <t>Tramitación Renovación Autorización Residencia y Trabajo KHALID OUGOUG</t>
  </si>
  <si>
    <t>049920250002135</t>
  </si>
  <si>
    <t>Medipalm</t>
  </si>
  <si>
    <t>VIVEROS MEDIPALM, S.A.</t>
  </si>
  <si>
    <t>Urbanización El Paraiso, SN</t>
  </si>
  <si>
    <t>rrhh@medipalm.com</t>
  </si>
  <si>
    <t>A46602660</t>
  </si>
  <si>
    <t>Tramitación CA Inicial NATTHAPHON PHUENHINLAT</t>
  </si>
  <si>
    <t>Tramitación CA Inicial CHAYAKON PALASRI</t>
  </si>
  <si>
    <t>Tramitación CA Inicial NATTHAPHUMIN NISAITRONG</t>
  </si>
  <si>
    <t>Tramitación CA Inicial SAHARAT PATHASI</t>
  </si>
  <si>
    <t>Tramitación CA Inicial NATTHAWUT PHUENHINLAT</t>
  </si>
  <si>
    <t>TASA, cambio apellido</t>
  </si>
  <si>
    <t>TASA, pasaporte buena calidad</t>
  </si>
  <si>
    <t>Z3043340P</t>
  </si>
  <si>
    <t>040020250005823</t>
  </si>
  <si>
    <t>Z3043479D</t>
  </si>
  <si>
    <t>040020250005826</t>
  </si>
  <si>
    <t>INADMISIÓN 21/03/2025</t>
  </si>
  <si>
    <t>VOLVER A PRESENTAR CORRECTAMENTE</t>
  </si>
  <si>
    <t>FAVORABLE 18/03/2025</t>
  </si>
  <si>
    <t>049920240016582</t>
  </si>
  <si>
    <t>FAVORABLE 19/03/2025</t>
  </si>
  <si>
    <t>FAVORABLE 20/03/2025</t>
  </si>
  <si>
    <t>FAVORABLE 25/03/2025</t>
  </si>
  <si>
    <t>FAVORABLE 27/03/2025</t>
  </si>
  <si>
    <t>FAVORABLE 24/03/2025</t>
  </si>
  <si>
    <t>Z3079459V</t>
  </si>
  <si>
    <t>040020250006847</t>
  </si>
  <si>
    <t>75192806X</t>
  </si>
  <si>
    <t>GONZALEZ GARCIA, ANTONIO MANUEL</t>
  </si>
  <si>
    <t>C/ Camino del Ingenio, nº 14, 2º</t>
  </si>
  <si>
    <t>Tramitación Arraigo Social BADIO BAMBA</t>
  </si>
  <si>
    <t>EL MAOUARDY, YOUNESS</t>
  </si>
  <si>
    <t>Av. Lepanto, nº 33, 1ºA</t>
  </si>
  <si>
    <t>Tramitación Arraigo Familiar YOUNESS EL MAOUARDY</t>
  </si>
  <si>
    <t>TASAS, CONTRATO TIERRAS</t>
  </si>
  <si>
    <t>75715829J</t>
  </si>
  <si>
    <t>ALONSO GARCIA, MARIA DEL MAR</t>
  </si>
  <si>
    <t>C/ Rio Alias, 4</t>
  </si>
  <si>
    <t>Tramitación Arraigo Social ANTONIO DA COSTA</t>
  </si>
  <si>
    <t>FAVORABLE 28/03/2025</t>
  </si>
  <si>
    <t>FAVORABLE 01/04/2025</t>
  </si>
  <si>
    <t>049920240015467</t>
  </si>
  <si>
    <t>Tramitación Renovación Autorización Residencia y Trabajo OUSMANE BERETE</t>
  </si>
  <si>
    <t>049920250004385</t>
  </si>
  <si>
    <t>049920250004215</t>
  </si>
  <si>
    <t>Y4767407G</t>
  </si>
  <si>
    <t>040020250006532</t>
  </si>
  <si>
    <t>040020250006678</t>
  </si>
  <si>
    <t>NO FAVORABLE 26/03/2025</t>
  </si>
  <si>
    <t>FAVORABLE 02/04/2025</t>
  </si>
  <si>
    <t>FAVORABLE 03/04/2025</t>
  </si>
  <si>
    <t>NO FAVORABLE 03/04/2025</t>
  </si>
  <si>
    <t>Z3095332C</t>
  </si>
  <si>
    <t>040020250006992</t>
  </si>
  <si>
    <t>FAVORABLE 08/04/2025</t>
  </si>
  <si>
    <t>Z3098459L</t>
  </si>
  <si>
    <t>040020250007048</t>
  </si>
  <si>
    <t>Z3105973N</t>
  </si>
  <si>
    <t>040020250007215</t>
  </si>
  <si>
    <t>FAVORABLE 07/04/2025</t>
  </si>
  <si>
    <t>Y4049364K</t>
  </si>
  <si>
    <t>040020250007265</t>
  </si>
  <si>
    <t>Z3103720J</t>
  </si>
  <si>
    <t>040020250007178</t>
  </si>
  <si>
    <t>Z3105458A</t>
  </si>
  <si>
    <t>040020250007204</t>
  </si>
  <si>
    <t>Tramitación CA Inicial ABDULWAHAB OMAR BEDIAKO</t>
  </si>
  <si>
    <t>Z3119539P</t>
  </si>
  <si>
    <t>040020250007449</t>
  </si>
  <si>
    <t>040020250007499</t>
  </si>
  <si>
    <t>040020250007495</t>
  </si>
  <si>
    <t>FAVORABLE 26/03/2025</t>
  </si>
  <si>
    <t>040020250007720</t>
  </si>
  <si>
    <t>Z3106365J</t>
  </si>
  <si>
    <t>Tramitación Renovación Autorización Residencia y Trabajo CHEIKHOU NDIAYE SOW</t>
  </si>
  <si>
    <t>049920250004313</t>
  </si>
  <si>
    <t>Tramitación CA Inicial SOUKAINA LACHHAB</t>
  </si>
  <si>
    <t>Tramitación CA Inicial MAKHTAR GUEYE</t>
  </si>
  <si>
    <t>Tramitación CA Inicial YAHAYA LAMATU</t>
  </si>
  <si>
    <t>Tramitación CA Inicial KHALID BEN OUAZAR</t>
  </si>
  <si>
    <t>24/03//2025</t>
  </si>
  <si>
    <t>Z1824617D</t>
  </si>
  <si>
    <t>RACHID ZEOUINE</t>
  </si>
  <si>
    <t>Prol Los Cazadores, nº222, bj 150</t>
  </si>
  <si>
    <t>Tramitación Renovación Autorización derivada de arraigo formación RACHID ZEOUINE</t>
  </si>
  <si>
    <t>Tramitación CA Inicial EL MOSTAPHA BELBOUDALI</t>
  </si>
  <si>
    <t>TASAS, prorroga y escritura</t>
  </si>
  <si>
    <t>AGRUPAPULPI, SAU</t>
  </si>
  <si>
    <t>Ctra. Pulpi-Terreros</t>
  </si>
  <si>
    <t>Tramitación CA Inicial BRAHIM EN-NAANAY</t>
  </si>
  <si>
    <t>NO FAVORABLE 07/04/2025</t>
  </si>
  <si>
    <t>FAVORABLE 10/04/2025</t>
  </si>
  <si>
    <t>FAVORABLE 09/04/2025</t>
  </si>
  <si>
    <t>REQUERIMIENTO 11/04/2025</t>
  </si>
  <si>
    <t>LOPEZ LOPEZ, EDISSON JACINTO</t>
  </si>
  <si>
    <t xml:space="preserve">C/ Clavel, nº 7, 1ºb </t>
  </si>
  <si>
    <t>608 01 36 46</t>
  </si>
  <si>
    <t>Tramitación Tarjeta independiente EDISSON JACINTO LOPEZ LOPEZ</t>
  </si>
  <si>
    <t>54137849N</t>
  </si>
  <si>
    <t>RUBI ESCOBOSA, JOSE ANTONIO</t>
  </si>
  <si>
    <t>Paraje La Maleza</t>
  </si>
  <si>
    <t>Tramitación Arraigo Social MILWARD BERTRAND VALVERDE CALLE</t>
  </si>
  <si>
    <t>Y7990359N</t>
  </si>
  <si>
    <t>Tramitación Renovación Autorización Residencia y Trabajo MALICK DIENG</t>
  </si>
  <si>
    <t>049920250003072</t>
  </si>
  <si>
    <t>Z1812681X</t>
  </si>
  <si>
    <t>EZZRYOUY, HASSAN</t>
  </si>
  <si>
    <t>C/ Alta, nº 50, BE</t>
  </si>
  <si>
    <t>Tramitación Renovación Autorización derivada de arraigo formación HASSAN EZZRYOUY</t>
  </si>
  <si>
    <t>Tramitación Renovación Autorización Residencia y Trabajo ABDELGHANI OURKYA</t>
  </si>
  <si>
    <t>Tramitación Arraigo Familiar JULIANA JIMENEZ MOSQUERA</t>
  </si>
  <si>
    <t>Tramitación Renovación Autorización Residencia y Trabajo MOUNAIM OURKIA</t>
  </si>
  <si>
    <t>309920250004572</t>
  </si>
  <si>
    <t>Tramitación Renovación Autorización Residencia y Trabajo WUKASHA YUSSIF BEDIAKO</t>
  </si>
  <si>
    <t>049920250003806</t>
  </si>
  <si>
    <t>FAVORABLE 15/04/2025</t>
  </si>
  <si>
    <t>Tramitación Renovación Autorización Residencia y Trabajo SHAKUR KHALID</t>
  </si>
  <si>
    <t>049920250003277</t>
  </si>
  <si>
    <t>049920250002511</t>
  </si>
  <si>
    <t>Tramitación Renovación Autorización Residencia y Trabajo KHADIJA JILLALI</t>
  </si>
  <si>
    <t>049920250003303</t>
  </si>
  <si>
    <t>VALVERDE GUTIERREZ, JOSE</t>
  </si>
  <si>
    <t>Tramitación CA Inicial ABDELMALEK CHAHBOUNE</t>
  </si>
  <si>
    <t>TASAS, ESCRITURA</t>
  </si>
  <si>
    <t>Tramitación CA Inicial RAJAA LAHLALI</t>
  </si>
  <si>
    <t>Tramitación CA Inicial LAMYAI THIPPANON</t>
  </si>
  <si>
    <t>Tramitación CA Inicial RATREE PHONCHIANGSA</t>
  </si>
  <si>
    <t>Tramitación CA Inicial SOMBOON CHAWONGSRI</t>
  </si>
  <si>
    <t>Tramitación CA Inicial SRISUDA GARIN</t>
  </si>
  <si>
    <t>Z3144211R</t>
  </si>
  <si>
    <t>040020250008061</t>
  </si>
  <si>
    <t>Z3144249Q</t>
  </si>
  <si>
    <t>040020250008064</t>
  </si>
  <si>
    <t>Z3144156S</t>
  </si>
  <si>
    <t>040020250008058</t>
  </si>
  <si>
    <t>Z0832304P</t>
  </si>
  <si>
    <t>040020250008066</t>
  </si>
  <si>
    <t>Z3156773M</t>
  </si>
  <si>
    <t>040020250008421</t>
  </si>
  <si>
    <t>Z3156215E</t>
  </si>
  <si>
    <t>040020250008393</t>
  </si>
  <si>
    <t>040020250008641</t>
  </si>
  <si>
    <t>Tramitación Arraigo Social YATTE NDAO</t>
  </si>
  <si>
    <t>040020250008648</t>
  </si>
  <si>
    <t>FAVORABLE 21/04/2025</t>
  </si>
  <si>
    <t>Tramitación Renovación Autorización Residencia y Trabajo LAMINE DIOUANE</t>
  </si>
  <si>
    <t>049920240016161</t>
  </si>
  <si>
    <t>Tramitación CA Inicial BANGALLY SISSOHO</t>
  </si>
  <si>
    <t>FAVORABLE 14/04/2025</t>
  </si>
  <si>
    <t>No estar al corriente Seg. Soc y AEAT</t>
  </si>
  <si>
    <t>Y9603096N</t>
  </si>
  <si>
    <t>BADJI, ABDOULAYE</t>
  </si>
  <si>
    <t>C/ Rio Guadalquivir, nº 18</t>
  </si>
  <si>
    <t>29650</t>
  </si>
  <si>
    <t>Tramitación Renovación Autorización Residencia y Trabajo ABDOULAYE BADJI</t>
  </si>
  <si>
    <t>299920250004700</t>
  </si>
  <si>
    <t>Tramitación Renovación Autorización Residencia y Trabajo OGUIS NDIAYE</t>
  </si>
  <si>
    <t>049920250005438</t>
  </si>
  <si>
    <t>Tramitación Renovación Autorización Residencia y Trabajo MODOU DIAKHATE</t>
  </si>
  <si>
    <t>049920250003054</t>
  </si>
  <si>
    <t>FAVORABLE 29/04/2025</t>
  </si>
  <si>
    <t>Z3182072G</t>
  </si>
  <si>
    <t>040020250008989</t>
  </si>
  <si>
    <t>Z3177411N</t>
  </si>
  <si>
    <t>040020250008918</t>
  </si>
  <si>
    <t>Z3177365N</t>
  </si>
  <si>
    <t>040020250008916</t>
  </si>
  <si>
    <t>Z3177171W</t>
  </si>
  <si>
    <t>040020250008907</t>
  </si>
  <si>
    <t>Tramitación CA Inicial PATRICK BOATENG ASAMOAH</t>
  </si>
  <si>
    <t>040020250008900</t>
  </si>
  <si>
    <t>Z3177299S</t>
  </si>
  <si>
    <t>040020250008913</t>
  </si>
  <si>
    <t>Z3177322S</t>
  </si>
  <si>
    <t>040020250008915</t>
  </si>
  <si>
    <t>Z3177085P</t>
  </si>
  <si>
    <t>040020250008904</t>
  </si>
  <si>
    <t>REQUERIMIENTO 30/04/2025</t>
  </si>
  <si>
    <t>Tramitación Arraigo Social ALASSANE KEITA</t>
  </si>
  <si>
    <t>FAVORABLE 30/04/2025</t>
  </si>
  <si>
    <t>78036099C</t>
  </si>
  <si>
    <t>IBAÑEZ FERNANDEZ, JUAN JOSE</t>
  </si>
  <si>
    <t>C/ Victor Palomo, nº 15, 2ºJ</t>
  </si>
  <si>
    <t>Tramitación Arraigo Social DJIBRIL DAHABA</t>
  </si>
  <si>
    <t>Tramitación Renovación Autorización Residencia y Trabajo ABDOULAYE DIAW</t>
  </si>
  <si>
    <t>049920250004823</t>
  </si>
  <si>
    <t>Tramitación CA Inicial FATIMA AIT ICHOU</t>
  </si>
  <si>
    <t>HA PAGADO FACTURA BIZUM</t>
  </si>
  <si>
    <t xml:space="preserve"> 040020250007272</t>
  </si>
  <si>
    <t>Y8771155G</t>
  </si>
  <si>
    <t>Tramitación Renovación Autorización Residencia y Trabajo ABDOUL-SOUWAIDOU GUEBRE</t>
  </si>
  <si>
    <t>049920250005932</t>
  </si>
  <si>
    <t>Y8326997E</t>
  </si>
  <si>
    <t>MOUHAMADOU MOUSTAPHA DIOP</t>
  </si>
  <si>
    <t>Ctra. Alfonso XIII</t>
  </si>
  <si>
    <t>23002</t>
  </si>
  <si>
    <t>Jaén</t>
  </si>
  <si>
    <t>Tramitación Escrito Renuncia</t>
  </si>
  <si>
    <t>Tramitación CA Inicial NOURA JAMMAL</t>
  </si>
  <si>
    <t>Y9102923C</t>
  </si>
  <si>
    <t>KEITA, OUSSEYNOU</t>
  </si>
  <si>
    <t>C/ China, portal III, nº 1, 4º3</t>
  </si>
  <si>
    <t>642 80 97 33</t>
  </si>
  <si>
    <t>Tramitación Renovación Autorización Residencia y Trabajo OUSSEYNOU KEITA</t>
  </si>
  <si>
    <t>049920250001504</t>
  </si>
  <si>
    <t>Tramitación CA Inicial YOUSSEF EL ABDLI</t>
  </si>
  <si>
    <t>Tramitación Renovación Autorización Residencia y Trabajo OUSSAMA LAAROUSSI</t>
  </si>
  <si>
    <t>049920250004780</t>
  </si>
  <si>
    <t>Tramitación Arraigo Social MOUHAMADOU MOUSTAPHA DIOP</t>
  </si>
  <si>
    <t>300020250010081</t>
  </si>
  <si>
    <t>FAVORABLE 02/05/2025</t>
  </si>
  <si>
    <t>Z3162422L</t>
  </si>
  <si>
    <t>Z3204072Q</t>
  </si>
  <si>
    <t>040020250009643</t>
  </si>
  <si>
    <t>Y9466755S</t>
  </si>
  <si>
    <t>040020250009786</t>
  </si>
  <si>
    <t>Z3212354H</t>
  </si>
  <si>
    <t>040020250009884</t>
  </si>
  <si>
    <t>FAVORABLE 06/05/2025</t>
  </si>
  <si>
    <t>FAVORABLE 07/05/2025</t>
  </si>
  <si>
    <t>FAVORABLE 09/05/2025</t>
  </si>
  <si>
    <t>FAVORABLE 12/05/2025</t>
  </si>
  <si>
    <t>FAVORABLE 25/04/2025</t>
  </si>
  <si>
    <t>FAVORABLE 05/05/2025</t>
  </si>
  <si>
    <t>040020250008320</t>
  </si>
  <si>
    <t>040020250010134</t>
  </si>
  <si>
    <t>Z3223519M</t>
  </si>
  <si>
    <t>X8225557K</t>
  </si>
  <si>
    <t>040020250010140</t>
  </si>
  <si>
    <t>Z1569908W</t>
  </si>
  <si>
    <t>DIEME, MARIETOU</t>
  </si>
  <si>
    <t>Plaza Andalucia, nº 9, 2ºdch</t>
  </si>
  <si>
    <t>Tramitación Renovación Autorización Residencia y Trabajo MARIETOU DIEME</t>
  </si>
  <si>
    <t>049920240016225</t>
  </si>
  <si>
    <t>049920250001712</t>
  </si>
  <si>
    <t>TASA, pruebas envios y contrato trabajo</t>
  </si>
  <si>
    <t>Tramitación Arraigo Social ABDOURAKHMANE BOYE</t>
  </si>
  <si>
    <t>Tasa, Contrato y escritura 2</t>
  </si>
  <si>
    <t>08912833B</t>
  </si>
  <si>
    <t>RODRIGUEZ FERNANDEZ, ANTONIO</t>
  </si>
  <si>
    <t>Tramitación Arraigo Social ISMAIL ELFAQUIR</t>
  </si>
  <si>
    <t>Tramitación CA Inicial NABILA HAMOUDI</t>
  </si>
  <si>
    <t>Tramitación Arraigo Social JUAN PABLO NIÑO ROJAS</t>
  </si>
  <si>
    <t>Tramitación Arraigo Social RAQUEL ELVIRA ROJAS LOPEZ</t>
  </si>
  <si>
    <t>Tramitación Arraigo Social ADRIAN ROJAS CABALLERO</t>
  </si>
  <si>
    <t>TASA, CONTRATO Y DNI</t>
  </si>
  <si>
    <t>Tramitación Arraigo Social GENOVEVA OLIVERA MACHADO</t>
  </si>
  <si>
    <t>Tramitación Arraigo Social ASSANE DIENE</t>
  </si>
  <si>
    <t>TASA Y PENALES</t>
  </si>
  <si>
    <t>Tramitación CA Inicial SAKINATU KARIM</t>
  </si>
  <si>
    <t>TASAS y certificado matrimonio</t>
  </si>
  <si>
    <t>E04879532</t>
  </si>
  <si>
    <t>AGRICOLA FERSAN, C.B.</t>
  </si>
  <si>
    <t>PP de las Lomas, nº 129, 5º</t>
  </si>
  <si>
    <t>Tramitación CA Inicial CHAIMAE MACHICHI</t>
  </si>
  <si>
    <t>Asesora Juan Ramirez</t>
  </si>
  <si>
    <t>Tramitación CA Inicial CHAIMAE ET-TAHERY</t>
  </si>
  <si>
    <t>Z2693282X</t>
  </si>
  <si>
    <t>ELAMRI, HASSAN</t>
  </si>
  <si>
    <t>Plaza de los incas, nº 7, bj</t>
  </si>
  <si>
    <t>Tramitación Renovación Autorización derivada de arraigo formación HASSAN ELAMRI</t>
  </si>
  <si>
    <t>Z2693115G</t>
  </si>
  <si>
    <t>EZZRYOUY, RACHID</t>
  </si>
  <si>
    <t>Cortijo La Pared, nº 189, bj 15</t>
  </si>
  <si>
    <t>Puebloblanco - Nijar</t>
  </si>
  <si>
    <t>Tramitación Renovación Autorización derivada de arraigo formación RACHID EZZRYOUY</t>
  </si>
  <si>
    <t>FAVORABLE 14/05/2025</t>
  </si>
  <si>
    <t>FAVORABLE 16/05/2025</t>
  </si>
  <si>
    <t>FAVORABLE 13/05/2025</t>
  </si>
  <si>
    <t>administracion@satagromonte.com</t>
  </si>
  <si>
    <t>Tramitación Renovación Autorización Residencia y Trabajo MOHAMED SAID EL AOUAINA</t>
  </si>
  <si>
    <t>049920250005872</t>
  </si>
  <si>
    <t>34848950V</t>
  </si>
  <si>
    <t>FLORES MORALES, MARIA ANGELES</t>
  </si>
  <si>
    <t>RB Amatisteros, nº 80, piso 2, 3ºb</t>
  </si>
  <si>
    <t>Tramitación CA Inicial MOUSTAPHA SENE</t>
  </si>
  <si>
    <t>TASAS, PRECONTRATO</t>
  </si>
  <si>
    <t>FAVORABLE 19/05/2025</t>
  </si>
  <si>
    <t>53707651Y</t>
  </si>
  <si>
    <t>Tramitación Arraigo Social SAID HADRAOUI</t>
  </si>
  <si>
    <t>DOUDOU SANE</t>
  </si>
  <si>
    <t>Avda. Luis Buñuel, Portal 2, nº 132 2ªJ</t>
  </si>
  <si>
    <t>Tramitación Arraigo Social DOUDOU SANE</t>
  </si>
  <si>
    <t>TASA, DOC EMPRESA</t>
  </si>
  <si>
    <t>Tramitación Arraigo Social SONA SAGNA</t>
  </si>
  <si>
    <t>Tramitación CA Inicial COLLINS APPIAH NSIAH</t>
  </si>
  <si>
    <t>TASAS, Cert. Nacimiento</t>
  </si>
  <si>
    <t>FAVORABLE 20/05/2025</t>
  </si>
  <si>
    <t>Tramitación Renovación Autorización Residencia y Trabajo ADIL EL HILLY</t>
  </si>
  <si>
    <t>Y9456105Z</t>
  </si>
  <si>
    <t>049920250004714</t>
  </si>
  <si>
    <t>FAVORABLE 26/05/2025</t>
  </si>
  <si>
    <t>FAVORABLE 23/05/2025</t>
  </si>
  <si>
    <t>FAVORABLE 21/05/2025</t>
  </si>
  <si>
    <t>040020250010898</t>
  </si>
  <si>
    <t>040020250011060</t>
  </si>
  <si>
    <t>Z3251541J</t>
  </si>
  <si>
    <t>040020250011068</t>
  </si>
  <si>
    <t>Y9048881M</t>
  </si>
  <si>
    <t>040020250011032</t>
  </si>
  <si>
    <t>Y8747252K</t>
  </si>
  <si>
    <t>040020250011244</t>
  </si>
  <si>
    <t>Y8747085S</t>
  </si>
  <si>
    <t>040020250011225</t>
  </si>
  <si>
    <t>230020250002376</t>
  </si>
  <si>
    <t>Y0977982J</t>
  </si>
  <si>
    <t>040020250011349</t>
  </si>
  <si>
    <t>Tramitación CA Inicial HAYAT HRITA</t>
  </si>
  <si>
    <t>Y7964647Z</t>
  </si>
  <si>
    <t>040020250011447</t>
  </si>
  <si>
    <t>Z1911868K</t>
  </si>
  <si>
    <t>040020250011416</t>
  </si>
  <si>
    <t>Z3259303R</t>
  </si>
  <si>
    <t>040020250011335</t>
  </si>
  <si>
    <t>Z1577814L</t>
  </si>
  <si>
    <t>040020250011357</t>
  </si>
  <si>
    <t>Z2805398R</t>
  </si>
  <si>
    <t>040020250011362</t>
  </si>
  <si>
    <t>Z3250668Z</t>
  </si>
  <si>
    <t>040020250011020</t>
  </si>
  <si>
    <t>Tramitación Renovación Autorización Residencia y Trabajo ASSANE DIAW</t>
  </si>
  <si>
    <t>Tramitación CA Inicial NADA GHARA</t>
  </si>
  <si>
    <t>27504404S</t>
  </si>
  <si>
    <t>RODRIGUEZ GUILLEN, TRINIDAD MARIA</t>
  </si>
  <si>
    <t>C/ Joaquin Sorolla, nº 21</t>
  </si>
  <si>
    <t>04746</t>
  </si>
  <si>
    <t>Venta El Viso</t>
  </si>
  <si>
    <t>Tramitación CA Inicial KHADIJA ELBERGUI</t>
  </si>
  <si>
    <t>Tramitación Renovación Autorización Residencia y Trabajo BAYE COULIBALY</t>
  </si>
  <si>
    <t xml:space="preserve">FERNANDEZ FERNANDEZ, ANTONIO </t>
  </si>
  <si>
    <t xml:space="preserve">BELKHER, AYMAN </t>
  </si>
  <si>
    <t>C/ Carretera, nº 22, D</t>
  </si>
  <si>
    <t>624 99 66 78</t>
  </si>
  <si>
    <t>Tramitación Arraigo Social AYMAN BELKHER</t>
  </si>
  <si>
    <t>JUAN CARLOS RAMIREZ GORDILLO</t>
  </si>
  <si>
    <t>C/ Ramon y Cajal, nº19, 1º DR</t>
  </si>
  <si>
    <t>Tramitación Arraigo Social JUAN CARLOS RAMIREZ GORDILLO</t>
  </si>
  <si>
    <t>GUERRERO CORTES, MARIA INES</t>
  </si>
  <si>
    <t>Tramitación Arraigo Social MARIA INES GUERRERO CORTES</t>
  </si>
  <si>
    <t>RODRIGUEZ RUIZ, SONIA MARIA</t>
  </si>
  <si>
    <t>C/ Oporto, nº 7</t>
  </si>
  <si>
    <t>Tramitación Arraigo Social ALASSANE CORREA</t>
  </si>
  <si>
    <t>FAVORABLE 28/05/2025</t>
  </si>
  <si>
    <t>FAVORABLE 27/05/2025</t>
  </si>
  <si>
    <t>FAVORABLE 29/05/2025</t>
  </si>
  <si>
    <t>I04202503227102</t>
  </si>
  <si>
    <t>ENRIQUE VAZQUEZ, ANTONIO SIMON</t>
  </si>
  <si>
    <t>Tramitación Arraigo Social TIDIANE DIALLO</t>
  </si>
  <si>
    <t>Tramitación Arraigo Social LEKBIR MONDIR</t>
  </si>
  <si>
    <t>FAVORABLE 02/06/2025</t>
  </si>
  <si>
    <t>FAVORABLE 30/05/2025</t>
  </si>
  <si>
    <t>TRAORE, SECKOUNA</t>
  </si>
  <si>
    <t>Avda. El Faro, nº 3, 5º505</t>
  </si>
  <si>
    <t>29770</t>
  </si>
  <si>
    <t>Málaga</t>
  </si>
  <si>
    <t>Tramitación Arraigo Social SECKOUNA TRAORE</t>
  </si>
  <si>
    <t>TASA y CONTRATO</t>
  </si>
  <si>
    <t>Tramitación CA Inicial LAMIN JABBI</t>
  </si>
  <si>
    <t>BUSTOS RICO, MANUEL ENRIQUE</t>
  </si>
  <si>
    <t>C/ Salitre, nº 21, BE</t>
  </si>
  <si>
    <t>604 24 25 03</t>
  </si>
  <si>
    <t>Tramitación Arraigo Familiar Manuel Enrique Bustos Rico</t>
  </si>
  <si>
    <t>FAVORABLE 04/06/2025</t>
  </si>
  <si>
    <t>FAVORABLE 05/06/2025</t>
  </si>
  <si>
    <t>09/06/2025 REQUERIMIENTO</t>
  </si>
  <si>
    <t>FAVORABLE 06/06/2025</t>
  </si>
  <si>
    <t>FAVORABLE 09/06/2025</t>
  </si>
  <si>
    <t>Tramitación Arraigo Social SANDRA MILENA DIAZ CEBALLOS</t>
  </si>
  <si>
    <t>Tramitación Arraigo Social FOUSSEYNI KEITA</t>
  </si>
  <si>
    <t>Tramitación Arraigo Social JUAN DAVID VALENCIA</t>
  </si>
  <si>
    <t>BOUTHAZEM, ILHAM</t>
  </si>
  <si>
    <t>C/ Clotilde, nº 1</t>
  </si>
  <si>
    <t>Tramitación Arraigo Social ILHAM BOUTHAZEM</t>
  </si>
  <si>
    <t>mercedes@murgiverde.com</t>
  </si>
  <si>
    <t>Tramitación Arraigo Social LAMINE DRAME</t>
  </si>
  <si>
    <t>Tramitación Arraigo Social FATIMA ZAHRA TAIBI</t>
  </si>
  <si>
    <t>Tramitación Arraigo Social MAMADOU LAMINE THIENTY</t>
  </si>
  <si>
    <t>Tramitación Arraigo Social JORDAN NEWMAN CUMPA SANGAMA</t>
  </si>
  <si>
    <t>I04202503253813</t>
  </si>
  <si>
    <t>MADRID</t>
  </si>
  <si>
    <t>Tramitación Renovación Autorización Residencia y Trabajo NOUIOUIRA DRISS</t>
  </si>
  <si>
    <t>Arraigo Sociolaboral</t>
  </si>
  <si>
    <t>Tramitación Arraigo Socialaboral ABDELGHANI EZZAHI</t>
  </si>
  <si>
    <t>Residencia familiar español</t>
  </si>
  <si>
    <t>Tramitación Residencia Familiar Español RADHAELI DEAZA</t>
  </si>
  <si>
    <t>049920250001851</t>
  </si>
  <si>
    <t>Tramitación Renovación Autorización Residencia y Trabajo SEYDI ALMAMO</t>
  </si>
  <si>
    <t>FAVORABLE 11/06/2025</t>
  </si>
  <si>
    <t>290020250014117</t>
  </si>
  <si>
    <t>Tramitación Arraigo Socialaboral LAHCEN OUGOUG</t>
  </si>
  <si>
    <t>Emilio (vicasol)</t>
  </si>
  <si>
    <t>B04792438</t>
  </si>
  <si>
    <t>CASTLEGREEN, S.L.U.</t>
  </si>
  <si>
    <t>C/ Las Palmeras, nº 15, 1º9</t>
  </si>
  <si>
    <t>622 02 91 30</t>
  </si>
  <si>
    <t>Tramitación CA Inicial JOHAN ESTEBAN GUEVARA</t>
  </si>
  <si>
    <t>Tramitación Renovación Autorización Residencia y Trabajo EL MEHDI LAMHANDI</t>
  </si>
  <si>
    <t>Tramitación CA Inicial CARLOS CHRISTIAN ROJAS NOLAZCO</t>
  </si>
  <si>
    <t>54121852T</t>
  </si>
  <si>
    <t>SEVILLA RUIZ, MARIA ISABEL</t>
  </si>
  <si>
    <t>C/ Playas de la ensenada, nº 46, 2ºG</t>
  </si>
  <si>
    <t>Tramitación CA Inicial HANAA MAHMOUD</t>
  </si>
  <si>
    <t>I04202503296747</t>
  </si>
  <si>
    <t>REQUERIMIENTO 12/06/2025</t>
  </si>
  <si>
    <t>FAVORABLE 18/06/2025</t>
  </si>
  <si>
    <t>040020250008740</t>
  </si>
  <si>
    <t>FAVORABLE 17/06/2025</t>
  </si>
  <si>
    <t>NO FAVORABLE 20/06/2025</t>
  </si>
  <si>
    <t>34853783C</t>
  </si>
  <si>
    <t>Tramitación Renovación Autorización derivada de arraigo formación SALIOU CORREA</t>
  </si>
  <si>
    <t>Z2147211M</t>
  </si>
  <si>
    <t>54122889W</t>
  </si>
  <si>
    <t>ALEJANDRO FERNANDEZ REQUENA</t>
  </si>
  <si>
    <t>Pasaje Barrio El Puntal, nº 3</t>
  </si>
  <si>
    <t>Tramitación CA Inicial TARIQ AJJANI</t>
  </si>
  <si>
    <t>FAVORABLE 12/06/2025</t>
  </si>
  <si>
    <t>Y3629847R</t>
  </si>
  <si>
    <t>BUTNARIU, MARINELA</t>
  </si>
  <si>
    <t>Cortijo La Canalilla, nº 201, bj 91</t>
  </si>
  <si>
    <t>641 54 45 98</t>
  </si>
  <si>
    <t>Tramitación Certificado Comunitario Marinela Butnariu</t>
  </si>
  <si>
    <t>FAVORABLE 25/06/2025</t>
  </si>
  <si>
    <t>TASA, PENALES</t>
  </si>
  <si>
    <t>Tramitación Arraigo Sociolaboral CRISTOBAL MORALES COSSIO</t>
  </si>
  <si>
    <t>Tramitación Arraigo Sociolaboral ALI BEN OUAZAR</t>
  </si>
  <si>
    <t>Tramitación Arraigo Sociolaboral ELBACHIR OUMHAND</t>
  </si>
  <si>
    <t>Tramitación Arraigo Sociolaboral SAMBA NIANG</t>
  </si>
  <si>
    <t>Tramitación Arraigo Sociolaboral MOHAMED SAHEL</t>
  </si>
  <si>
    <t>Tramitación Arraigo Sociolaboral ZAID IMALOUI</t>
  </si>
  <si>
    <t>FAVORABLE 27/06/2025</t>
  </si>
  <si>
    <t>DOUMBIA, ISSA</t>
  </si>
  <si>
    <t>C/ Alhama, nº5, 1ºb</t>
  </si>
  <si>
    <t>631 48 47 15</t>
  </si>
  <si>
    <t>Tramitación Arraigo Sociolaboral ISSA DOUMBIA</t>
  </si>
  <si>
    <t>TOURE, MAMADOU</t>
  </si>
  <si>
    <t>C/ Mar Adriatico, nº 15</t>
  </si>
  <si>
    <t>624 83 62 29</t>
  </si>
  <si>
    <t>Tramitación Arraigo Sociolaboral MAMADOU TOURE</t>
  </si>
  <si>
    <t>TASA, ENVIOS DINERO</t>
  </si>
  <si>
    <t>45587354C</t>
  </si>
  <si>
    <t>ROMERA MANZANO, RAMON</t>
  </si>
  <si>
    <t>C/ Virgen del Carmen, nº 22</t>
  </si>
  <si>
    <t>Tramitación CA Inicial ALIOUNE BADARA DIEME</t>
  </si>
  <si>
    <t>Tramitación Arraigo Sociolaboral ABDELHAK ALANTI</t>
  </si>
  <si>
    <t>Tramitación Arraigo Sociolaboral JOSEFINA MANCILLA ROJAS</t>
  </si>
  <si>
    <t>54097282V</t>
  </si>
  <si>
    <t>MARTIN GARCIA, FRANCISCO MIGUEL</t>
  </si>
  <si>
    <t>C/ la prada, nº 6</t>
  </si>
  <si>
    <t>Tramitación CA Inicial SOHNA KANTEH</t>
  </si>
  <si>
    <t>27515337T</t>
  </si>
  <si>
    <t>REQUENA NIETO, JOSE</t>
  </si>
  <si>
    <t>C/ Salamanca, nº 29</t>
  </si>
  <si>
    <t>Tramitación Arraigo Sociolaboral VANESA MONSERRAT COLMAN CAÑETE</t>
  </si>
  <si>
    <t>TASA, Pruebas envios dinero</t>
  </si>
  <si>
    <t>Z0707205Y</t>
  </si>
  <si>
    <t>AJJANI, ABDELGHANI</t>
  </si>
  <si>
    <t>C/ Del polvo, nº 4</t>
  </si>
  <si>
    <t>Tramitación Renovación Autorización Residencia y Trabajo ABDELGHANI AJJANI</t>
  </si>
  <si>
    <t>Tramitación Arraigo Sociolaboral ABDERRAHIM EL BOUBAKRY</t>
  </si>
  <si>
    <t>TASA, PENALES ORIGINAL</t>
  </si>
  <si>
    <t>Tramitación Arraigo Sociolaboral MUSTAPHA LAMKHANTER</t>
  </si>
  <si>
    <t>27270479T</t>
  </si>
  <si>
    <t>CARA MONTOYA, MELCHOR</t>
  </si>
  <si>
    <t>C/ Paraje Los hornillos poligono 16, parcela 583</t>
  </si>
  <si>
    <t>Tramitación Arraigo Sociolaboral BARA DIOUCK</t>
  </si>
  <si>
    <t>Tramitación Arraigo Sociolaboral MHAMMED DRIOUCH</t>
  </si>
  <si>
    <t>Y4667899V</t>
  </si>
  <si>
    <t>040020250011685</t>
  </si>
  <si>
    <t>FAVORABLE 11/07/2025</t>
  </si>
  <si>
    <t>FAVORABLE 04/07/2025</t>
  </si>
  <si>
    <t>Z3406661K</t>
  </si>
  <si>
    <t>040020250015469</t>
  </si>
  <si>
    <t>040020250011992</t>
  </si>
  <si>
    <t>Z3412246V</t>
  </si>
  <si>
    <t>040020250015603</t>
  </si>
  <si>
    <t>Z3293576G</t>
  </si>
  <si>
    <t>040020250011995</t>
  </si>
  <si>
    <t>Z3276102X</t>
  </si>
  <si>
    <t>040020250011616</t>
  </si>
  <si>
    <t>049920250006218</t>
  </si>
  <si>
    <t>Z3392151R</t>
  </si>
  <si>
    <t>040020250014955</t>
  </si>
  <si>
    <t>Z3412385H</t>
  </si>
  <si>
    <t>040020250015611</t>
  </si>
  <si>
    <t>FAVORABLE 01/07/2025</t>
  </si>
  <si>
    <t>Z3335041T</t>
  </si>
  <si>
    <t>040020250012792</t>
  </si>
  <si>
    <t>040020250015173</t>
  </si>
  <si>
    <t>X3403753Y</t>
  </si>
  <si>
    <t>040020250015876</t>
  </si>
  <si>
    <t>Z3338270D</t>
  </si>
  <si>
    <t>040020250013289</t>
  </si>
  <si>
    <t>Y9183987D</t>
  </si>
  <si>
    <t>040020250015985</t>
  </si>
  <si>
    <t>Z3425005B</t>
  </si>
  <si>
    <t>040020250016121</t>
  </si>
  <si>
    <t>040020250016209</t>
  </si>
  <si>
    <t>Z0046334V</t>
  </si>
  <si>
    <t>300020250012947</t>
  </si>
  <si>
    <t>300020250013189</t>
  </si>
  <si>
    <t>040020250016260</t>
  </si>
  <si>
    <t>FAVORABLE 03/07/2025</t>
  </si>
  <si>
    <t>Z3435149N</t>
  </si>
  <si>
    <t>040020250016555</t>
  </si>
  <si>
    <t>Z0100750S</t>
  </si>
  <si>
    <t>040020250017218</t>
  </si>
  <si>
    <t>Y9120151K</t>
  </si>
  <si>
    <t>040020250017210</t>
  </si>
  <si>
    <t>Y6997333B</t>
  </si>
  <si>
    <t>040020250017190</t>
  </si>
  <si>
    <t>Y9738729Z</t>
  </si>
  <si>
    <t>040020250017243</t>
  </si>
  <si>
    <t>Z0335894F</t>
  </si>
  <si>
    <t>040020250017203</t>
  </si>
  <si>
    <t>Z0401268S</t>
  </si>
  <si>
    <t>040020250017231</t>
  </si>
  <si>
    <t>Y8774482L</t>
  </si>
  <si>
    <t>040020250017196</t>
  </si>
  <si>
    <t>FAVORABLE 10/07/2025</t>
  </si>
  <si>
    <t>FAVORABLE 08/07/2025</t>
  </si>
  <si>
    <t>040020250010893</t>
  </si>
  <si>
    <t>Z0012172X</t>
  </si>
  <si>
    <t>040020250014626</t>
  </si>
  <si>
    <t>Z3332013P</t>
  </si>
  <si>
    <t>040020250013146</t>
  </si>
  <si>
    <t>040020250011656</t>
  </si>
  <si>
    <t>Z0861415R</t>
  </si>
  <si>
    <t>Tramitación Arraigo Sociolaboral AZIZ KAMEL</t>
  </si>
  <si>
    <t>Tramitación Arraigo Sociolaboral NAJIB LAMZIZ</t>
  </si>
  <si>
    <t>Tramitación Arraigo Sociolaboral MOHAMMED TACHALLAIT</t>
  </si>
  <si>
    <t>Tramitación Arraigo Sociolaboral MOHAMMED MOUSSI</t>
  </si>
  <si>
    <t>Tramitación Arraigo Sociolaboral HASSAN LAHMAR</t>
  </si>
  <si>
    <t>Tramitación Arraigo Sociolaboral ABDELALI LAAOUAJ</t>
  </si>
  <si>
    <t>TASA, MEMORIA</t>
  </si>
  <si>
    <t>Tramitación Arraigo Sociolaboral ABDELLATIF HARIOUT</t>
  </si>
  <si>
    <t>Tramitación Arraigo Sociolaboral IBRAHIM KHARBACH</t>
  </si>
  <si>
    <t>Tramitación Arraigo Sociolaboral ABDELLAH BENYAZID</t>
  </si>
  <si>
    <t>Tramitación Arraigo Sociolaboral MOHAMMED KADDOURI</t>
  </si>
  <si>
    <t>Tramitación CA Inicial AYOUB RAHIMI</t>
  </si>
  <si>
    <t>TASA, IMP. SOCIEDADES</t>
  </si>
  <si>
    <t>78035405Q</t>
  </si>
  <si>
    <t>RODRIGUEZ SANCHEZ, IRENE</t>
  </si>
  <si>
    <t>C/ Puertollano, nº 26</t>
  </si>
  <si>
    <t>Tramitación Arraigo Sociolaboral TIDIANE FICKOU</t>
  </si>
  <si>
    <t>TRADUCCION PAGADA</t>
  </si>
  <si>
    <t>Tramitación Arraigo Sociolaboral LAMINE DIOCKOU</t>
  </si>
  <si>
    <t>75724916S</t>
  </si>
  <si>
    <t>GARCIA MANZANO, JAVIER</t>
  </si>
  <si>
    <t>Berja</t>
  </si>
  <si>
    <t>Tramitación Arraigo Sociolaboral TARIQ AIT SAID</t>
  </si>
  <si>
    <t>45583521M</t>
  </si>
  <si>
    <t>ARRIETA SABIO, JOSE ANTONIO</t>
  </si>
  <si>
    <t>FERNANDEZ BELMONTE, ANDRES DAVID</t>
  </si>
  <si>
    <t>C/ Camino del encaje, 7 14 bj d</t>
  </si>
  <si>
    <t>Tramitación Arraigo Sociolaboral SAMPSON BROBBEY</t>
  </si>
  <si>
    <t>Tramitación CA Inicial MOUSSOUMADI DEMBELE</t>
  </si>
  <si>
    <t>Tramitación Arraigo Sociolaboral MOUSTAPHA KADDOURI</t>
  </si>
  <si>
    <t>MANE, MARIAMA</t>
  </si>
  <si>
    <t>C/ Anibal, nº15, 4º1</t>
  </si>
  <si>
    <t>08000</t>
  </si>
  <si>
    <t>Sabadell</t>
  </si>
  <si>
    <t>Tramitación CA Inicial MARIAMA MANE</t>
  </si>
  <si>
    <t>B56503352</t>
  </si>
  <si>
    <t>INICIATIVA AGRICOLA, S.L.</t>
  </si>
  <si>
    <t>Tramitación Renovación Autorización derivada de arraigo formación RABIATOU BADJI</t>
  </si>
  <si>
    <t>Z2149489Y</t>
  </si>
  <si>
    <t>040020250016859</t>
  </si>
  <si>
    <t>Y9745899P</t>
  </si>
  <si>
    <t>040020250015618</t>
  </si>
  <si>
    <t>Tramitación Renovación Autorización Residencia y Trabajo EL FAID BOCHRA</t>
  </si>
  <si>
    <t>Tramitación Renovación Autorización Residencia y Trabajo ALI GASSAMA</t>
  </si>
  <si>
    <t>Tramitación CA Inicial YASMINE EL BARAKAH</t>
  </si>
  <si>
    <t>TASAS, MEMORIA CONTRATACION</t>
  </si>
  <si>
    <t>Tramitación Renovación Autorización Residencia y Trabajo LASSANA DIAKITE</t>
  </si>
  <si>
    <t>X6767382T</t>
  </si>
  <si>
    <t>ABDERRAHIM TAIH</t>
  </si>
  <si>
    <t>C/ Grillo, nº 2</t>
  </si>
  <si>
    <t>Tramitación Arraigo Sociolaboral SAMIR EL KHAL</t>
  </si>
  <si>
    <t>Tramitación Arraigo Sociolaboral BAKARY DAMFA</t>
  </si>
  <si>
    <t>BALDEH, MOMODOU</t>
  </si>
  <si>
    <t>C/ Los Motores, nº 10, BE D</t>
  </si>
  <si>
    <t>Tramitación Renovación Autorización Residencia y Trabajo MOMODOU BALDEH</t>
  </si>
  <si>
    <t>Tramitación CA Inicial EMMANUEL YEBOAH</t>
  </si>
  <si>
    <t>Tramitación CA Inicial DOMINGO TILARIM MENDES</t>
  </si>
  <si>
    <t>C/ Hierbabuena, nº 10</t>
  </si>
  <si>
    <t>Tramitación Renovación Autorización Residencia y Trabajo ABDOU SARR</t>
  </si>
  <si>
    <t>LOPEZ VILLEGAS, EMILIO JOSE</t>
  </si>
  <si>
    <t xml:space="preserve">ASENJO BLANQUE, VICTOR </t>
  </si>
  <si>
    <t>Tramitación Arraigo Sociolaboral ABDELLAOUI EL BACHIR</t>
  </si>
  <si>
    <t>LAZRAK, MUSTAPHA</t>
  </si>
  <si>
    <t>C/ Juan Ramon Jimenez, nº 14, 2º dr</t>
  </si>
  <si>
    <t>Tramitación Arraigo Sociolaboral MUSTAPHA LAZRAK</t>
  </si>
  <si>
    <t>TASA, ESCRITURA EMPRESA</t>
  </si>
  <si>
    <t>B04221719</t>
  </si>
  <si>
    <t>F. MANRIQUE, SL</t>
  </si>
  <si>
    <t>C/ Jorge Juan, nº 29</t>
  </si>
  <si>
    <t>Tramitación Arraigo Sociolaboral KAOUTAR EL BADAOUY</t>
  </si>
  <si>
    <t>Tramitación CA Inicial SAMIR ECHAKRAOUI</t>
  </si>
  <si>
    <t>Z3462138E</t>
  </si>
  <si>
    <t>Z3467921D</t>
  </si>
  <si>
    <t>180020250008740</t>
  </si>
  <si>
    <t>FAVORABLE 15/07/2025</t>
  </si>
  <si>
    <t>REQUERIMIENTO 14/07/2025</t>
  </si>
  <si>
    <t>X8023045R</t>
  </si>
  <si>
    <t>040020250017544</t>
  </si>
  <si>
    <t>Z0521765S</t>
  </si>
  <si>
    <t>040020250017768</t>
  </si>
  <si>
    <t>Z3470934D</t>
  </si>
  <si>
    <t>040020250017701</t>
  </si>
  <si>
    <t>040020250017935</t>
  </si>
  <si>
    <t>FAVORABLE 21/07/2025</t>
  </si>
  <si>
    <t>040020250018523</t>
  </si>
  <si>
    <t>040020250018542</t>
  </si>
  <si>
    <t>040020250018707</t>
  </si>
  <si>
    <t>040020250015172</t>
  </si>
  <si>
    <t>FAVORABLE 22/07/2025</t>
  </si>
  <si>
    <t>Tramitación CA Inicial ILIAS ZRAIDI</t>
  </si>
  <si>
    <t>Tramitación CA Inicial SIHAM LAMARTI</t>
  </si>
  <si>
    <t>Tramitación CA Inicial FADOUA GLIZI</t>
  </si>
  <si>
    <t>Tramitación Arraigo Sociolaboral LAMINE DIEDHIOU</t>
  </si>
  <si>
    <t>NIETO GARRIDO, JOSE MANUEL</t>
  </si>
  <si>
    <t>LG Cortijo Garrido</t>
  </si>
  <si>
    <t>Tramitación Arraigo Sociolaboral ABDALLAH ASSID</t>
  </si>
  <si>
    <t>Tramitación Arraigo Sociolaboral ZOUHAIR ZAAITE</t>
  </si>
  <si>
    <t>TASA, ESCRITURA, CONTRATO ARRENDAMIENTO</t>
  </si>
  <si>
    <t>Tramitación Arraigo Sociolaboral JAMAL TABOU</t>
  </si>
  <si>
    <t>TASA, CONTRATO APARCERIA, ESCRITURA</t>
  </si>
  <si>
    <t>Tramitación Renovación Autorización Residencia y Trabajo ANTOUMANE COULIBALY</t>
  </si>
  <si>
    <t>Tramitación Renovación Autorización Residencia y Trabajo LANG CONTEH</t>
  </si>
  <si>
    <t>Tramitación Renovación Autorización derivada de arraigo formación OUSSAMA LAHLOU</t>
  </si>
  <si>
    <t>FAVORABLE 25/07/2025</t>
  </si>
  <si>
    <t>FAVORABLE 24/07/2025</t>
  </si>
  <si>
    <t>Z3508076Y</t>
  </si>
  <si>
    <t>040020250018884</t>
  </si>
  <si>
    <t>FAVORABLE 28/07/2025</t>
  </si>
  <si>
    <t>NO FAVORABLE 25/07/2025</t>
  </si>
  <si>
    <t>FAVORABLE 29/07/2025</t>
  </si>
  <si>
    <t>Z0563418S</t>
  </si>
  <si>
    <t>040020250020136</t>
  </si>
  <si>
    <t>Tramitación Renovación Autorización Residencia y Trabajo MATOU SAMAKE</t>
  </si>
  <si>
    <t>27235974H</t>
  </si>
  <si>
    <t>RUIZ LOPEZ, ISABEL MARIA</t>
  </si>
  <si>
    <t>Ctra. roquetas de Mar, s/n</t>
  </si>
  <si>
    <t>Tramitación Renovación Autorización Residencia y Trabajo RAHAL BENJARRARI</t>
  </si>
  <si>
    <t>Tramitación CA Inicial LEANDRO CATUPINTE</t>
  </si>
  <si>
    <t>rosalia@murgiverde.com</t>
  </si>
  <si>
    <t>Tramitación CA Inicial YOUSSEF EL HAMDANI</t>
  </si>
  <si>
    <t>Tramitación Arraigo Sociolaboral OMAR SARR</t>
  </si>
  <si>
    <t>Tramitación Arraigo Sociolaboral NOUR EDDINE MAKRANE</t>
  </si>
  <si>
    <t>18113854C</t>
  </si>
  <si>
    <t>FERNANDEZ VALVERDE, CRISTINA MARIA</t>
  </si>
  <si>
    <t>C/ Pandora, nº 2</t>
  </si>
  <si>
    <t>laboral@viralgestionintegral.com</t>
  </si>
  <si>
    <t>Tramitación Arraigo Sociolaboral MOHAMED EL OUARSANI</t>
  </si>
  <si>
    <t>Tramitación Arraigo Sociolaboral SAIKOU GIBBA</t>
  </si>
  <si>
    <t>040020250013643</t>
  </si>
  <si>
    <t>Tramitación Renovación Autorización Residencia y Trabajo MOHAMED OUHDIROU</t>
  </si>
  <si>
    <t>Tramitación Arraigo Sociolaboral MARINA RIVEROS PEREZ</t>
  </si>
  <si>
    <t>Tramitación Arraigo Sociolaboral ANWAR HARHOUR</t>
  </si>
  <si>
    <t>Tramitación Renovación Autorización Residencia y Trabajo ALFA BALDE</t>
  </si>
  <si>
    <t>Tramitación Arraigo Sociolaboral MASSAMBA SALL</t>
  </si>
  <si>
    <t>Tramitación Renovación Autorización Residencia y Trabajo MUSTAPHA BOBB</t>
  </si>
  <si>
    <t>75242322F</t>
  </si>
  <si>
    <t>ARIAS PALENZUELA, GEMMA PATRICIA</t>
  </si>
  <si>
    <t>C/ Eduardo Fajardo, nº 5</t>
  </si>
  <si>
    <t>Tramitación Renovación Autorización Residencia y Trabajo BILAL MATRANE</t>
  </si>
  <si>
    <t>Tramitación Arraigo Sociolaboral YOUSSEF DRIOUCH</t>
  </si>
  <si>
    <t>Tramitación Arraigo Sociolaboral SAMBA MANGA</t>
  </si>
  <si>
    <t>Tramitación CA Inicial HALIMA CHKHICHEKH</t>
  </si>
  <si>
    <t>Z0859666T</t>
  </si>
  <si>
    <t>040020250020325</t>
  </si>
  <si>
    <t>Y9053677V</t>
  </si>
  <si>
    <t>040020250020196</t>
  </si>
  <si>
    <t>Y8386276F</t>
  </si>
  <si>
    <t>040020250020218</t>
  </si>
  <si>
    <t>Tramitación Arraigo Sociolaboral YOUSSEF HEMDIOUI</t>
  </si>
  <si>
    <t>Tramitación CA Inicial HIND OUMMAOU</t>
  </si>
  <si>
    <t>TASAS DOC EMPRESA</t>
  </si>
  <si>
    <t>Y8778695T</t>
  </si>
  <si>
    <t>040020250020166</t>
  </si>
  <si>
    <t>040020250018824</t>
  </si>
  <si>
    <t>X9818681G</t>
  </si>
  <si>
    <t>040020250020539</t>
  </si>
  <si>
    <t>MOLINA ROMERO, EVA MARIA</t>
  </si>
  <si>
    <t>C/ Sector Enea, nº 26</t>
  </si>
  <si>
    <t>21760</t>
  </si>
  <si>
    <t>Huelva</t>
  </si>
  <si>
    <t>Tramitación Arraigo Sociolaboral YOUSSOUPH DJIBA</t>
  </si>
  <si>
    <t>Tramitación Arraigo Sociolaboral OUSMANE TAMBA</t>
  </si>
  <si>
    <t>Tramitación Arraigo Sociolaboral AZEDDINE MRISSE</t>
  </si>
  <si>
    <t>53714719J</t>
  </si>
  <si>
    <t>CABRERA VALERO, SERGIO</t>
  </si>
  <si>
    <t>C/ Loma del Boque, nº 58</t>
  </si>
  <si>
    <t>Tramitación Arraigo Sociolaboral SOUFIANE AL ADI</t>
  </si>
  <si>
    <t>GRANADOS GARCIA, ROCIO DE LOS ANGELES</t>
  </si>
  <si>
    <t>Paraje La Molina, nº 0</t>
  </si>
  <si>
    <t>54202864Y</t>
  </si>
  <si>
    <t>Tramitación Arraigo Sociolaboral JONATHAN EMMANUEL IRUSTA</t>
  </si>
  <si>
    <t>54103037E</t>
  </si>
  <si>
    <t>CARA RODRIGUEZ, DANIEL</t>
  </si>
  <si>
    <t>C/ Barjali, nº 1, bj b</t>
  </si>
  <si>
    <t>04460</t>
  </si>
  <si>
    <t>Fondon</t>
  </si>
  <si>
    <t>Tramitación Arraigo Sociolaboral MOKHTAR AMROUCH</t>
  </si>
  <si>
    <t>Tramitación Arraigo Sociolaboral JILLALI EL KHATTABY</t>
  </si>
  <si>
    <t>GONZALEZ HERNANDEZ, PEDRO</t>
  </si>
  <si>
    <t>Cortijo El Panadero, 34</t>
  </si>
  <si>
    <t>El Barranquete</t>
  </si>
  <si>
    <t>Tramitación Recurso Reposición YASSINE DAFIRI</t>
  </si>
  <si>
    <t>049920250001601</t>
  </si>
  <si>
    <t>Tramitación Arraigo Sociolaboral RAHMA EN NESSAH</t>
  </si>
  <si>
    <t>Tramitación Renovación Autorización Residencia y Trabajo MAMADOU DIOUF</t>
  </si>
  <si>
    <t>Z2289973Y</t>
  </si>
  <si>
    <t>040020250021038</t>
  </si>
  <si>
    <t>Z3566370H</t>
  </si>
  <si>
    <t>040020250021078</t>
  </si>
  <si>
    <t>040020250021098</t>
  </si>
  <si>
    <t>FAVORABLE 05/08/2025</t>
  </si>
  <si>
    <t>040020250021074</t>
  </si>
  <si>
    <t>040020250021109</t>
  </si>
  <si>
    <t>040020250021311</t>
  </si>
  <si>
    <t>040020250021325</t>
  </si>
  <si>
    <t>FAVORABLE 13/08/2025</t>
  </si>
  <si>
    <t>Z3580550F</t>
  </si>
  <si>
    <t>040020250021505</t>
  </si>
  <si>
    <t>NO FAVORABLE 12/08/2025</t>
  </si>
  <si>
    <t>Estimación parcial recurso</t>
  </si>
  <si>
    <t>040020250021590</t>
  </si>
  <si>
    <t>NO FAVORABLE 14/08/2025</t>
  </si>
  <si>
    <t>Y8643110T</t>
  </si>
  <si>
    <t>040020250021990</t>
  </si>
  <si>
    <t>040020250018786</t>
  </si>
  <si>
    <t>049920250006713</t>
  </si>
  <si>
    <t>FAVORABLE 14/07/2025</t>
  </si>
  <si>
    <t>I04202503532997</t>
  </si>
  <si>
    <t>Tramitación Arraigo Sociolaboral EL HASSAN ATTAF</t>
  </si>
  <si>
    <t>Tramitación Arraigo Sociolaboral MOUHAMADOU MOUSTAPHA DIOP</t>
  </si>
  <si>
    <t>TASA y CONTRATO Y MAS</t>
  </si>
  <si>
    <t>Tramitación Arraigo Sociolaboral SOULEYMANE BIAYE</t>
  </si>
  <si>
    <t>230020250005139</t>
  </si>
  <si>
    <t>FAVORABLE 30/07/2025</t>
  </si>
  <si>
    <t>Tramitación Renovación Autorización Residencia y Trabajo AMADOU DIOP</t>
  </si>
  <si>
    <t>08907383N</t>
  </si>
  <si>
    <t>FERNANDEZ LOPEZ, CRISTOBAL</t>
  </si>
  <si>
    <t>C/ Padules, nº 13</t>
  </si>
  <si>
    <t>Tramitación Arraigo Sociolaboral MOHAMMED BOUHACHLAFENE</t>
  </si>
  <si>
    <t>18113573S</t>
  </si>
  <si>
    <t>ROMERA ROMERA, ABEL FRANCISCO</t>
  </si>
  <si>
    <t>C/ San Isidro, nº 50, 1ºD</t>
  </si>
  <si>
    <t>Tramitación Arraigo Sociolaboral HAMZA KASSMI</t>
  </si>
  <si>
    <t>B70651740</t>
  </si>
  <si>
    <t>AGRICOLA FUDEZA, S.L.</t>
  </si>
  <si>
    <t>C/ Federico Garcia Lorca, nº 12</t>
  </si>
  <si>
    <t>29610</t>
  </si>
  <si>
    <t>Ojen (Málaga)</t>
  </si>
  <si>
    <t>Tramitación Renovación Autorización Residencia y Trabajo CHAIMAE EL ARFAOUI</t>
  </si>
  <si>
    <t>Tramitación Renovación Autorización Residencia y Trabajo SAYDOU SIGNATE</t>
  </si>
  <si>
    <t>Y9730304R</t>
  </si>
  <si>
    <t>040020250011667</t>
  </si>
  <si>
    <t>75247701G</t>
  </si>
  <si>
    <t>ROMERA MANZANO, BEATRIZ</t>
  </si>
  <si>
    <t>Tramitación CA Inicial TOMAS VILELA DIAZ</t>
  </si>
  <si>
    <t>TASAS, CONTRATO</t>
  </si>
  <si>
    <t>040020250022068</t>
  </si>
  <si>
    <t>040020250022076</t>
  </si>
  <si>
    <t>23777574J</t>
  </si>
  <si>
    <t>JOSEFA MANUELA RODRIGUEZ MEDINA</t>
  </si>
  <si>
    <t>C/ Puesto Juarez, nº 7</t>
  </si>
  <si>
    <t>Tramitación Arraigo Sociolaboral MAMADOU BALDE</t>
  </si>
  <si>
    <t>040020250018788</t>
  </si>
  <si>
    <t>040020250022060</t>
  </si>
  <si>
    <t>FAVORABLE 20/08/2025</t>
  </si>
  <si>
    <t>Y9735296P</t>
  </si>
  <si>
    <t>040020250022345</t>
  </si>
  <si>
    <t>040020250022359</t>
  </si>
  <si>
    <t>Z3607068Y</t>
  </si>
  <si>
    <t>TASA, CONTRATO, PRUEBAS Y MEMORIA</t>
  </si>
  <si>
    <t>FAVORABLE 25/08/2025</t>
  </si>
  <si>
    <t>040020250022519</t>
  </si>
  <si>
    <t>040020250022526</t>
  </si>
  <si>
    <t>Y9868282P</t>
  </si>
  <si>
    <t>040020250022591</t>
  </si>
  <si>
    <t>Z3616746R</t>
  </si>
  <si>
    <t>040020250022619</t>
  </si>
  <si>
    <t>Tramitación Arraigo Sociolaboral SOUFIANE TABIBI</t>
  </si>
  <si>
    <t>Tramitación Arraigo SociolaboralASMAE ELABDOUSSI</t>
  </si>
  <si>
    <t>Tramitación Arraigo Sociolaboral SULEYMAN IBRAHIM</t>
  </si>
  <si>
    <t>Tramitación Arraigo Sociolaboral BOUBA FADERA</t>
  </si>
  <si>
    <t>45607176Q</t>
  </si>
  <si>
    <t>GALDEANO MALDONADO, JESUS IGNACIO</t>
  </si>
  <si>
    <t>C/ Cairos, nº 37</t>
  </si>
  <si>
    <t>Tramitación Arraigo Sociolaboral AHMED HAMYD</t>
  </si>
  <si>
    <t>Y8376666B</t>
  </si>
  <si>
    <t>Tramitación CA Inicial MOHAMMED ARABI</t>
  </si>
  <si>
    <t>Tramitación Renovación Autorización Residencia y Trabajo PAPA ANSOUMANA KEITA</t>
  </si>
  <si>
    <t>MONTAÑO CARAUCHE, SANDRA MILENA</t>
  </si>
  <si>
    <t>Av. Lepanto, nº 31, BE</t>
  </si>
  <si>
    <t>613 64 88 69</t>
  </si>
  <si>
    <t>Tramitación Arraigo Sociolaboral SANDRA MILENA MONTAÑO CARAUCHE</t>
  </si>
  <si>
    <t>Z2133882Q</t>
  </si>
  <si>
    <t>DIALLO, ALPHA</t>
  </si>
  <si>
    <t>C/ Caño San Felipe, nº 1</t>
  </si>
  <si>
    <t>602 81 36 61</t>
  </si>
  <si>
    <t>Tramitación Renovación Autorización Residencia y Trabajo ALPHA DIALLO</t>
  </si>
  <si>
    <t>C/ Avenida Nicolas Salmeron, nº 2, 4ºizq</t>
  </si>
  <si>
    <t>Tramitación Arraigo Sociolaboral HASSAN BOUCHTETA</t>
  </si>
  <si>
    <t>53712790Q</t>
  </si>
  <si>
    <t>FERNANDEZ SALMERON, MARIA DOLORES</t>
  </si>
  <si>
    <t>C/ Gregorio Marañon, nº 7</t>
  </si>
  <si>
    <t>08906734F</t>
  </si>
  <si>
    <t>PEREZ SUAREZ, JOSE ANTONIO</t>
  </si>
  <si>
    <t>C/ Tabernas, nº 2, 2º</t>
  </si>
  <si>
    <t>Tramitación Modificación Autorización Residencia y Trabajo MOSTAPHA AHROUCH</t>
  </si>
  <si>
    <t>I14202503576950</t>
  </si>
  <si>
    <t>Tramitación Arraigo Sociolaboral MERYEM BERNI</t>
  </si>
  <si>
    <t>Tramitación Arraigo Sociolaboral MOHAMED EL GDALY</t>
  </si>
  <si>
    <t>Z1985582C</t>
  </si>
  <si>
    <t>78031472Q</t>
  </si>
  <si>
    <t>GARRIDO SANCHEZ, JUAN NICOLAS</t>
  </si>
  <si>
    <t>C/ Febo, nº 15</t>
  </si>
  <si>
    <t>Tramitación Arraigo Sociolaboral EL MEHDI MANSOURI</t>
  </si>
  <si>
    <t>I18202503578210</t>
  </si>
  <si>
    <t>Tramitación Prórroga Arraigo Formación MARIA DANIELA MONTES GUERRERO</t>
  </si>
  <si>
    <t>Tramitación Arraigo Sociolaboral TETY LESSY</t>
  </si>
  <si>
    <t>Tramitación CA Inicial NAOUFAL EL MRISSANI</t>
  </si>
  <si>
    <t>Tramitación Arraigo Sociolaboral MOUSTAPHA NDIAYE</t>
  </si>
  <si>
    <t>Tramitación Arraigo Sociolaboral MOHAMED HARIOUT</t>
  </si>
  <si>
    <t>Z3621333B</t>
  </si>
  <si>
    <t>040020250022781</t>
  </si>
  <si>
    <t>Z3623416R</t>
  </si>
  <si>
    <t>040020250022855</t>
  </si>
  <si>
    <t>Tramitación Arraigo Sociolaboral JAMILA BOUSSETTA</t>
  </si>
  <si>
    <t>Y8879187M</t>
  </si>
  <si>
    <t>040020250022886</t>
  </si>
  <si>
    <t>JAVI</t>
  </si>
  <si>
    <t>Z3621660Q</t>
  </si>
  <si>
    <t>040020250022797</t>
  </si>
  <si>
    <t>Z2519892V</t>
  </si>
  <si>
    <t>040020250022771</t>
  </si>
  <si>
    <t>Z3603407W</t>
  </si>
  <si>
    <t>040020250022200</t>
  </si>
  <si>
    <t>Z0017353Q</t>
  </si>
  <si>
    <t>040020250023147</t>
  </si>
  <si>
    <t>Y9731682M</t>
  </si>
  <si>
    <t>040020250023152</t>
  </si>
  <si>
    <t>Z3637421E</t>
  </si>
  <si>
    <t>040020250023339</t>
  </si>
  <si>
    <t>Z3632901X</t>
  </si>
  <si>
    <t>040020250023189</t>
  </si>
  <si>
    <t>300020250022557</t>
  </si>
  <si>
    <t>300020250022485</t>
  </si>
  <si>
    <t>040020250021405</t>
  </si>
  <si>
    <t>040020250021420</t>
  </si>
  <si>
    <t>040020250021426</t>
  </si>
  <si>
    <t>040020250021538</t>
  </si>
  <si>
    <t>Z3646259M</t>
  </si>
  <si>
    <t xml:space="preserve">RODRIGUEZ GOMEZ, ANTONIO JESUS </t>
  </si>
  <si>
    <t>Tramitación Arraigo Sociolaboral MOHAMED AMEDAH</t>
  </si>
  <si>
    <t>45604560E</t>
  </si>
  <si>
    <t>RODRIGUEZ MARTIN, JOSE IGNACIO</t>
  </si>
  <si>
    <t>C/ Bojares, nº 26</t>
  </si>
  <si>
    <t>Tramitación Arraigo Sociolaboral NAOUAL KAHEL-LAAYOUNE</t>
  </si>
  <si>
    <t>I04202503594869</t>
  </si>
  <si>
    <t>Tramitación Arraigo Sociolaboral LAHCEN BEN ACHOUNE</t>
  </si>
  <si>
    <t>I04202503596137</t>
  </si>
  <si>
    <t>TASA, MODELO 600</t>
  </si>
  <si>
    <t>Z2066197C</t>
  </si>
  <si>
    <t>040020250023685</t>
  </si>
  <si>
    <t>040020250023688</t>
  </si>
  <si>
    <t>Z3647884C</t>
  </si>
  <si>
    <t>040020250023649</t>
  </si>
  <si>
    <t>FAVORABLE 03/09/2025</t>
  </si>
  <si>
    <t>Z0708069L</t>
  </si>
  <si>
    <t>040020250024019</t>
  </si>
  <si>
    <t>Z3656801J</t>
  </si>
  <si>
    <t>040020250024079</t>
  </si>
  <si>
    <t>FAVORABLE 05/09/2025</t>
  </si>
  <si>
    <t>Z2421820V</t>
  </si>
  <si>
    <t>040020250024058</t>
  </si>
  <si>
    <t>Z3659545C</t>
  </si>
  <si>
    <t>040020250024183</t>
  </si>
  <si>
    <t>FAVORABLE 11/09/2025</t>
  </si>
  <si>
    <t>040020250024539</t>
  </si>
  <si>
    <t>040020250024522</t>
  </si>
  <si>
    <t>040020250024475</t>
  </si>
  <si>
    <t>Z3489980B</t>
  </si>
  <si>
    <t>Z3491757V</t>
  </si>
  <si>
    <t>smi.tierras@gmail.com</t>
  </si>
  <si>
    <t>Tramitación Arraigo Sociolaboral YAYA KOTE</t>
  </si>
  <si>
    <t>Z1385270P</t>
  </si>
  <si>
    <t>SARR, ARONA</t>
  </si>
  <si>
    <t>C/ Rio Jandula, nº 12, bj, 1</t>
  </si>
  <si>
    <t>Tramitación Renovación Autorización Residencia y Trabajo ARONA SARR</t>
  </si>
  <si>
    <t>I04202503618200</t>
  </si>
  <si>
    <t>040020250017204</t>
  </si>
  <si>
    <t>Y5450195Z</t>
  </si>
  <si>
    <t>040020250024717</t>
  </si>
  <si>
    <t>FAVORABLE 09/09/2025</t>
  </si>
  <si>
    <t>040020250024973</t>
  </si>
  <si>
    <t>Z3681364N</t>
  </si>
  <si>
    <t>040020250024995</t>
  </si>
  <si>
    <t>Y9815373E</t>
  </si>
  <si>
    <t>040020250024999</t>
  </si>
  <si>
    <t>X5217246H</t>
  </si>
  <si>
    <t>040020250025019</t>
  </si>
  <si>
    <t>040020250025283</t>
  </si>
  <si>
    <t>Z3689736N</t>
  </si>
  <si>
    <t>040020250024675</t>
  </si>
  <si>
    <t>Z3505473W</t>
  </si>
  <si>
    <t>300020250023213</t>
  </si>
  <si>
    <t>i04202503623611</t>
  </si>
  <si>
    <t>040020250025293</t>
  </si>
  <si>
    <t>60872615X</t>
  </si>
  <si>
    <t>SEDANO PAÑAHUA, MARIA ISABEL</t>
  </si>
  <si>
    <t>C/ Pasaje, nº 5, 1º8</t>
  </si>
  <si>
    <t>i04202503624622</t>
  </si>
  <si>
    <t>Tramitación Residencia Familiar Español THIAGO NICOLAS NARVAEZ SEDANO</t>
  </si>
  <si>
    <t>641 40 69 50</t>
  </si>
  <si>
    <t>Z3685742C</t>
  </si>
  <si>
    <t>040020250025131</t>
  </si>
  <si>
    <t>TERRA AUREUS 2018, S.L.</t>
  </si>
  <si>
    <t>C/ Majestad, nº 61</t>
  </si>
  <si>
    <t>Tramitación CA Inicial SOUHAIB KANFOUH</t>
  </si>
  <si>
    <t>Z0501011F</t>
  </si>
  <si>
    <t>040020250025258</t>
  </si>
  <si>
    <t>Z3686133C</t>
  </si>
  <si>
    <t>040020250025147</t>
  </si>
  <si>
    <t>Tramitación Modificación Autorización Residencia y Trabajo CHEIKH AHMED TIDIANE DIA</t>
  </si>
  <si>
    <t>I04202503630788</t>
  </si>
  <si>
    <t>hortidayma@yahoo.es</t>
  </si>
  <si>
    <t>Tramitación Renovación Autorización derivada de arraigo formación DRISS KHACHANE</t>
  </si>
  <si>
    <t>Z0030503X</t>
  </si>
  <si>
    <t>TASA, DNI</t>
  </si>
  <si>
    <t>54137507S</t>
  </si>
  <si>
    <t>MEMBRIVES ESCUDERO, JOSE FRANCISCO</t>
  </si>
  <si>
    <t>Avenida Europa, nº 2</t>
  </si>
  <si>
    <t>Tramitación Arraigo Sociolaboral MOUSSA DIOUF</t>
  </si>
  <si>
    <t>040020250024143</t>
  </si>
  <si>
    <t>Z3658982D</t>
  </si>
  <si>
    <t>040020250022683</t>
  </si>
  <si>
    <t>040020250025221</t>
  </si>
  <si>
    <t>Z3618815T</t>
  </si>
  <si>
    <t>Z3688269V</t>
  </si>
  <si>
    <t>Z3704899H</t>
  </si>
  <si>
    <t>040020250025811</t>
  </si>
  <si>
    <t>FAVORABLE 16/09/2025</t>
  </si>
  <si>
    <t>FAVORABLE 12/09/2025</t>
  </si>
  <si>
    <t>Z0997985C</t>
  </si>
  <si>
    <t>040020250025752</t>
  </si>
  <si>
    <t>Y8625477P</t>
  </si>
  <si>
    <t>040020250025476</t>
  </si>
  <si>
    <t>Z2874990H</t>
  </si>
  <si>
    <t>040020250025884</t>
  </si>
  <si>
    <t>Tramitación Arraigo Sociolaboral MAMADOU MANE</t>
  </si>
  <si>
    <t>TASA, MAS PRUEBAS Y PENALES ORIGINAL</t>
  </si>
  <si>
    <t>MENDES, JAMES</t>
  </si>
  <si>
    <t>671 18 78 06</t>
  </si>
  <si>
    <t>Tramitación Arraigo Sociolaboral JAMES MENDES</t>
  </si>
  <si>
    <t>040020250026137</t>
  </si>
  <si>
    <t>Tramitación Modificación Autorización Residencia y Trabajo ABDOULAYE NDIAYE</t>
  </si>
  <si>
    <t>I04202503651987</t>
  </si>
  <si>
    <t>54139415Z</t>
  </si>
  <si>
    <t>JIMENEZ MALDONADO, JUAN JOSE</t>
  </si>
  <si>
    <t>C/ Tirso de Molina, nº 9, 4ºD</t>
  </si>
  <si>
    <t>Tramitación Arraigo Sociolaboral MBAYE SECK</t>
  </si>
  <si>
    <t>Tramitación Arraigo Sociolaboral NFAMARA DIABY</t>
  </si>
  <si>
    <t xml:space="preserve">TASA, resguardos de envíos de dinero de todo 2024 </t>
  </si>
  <si>
    <t>FAVORABLE 24/09/2025</t>
  </si>
  <si>
    <t>Z3656941S</t>
  </si>
  <si>
    <t>040020250024086</t>
  </si>
  <si>
    <t>Z2316772X</t>
  </si>
  <si>
    <t>040020250025914</t>
  </si>
  <si>
    <t>76664407W</t>
  </si>
  <si>
    <t>LLAMAS GARCIA, JOSE MANUEL</t>
  </si>
  <si>
    <t>C/ Orense, nº 10</t>
  </si>
  <si>
    <t>Tramitación Arraigo Sociolaboral AHMED EL MAATAOUI</t>
  </si>
  <si>
    <t>TASA, EMPADRONAMIENTO</t>
  </si>
  <si>
    <t>Y9684252R</t>
  </si>
  <si>
    <t>040020250025151</t>
  </si>
  <si>
    <t>Z3577502H</t>
  </si>
  <si>
    <t>Z3588816Q</t>
  </si>
  <si>
    <t>040020250021739</t>
  </si>
  <si>
    <t>Z3588484Y</t>
  </si>
  <si>
    <t>040020250021714</t>
  </si>
  <si>
    <t>Z3683240W</t>
  </si>
  <si>
    <t>040020250025037</t>
  </si>
  <si>
    <t>Z1556547G</t>
  </si>
  <si>
    <t>040020250023193</t>
  </si>
  <si>
    <t>040020250025035</t>
  </si>
  <si>
    <t>Z3588711A</t>
  </si>
  <si>
    <t>040020250021729</t>
  </si>
  <si>
    <t>X8363177D</t>
  </si>
  <si>
    <t>040020250021792</t>
  </si>
  <si>
    <t>Z3593268Y</t>
  </si>
  <si>
    <t>040020250021862</t>
  </si>
  <si>
    <t>Y7075329Z</t>
  </si>
  <si>
    <t>040020250025973</t>
  </si>
  <si>
    <t>Z3598860D</t>
  </si>
  <si>
    <t>040020250022049</t>
  </si>
  <si>
    <t>Y9121851L</t>
  </si>
  <si>
    <t>Z3608679F</t>
  </si>
  <si>
    <t>X9844365C</t>
  </si>
  <si>
    <t>040020250023240</t>
  </si>
  <si>
    <t>Y9839378S</t>
  </si>
  <si>
    <t>040020250026043</t>
  </si>
  <si>
    <t>Y9667647W</t>
  </si>
  <si>
    <t>040020250026045</t>
  </si>
  <si>
    <t>X8731640N</t>
  </si>
  <si>
    <t>BOUALLAGA, ABDERRAHIM</t>
  </si>
  <si>
    <t>Ct Saladar y Leche, nº 0</t>
  </si>
  <si>
    <t>Tramitación CA Inicial ZAKARIA MANSAR</t>
  </si>
  <si>
    <t>Tramitación Arraigo Laboral OMAR NDONG</t>
  </si>
  <si>
    <t>08911673R</t>
  </si>
  <si>
    <t>Av. Oasis, nº 62</t>
  </si>
  <si>
    <t>54121031F</t>
  </si>
  <si>
    <t>FIGUEROA MALDONADO, SARA</t>
  </si>
  <si>
    <t>Av. Del Coral, nº 1</t>
  </si>
  <si>
    <t>Tramitación Arraigo Laboral ABDELFATTAH LAMSIYAH</t>
  </si>
  <si>
    <t>Tramitación CA Inicial SOULEYMANE CISSE</t>
  </si>
  <si>
    <t>Y9518053T</t>
  </si>
  <si>
    <t>SANYANG, MAMADOU</t>
  </si>
  <si>
    <t>C/ del Virrey Aviles, nº 8</t>
  </si>
  <si>
    <t>08500</t>
  </si>
  <si>
    <t>Vic</t>
  </si>
  <si>
    <t>Tramitación Renovación Autorización Residencia y Trabajo MAMADOU SANYANG</t>
  </si>
  <si>
    <t>Tramitación Renovación Autorización Residencia y Trabajo MAGUETTE SANE</t>
  </si>
  <si>
    <t>I04202503683353</t>
  </si>
  <si>
    <t>Tramitación Renovación Autorización derivada de arraigo formación ABDELHAKIM AAFIF</t>
  </si>
  <si>
    <t>Tramitación CA Inicial SANNEH ADAMA con la empresa ANTONIO JESUS VIDAÑA ENRIQUE</t>
  </si>
  <si>
    <t>FISCO SUR CONSULTORES</t>
  </si>
  <si>
    <t>Tramitación Renovación Autorización Residencia y Trabajo ISSA CISSE</t>
  </si>
  <si>
    <t>I04202503688144</t>
  </si>
  <si>
    <t>Y9352938W</t>
  </si>
  <si>
    <t>040020250026098</t>
  </si>
  <si>
    <t>Z3712492K</t>
  </si>
  <si>
    <t>040020250026067</t>
  </si>
  <si>
    <t>27261285Y</t>
  </si>
  <si>
    <t>LUQUE PALMERO, NICOLAS</t>
  </si>
  <si>
    <t>C/ Divina Infantita</t>
  </si>
  <si>
    <t>Y9518697T</t>
  </si>
  <si>
    <t>040020250026255</t>
  </si>
  <si>
    <t>Y9731675K</t>
  </si>
  <si>
    <t>040020250026203</t>
  </si>
  <si>
    <t>ARCHIVO EXPEDIENTE</t>
  </si>
  <si>
    <t>POR NO PAGAR LAS TASAS</t>
  </si>
  <si>
    <t>Y7204843S</t>
  </si>
  <si>
    <t>040020250026161</t>
  </si>
  <si>
    <t>Z3713059J</t>
  </si>
  <si>
    <t>040020250026112</t>
  </si>
  <si>
    <t>Z3717018Q</t>
  </si>
  <si>
    <t>040020250026298</t>
  </si>
  <si>
    <t>040020250026353</t>
  </si>
  <si>
    <t>Z3718731G</t>
  </si>
  <si>
    <t>040020250026395</t>
  </si>
  <si>
    <t>Z3721140K</t>
  </si>
  <si>
    <t>040020250026509</t>
  </si>
  <si>
    <t>Z3725584A</t>
  </si>
  <si>
    <t>040020250026646</t>
  </si>
  <si>
    <t>Y8806288Q</t>
  </si>
  <si>
    <t>040020250026681</t>
  </si>
  <si>
    <t>Z3726834B</t>
  </si>
  <si>
    <t>040020250026703</t>
  </si>
  <si>
    <t>Z3727497F</t>
  </si>
  <si>
    <t>040020250026739</t>
  </si>
  <si>
    <t>Z3728878P</t>
  </si>
  <si>
    <t>040020250026815</t>
  </si>
  <si>
    <t>Z0844575C</t>
  </si>
  <si>
    <t>040020250026801</t>
  </si>
  <si>
    <t>Z2364842X</t>
  </si>
  <si>
    <t>040020250026894</t>
  </si>
  <si>
    <t>FAVORABLE 22/09/2025</t>
  </si>
  <si>
    <t>Z3729597Z</t>
  </si>
  <si>
    <t>040020250026868</t>
  </si>
  <si>
    <t>040020250026954</t>
  </si>
  <si>
    <t>Z1066199Q</t>
  </si>
  <si>
    <t>040020250026946</t>
  </si>
  <si>
    <t>FAVORABLE 25/09/2025</t>
  </si>
  <si>
    <t>Z3740810A</t>
  </si>
  <si>
    <t>040020250027256</t>
  </si>
  <si>
    <t>hablar miguel angel cruz</t>
  </si>
  <si>
    <t>Y8009557M</t>
  </si>
  <si>
    <t>JEMAI, TAKIEDDINE</t>
  </si>
  <si>
    <t>C/ Duque de Amuhada, nº 2, 3º5</t>
  </si>
  <si>
    <t>610 00 88 93</t>
  </si>
  <si>
    <t>Tramitación Renovación Autorización Residencia y Trabajo TAKIEDDINE JEMAI</t>
  </si>
  <si>
    <t>I04202503698828</t>
  </si>
  <si>
    <t>I04202503695157</t>
  </si>
  <si>
    <t>Tramitación Arraigo Sociolaboral IBRAHIMA WADE</t>
  </si>
  <si>
    <t>Tramitación Arraigo Sociolaboral MAMADOU KONTE</t>
  </si>
  <si>
    <t>Tramitación Arraigo Sociolaboral NAJAT KARDIDA</t>
  </si>
  <si>
    <t>FAVORABLE 29/09/2025</t>
  </si>
  <si>
    <t>ASESORIA BAFERSA</t>
  </si>
  <si>
    <t>Tramitación Arraigo Sociolaboral FIKRI AMAKRAN con la empresa RUBI ALFEREZ, IVAN CESAREO</t>
  </si>
  <si>
    <t>Asesoría natursur</t>
  </si>
  <si>
    <t>E04770731</t>
  </si>
  <si>
    <t>C/ Ana María Matute, nº 2, 5ºA</t>
  </si>
  <si>
    <t>Tramitación CA Inicial DOUEIKE TRAORE</t>
  </si>
  <si>
    <t>I04202503701507</t>
  </si>
  <si>
    <t>yaNKOUBA MANCAL</t>
  </si>
  <si>
    <t>FAVORABLE 23/09/2025</t>
  </si>
  <si>
    <t>Tramitación Renovación Autorización Residencia y Trabajo CHARAF FANNANE</t>
  </si>
  <si>
    <t>I04202503707637</t>
  </si>
  <si>
    <t>75948274C</t>
  </si>
  <si>
    <t>PEREZ MORENO, FRANCISCO</t>
  </si>
  <si>
    <t>C/ Huelva, nº 125</t>
  </si>
  <si>
    <t>Tramitación Modificación Autorización Residencia y Trabajo MOUNAIM ATMANI</t>
  </si>
  <si>
    <t>I04202503707663</t>
  </si>
  <si>
    <t>NO FAVORABLE 23/09/2025</t>
  </si>
  <si>
    <t>FAVORABLE 26/09/2025</t>
  </si>
  <si>
    <t>FAVORABLE 01/10/2025</t>
  </si>
  <si>
    <t>Tramitación Arraigo Sociolaboral YASSINE OUZNAG</t>
  </si>
  <si>
    <t>Tramitación Arraigo Sociolaboral ABDELLATIF EZZAKI</t>
  </si>
  <si>
    <t>Tramitación Arraigo Sociolaboral NDOYE MOR</t>
  </si>
  <si>
    <t>Tramitación Arraigo Sociolaboral ELHADJI MAGUETTE GUEYE</t>
  </si>
  <si>
    <t>I04202503716401</t>
  </si>
  <si>
    <t>23780817J</t>
  </si>
  <si>
    <t>MALDONADO LOPEZ, JULIO MANUEL</t>
  </si>
  <si>
    <t>C/ Doctor Sanchez Martin, nº 14</t>
  </si>
  <si>
    <t>Tramitación Arraigo Sociolaboral XIMENA RAMIREZ RUIZ</t>
  </si>
  <si>
    <t>TASA, contrato y memoria</t>
  </si>
  <si>
    <t>Tramitación Arraigo Sociolaboral TARIK DOUKKALI</t>
  </si>
  <si>
    <t>LOPEZ SUAREZ, JOSE ANTONIO</t>
  </si>
  <si>
    <t>C/ Mocano, 45</t>
  </si>
  <si>
    <t>Tramitación CA Inicial DEMBELE MAHAMADOU</t>
  </si>
  <si>
    <t>Tramitación Renovación Autorización Residencia y Trabajo MIMOUN OUSSOUDAR</t>
  </si>
  <si>
    <t>I04202503722459</t>
  </si>
  <si>
    <t>PEDROSA LOPEZ, C.B.</t>
  </si>
  <si>
    <t>Z3587521D</t>
  </si>
  <si>
    <t>040020250021661</t>
  </si>
  <si>
    <t>NO FAVORABLE 22/09/2025</t>
  </si>
  <si>
    <t>Z3425046Y</t>
  </si>
  <si>
    <t>040020250016126</t>
  </si>
  <si>
    <t>Z3713464G</t>
  </si>
  <si>
    <t>Z3757696F</t>
  </si>
  <si>
    <t>040020250028027</t>
  </si>
  <si>
    <t>040020250028114</t>
  </si>
  <si>
    <t>Tramitación Arraigo Sociolaboral RADOUAN FANGOUJE</t>
  </si>
  <si>
    <t>Y9735099H</t>
  </si>
  <si>
    <t>040020250027194</t>
  </si>
  <si>
    <t>Y9306787N</t>
  </si>
  <si>
    <t>040020250028841</t>
  </si>
  <si>
    <t>Y9839419X</t>
  </si>
  <si>
    <t>040020250028701</t>
  </si>
  <si>
    <t>040020250028298</t>
  </si>
  <si>
    <t>Y9663005Y</t>
  </si>
  <si>
    <t>040020250027161</t>
  </si>
  <si>
    <t>Tramitación Modificación finalización formacion ABDELKABIR OUARDI</t>
  </si>
  <si>
    <t>040020250027136</t>
  </si>
  <si>
    <t>Z3737457P</t>
  </si>
  <si>
    <t>040020250027611</t>
  </si>
  <si>
    <t>Z0406034C</t>
  </si>
  <si>
    <t>040020250027053</t>
  </si>
  <si>
    <t>FAVORABLE 08/10/2025</t>
  </si>
  <si>
    <t>Z0848534T</t>
  </si>
  <si>
    <t>040020250029626</t>
  </si>
  <si>
    <t>Z3788217F</t>
  </si>
  <si>
    <t>040020250029625</t>
  </si>
  <si>
    <t>Z3788246J</t>
  </si>
  <si>
    <t>040020250029628</t>
  </si>
  <si>
    <t>FAVORABLE 06/10/2025</t>
  </si>
  <si>
    <t>Z0920521C</t>
  </si>
  <si>
    <t>040020250028324</t>
  </si>
  <si>
    <t>NO FAVORABLE 30/09/2025</t>
  </si>
  <si>
    <t>Tramitación Arraigo Sociolaboral SAID BENMEHDIA</t>
  </si>
  <si>
    <t>Z3798902C</t>
  </si>
  <si>
    <t>040020250030050</t>
  </si>
  <si>
    <t>Y8110575F</t>
  </si>
  <si>
    <t>GARCIA CARA, TORIBIO</t>
  </si>
  <si>
    <t>C/ Brahms, nº 27</t>
  </si>
  <si>
    <t>Tramitación Arraigo Sociolaboral OUMAIMA AIT EL KORCHI</t>
  </si>
  <si>
    <t>I04202503769640</t>
  </si>
  <si>
    <t>Tramitación Modificación finalización formacion BRAHIM BOUKSAIM</t>
  </si>
  <si>
    <t>I04202503769477</t>
  </si>
  <si>
    <t>Tramitación Renovación Autorización Residencia y Trabajo RADOUAN GHNINOU</t>
  </si>
  <si>
    <t>I04202503769348</t>
  </si>
  <si>
    <t>Tramitación Modificación finalización formacion HASSAN AIT BOUHCIEN</t>
  </si>
  <si>
    <t>I04202503767538</t>
  </si>
  <si>
    <t>Tramitación Arraigo Sociolaboral AMADOU DIOUWE SOUARE</t>
  </si>
  <si>
    <t>I04202503767869</t>
  </si>
  <si>
    <t>NYABALLY, LAMIN</t>
  </si>
  <si>
    <t>Ctra. La Mojonera, nº 71, 1ºA</t>
  </si>
  <si>
    <t>Tramitación Arraigo Sociolaboral LAMIN NYABALLY</t>
  </si>
  <si>
    <t>I04202503768026</t>
  </si>
  <si>
    <t>23523767B</t>
  </si>
  <si>
    <t>IBAÑEZ SANCHEZ, ENCARNACION</t>
  </si>
  <si>
    <t>C/ Osa Mayor, nº 71</t>
  </si>
  <si>
    <t>Tramitación Arraigo Sociolaboral SOUKAINA EL OGZI</t>
  </si>
  <si>
    <t>I04202503774873</t>
  </si>
  <si>
    <t>75227211F</t>
  </si>
  <si>
    <t>GARCIA MORENO, MARIA DOLORES</t>
  </si>
  <si>
    <t>Av. De la constitución, nº 81</t>
  </si>
  <si>
    <t>Tramitación Modificación finalización formacion FOUAD ABBAD</t>
  </si>
  <si>
    <t>I04202503774889</t>
  </si>
  <si>
    <t>Tramitación Modificación finalización formacion ABDELHAKIM BOUCHOUKA</t>
  </si>
  <si>
    <t>I04202503774903</t>
  </si>
  <si>
    <t>14299224D</t>
  </si>
  <si>
    <t>ELATIFI, MOUNIR ATTI</t>
  </si>
  <si>
    <t>C/ Potasio, nº 12</t>
  </si>
  <si>
    <t>Tramitación Modificación finalización formacion SOUFIAN AZZOUZ</t>
  </si>
  <si>
    <t>Z2629677T</t>
  </si>
  <si>
    <t>I04202503777280</t>
  </si>
  <si>
    <t>Tramitación Modificación finalización formacion FAIZ AZZOUZ</t>
  </si>
  <si>
    <t>Z2678372G</t>
  </si>
  <si>
    <t>I04202503777358</t>
  </si>
  <si>
    <t>Tramitación Modificación finalización formacion MUSTAPHA ECHARKI</t>
  </si>
  <si>
    <t>Z3015004P</t>
  </si>
  <si>
    <t>I04202503777399</t>
  </si>
  <si>
    <t>Tramitación Arraigo Sociolaboral ABDENNASSAR KHARMACH</t>
  </si>
  <si>
    <t>Z2112305J</t>
  </si>
  <si>
    <t>I04202503776632</t>
  </si>
  <si>
    <t>X5988493Y</t>
  </si>
  <si>
    <t>ATTI, ABDELKADER</t>
  </si>
  <si>
    <t>C/ Pizarro, nº 4, 3ºD</t>
  </si>
  <si>
    <t>Tramitación Modificación finalización formacion HASSAN OUHARROU</t>
  </si>
  <si>
    <t>Z2906134C</t>
  </si>
  <si>
    <t>I04202503776760</t>
  </si>
  <si>
    <t>Tramitación Modificación finalización formacion MOHAMED AIT KHADOUCH</t>
  </si>
  <si>
    <t>Z2851483V</t>
  </si>
  <si>
    <t>I04202503776878</t>
  </si>
  <si>
    <t>27263287F</t>
  </si>
  <si>
    <t>HARO MENDEZ, TRINIDAD</t>
  </si>
  <si>
    <t>C/ America, nº 16</t>
  </si>
  <si>
    <t>Tramitación Modificación finalización formacion ABDERRAHIM LAHSSAINI</t>
  </si>
  <si>
    <t>Z2750303Z</t>
  </si>
  <si>
    <t>I04202503777005</t>
  </si>
  <si>
    <t>Tramitación CA Inicial FAMAKAN FOFANA</t>
  </si>
  <si>
    <t>Tramitación Arraigo Sociolaboral OUASSIL ERRABI</t>
  </si>
  <si>
    <t>I04202503777190</t>
  </si>
  <si>
    <t>37334806X</t>
  </si>
  <si>
    <t>LOPEZ ANDUJAR, FRANCISCO JAVIER</t>
  </si>
  <si>
    <t>C/ Sierra Nevada, nº 8, 2ºA</t>
  </si>
  <si>
    <t>Tramitación Arraigo Sociolaboral ABDOU NDIAYE</t>
  </si>
  <si>
    <t>I04202503776444</t>
  </si>
  <si>
    <t>SOUIKET, KARIM</t>
  </si>
  <si>
    <t>Cortijo Pared (la), nº 189, bj, 17</t>
  </si>
  <si>
    <t>Pueblo Blanco - Nijar</t>
  </si>
  <si>
    <t>Tramitación Arraigo Sociolaboral KARIM SOUIKET</t>
  </si>
  <si>
    <t>I04202503776329</t>
  </si>
  <si>
    <t>EL AMARI, BOUSSELHAM</t>
  </si>
  <si>
    <t>C/ Ajedrez, nº 67</t>
  </si>
  <si>
    <t>Tramitación Arraigo Sociolaboral BOUSSELHAM EL AMARI</t>
  </si>
  <si>
    <t>I04202503780379</t>
  </si>
  <si>
    <t>CAMARA, NASSIROU</t>
  </si>
  <si>
    <t>Tramitación Arraigo Sociolaboral NASSIROU CAMARA</t>
  </si>
  <si>
    <t>I04202503780685</t>
  </si>
  <si>
    <t>CAMARA, IBRAHIMA</t>
  </si>
  <si>
    <t>Tramitación Arraigo Sociolaboral IBRAHIMA CAMARA</t>
  </si>
  <si>
    <t>TASA, TRADUCCION PENALES Y DECLARACION CONYUGE</t>
  </si>
  <si>
    <t>I04202503780752</t>
  </si>
  <si>
    <t>BALI, SOUFIANE</t>
  </si>
  <si>
    <t>Cortijo Pared (la), nº 207, bj, 17</t>
  </si>
  <si>
    <t>Tramitación Arraigo Sociolaboral SOUFIANE BALI</t>
  </si>
  <si>
    <t>I04202503781555</t>
  </si>
  <si>
    <t>NDIAYE, ALIOU</t>
  </si>
  <si>
    <t>C/ Alhama, nº 5, 1ºB</t>
  </si>
  <si>
    <t>Tramitación Arraigo Sociolaboral ALIOU NDIAYE</t>
  </si>
  <si>
    <t>I04202503781663</t>
  </si>
  <si>
    <t>TASA, RESTO DOC EMPRESA</t>
  </si>
  <si>
    <t>SLAYTA, KARIM</t>
  </si>
  <si>
    <t>Cortijo El uno, 207, bj 198</t>
  </si>
  <si>
    <t>Tramitación Modificación finalización formacion KARIM SLAYTA</t>
  </si>
  <si>
    <t>I04202503781366</t>
  </si>
  <si>
    <t>SOUIKET, HASSAN</t>
  </si>
  <si>
    <t>C/ Santa Fe, bloque 3, nº 49, bj 10</t>
  </si>
  <si>
    <t>Tramitación Modificación finalización formacion HASSAN SOUIKET</t>
  </si>
  <si>
    <t>I04202503781580</t>
  </si>
  <si>
    <t>HATTA, MBAREK</t>
  </si>
  <si>
    <t>C/ Sierra de Enix, nº 5, BE</t>
  </si>
  <si>
    <t>Enix</t>
  </si>
  <si>
    <t>Tramitación Modificación finalización formacion MBAREK HATTA</t>
  </si>
  <si>
    <t>I04202503781756</t>
  </si>
  <si>
    <t>EL GHOUL, ABDELHADI</t>
  </si>
  <si>
    <t>C/ Alta, nº 50 BE</t>
  </si>
  <si>
    <t>Tramitación Modificación finalización formacion EL GHOUL, ABDELHADI</t>
  </si>
  <si>
    <t>I04202503781851</t>
  </si>
  <si>
    <t>detagri.pedrovargas@gmail.com</t>
  </si>
  <si>
    <t>Tramitación Arraigo Sociolaboral ALASSANE BA</t>
  </si>
  <si>
    <t>I04202503784850</t>
  </si>
  <si>
    <t>12/12/20011</t>
  </si>
  <si>
    <t>NGUER, SALIOU</t>
  </si>
  <si>
    <t>C/ Infanta Cristina, nº 4, 3º1</t>
  </si>
  <si>
    <t>I04202503785000</t>
  </si>
  <si>
    <t>Tramitación Arraigo Sociolaboral ABDELAZIZ EL HAKMY</t>
  </si>
  <si>
    <t>I04202503734776</t>
  </si>
  <si>
    <t>Nijarsol</t>
  </si>
  <si>
    <t>B04891776</t>
  </si>
  <si>
    <t>AUTOVIA EL 21, SL</t>
  </si>
  <si>
    <t>Avenida de las negras, nº 61</t>
  </si>
  <si>
    <t>cmartinez@nijarsol.com</t>
  </si>
  <si>
    <t>Tramitación Arraigo Sociolaboral KALILOU DIOKOU GOMIS</t>
  </si>
  <si>
    <t>TASA, CERTIFICADO MEDIO, SALDO CONTALBE E IVA 1T  Y 2T</t>
  </si>
  <si>
    <t>27271843F</t>
  </si>
  <si>
    <t>CARA MANZANO, FRANCISCO JESUS</t>
  </si>
  <si>
    <t>C/ Mesana, nº 17</t>
  </si>
  <si>
    <t>Tramitación Arraigo Sociolaboral YASSINE ZAKHNINI</t>
  </si>
  <si>
    <t>I38202503785221</t>
  </si>
  <si>
    <t>TASA, RENTA, DNI, VIDA LABORAL Y MEMORIA</t>
  </si>
  <si>
    <t>Tramitación CA Inicial IBRAHIMA DIABY</t>
  </si>
  <si>
    <t>I04202503785290</t>
  </si>
  <si>
    <t>TASAS, VIDA LABORAL, IVA, ESCRITURA, MEMORIA</t>
  </si>
  <si>
    <t>20530505S</t>
  </si>
  <si>
    <t>27537482L</t>
  </si>
  <si>
    <t>ZHAR, ABDELHAMID</t>
  </si>
  <si>
    <t>Cortijo La Pared, nº 206, bj 71</t>
  </si>
  <si>
    <t>I04202503781985</t>
  </si>
  <si>
    <t>YEBOAH, KWABENA</t>
  </si>
  <si>
    <t>Ctra la mojonera, nº 98</t>
  </si>
  <si>
    <t>I04202503786212</t>
  </si>
  <si>
    <t>TAWIAH, KOFI</t>
  </si>
  <si>
    <t>C/ Orza, nº 14</t>
  </si>
  <si>
    <t>I04202503786225</t>
  </si>
  <si>
    <t>BLAIL, JILLALI</t>
  </si>
  <si>
    <t>Cortijo La Pared, nº 189, bj 71</t>
  </si>
  <si>
    <t>I04202503786236</t>
  </si>
  <si>
    <t>AOUICH, NABIL</t>
  </si>
  <si>
    <t>C/ Florencia, nº 5, 4ºd</t>
  </si>
  <si>
    <t>I04202503786253</t>
  </si>
  <si>
    <t>EL HAITAL, KHALID</t>
  </si>
  <si>
    <t>I04202503786268</t>
  </si>
  <si>
    <t>54121774Z</t>
  </si>
  <si>
    <t>TORTOSA RODRIGUEZ, FRANCISCO</t>
  </si>
  <si>
    <t>Ctra. San Agustin, nº 9</t>
  </si>
  <si>
    <t>Tramitación Arraigo Sociolaboral JAMAL EDDINE OURIKA</t>
  </si>
  <si>
    <t>I04202503787879</t>
  </si>
  <si>
    <t>C/ Galatea, nº 2, 1º dr</t>
  </si>
  <si>
    <t>Tramitación Modificación finalización formacion ALI BENAMAR</t>
  </si>
  <si>
    <t>I04202503786309</t>
  </si>
  <si>
    <t>Z2518419Q</t>
  </si>
  <si>
    <t>Tramitación Residencia Familiar Español LILY MAGALI PACCI DOMINGUEZ</t>
  </si>
  <si>
    <t>Tramitación Arraigo Sociolaboral GOURAME FAYE</t>
  </si>
  <si>
    <t>I04202503786347</t>
  </si>
  <si>
    <t>Tramitación CA Inicial OUIJDANE EL MOUKTAKIR</t>
  </si>
  <si>
    <t>I04202503788166</t>
  </si>
  <si>
    <t>Tramitación Arraigo Sociolaboral ABDELMOULA MELLAHI</t>
  </si>
  <si>
    <t>I04202503788348</t>
  </si>
  <si>
    <t>75260214M</t>
  </si>
  <si>
    <t>CESAR GAZQUEZ, RAUL</t>
  </si>
  <si>
    <t>C/ Via Lactea, nº 8</t>
  </si>
  <si>
    <t>Tramitación Modificación finalización formacion ISMAIL EL ABEDY</t>
  </si>
  <si>
    <t>Z0414758G</t>
  </si>
  <si>
    <t>I04202503788534</t>
  </si>
  <si>
    <t>Tramitación CA Inicial MOHAMED ESSHAKI</t>
  </si>
  <si>
    <t>I04202503788635</t>
  </si>
  <si>
    <t>Tramitación Modificación finalización formacion ISMAIL HAMMAN</t>
  </si>
  <si>
    <t>Z2619288F</t>
  </si>
  <si>
    <t>I04202503788705</t>
  </si>
  <si>
    <t>VIÑOLO MORAL, ANTONIO JESUS</t>
  </si>
  <si>
    <t>C/ Arevalo, nº6, B1, E2, 4ºA2</t>
  </si>
  <si>
    <t>Tramitación Arraigo Sociolaboral IBRAHIMA SANE</t>
  </si>
  <si>
    <t>I04202503788848</t>
  </si>
  <si>
    <t>TASA, SOLICITUD FIRMADA</t>
  </si>
  <si>
    <t>FAVORABLE 30/09/2025</t>
  </si>
  <si>
    <t>Tramitación Arraigo Sociolaboral MOUSTAPHA DIOP</t>
  </si>
  <si>
    <t>I04202503805202</t>
  </si>
  <si>
    <t>I04202503792742</t>
  </si>
  <si>
    <t>Tramitación Arraigo Sociolaboral EL MESSBAHI ABDELMONIM</t>
  </si>
  <si>
    <t>Tramitación CA Inicial MODIBO DEMBELE con la empresa SAT LA PIEDRA</t>
  </si>
  <si>
    <t>I04202503792271</t>
  </si>
  <si>
    <t>27271111B</t>
  </si>
  <si>
    <t>PERALTA CARA, SOLEDAD</t>
  </si>
  <si>
    <t>C/ Formentera, nº 19</t>
  </si>
  <si>
    <t>Matagorda</t>
  </si>
  <si>
    <t>Tramitación Arraigo Sociolaboral FALY THIOR</t>
  </si>
  <si>
    <t>I04202503810439</t>
  </si>
  <si>
    <t>FAVORABLE 10/10/2025</t>
  </si>
  <si>
    <t>040020250032486</t>
  </si>
  <si>
    <t>040020250032481</t>
  </si>
  <si>
    <t>040020250032489</t>
  </si>
  <si>
    <t>Z3802561E</t>
  </si>
  <si>
    <t>040020250030176</t>
  </si>
  <si>
    <t>040020250027963</t>
  </si>
  <si>
    <t>Z3810666P</t>
  </si>
  <si>
    <t>040020250030611</t>
  </si>
  <si>
    <t>Y8352105Z</t>
  </si>
  <si>
    <t>040020250030438</t>
  </si>
  <si>
    <t>Y5517801T</t>
  </si>
  <si>
    <t>040020250030879</t>
  </si>
  <si>
    <t>040020250030998</t>
  </si>
  <si>
    <t>Z1212349R</t>
  </si>
  <si>
    <t>Tramitación Arraigo Laboral FOUAD LAFFIGH</t>
  </si>
  <si>
    <t>Z3821624H</t>
  </si>
  <si>
    <t>040020250031006</t>
  </si>
  <si>
    <t>NO FAVORABLE 17/10/2025</t>
  </si>
  <si>
    <t>TOURAY, LAMIN</t>
  </si>
  <si>
    <t>Camino Viejo de Beneji, nº 134</t>
  </si>
  <si>
    <t>Tramitación Renovación Autorización Residencia y Trabajo LAMIN TOURAY</t>
  </si>
  <si>
    <t>i04202503816272</t>
  </si>
  <si>
    <t>TASAS, pasaporte completo</t>
  </si>
  <si>
    <t>040020250023819</t>
  </si>
  <si>
    <t>040020250023782</t>
  </si>
  <si>
    <t>FAVORABLE 09/10/2025</t>
  </si>
  <si>
    <t>NO FAVORABLE 09/10/2025</t>
  </si>
  <si>
    <t>NO FAVORABLE 21/10/2025</t>
  </si>
  <si>
    <t>Z3831695S</t>
  </si>
  <si>
    <t>290020250026969</t>
  </si>
  <si>
    <t>Tramitación Renovación Autorización Residencia y Trabajo ISMAILA JAMMEH</t>
  </si>
  <si>
    <t>I04202503812594</t>
  </si>
  <si>
    <t>Tramitación CA Inicial IMANE RGUIB</t>
  </si>
  <si>
    <t>I04202503816286</t>
  </si>
  <si>
    <t>Z3837716X</t>
  </si>
  <si>
    <t>040020250031629</t>
  </si>
  <si>
    <t>Z3839048P</t>
  </si>
  <si>
    <t>180020250014172</t>
  </si>
  <si>
    <t>FAVORABLE 20/10/2025</t>
  </si>
  <si>
    <t>Z3846223F</t>
  </si>
  <si>
    <t>040020250031970</t>
  </si>
  <si>
    <t>FAVORABLE 23/10/2025</t>
  </si>
  <si>
    <t>NO FAVORABLE 23/10/2025</t>
  </si>
  <si>
    <t>180020250013710</t>
  </si>
  <si>
    <t>Z1147606A</t>
  </si>
  <si>
    <t>040020250032209</t>
  </si>
  <si>
    <t>Z3849500H</t>
  </si>
  <si>
    <t>040020250032213</t>
  </si>
  <si>
    <t>080020250123348</t>
  </si>
  <si>
    <t>ABBA, ABDERRAZZAK</t>
  </si>
  <si>
    <t>C/ Trafalgar, nº 27, 2º5</t>
  </si>
  <si>
    <t>Tramitación Arraigo Sociolaboral ABDERRAZAK ABBA_Multinatura</t>
  </si>
  <si>
    <t>Tramitación Arraigo Sociolaboral KHALID EL HAITAL_Multinatura</t>
  </si>
  <si>
    <t>Tramitación Arraigo Sociolaboral NABIL AOUICH_Multinatura</t>
  </si>
  <si>
    <t>Tramitación Arraigo Sociolaboral JILLALI BLAIL_Multinatura</t>
  </si>
  <si>
    <t>Tramitación Arraigo Sociolaboral KOFI TAWIAH_Multinatura</t>
  </si>
  <si>
    <t>Tramitación Arraigo Sociolaboral KWABENA YEBOAH_Multinatura</t>
  </si>
  <si>
    <t>_Multinatura</t>
  </si>
  <si>
    <t>Tramitación Arraigo Sociolaboral ABDELHAMID ZHAR_Multinatura</t>
  </si>
  <si>
    <t>Tramitación Arraigo Sociolaboral SALIOU NGUER_Multinatura</t>
  </si>
  <si>
    <t>i04202503818355</t>
  </si>
  <si>
    <t>Tramitación Renovación Autorización Residencia y Trabajo MODIBO DIAKITE</t>
  </si>
  <si>
    <t>Y9651519C</t>
  </si>
  <si>
    <t>I04202503817069</t>
  </si>
  <si>
    <t>COULIBALY, MAHAMADOU</t>
  </si>
  <si>
    <t>C/ Rozas, nº 1</t>
  </si>
  <si>
    <t>Tramitación Arraigo Sociolaboral MAHAMADOU COULIBALY_Multinatura</t>
  </si>
  <si>
    <t>I04202503817104</t>
  </si>
  <si>
    <t>34837005D</t>
  </si>
  <si>
    <t>CORTES UBEDA, FRANCISCO JOSE</t>
  </si>
  <si>
    <t>C/ Constelación, nº 36</t>
  </si>
  <si>
    <t>Tramitación Arraigo Sociolaboral AMADOU FALL</t>
  </si>
  <si>
    <t>I04202503817143</t>
  </si>
  <si>
    <t>Tramitación CA Inicial MOHAMMED LAAROUSSI</t>
  </si>
  <si>
    <t>I04202503817229</t>
  </si>
  <si>
    <t>Tramitación CA Inicial SOUKAINA SADIK</t>
  </si>
  <si>
    <t>I04202503817305</t>
  </si>
  <si>
    <t>Z3857909D</t>
  </si>
  <si>
    <t>Z3858082K</t>
  </si>
  <si>
    <t>FAVORABLE 24/10/2025</t>
  </si>
  <si>
    <t>040020250031505</t>
  </si>
  <si>
    <t>Tramitación Modificación Autorización Residencia y Trabajo MAROUAN BENICHOU</t>
  </si>
  <si>
    <t>300020250028845</t>
  </si>
  <si>
    <t>https://www.extranjeriamurcia.com/</t>
  </si>
  <si>
    <t>Tramitación Renovación Autorización Residencia y Trabajo NOUHA NDONG</t>
  </si>
  <si>
    <t>I04202503818653</t>
  </si>
  <si>
    <t>Tramitación Renovación Autorización Residencia y Trabajo ABDOULAYE NDIAYE</t>
  </si>
  <si>
    <t>I04202503818462</t>
  </si>
  <si>
    <t>040020250032575</t>
  </si>
  <si>
    <t>Tramitación Arraigo Sociolaboral MAMADOU SALIF DIALLO</t>
  </si>
  <si>
    <t>I04202503821865</t>
  </si>
  <si>
    <t>Tramitación Arraigo Sociolaboral YERY GUEYE</t>
  </si>
  <si>
    <t>I04202503821902</t>
  </si>
  <si>
    <t>Tramitación Arraigo Sociolaboral SAGUEYE DIOP</t>
  </si>
  <si>
    <t>I04202503822151</t>
  </si>
  <si>
    <t>DIARRA, SOULEYMANE</t>
  </si>
  <si>
    <t>C/ China, portal 4</t>
  </si>
  <si>
    <t>Tramitación Arraigo Sociolaboral SOULEYMANE DIARRA_Multinatura</t>
  </si>
  <si>
    <t>I04202503822826</t>
  </si>
  <si>
    <t>Tramitación Renovación Autorización Residencia y Trabajo MOHAMED EL GHDIRI</t>
  </si>
  <si>
    <t>I04202503823002</t>
  </si>
  <si>
    <t>040020250032931</t>
  </si>
  <si>
    <t>08912472H</t>
  </si>
  <si>
    <t>MALDONADO JUAREZ, MARIA</t>
  </si>
  <si>
    <t>C/ La Noria, nº 29</t>
  </si>
  <si>
    <t>Tramitación Arraigo Sociolaboral IBRAHIMA FALL</t>
  </si>
  <si>
    <t>I04202503824262</t>
  </si>
  <si>
    <t>45599670P</t>
  </si>
  <si>
    <t>FLORES UCEDA, LORENA</t>
  </si>
  <si>
    <t>C/ Menorca, nº 70, 3ºb</t>
  </si>
  <si>
    <t>Tramitación Arraigo Sociolaboral MORIBA COULIBALY</t>
  </si>
  <si>
    <t>I04202503824354</t>
  </si>
  <si>
    <t>Tramitación Renovación Autorización Residencia y Trabajo EL HAIMER, MOUHCINE</t>
  </si>
  <si>
    <t>Z3149194Q</t>
  </si>
  <si>
    <t>I04202503827094</t>
  </si>
  <si>
    <t>I04202503827030</t>
  </si>
  <si>
    <t>Tramitación Arraigo Sociolaboral OSMAN LEONARDO VERA VERA</t>
  </si>
  <si>
    <t>I04202503827064</t>
  </si>
  <si>
    <t>i04202503829517</t>
  </si>
  <si>
    <t>I04202503650573</t>
  </si>
  <si>
    <t>18113910F</t>
  </si>
  <si>
    <t>FERNANDEZ SEVILLA, JUAN ANTONIO</t>
  </si>
  <si>
    <t>C/ Gregorio Marañon, nº 5</t>
  </si>
  <si>
    <t>Tramitación Arraigo Sociolaboral LAMINE SENGHOR SARR</t>
  </si>
  <si>
    <t>I04202503833578</t>
  </si>
  <si>
    <t>Tramitación Arraigo Sociolaboral ALIOU CISSE</t>
  </si>
  <si>
    <t>I04202503833627</t>
  </si>
  <si>
    <t>Tramitación Arraigo Sociolaboral HAFID EL BOUHJARI</t>
  </si>
  <si>
    <t>I04202503838493</t>
  </si>
  <si>
    <t>18112942M</t>
  </si>
  <si>
    <t>MARTIN FERNANDEZ, DIONISIO</t>
  </si>
  <si>
    <t>C/ Buena Vista, nº 3</t>
  </si>
  <si>
    <t>Tramitación Arraigo Sociolaboral MOHAMMED EL MARSSE</t>
  </si>
  <si>
    <t>I04202503838443</t>
  </si>
  <si>
    <t>F04230165</t>
  </si>
  <si>
    <t>FRAMI, SCA</t>
  </si>
  <si>
    <t>C/ Joaquin rodrigo, nº 21</t>
  </si>
  <si>
    <t>670 45 87 04</t>
  </si>
  <si>
    <t>Tramitación Arraigo Sociolaboral ABDELILAH JERADA</t>
  </si>
  <si>
    <t>I04202503839214</t>
  </si>
  <si>
    <t>040020250024026</t>
  </si>
  <si>
    <t>Tramitación Renovación Autorización Residencia y Trabajo BALA ENCA MENDES</t>
  </si>
  <si>
    <t>040020250029367</t>
  </si>
  <si>
    <t>040020250029407</t>
  </si>
  <si>
    <t>040020250029631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</si>
</sst>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&quot; €&quot;_-;\-* #,##0.00&quot; €&quot;_-;_-* \-??&quot; €&quot;_-;_-@_-"/>
    <numFmt numFmtId="165" formatCode="#,##0.00\ &quot;€&quot;"/>
    <numFmt numFmtId="166" formatCode="_-* #,##0.00\ [$€-C0A]_-;\-* #,##0.00\ [$€-C0A]_-;_-* &quot;-&quot;??\ [$€-C0A]_-;_-@_-"/>
    <numFmt numFmtId="167" formatCode="0.0000"/>
  </numFmts>
  <fonts count="56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u/>
      <sz val="11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</font>
    <font>
      <b/>
      <u/>
      <sz val="10"/>
      <color indexed="8"/>
      <name val="Calibri"/>
      <family val="2"/>
    </font>
    <font>
      <b/>
      <u/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name val="Arial"/>
      <family val="2"/>
    </font>
    <font>
      <sz val="11"/>
      <color indexed="17"/>
      <name val="Calibri"/>
      <family val="2"/>
    </font>
    <font>
      <sz val="11"/>
      <color indexed="49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u/>
      <sz val="11"/>
      <name val="Calibri"/>
      <family val="2"/>
    </font>
    <font>
      <sz val="10"/>
      <color indexed="8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sz val="11"/>
      <color rgb="FF595959"/>
      <name val="Arial"/>
      <family val="2"/>
    </font>
    <font>
      <sz val="9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u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497D"/>
      <name val="Calibri"/>
      <family val="2"/>
    </font>
    <font>
      <sz val="9"/>
      <color rgb="FF595959"/>
      <name val="Arial"/>
      <family val="2"/>
    </font>
    <font>
      <b/>
      <sz val="11"/>
      <color theme="0"/>
      <name val="Calibri"/>
      <family val="2"/>
    </font>
    <font>
      <b/>
      <sz val="10"/>
      <color theme="0"/>
      <name val="Arial"/>
      <family val="2"/>
    </font>
    <font>
      <b/>
      <sz val="10"/>
      <name val="Calibri"/>
      <family val="2"/>
    </font>
    <font>
      <b/>
      <u/>
      <sz val="11"/>
      <name val="Calibri"/>
      <family val="2"/>
      <scheme val="minor"/>
    </font>
    <font>
      <b/>
      <u/>
      <sz val="10"/>
      <name val="Calibri"/>
      <family val="2"/>
    </font>
    <font>
      <sz val="11"/>
      <color theme="0"/>
      <name val="Calibri"/>
      <family val="2"/>
    </font>
    <font>
      <sz val="9"/>
      <color rgb="FF000000"/>
      <name val="Verdana"/>
      <family val="2"/>
    </font>
    <font>
      <u/>
      <sz val="11"/>
      <color indexed="8"/>
      <name val="Calibri"/>
      <family val="2"/>
    </font>
    <font>
      <sz val="10"/>
      <color indexed="8"/>
      <name val="Calibri  "/>
    </font>
    <font>
      <sz val="11"/>
      <color theme="10"/>
      <name val="Calibri"/>
      <family val="2"/>
    </font>
    <font>
      <sz val="11"/>
      <color indexed="8"/>
      <name val="Aptos"/>
      <family val="2"/>
    </font>
    <font>
      <sz val="11"/>
      <color rgb="FF000000"/>
      <name val="Aptos"/>
      <family val="2"/>
    </font>
    <font>
      <sz val="11"/>
      <color rgb="FFC33400"/>
      <name val="Arial"/>
      <family val="2"/>
    </font>
    <font>
      <sz val="11"/>
      <color rgb="FFFF0000"/>
      <name val="Calibri"/>
      <family val="2"/>
    </font>
    <font>
      <sz val="10"/>
      <color indexed="8"/>
      <name val="Calibri   "/>
    </font>
    <font>
      <sz val="10"/>
      <name val="Calibri  "/>
    </font>
  </fonts>
  <fills count="58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46"/>
        <bgColor indexed="2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4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5B5B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FF2F2F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2121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FF2D2D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F2525"/>
        <bgColor indexed="64"/>
      </patternFill>
    </fill>
    <fill>
      <patternFill patternType="solid">
        <fgColor rgb="FFFF8B8B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9">
    <xf numFmtId="0" fontId="0" fillId="0" borderId="0"/>
    <xf numFmtId="164" fontId="5" fillId="0" borderId="0" applyFill="0" applyBorder="0" applyAlignment="0" applyProtection="0"/>
    <xf numFmtId="0" fontId="28" fillId="0" borderId="0" applyNumberFormat="0" applyFill="0" applyBorder="0" applyAlignment="0" applyProtection="0"/>
    <xf numFmtId="44" fontId="3" fillId="0" borderId="0" applyFill="0" applyBorder="0" applyAlignment="0" applyProtection="0"/>
    <xf numFmtId="0" fontId="5" fillId="0" borderId="0"/>
    <xf numFmtId="0" fontId="18" fillId="0" borderId="0"/>
    <xf numFmtId="9" fontId="3" fillId="0" borderId="0" applyFill="0" applyBorder="0" applyAlignment="0" applyProtection="0"/>
    <xf numFmtId="44" fontId="18" fillId="0" borderId="0" applyFill="0" applyBorder="0" applyAlignment="0" applyProtection="0"/>
    <xf numFmtId="9" fontId="18" fillId="0" borderId="0" applyFill="0" applyBorder="0" applyAlignment="0" applyProtection="0"/>
  </cellStyleXfs>
  <cellXfs count="50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2" fontId="4" fillId="0" borderId="0" xfId="0" applyNumberFormat="1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/>
    </xf>
    <xf numFmtId="0" fontId="0" fillId="4" borderId="0" xfId="0" applyFill="1"/>
    <xf numFmtId="2" fontId="29" fillId="0" borderId="0" xfId="0" applyNumberFormat="1" applyFont="1" applyAlignment="1">
      <alignment horizontal="center"/>
    </xf>
    <xf numFmtId="0" fontId="0" fillId="5" borderId="0" xfId="0" applyFill="1"/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2" fontId="9" fillId="3" borderId="1" xfId="0" applyNumberFormat="1" applyFont="1" applyFill="1" applyBorder="1" applyAlignment="1">
      <alignment horizontal="center" vertical="center" wrapText="1"/>
    </xf>
    <xf numFmtId="9" fontId="9" fillId="3" borderId="1" xfId="0" applyNumberFormat="1" applyFont="1" applyFill="1" applyBorder="1" applyAlignment="1">
      <alignment horizontal="center" vertical="center" wrapText="1"/>
    </xf>
    <xf numFmtId="2" fontId="9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1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/>
    <xf numFmtId="0" fontId="11" fillId="0" borderId="0" xfId="0" applyFont="1"/>
    <xf numFmtId="2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49" fontId="7" fillId="0" borderId="0" xfId="0" applyNumberFormat="1" applyFont="1"/>
    <xf numFmtId="0" fontId="7" fillId="4" borderId="0" xfId="0" applyFont="1" applyFill="1"/>
    <xf numFmtId="14" fontId="7" fillId="0" borderId="0" xfId="0" applyNumberFormat="1" applyFont="1" applyAlignment="1">
      <alignment horizontal="right"/>
    </xf>
    <xf numFmtId="0" fontId="7" fillId="5" borderId="0" xfId="0" applyFont="1" applyFill="1"/>
    <xf numFmtId="0" fontId="7" fillId="0" borderId="0" xfId="0" applyFont="1" applyAlignment="1">
      <alignment horizontal="center" vertical="center"/>
    </xf>
    <xf numFmtId="0" fontId="7" fillId="6" borderId="0" xfId="0" applyFont="1" applyFill="1"/>
    <xf numFmtId="2" fontId="29" fillId="0" borderId="0" xfId="0" applyNumberFormat="1" applyFont="1" applyAlignment="1">
      <alignment vertical="center"/>
    </xf>
    <xf numFmtId="0" fontId="11" fillId="4" borderId="0" xfId="0" applyFont="1" applyFill="1"/>
    <xf numFmtId="0" fontId="7" fillId="7" borderId="0" xfId="0" applyFont="1" applyFill="1"/>
    <xf numFmtId="0" fontId="7" fillId="0" borderId="0" xfId="0" applyFont="1" applyAlignment="1">
      <alignment wrapText="1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 vertical="center"/>
    </xf>
    <xf numFmtId="49" fontId="11" fillId="0" borderId="0" xfId="0" applyNumberFormat="1" applyFont="1"/>
    <xf numFmtId="0" fontId="29" fillId="0" borderId="0" xfId="0" applyFont="1" applyAlignment="1">
      <alignment horizontal="center"/>
    </xf>
    <xf numFmtId="9" fontId="29" fillId="0" borderId="0" xfId="0" applyNumberFormat="1" applyFont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0" fontId="29" fillId="0" borderId="0" xfId="0" applyFont="1"/>
    <xf numFmtId="9" fontId="0" fillId="0" borderId="0" xfId="0" applyNumberFormat="1" applyAlignment="1">
      <alignment horizontal="center" vertical="center"/>
    </xf>
    <xf numFmtId="0" fontId="30" fillId="0" borderId="0" xfId="0" applyFont="1"/>
    <xf numFmtId="49" fontId="30" fillId="0" borderId="0" xfId="0" applyNumberFormat="1" applyFont="1"/>
    <xf numFmtId="0" fontId="0" fillId="0" borderId="0" xfId="0" applyAlignment="1">
      <alignment horizontal="left"/>
    </xf>
    <xf numFmtId="0" fontId="4" fillId="4" borderId="0" xfId="0" applyFont="1" applyFill="1"/>
    <xf numFmtId="49" fontId="7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31" fillId="0" borderId="0" xfId="0" applyFont="1"/>
    <xf numFmtId="2" fontId="4" fillId="0" borderId="0" xfId="0" applyNumberFormat="1" applyFont="1" applyAlignment="1">
      <alignment horizontal="center" vertical="center"/>
    </xf>
    <xf numFmtId="0" fontId="5" fillId="0" borderId="0" xfId="4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7" borderId="0" xfId="0" applyFill="1"/>
    <xf numFmtId="0" fontId="32" fillId="0" borderId="0" xfId="0" applyFont="1" applyAlignment="1">
      <alignment horizontal="left"/>
    </xf>
    <xf numFmtId="14" fontId="8" fillId="0" borderId="0" xfId="0" applyNumberFormat="1" applyFont="1" applyAlignment="1">
      <alignment horizontal="center"/>
    </xf>
    <xf numFmtId="14" fontId="3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0" fillId="8" borderId="0" xfId="0" applyFill="1"/>
    <xf numFmtId="0" fontId="16" fillId="2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49" fontId="34" fillId="0" borderId="0" xfId="3" applyNumberFormat="1" applyFont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wrapText="1"/>
    </xf>
    <xf numFmtId="49" fontId="36" fillId="0" borderId="0" xfId="0" applyNumberFormat="1" applyFont="1" applyAlignment="1">
      <alignment horizontal="center"/>
    </xf>
    <xf numFmtId="0" fontId="9" fillId="3" borderId="1" xfId="0" applyFont="1" applyFill="1" applyBorder="1" applyAlignment="1">
      <alignment horizontal="left" vertical="center" wrapText="1"/>
    </xf>
    <xf numFmtId="9" fontId="34" fillId="0" borderId="0" xfId="6" applyFont="1" applyAlignment="1">
      <alignment horizontal="center"/>
    </xf>
    <xf numFmtId="9" fontId="3" fillId="0" borderId="0" xfId="6" applyAlignment="1">
      <alignment horizontal="center"/>
    </xf>
    <xf numFmtId="166" fontId="9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0" fillId="10" borderId="0" xfId="0" applyFill="1"/>
    <xf numFmtId="14" fontId="0" fillId="10" borderId="0" xfId="0" applyNumberFormat="1" applyFill="1" applyAlignment="1">
      <alignment horizontal="center"/>
    </xf>
    <xf numFmtId="0" fontId="4" fillId="10" borderId="0" xfId="0" applyFont="1" applyFill="1"/>
    <xf numFmtId="0" fontId="0" fillId="10" borderId="0" xfId="0" applyFill="1" applyAlignment="1">
      <alignment horizontal="center"/>
    </xf>
    <xf numFmtId="9" fontId="18" fillId="0" borderId="0" xfId="6" applyFont="1" applyAlignment="1">
      <alignment horizontal="center"/>
    </xf>
    <xf numFmtId="2" fontId="0" fillId="11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0" fontId="0" fillId="10" borderId="0" xfId="0" applyFill="1" applyAlignment="1">
      <alignment horizontal="left"/>
    </xf>
    <xf numFmtId="49" fontId="0" fillId="10" borderId="0" xfId="0" applyNumberFormat="1" applyFill="1" applyAlignment="1">
      <alignment horizontal="center"/>
    </xf>
    <xf numFmtId="14" fontId="0" fillId="10" borderId="0" xfId="0" applyNumberFormat="1" applyFill="1"/>
    <xf numFmtId="166" fontId="0" fillId="10" borderId="0" xfId="0" applyNumberFormat="1" applyFill="1" applyAlignment="1">
      <alignment horizontal="center"/>
    </xf>
    <xf numFmtId="9" fontId="18" fillId="10" borderId="0" xfId="6" applyFont="1" applyFill="1" applyAlignment="1">
      <alignment horizontal="center"/>
    </xf>
    <xf numFmtId="2" fontId="0" fillId="10" borderId="0" xfId="0" applyNumberFormat="1" applyFill="1" applyAlignment="1">
      <alignment horizontal="center" vertical="center"/>
    </xf>
    <xf numFmtId="165" fontId="0" fillId="10" borderId="0" xfId="0" applyNumberFormat="1" applyFill="1" applyAlignment="1">
      <alignment horizontal="center"/>
    </xf>
    <xf numFmtId="49" fontId="36" fillId="10" borderId="0" xfId="0" applyNumberFormat="1" applyFont="1" applyFill="1" applyAlignment="1">
      <alignment horizontal="center"/>
    </xf>
    <xf numFmtId="2" fontId="0" fillId="10" borderId="0" xfId="0" applyNumberFormat="1" applyFill="1" applyAlignment="1">
      <alignment horizontal="center"/>
    </xf>
    <xf numFmtId="9" fontId="3" fillId="10" borderId="0" xfId="6" applyFill="1" applyAlignment="1">
      <alignment horizontal="center"/>
    </xf>
    <xf numFmtId="0" fontId="28" fillId="0" borderId="0" xfId="2"/>
    <xf numFmtId="14" fontId="0" fillId="12" borderId="0" xfId="0" applyNumberFormat="1" applyFill="1"/>
    <xf numFmtId="14" fontId="0" fillId="11" borderId="0" xfId="0" applyNumberFormat="1" applyFill="1"/>
    <xf numFmtId="14" fontId="0" fillId="13" borderId="0" xfId="0" applyNumberFormat="1" applyFill="1"/>
    <xf numFmtId="0" fontId="8" fillId="10" borderId="0" xfId="0" applyFont="1" applyFill="1" applyAlignment="1">
      <alignment horizontal="center"/>
    </xf>
    <xf numFmtId="14" fontId="7" fillId="12" borderId="0" xfId="0" applyNumberFormat="1" applyFont="1" applyFill="1"/>
    <xf numFmtId="167" fontId="0" fillId="11" borderId="0" xfId="0" applyNumberFormat="1" applyFill="1" applyAlignment="1">
      <alignment horizontal="center"/>
    </xf>
    <xf numFmtId="14" fontId="0" fillId="14" borderId="0" xfId="0" applyNumberFormat="1" applyFill="1"/>
    <xf numFmtId="167" fontId="0" fillId="7" borderId="0" xfId="0" applyNumberFormat="1" applyFill="1" applyAlignment="1">
      <alignment horizontal="center"/>
    </xf>
    <xf numFmtId="14" fontId="7" fillId="15" borderId="0" xfId="0" applyNumberFormat="1" applyFont="1" applyFill="1"/>
    <xf numFmtId="14" fontId="0" fillId="15" borderId="0" xfId="0" applyNumberFormat="1" applyFill="1"/>
    <xf numFmtId="0" fontId="0" fillId="4" borderId="0" xfId="0" applyFill="1" applyAlignment="1">
      <alignment horizontal="center"/>
    </xf>
    <xf numFmtId="165" fontId="0" fillId="0" borderId="0" xfId="0" applyNumberFormat="1" applyAlignment="1">
      <alignment horizontal="center" vertical="center"/>
    </xf>
    <xf numFmtId="14" fontId="0" fillId="16" borderId="0" xfId="0" applyNumberFormat="1" applyFill="1"/>
    <xf numFmtId="9" fontId="3" fillId="0" borderId="0" xfId="6" applyFill="1" applyAlignment="1">
      <alignment horizontal="center"/>
    </xf>
    <xf numFmtId="167" fontId="8" fillId="0" borderId="0" xfId="0" applyNumberFormat="1" applyFont="1" applyAlignment="1">
      <alignment horizontal="center"/>
    </xf>
    <xf numFmtId="0" fontId="8" fillId="8" borderId="0" xfId="0" applyFont="1" applyFill="1" applyAlignment="1">
      <alignment horizontal="center"/>
    </xf>
    <xf numFmtId="14" fontId="0" fillId="8" borderId="0" xfId="0" applyNumberFormat="1" applyFill="1"/>
    <xf numFmtId="14" fontId="4" fillId="11" borderId="0" xfId="0" applyNumberFormat="1" applyFont="1" applyFill="1"/>
    <xf numFmtId="0" fontId="8" fillId="0" borderId="0" xfId="0" applyFont="1"/>
    <xf numFmtId="0" fontId="0" fillId="17" borderId="0" xfId="0" applyFill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center"/>
    </xf>
    <xf numFmtId="167" fontId="0" fillId="10" borderId="0" xfId="0" applyNumberFormat="1" applyFill="1" applyAlignment="1">
      <alignment horizontal="center"/>
    </xf>
    <xf numFmtId="167" fontId="8" fillId="7" borderId="0" xfId="0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49" fontId="34" fillId="0" borderId="0" xfId="0" applyNumberFormat="1" applyFont="1" applyAlignment="1">
      <alignment horizontal="center"/>
    </xf>
    <xf numFmtId="14" fontId="34" fillId="0" borderId="0" xfId="0" applyNumberFormat="1" applyFont="1" applyAlignment="1">
      <alignment horizontal="center"/>
    </xf>
    <xf numFmtId="14" fontId="0" fillId="18" borderId="0" xfId="0" applyNumberFormat="1" applyFill="1"/>
    <xf numFmtId="165" fontId="34" fillId="0" borderId="0" xfId="6" applyNumberFormat="1" applyFont="1" applyAlignment="1">
      <alignment horizontal="center"/>
    </xf>
    <xf numFmtId="0" fontId="9" fillId="3" borderId="1" xfId="0" applyFont="1" applyFill="1" applyBorder="1" applyAlignment="1">
      <alignment vertical="center" wrapText="1"/>
    </xf>
    <xf numFmtId="0" fontId="0" fillId="19" borderId="0" xfId="0" applyFill="1"/>
    <xf numFmtId="165" fontId="0" fillId="19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0" borderId="0" xfId="0" applyFill="1" applyAlignment="1">
      <alignment horizontal="left"/>
    </xf>
    <xf numFmtId="14" fontId="0" fillId="20" borderId="0" xfId="0" applyNumberFormat="1" applyFill="1" applyAlignment="1">
      <alignment horizontal="center"/>
    </xf>
    <xf numFmtId="49" fontId="0" fillId="20" borderId="0" xfId="0" applyNumberFormat="1" applyFill="1" applyAlignment="1">
      <alignment horizontal="center"/>
    </xf>
    <xf numFmtId="0" fontId="0" fillId="20" borderId="0" xfId="0" applyFill="1"/>
    <xf numFmtId="14" fontId="0" fillId="20" borderId="0" xfId="0" applyNumberFormat="1" applyFill="1"/>
    <xf numFmtId="165" fontId="34" fillId="20" borderId="0" xfId="6" applyNumberFormat="1" applyFont="1" applyFill="1" applyAlignment="1">
      <alignment horizontal="center"/>
    </xf>
    <xf numFmtId="9" fontId="3" fillId="20" borderId="0" xfId="6" applyFill="1" applyAlignment="1">
      <alignment horizontal="center"/>
    </xf>
    <xf numFmtId="165" fontId="0" fillId="20" borderId="0" xfId="0" applyNumberFormat="1" applyFill="1" applyAlignment="1">
      <alignment horizontal="center"/>
    </xf>
    <xf numFmtId="49" fontId="36" fillId="20" borderId="0" xfId="0" applyNumberFormat="1" applyFont="1" applyFill="1" applyAlignment="1">
      <alignment horizontal="center"/>
    </xf>
    <xf numFmtId="49" fontId="36" fillId="7" borderId="0" xfId="0" applyNumberFormat="1" applyFont="1" applyFill="1" applyAlignment="1">
      <alignment horizontal="center"/>
    </xf>
    <xf numFmtId="0" fontId="0" fillId="8" borderId="0" xfId="0" applyFill="1" applyAlignment="1">
      <alignment horizontal="left"/>
    </xf>
    <xf numFmtId="49" fontId="27" fillId="0" borderId="0" xfId="0" applyNumberFormat="1" applyFont="1" applyAlignment="1">
      <alignment horizontal="center"/>
    </xf>
    <xf numFmtId="14" fontId="0" fillId="19" borderId="0" xfId="0" applyNumberFormat="1" applyFill="1"/>
    <xf numFmtId="165" fontId="34" fillId="0" borderId="0" xfId="6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14" fontId="0" fillId="8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4" fillId="8" borderId="0" xfId="0" applyFont="1" applyFill="1"/>
    <xf numFmtId="165" fontId="34" fillId="8" borderId="0" xfId="6" applyNumberFormat="1" applyFont="1" applyFill="1" applyAlignment="1">
      <alignment horizontal="center"/>
    </xf>
    <xf numFmtId="9" fontId="3" fillId="8" borderId="0" xfId="6" applyFill="1" applyAlignment="1">
      <alignment horizontal="center"/>
    </xf>
    <xf numFmtId="165" fontId="0" fillId="8" borderId="0" xfId="0" applyNumberFormat="1" applyFill="1" applyAlignment="1">
      <alignment horizontal="center"/>
    </xf>
    <xf numFmtId="49" fontId="27" fillId="8" borderId="0" xfId="0" applyNumberFormat="1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ill="1" applyAlignment="1">
      <alignment horizontal="left"/>
    </xf>
    <xf numFmtId="14" fontId="0" fillId="21" borderId="0" xfId="0" applyNumberFormat="1" applyFill="1" applyAlignment="1">
      <alignment horizontal="center"/>
    </xf>
    <xf numFmtId="49" fontId="0" fillId="21" borderId="0" xfId="0" applyNumberFormat="1" applyFill="1" applyAlignment="1">
      <alignment horizontal="center"/>
    </xf>
    <xf numFmtId="0" fontId="0" fillId="21" borderId="0" xfId="0" applyFill="1"/>
    <xf numFmtId="0" fontId="4" fillId="21" borderId="0" xfId="0" applyFont="1" applyFill="1"/>
    <xf numFmtId="166" fontId="0" fillId="21" borderId="0" xfId="0" applyNumberFormat="1" applyFill="1" applyAlignment="1">
      <alignment horizontal="center"/>
    </xf>
    <xf numFmtId="9" fontId="3" fillId="21" borderId="0" xfId="6" applyFill="1" applyAlignment="1">
      <alignment horizontal="center"/>
    </xf>
    <xf numFmtId="165" fontId="0" fillId="21" borderId="0" xfId="0" applyNumberFormat="1" applyFill="1" applyAlignment="1">
      <alignment horizontal="center"/>
    </xf>
    <xf numFmtId="9" fontId="18" fillId="21" borderId="0" xfId="6" applyFont="1" applyFill="1" applyAlignment="1">
      <alignment horizontal="center"/>
    </xf>
    <xf numFmtId="14" fontId="0" fillId="7" borderId="0" xfId="0" applyNumberFormat="1" applyFill="1"/>
    <xf numFmtId="0" fontId="34" fillId="0" borderId="4" xfId="0" applyFont="1" applyBorder="1" applyAlignment="1">
      <alignment horizontal="center"/>
    </xf>
    <xf numFmtId="0" fontId="21" fillId="0" borderId="0" xfId="0" applyFont="1" applyAlignment="1">
      <alignment horizontal="center"/>
    </xf>
    <xf numFmtId="44" fontId="9" fillId="3" borderId="1" xfId="0" applyNumberFormat="1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44" fontId="0" fillId="0" borderId="0" xfId="0" applyNumberFormat="1"/>
    <xf numFmtId="9" fontId="22" fillId="3" borderId="1" xfId="6" applyFont="1" applyFill="1" applyBorder="1" applyAlignment="1">
      <alignment horizontal="center" vertical="center" wrapText="1"/>
    </xf>
    <xf numFmtId="9" fontId="22" fillId="3" borderId="2" xfId="6" applyFont="1" applyFill="1" applyBorder="1" applyAlignment="1">
      <alignment horizontal="center" vertical="center" wrapText="1"/>
    </xf>
    <xf numFmtId="0" fontId="0" fillId="22" borderId="0" xfId="0" applyFill="1"/>
    <xf numFmtId="0" fontId="4" fillId="20" borderId="0" xfId="0" applyFont="1" applyFill="1"/>
    <xf numFmtId="44" fontId="0" fillId="20" borderId="0" xfId="0" applyNumberFormat="1" applyFill="1"/>
    <xf numFmtId="0" fontId="8" fillId="20" borderId="0" xfId="0" applyFont="1" applyFill="1" applyAlignment="1">
      <alignment horizontal="center"/>
    </xf>
    <xf numFmtId="14" fontId="0" fillId="23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3" borderId="0" xfId="0" applyFill="1" applyAlignment="1">
      <alignment horizontal="center"/>
    </xf>
    <xf numFmtId="49" fontId="0" fillId="23" borderId="0" xfId="0" applyNumberFormat="1" applyFill="1" applyAlignment="1">
      <alignment horizontal="center"/>
    </xf>
    <xf numFmtId="0" fontId="4" fillId="23" borderId="0" xfId="0" applyFont="1" applyFill="1"/>
    <xf numFmtId="44" fontId="0" fillId="23" borderId="0" xfId="0" applyNumberFormat="1" applyFill="1"/>
    <xf numFmtId="9" fontId="3" fillId="23" borderId="0" xfId="6" applyFill="1" applyAlignment="1">
      <alignment horizontal="center"/>
    </xf>
    <xf numFmtId="165" fontId="0" fillId="23" borderId="0" xfId="0" applyNumberFormat="1" applyFill="1" applyAlignment="1">
      <alignment horizontal="center"/>
    </xf>
    <xf numFmtId="14" fontId="0" fillId="23" borderId="0" xfId="0" applyNumberFormat="1" applyFill="1" applyAlignment="1">
      <alignment horizontal="center"/>
    </xf>
    <xf numFmtId="0" fontId="8" fillId="23" borderId="0" xfId="0" applyFont="1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8" fontId="0" fillId="0" borderId="0" xfId="0" applyNumberFormat="1" applyAlignment="1">
      <alignment horizontal="center"/>
    </xf>
    <xf numFmtId="14" fontId="34" fillId="0" borderId="0" xfId="5" applyNumberFormat="1" applyFont="1" applyAlignment="1" applyProtection="1">
      <alignment horizontal="center" vertical="center" wrapText="1"/>
      <protection locked="0"/>
    </xf>
    <xf numFmtId="14" fontId="34" fillId="0" borderId="0" xfId="0" applyNumberFormat="1" applyFont="1" applyAlignment="1">
      <alignment horizontal="center" vertical="center"/>
    </xf>
    <xf numFmtId="14" fontId="0" fillId="26" borderId="0" xfId="0" applyNumberFormat="1" applyFill="1"/>
    <xf numFmtId="165" fontId="4" fillId="0" borderId="0" xfId="0" applyNumberFormat="1" applyFont="1" applyAlignment="1">
      <alignment horizontal="center" vertical="center"/>
    </xf>
    <xf numFmtId="0" fontId="8" fillId="29" borderId="0" xfId="0" applyFont="1" applyFill="1"/>
    <xf numFmtId="0" fontId="0" fillId="30" borderId="0" xfId="0" applyFill="1"/>
    <xf numFmtId="0" fontId="0" fillId="31" borderId="0" xfId="0" applyFill="1"/>
    <xf numFmtId="0" fontId="0" fillId="13" borderId="0" xfId="0" applyFill="1"/>
    <xf numFmtId="49" fontId="37" fillId="0" borderId="0" xfId="0" applyNumberFormat="1" applyFont="1" applyAlignment="1">
      <alignment horizontal="center"/>
    </xf>
    <xf numFmtId="49" fontId="3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34" fillId="0" borderId="0" xfId="0" applyNumberFormat="1" applyFont="1" applyAlignment="1">
      <alignment vertical="center" wrapText="1"/>
    </xf>
    <xf numFmtId="166" fontId="0" fillId="20" borderId="0" xfId="0" applyNumberFormat="1" applyFill="1" applyAlignment="1">
      <alignment horizontal="center"/>
    </xf>
    <xf numFmtId="9" fontId="18" fillId="20" borderId="0" xfId="6" applyFont="1" applyFill="1" applyAlignment="1">
      <alignment horizontal="center"/>
    </xf>
    <xf numFmtId="167" fontId="0" fillId="20" borderId="0" xfId="0" applyNumberFormat="1" applyFill="1" applyAlignment="1">
      <alignment horizontal="center"/>
    </xf>
    <xf numFmtId="49" fontId="0" fillId="20" borderId="0" xfId="0" applyNumberFormat="1" applyFill="1"/>
    <xf numFmtId="14" fontId="0" fillId="28" borderId="0" xfId="0" applyNumberFormat="1" applyFill="1"/>
    <xf numFmtId="0" fontId="8" fillId="17" borderId="0" xfId="0" applyFont="1" applyFill="1"/>
    <xf numFmtId="0" fontId="0" fillId="32" borderId="0" xfId="0" applyFill="1"/>
    <xf numFmtId="0" fontId="4" fillId="0" borderId="0" xfId="2" applyFont="1"/>
    <xf numFmtId="0" fontId="38" fillId="0" borderId="0" xfId="0" applyFont="1"/>
    <xf numFmtId="14" fontId="0" fillId="33" borderId="0" xfId="0" applyNumberFormat="1" applyFill="1"/>
    <xf numFmtId="49" fontId="34" fillId="0" borderId="0" xfId="5" applyNumberFormat="1" applyFont="1" applyAlignment="1" applyProtection="1">
      <alignment horizontal="center" vertical="center" wrapText="1"/>
      <protection locked="0"/>
    </xf>
    <xf numFmtId="0" fontId="34" fillId="0" borderId="0" xfId="0" applyFont="1" applyAlignment="1">
      <alignment horizontal="center" vertical="center"/>
    </xf>
    <xf numFmtId="0" fontId="8" fillId="34" borderId="0" xfId="0" applyFont="1" applyFill="1"/>
    <xf numFmtId="0" fontId="0" fillId="35" borderId="0" xfId="0" applyFill="1"/>
    <xf numFmtId="14" fontId="0" fillId="35" borderId="0" xfId="0" applyNumberFormat="1" applyFill="1"/>
    <xf numFmtId="0" fontId="0" fillId="13" borderId="0" xfId="0" applyFill="1" applyAlignment="1">
      <alignment horizontal="center"/>
    </xf>
    <xf numFmtId="0" fontId="0" fillId="12" borderId="0" xfId="0" applyFill="1"/>
    <xf numFmtId="0" fontId="4" fillId="12" borderId="0" xfId="0" applyFont="1" applyFill="1"/>
    <xf numFmtId="0" fontId="0" fillId="36" borderId="0" xfId="0" applyFill="1"/>
    <xf numFmtId="0" fontId="0" fillId="37" borderId="0" xfId="0" applyFill="1"/>
    <xf numFmtId="0" fontId="21" fillId="29" borderId="0" xfId="0" applyFont="1" applyFill="1"/>
    <xf numFmtId="0" fontId="8" fillId="38" borderId="0" xfId="0" applyFont="1" applyFill="1"/>
    <xf numFmtId="0" fontId="0" fillId="39" borderId="0" xfId="0" applyFill="1"/>
    <xf numFmtId="0" fontId="28" fillId="0" borderId="0" xfId="2" applyFill="1"/>
    <xf numFmtId="0" fontId="8" fillId="29" borderId="0" xfId="0" applyFont="1" applyFill="1" applyAlignment="1">
      <alignment horizontal="center"/>
    </xf>
    <xf numFmtId="0" fontId="0" fillId="40" borderId="0" xfId="0" applyFill="1" applyAlignment="1">
      <alignment horizontal="center"/>
    </xf>
    <xf numFmtId="14" fontId="0" fillId="41" borderId="0" xfId="0" applyNumberFormat="1" applyFill="1"/>
    <xf numFmtId="0" fontId="7" fillId="21" borderId="0" xfId="0" applyFont="1" applyFill="1"/>
    <xf numFmtId="49" fontId="7" fillId="21" borderId="0" xfId="0" applyNumberFormat="1" applyFont="1" applyFill="1" applyAlignment="1">
      <alignment horizontal="center"/>
    </xf>
    <xf numFmtId="0" fontId="7" fillId="21" borderId="0" xfId="0" applyFont="1" applyFill="1" applyAlignment="1">
      <alignment horizontal="center"/>
    </xf>
    <xf numFmtId="14" fontId="0" fillId="21" borderId="0" xfId="0" applyNumberFormat="1" applyFill="1"/>
    <xf numFmtId="44" fontId="0" fillId="21" borderId="0" xfId="0" applyNumberFormat="1" applyFill="1"/>
    <xf numFmtId="8" fontId="0" fillId="0" borderId="0" xfId="0" applyNumberFormat="1"/>
    <xf numFmtId="14" fontId="0" fillId="32" borderId="0" xfId="0" applyNumberFormat="1" applyFill="1"/>
    <xf numFmtId="0" fontId="7" fillId="20" borderId="0" xfId="0" applyFont="1" applyFill="1"/>
    <xf numFmtId="49" fontId="7" fillId="20" borderId="0" xfId="0" applyNumberFormat="1" applyFont="1" applyFill="1" applyAlignment="1">
      <alignment horizontal="center"/>
    </xf>
    <xf numFmtId="0" fontId="7" fillId="20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17" borderId="0" xfId="0" applyFont="1" applyFill="1" applyAlignment="1">
      <alignment horizontal="center"/>
    </xf>
    <xf numFmtId="14" fontId="0" fillId="42" borderId="0" xfId="0" applyNumberFormat="1" applyFill="1"/>
    <xf numFmtId="0" fontId="0" fillId="43" borderId="0" xfId="0" applyFill="1"/>
    <xf numFmtId="14" fontId="0" fillId="44" borderId="0" xfId="0" applyNumberFormat="1" applyFill="1"/>
    <xf numFmtId="0" fontId="0" fillId="45" borderId="0" xfId="0" applyFill="1" applyAlignment="1">
      <alignment horizontal="center"/>
    </xf>
    <xf numFmtId="0" fontId="0" fillId="45" borderId="0" xfId="0" applyFill="1" applyAlignment="1">
      <alignment horizontal="left"/>
    </xf>
    <xf numFmtId="14" fontId="0" fillId="45" borderId="0" xfId="0" applyNumberFormat="1" applyFill="1" applyAlignment="1">
      <alignment horizontal="center"/>
    </xf>
    <xf numFmtId="0" fontId="0" fillId="45" borderId="0" xfId="0" applyFill="1"/>
    <xf numFmtId="49" fontId="0" fillId="45" borderId="0" xfId="0" applyNumberFormat="1" applyFill="1" applyAlignment="1">
      <alignment horizontal="center"/>
    </xf>
    <xf numFmtId="14" fontId="0" fillId="45" borderId="0" xfId="0" applyNumberFormat="1" applyFill="1"/>
    <xf numFmtId="0" fontId="4" fillId="45" borderId="0" xfId="0" applyFont="1" applyFill="1"/>
    <xf numFmtId="165" fontId="34" fillId="45" borderId="0" xfId="6" applyNumberFormat="1" applyFont="1" applyFill="1" applyAlignment="1">
      <alignment horizontal="center"/>
    </xf>
    <xf numFmtId="9" fontId="3" fillId="45" borderId="0" xfId="6" applyFill="1" applyAlignment="1">
      <alignment horizontal="center"/>
    </xf>
    <xf numFmtId="165" fontId="0" fillId="45" borderId="0" xfId="0" applyNumberFormat="1" applyFill="1" applyAlignment="1">
      <alignment horizontal="center"/>
    </xf>
    <xf numFmtId="14" fontId="0" fillId="46" borderId="0" xfId="0" applyNumberFormat="1" applyFill="1"/>
    <xf numFmtId="14" fontId="7" fillId="46" borderId="0" xfId="0" applyNumberFormat="1" applyFont="1" applyFill="1"/>
    <xf numFmtId="14" fontId="0" fillId="5" borderId="0" xfId="0" applyNumberFormat="1" applyFill="1"/>
    <xf numFmtId="0" fontId="8" fillId="7" borderId="0" xfId="0" applyFont="1" applyFill="1"/>
    <xf numFmtId="0" fontId="8" fillId="20" borderId="0" xfId="0" applyFont="1" applyFill="1"/>
    <xf numFmtId="0" fontId="0" fillId="0" borderId="0" xfId="0" applyAlignment="1">
      <alignment vertical="center"/>
    </xf>
    <xf numFmtId="14" fontId="0" fillId="47" borderId="0" xfId="0" applyNumberFormat="1" applyFill="1"/>
    <xf numFmtId="14" fontId="7" fillId="0" borderId="0" xfId="0" applyNumberFormat="1" applyFont="1" applyAlignment="1">
      <alignment horizontal="center" vertical="center"/>
    </xf>
    <xf numFmtId="14" fontId="0" fillId="21" borderId="0" xfId="0" applyNumberFormat="1" applyFill="1" applyAlignment="1">
      <alignment horizontal="center" vertical="center"/>
    </xf>
    <xf numFmtId="14" fontId="0" fillId="45" borderId="0" xfId="0" applyNumberFormat="1" applyFill="1" applyAlignment="1">
      <alignment horizontal="center" vertical="center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39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48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8" fillId="45" borderId="0" xfId="0" applyFont="1" applyFill="1" applyAlignment="1">
      <alignment horizontal="left"/>
    </xf>
    <xf numFmtId="0" fontId="39" fillId="0" borderId="0" xfId="0" applyFont="1" applyAlignment="1">
      <alignment horizontal="left"/>
    </xf>
    <xf numFmtId="14" fontId="0" fillId="49" borderId="0" xfId="0" applyNumberFormat="1" applyFill="1"/>
    <xf numFmtId="14" fontId="0" fillId="31" borderId="0" xfId="0" applyNumberFormat="1" applyFill="1"/>
    <xf numFmtId="0" fontId="0" fillId="1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28" fillId="0" borderId="0" xfId="2" applyAlignment="1">
      <alignment horizontal="center" vertical="center"/>
    </xf>
    <xf numFmtId="0" fontId="28" fillId="0" borderId="0" xfId="2" applyFill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4" fontId="0" fillId="50" borderId="0" xfId="0" applyNumberFormat="1" applyFill="1"/>
    <xf numFmtId="0" fontId="0" fillId="5" borderId="0" xfId="0" applyFill="1" applyAlignment="1">
      <alignment horizontal="center"/>
    </xf>
    <xf numFmtId="49" fontId="39" fillId="0" borderId="0" xfId="0" applyNumberFormat="1" applyFont="1" applyAlignment="1">
      <alignment horizontal="center"/>
    </xf>
    <xf numFmtId="14" fontId="0" fillId="51" borderId="0" xfId="0" applyNumberFormat="1" applyFill="1"/>
    <xf numFmtId="0" fontId="7" fillId="10" borderId="0" xfId="0" applyFont="1" applyFill="1"/>
    <xf numFmtId="49" fontId="7" fillId="10" borderId="0" xfId="0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14" fontId="0" fillId="20" borderId="0" xfId="0" applyNumberFormat="1" applyFill="1" applyAlignment="1">
      <alignment horizontal="center" vertical="center"/>
    </xf>
    <xf numFmtId="0" fontId="8" fillId="52" borderId="0" xfId="0" applyFont="1" applyFill="1" applyAlignment="1">
      <alignment horizontal="left"/>
    </xf>
    <xf numFmtId="0" fontId="0" fillId="24" borderId="0" xfId="0" applyFill="1" applyAlignment="1">
      <alignment horizontal="center" vertical="center"/>
    </xf>
    <xf numFmtId="0" fontId="0" fillId="53" borderId="0" xfId="0" applyFill="1" applyAlignment="1">
      <alignment horizontal="left"/>
    </xf>
    <xf numFmtId="0" fontId="8" fillId="24" borderId="0" xfId="0" applyFont="1" applyFill="1" applyAlignment="1">
      <alignment horizontal="left"/>
    </xf>
    <xf numFmtId="0" fontId="0" fillId="2" borderId="5" xfId="0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17" fillId="2" borderId="5" xfId="0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49" fontId="9" fillId="3" borderId="5" xfId="0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 wrapText="1"/>
    </xf>
    <xf numFmtId="14" fontId="9" fillId="3" borderId="5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44" fontId="9" fillId="3" borderId="5" xfId="0" applyNumberFormat="1" applyFont="1" applyFill="1" applyBorder="1" applyAlignment="1">
      <alignment horizontal="center" vertical="center" wrapText="1"/>
    </xf>
    <xf numFmtId="9" fontId="22" fillId="3" borderId="5" xfId="6" applyFont="1" applyFill="1" applyBorder="1" applyAlignment="1">
      <alignment horizontal="center" vertical="center" wrapText="1"/>
    </xf>
    <xf numFmtId="9" fontId="22" fillId="3" borderId="6" xfId="6" applyFont="1" applyFill="1" applyBorder="1" applyAlignment="1">
      <alignment horizontal="center" vertical="center" wrapText="1"/>
    </xf>
    <xf numFmtId="165" fontId="9" fillId="2" borderId="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49" fontId="35" fillId="2" borderId="5" xfId="0" applyNumberFormat="1" applyFont="1" applyFill="1" applyBorder="1" applyAlignment="1">
      <alignment horizontal="center" vertical="center" wrapText="1"/>
    </xf>
    <xf numFmtId="14" fontId="9" fillId="2" borderId="5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40" fillId="54" borderId="0" xfId="0" applyFont="1" applyFill="1" applyAlignment="1">
      <alignment horizontal="center"/>
    </xf>
    <xf numFmtId="0" fontId="40" fillId="54" borderId="0" xfId="0" applyFont="1" applyFill="1"/>
    <xf numFmtId="0" fontId="41" fillId="54" borderId="0" xfId="0" applyFont="1" applyFill="1" applyAlignment="1">
      <alignment horizontal="center"/>
    </xf>
    <xf numFmtId="165" fontId="40" fillId="54" borderId="0" xfId="0" applyNumberFormat="1" applyFont="1" applyFill="1" applyAlignment="1">
      <alignment horizontal="center"/>
    </xf>
    <xf numFmtId="0" fontId="40" fillId="54" borderId="0" xfId="0" applyFont="1" applyFill="1" applyAlignment="1">
      <alignment horizontal="left"/>
    </xf>
    <xf numFmtId="49" fontId="34" fillId="0" borderId="0" xfId="5" applyNumberFormat="1" applyFont="1" applyAlignment="1" applyProtection="1">
      <alignment vertical="center" wrapText="1"/>
      <protection locked="0"/>
    </xf>
    <xf numFmtId="0" fontId="34" fillId="0" borderId="0" xfId="0" applyFont="1" applyAlignment="1">
      <alignment vertical="center"/>
    </xf>
    <xf numFmtId="0" fontId="34" fillId="0" borderId="0" xfId="0" applyFont="1"/>
    <xf numFmtId="0" fontId="8" fillId="0" borderId="0" xfId="0" applyFont="1" applyAlignment="1">
      <alignment horizontal="left"/>
    </xf>
    <xf numFmtId="0" fontId="0" fillId="55" borderId="0" xfId="0" applyFill="1"/>
    <xf numFmtId="49" fontId="26" fillId="0" borderId="0" xfId="0" applyNumberFormat="1" applyFont="1"/>
    <xf numFmtId="0" fontId="21" fillId="2" borderId="5" xfId="0" applyFont="1" applyFill="1" applyBorder="1" applyAlignment="1">
      <alignment horizontal="center" vertical="center" wrapText="1"/>
    </xf>
    <xf numFmtId="14" fontId="42" fillId="2" borderId="5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left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14" fontId="10" fillId="3" borderId="5" xfId="0" applyNumberFormat="1" applyFont="1" applyFill="1" applyBorder="1" applyAlignment="1">
      <alignment horizontal="center" vertical="center" wrapText="1"/>
    </xf>
    <xf numFmtId="44" fontId="10" fillId="3" borderId="5" xfId="0" applyNumberFormat="1" applyFont="1" applyFill="1" applyBorder="1" applyAlignment="1">
      <alignment horizontal="center" vertical="center" wrapText="1"/>
    </xf>
    <xf numFmtId="165" fontId="10" fillId="2" borderId="5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49" fontId="43" fillId="2" borderId="5" xfId="0" applyNumberFormat="1" applyFont="1" applyFill="1" applyBorder="1" applyAlignment="1">
      <alignment horizontal="center" vertical="center" wrapText="1"/>
    </xf>
    <xf numFmtId="14" fontId="10" fillId="2" borderId="5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5" fontId="0" fillId="20" borderId="0" xfId="0" applyNumberFormat="1" applyFill="1"/>
    <xf numFmtId="0" fontId="0" fillId="54" borderId="0" xfId="0" applyFill="1" applyAlignment="1">
      <alignment horizontal="center"/>
    </xf>
    <xf numFmtId="0" fontId="0" fillId="54" borderId="0" xfId="0" applyFill="1"/>
    <xf numFmtId="44" fontId="45" fillId="54" borderId="0" xfId="0" applyNumberFormat="1" applyFont="1" applyFill="1"/>
    <xf numFmtId="165" fontId="8" fillId="29" borderId="0" xfId="0" applyNumberFormat="1" applyFont="1" applyFill="1" applyAlignment="1">
      <alignment horizontal="center"/>
    </xf>
    <xf numFmtId="0" fontId="0" fillId="54" borderId="0" xfId="0" applyFill="1" applyAlignment="1">
      <alignment horizontal="left"/>
    </xf>
    <xf numFmtId="44" fontId="0" fillId="20" borderId="0" xfId="0" applyNumberFormat="1" applyFill="1" applyAlignment="1">
      <alignment horizontal="center"/>
    </xf>
    <xf numFmtId="14" fontId="0" fillId="4" borderId="0" xfId="0" applyNumberFormat="1" applyFill="1"/>
    <xf numFmtId="165" fontId="8" fillId="29" borderId="0" xfId="0" applyNumberFormat="1" applyFont="1" applyFill="1"/>
    <xf numFmtId="165" fontId="8" fillId="0" borderId="0" xfId="0" applyNumberFormat="1" applyFont="1"/>
    <xf numFmtId="14" fontId="0" fillId="49" borderId="0" xfId="0" applyNumberFormat="1" applyFill="1" applyAlignment="1">
      <alignment horizontal="left"/>
    </xf>
    <xf numFmtId="0" fontId="4" fillId="0" borderId="0" xfId="0" applyFont="1" applyAlignment="1">
      <alignment horizontal="left"/>
    </xf>
    <xf numFmtId="0" fontId="46" fillId="0" borderId="0" xfId="0" applyFont="1"/>
    <xf numFmtId="14" fontId="0" fillId="4" borderId="0" xfId="0" applyNumberFormat="1" applyFill="1" applyAlignment="1">
      <alignment horizontal="center"/>
    </xf>
    <xf numFmtId="0" fontId="8" fillId="29" borderId="0" xfId="0" applyFont="1" applyFill="1" applyAlignment="1">
      <alignment horizontal="left"/>
    </xf>
    <xf numFmtId="165" fontId="4" fillId="0" borderId="0" xfId="0" applyNumberFormat="1" applyFont="1" applyAlignment="1">
      <alignment horizontal="center"/>
    </xf>
    <xf numFmtId="0" fontId="0" fillId="52" borderId="0" xfId="0" applyFill="1" applyAlignment="1">
      <alignment horizontal="center"/>
    </xf>
    <xf numFmtId="0" fontId="0" fillId="52" borderId="0" xfId="0" applyFill="1"/>
    <xf numFmtId="14" fontId="0" fillId="52" borderId="0" xfId="0" applyNumberFormat="1" applyFill="1" applyAlignment="1">
      <alignment horizontal="center"/>
    </xf>
    <xf numFmtId="0" fontId="0" fillId="52" borderId="0" xfId="0" applyFill="1" applyAlignment="1">
      <alignment horizontal="left"/>
    </xf>
    <xf numFmtId="49" fontId="0" fillId="52" borderId="0" xfId="0" applyNumberFormat="1" applyFill="1" applyAlignment="1">
      <alignment horizontal="center"/>
    </xf>
    <xf numFmtId="0" fontId="0" fillId="52" borderId="0" xfId="0" applyFill="1" applyAlignment="1">
      <alignment horizontal="center" vertical="center"/>
    </xf>
    <xf numFmtId="0" fontId="4" fillId="52" borderId="0" xfId="0" applyFont="1" applyFill="1" applyAlignment="1">
      <alignment horizontal="left"/>
    </xf>
    <xf numFmtId="0" fontId="4" fillId="52" borderId="0" xfId="0" applyFont="1" applyFill="1"/>
    <xf numFmtId="165" fontId="34" fillId="52" borderId="0" xfId="6" applyNumberFormat="1" applyFont="1" applyFill="1" applyAlignment="1">
      <alignment horizontal="center"/>
    </xf>
    <xf numFmtId="9" fontId="3" fillId="52" borderId="0" xfId="6" applyFill="1" applyAlignment="1">
      <alignment horizontal="center"/>
    </xf>
    <xf numFmtId="165" fontId="4" fillId="52" borderId="0" xfId="0" applyNumberFormat="1" applyFont="1" applyFill="1" applyAlignment="1">
      <alignment horizontal="center"/>
    </xf>
    <xf numFmtId="165" fontId="0" fillId="52" borderId="0" xfId="0" applyNumberFormat="1" applyFill="1" applyAlignment="1">
      <alignment horizontal="center"/>
    </xf>
    <xf numFmtId="0" fontId="8" fillId="52" borderId="0" xfId="0" applyFont="1" applyFill="1" applyAlignment="1">
      <alignment horizontal="center"/>
    </xf>
    <xf numFmtId="14" fontId="0" fillId="52" borderId="0" xfId="0" applyNumberFormat="1" applyFill="1"/>
    <xf numFmtId="14" fontId="0" fillId="52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/>
    </xf>
    <xf numFmtId="0" fontId="28" fillId="0" borderId="0" xfId="2" applyAlignment="1">
      <alignment horizontal="center"/>
    </xf>
    <xf numFmtId="0" fontId="47" fillId="0" borderId="0" xfId="0" applyFont="1" applyAlignment="1">
      <alignment horizontal="center"/>
    </xf>
    <xf numFmtId="14" fontId="0" fillId="4" borderId="0" xfId="0" applyNumberFormat="1" applyFill="1" applyAlignment="1">
      <alignment horizontal="left"/>
    </xf>
    <xf numFmtId="0" fontId="8" fillId="56" borderId="0" xfId="0" applyFont="1" applyFill="1" applyAlignment="1">
      <alignment horizontal="left"/>
    </xf>
    <xf numFmtId="14" fontId="8" fillId="52" borderId="0" xfId="0" applyNumberFormat="1" applyFont="1" applyFill="1" applyAlignment="1">
      <alignment horizontal="left"/>
    </xf>
    <xf numFmtId="49" fontId="36" fillId="0" borderId="0" xfId="0" applyNumberFormat="1" applyFont="1"/>
    <xf numFmtId="49" fontId="0" fillId="52" borderId="0" xfId="0" applyNumberFormat="1" applyFill="1"/>
    <xf numFmtId="14" fontId="0" fillId="7" borderId="0" xfId="0" applyNumberFormat="1" applyFill="1" applyAlignment="1">
      <alignment horizontal="center"/>
    </xf>
    <xf numFmtId="49" fontId="8" fillId="0" borderId="0" xfId="0" applyNumberFormat="1" applyFont="1"/>
    <xf numFmtId="14" fontId="0" fillId="19" borderId="0" xfId="0" applyNumberFormat="1" applyFill="1" applyAlignment="1">
      <alignment horizontal="left"/>
    </xf>
    <xf numFmtId="49" fontId="48" fillId="0" borderId="0" xfId="0" applyNumberFormat="1" applyFont="1"/>
    <xf numFmtId="0" fontId="36" fillId="0" borderId="0" xfId="0" applyFont="1"/>
    <xf numFmtId="44" fontId="0" fillId="0" borderId="0" xfId="0" applyNumberFormat="1" applyAlignment="1">
      <alignment horizontal="center" vertical="center"/>
    </xf>
    <xf numFmtId="0" fontId="49" fillId="0" borderId="0" xfId="2" applyFont="1" applyAlignment="1">
      <alignment horizontal="center" vertical="center"/>
    </xf>
    <xf numFmtId="0" fontId="0" fillId="7" borderId="0" xfId="0" applyFill="1" applyAlignment="1">
      <alignment horizontal="center"/>
    </xf>
    <xf numFmtId="14" fontId="4" fillId="19" borderId="0" xfId="0" applyNumberFormat="1" applyFont="1" applyFill="1"/>
    <xf numFmtId="0" fontId="0" fillId="25" borderId="0" xfId="0" applyFill="1" applyAlignment="1">
      <alignment horizontal="center"/>
    </xf>
    <xf numFmtId="0" fontId="0" fillId="25" borderId="0" xfId="0" applyFill="1" applyAlignment="1">
      <alignment horizontal="left"/>
    </xf>
    <xf numFmtId="14" fontId="0" fillId="25" borderId="0" xfId="0" applyNumberFormat="1" applyFill="1" applyAlignment="1">
      <alignment horizontal="center"/>
    </xf>
    <xf numFmtId="49" fontId="0" fillId="25" borderId="0" xfId="0" applyNumberFormat="1" applyFill="1" applyAlignment="1">
      <alignment horizontal="center"/>
    </xf>
    <xf numFmtId="0" fontId="0" fillId="25" borderId="0" xfId="0" applyFill="1" applyAlignment="1">
      <alignment horizontal="center" vertical="center"/>
    </xf>
    <xf numFmtId="0" fontId="4" fillId="25" borderId="0" xfId="0" applyFont="1" applyFill="1"/>
    <xf numFmtId="44" fontId="0" fillId="25" borderId="0" xfId="0" applyNumberFormat="1" applyFill="1"/>
    <xf numFmtId="9" fontId="3" fillId="25" borderId="0" xfId="6" applyFill="1" applyAlignment="1">
      <alignment horizontal="center"/>
    </xf>
    <xf numFmtId="165" fontId="0" fillId="25" borderId="0" xfId="0" applyNumberFormat="1" applyFill="1" applyAlignment="1">
      <alignment horizontal="center" vertical="center"/>
    </xf>
    <xf numFmtId="0" fontId="8" fillId="25" borderId="0" xfId="0" applyFont="1" applyFill="1"/>
    <xf numFmtId="0" fontId="4" fillId="25" borderId="0" xfId="0" applyFont="1" applyFill="1" applyAlignment="1">
      <alignment horizontal="center" vertical="center"/>
    </xf>
    <xf numFmtId="165" fontId="0" fillId="25" borderId="0" xfId="0" applyNumberFormat="1" applyFill="1"/>
    <xf numFmtId="49" fontId="0" fillId="25" borderId="0" xfId="0" applyNumberFormat="1" applyFill="1"/>
    <xf numFmtId="14" fontId="0" fillId="25" borderId="0" xfId="0" applyNumberFormat="1" applyFill="1" applyAlignment="1">
      <alignment horizontal="center" vertical="center"/>
    </xf>
    <xf numFmtId="9" fontId="18" fillId="0" borderId="0" xfId="6" applyFont="1" applyFill="1" applyAlignment="1">
      <alignment horizontal="center"/>
    </xf>
    <xf numFmtId="0" fontId="50" fillId="0" borderId="0" xfId="0" applyFont="1"/>
    <xf numFmtId="49" fontId="36" fillId="4" borderId="0" xfId="0" applyNumberFormat="1" applyFont="1" applyFill="1"/>
    <xf numFmtId="14" fontId="8" fillId="0" borderId="0" xfId="0" applyNumberFormat="1" applyFont="1"/>
    <xf numFmtId="0" fontId="50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4" fontId="4" fillId="0" borderId="0" xfId="0" applyNumberFormat="1" applyFont="1"/>
    <xf numFmtId="14" fontId="4" fillId="0" borderId="0" xfId="0" applyNumberFormat="1" applyFont="1"/>
    <xf numFmtId="49" fontId="36" fillId="7" borderId="0" xfId="0" applyNumberFormat="1" applyFont="1" applyFill="1"/>
    <xf numFmtId="0" fontId="4" fillId="5" borderId="0" xfId="0" applyFont="1" applyFill="1" applyAlignment="1">
      <alignment horizontal="left"/>
    </xf>
    <xf numFmtId="14" fontId="4" fillId="49" borderId="0" xfId="0" applyNumberFormat="1" applyFont="1" applyFill="1"/>
    <xf numFmtId="49" fontId="51" fillId="0" borderId="0" xfId="0" applyNumberFormat="1" applyFont="1"/>
    <xf numFmtId="49" fontId="50" fillId="0" borderId="0" xfId="0" applyNumberFormat="1" applyFont="1"/>
    <xf numFmtId="0" fontId="52" fillId="0" borderId="0" xfId="0" applyFont="1"/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center"/>
    </xf>
    <xf numFmtId="44" fontId="0" fillId="7" borderId="0" xfId="0" applyNumberFormat="1" applyFill="1"/>
    <xf numFmtId="49" fontId="1" fillId="0" borderId="0" xfId="0" applyNumberFormat="1" applyFont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4" fillId="7" borderId="0" xfId="0" applyFont="1" applyFill="1"/>
    <xf numFmtId="9" fontId="3" fillId="7" borderId="0" xfId="6" applyFill="1" applyAlignment="1">
      <alignment horizontal="center"/>
    </xf>
    <xf numFmtId="165" fontId="0" fillId="7" borderId="0" xfId="0" applyNumberFormat="1" applyFill="1"/>
    <xf numFmtId="165" fontId="0" fillId="7" borderId="0" xfId="0" applyNumberFormat="1" applyFill="1" applyAlignment="1">
      <alignment horizontal="center" vertical="center"/>
    </xf>
    <xf numFmtId="49" fontId="0" fillId="7" borderId="0" xfId="0" applyNumberFormat="1" applyFill="1"/>
    <xf numFmtId="0" fontId="28" fillId="0" borderId="0" xfId="2" applyFill="1" applyAlignment="1">
      <alignment horizontal="center"/>
    </xf>
    <xf numFmtId="14" fontId="8" fillId="0" borderId="0" xfId="0" applyNumberFormat="1" applyFont="1" applyAlignment="1">
      <alignment horizontal="left"/>
    </xf>
    <xf numFmtId="165" fontId="21" fillId="7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/>
    <xf numFmtId="0" fontId="0" fillId="0" borderId="7" xfId="0" applyBorder="1" applyAlignment="1">
      <alignment horizontal="center"/>
    </xf>
    <xf numFmtId="0" fontId="0" fillId="0" borderId="7" xfId="0" applyBorder="1"/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8" fillId="0" borderId="7" xfId="2" applyBorder="1"/>
    <xf numFmtId="0" fontId="4" fillId="0" borderId="7" xfId="0" applyFont="1" applyBorder="1"/>
    <xf numFmtId="44" fontId="0" fillId="0" borderId="7" xfId="0" applyNumberFormat="1" applyBorder="1"/>
    <xf numFmtId="9" fontId="3" fillId="0" borderId="7" xfId="6" applyBorder="1" applyAlignment="1">
      <alignment horizontal="center"/>
    </xf>
    <xf numFmtId="165" fontId="0" fillId="0" borderId="7" xfId="0" applyNumberFormat="1" applyBorder="1"/>
    <xf numFmtId="165" fontId="0" fillId="0" borderId="7" xfId="0" applyNumberFormat="1" applyBorder="1" applyAlignment="1">
      <alignment horizontal="center" vertical="center"/>
    </xf>
    <xf numFmtId="49" fontId="0" fillId="0" borderId="7" xfId="0" applyNumberFormat="1" applyBorder="1"/>
    <xf numFmtId="0" fontId="8" fillId="0" borderId="7" xfId="0" applyFont="1" applyBorder="1" applyAlignment="1">
      <alignment horizontal="center"/>
    </xf>
    <xf numFmtId="14" fontId="0" fillId="0" borderId="7" xfId="0" applyNumberFormat="1" applyBorder="1"/>
    <xf numFmtId="0" fontId="53" fillId="7" borderId="0" xfId="0" applyFont="1" applyFill="1"/>
    <xf numFmtId="0" fontId="7" fillId="0" borderId="7" xfId="0" applyFon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49" fontId="48" fillId="0" borderId="7" xfId="0" applyNumberFormat="1" applyFont="1" applyBorder="1"/>
    <xf numFmtId="0" fontId="28" fillId="0" borderId="0" xfId="2" applyBorder="1"/>
    <xf numFmtId="0" fontId="28" fillId="0" borderId="7" xfId="2" applyBorder="1" applyAlignment="1">
      <alignment horizontal="center"/>
    </xf>
    <xf numFmtId="0" fontId="8" fillId="0" borderId="7" xfId="0" applyFont="1" applyBorder="1"/>
    <xf numFmtId="14" fontId="0" fillId="0" borderId="7" xfId="0" applyNumberFormat="1" applyBorder="1" applyAlignment="1">
      <alignment horizontal="center" vertical="center"/>
    </xf>
    <xf numFmtId="0" fontId="0" fillId="4" borderId="7" xfId="0" applyFill="1" applyBorder="1"/>
    <xf numFmtId="14" fontId="0" fillId="19" borderId="7" xfId="0" applyNumberFormat="1" applyFill="1" applyBorder="1"/>
    <xf numFmtId="14" fontId="0" fillId="4" borderId="7" xfId="0" applyNumberFormat="1" applyFill="1" applyBorder="1"/>
    <xf numFmtId="14" fontId="0" fillId="7" borderId="7" xfId="0" applyNumberFormat="1" applyFill="1" applyBorder="1" applyAlignment="1">
      <alignment horizontal="center"/>
    </xf>
    <xf numFmtId="9" fontId="3" fillId="0" borderId="7" xfId="6" applyFill="1" applyBorder="1" applyAlignment="1">
      <alignment horizontal="center"/>
    </xf>
    <xf numFmtId="9" fontId="3" fillId="0" borderId="0" xfId="6" applyFill="1" applyBorder="1" applyAlignment="1">
      <alignment horizontal="center"/>
    </xf>
    <xf numFmtId="44" fontId="0" fillId="0" borderId="8" xfId="0" applyNumberFormat="1" applyBorder="1"/>
    <xf numFmtId="49" fontId="36" fillId="0" borderId="7" xfId="0" applyNumberFormat="1" applyFont="1" applyBorder="1"/>
    <xf numFmtId="14" fontId="0" fillId="0" borderId="7" xfId="0" applyNumberFormat="1" applyBorder="1" applyAlignment="1">
      <alignment horizontal="left"/>
    </xf>
    <xf numFmtId="0" fontId="0" fillId="7" borderId="7" xfId="0" applyFill="1" applyBorder="1"/>
    <xf numFmtId="0" fontId="0" fillId="25" borderId="7" xfId="0" applyFill="1" applyBorder="1"/>
    <xf numFmtId="165" fontId="0" fillId="0" borderId="7" xfId="0" applyNumberForma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28" fillId="0" borderId="7" xfId="2" applyFill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7" xfId="0" applyFont="1" applyBorder="1"/>
    <xf numFmtId="49" fontId="7" fillId="0" borderId="7" xfId="0" applyNumberFormat="1" applyFont="1" applyBorder="1" applyAlignment="1">
      <alignment horizontal="center"/>
    </xf>
    <xf numFmtId="0" fontId="28" fillId="0" borderId="7" xfId="2" applyFill="1" applyBorder="1" applyAlignment="1">
      <alignment horizontal="center"/>
    </xf>
    <xf numFmtId="14" fontId="34" fillId="0" borderId="7" xfId="0" applyNumberFormat="1" applyFont="1" applyBorder="1" applyAlignment="1">
      <alignment horizontal="center" vertical="center"/>
    </xf>
    <xf numFmtId="0" fontId="8" fillId="49" borderId="0" xfId="0" applyFont="1" applyFill="1"/>
    <xf numFmtId="0" fontId="0" fillId="7" borderId="7" xfId="0" applyFill="1" applyBorder="1" applyAlignment="1">
      <alignment horizontal="center"/>
    </xf>
    <xf numFmtId="9" fontId="3" fillId="0" borderId="0" xfId="6" applyBorder="1" applyAlignment="1">
      <alignment horizontal="center"/>
    </xf>
    <xf numFmtId="0" fontId="0" fillId="57" borderId="0" xfId="0" applyFill="1"/>
    <xf numFmtId="0" fontId="0" fillId="0" borderId="0" xfId="0" applyFill="1"/>
  </cellXfs>
  <cellStyles count="9">
    <cellStyle name="Euro" xfId="1" xr:uid="{00000000-0005-0000-0000-000000000000}"/>
    <cellStyle name="Hipervínculo" xfId="2" builtinId="8"/>
    <cellStyle name="Moneda" xfId="3" builtinId="4"/>
    <cellStyle name="Moneda 2" xfId="7" xr:uid="{A7FE594F-0132-4EFB-B985-EFBD64A859C9}"/>
    <cellStyle name="Normal" xfId="0" builtinId="0"/>
    <cellStyle name="Normal 2" xfId="4" xr:uid="{00000000-0005-0000-0000-000004000000}"/>
    <cellStyle name="Normal 9" xfId="5" xr:uid="{00000000-0005-0000-0000-000005000000}"/>
    <cellStyle name="Porcentaje" xfId="6" builtinId="5"/>
    <cellStyle name="Porcentaje 2" xfId="8" xr:uid="{8D64BE96-DEF2-4870-85CF-81ABED50AB33}"/>
  </cellStyles>
  <dxfs count="251"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numFmt numFmtId="165" formatCode="#,##0.00\ &quot;€&quot;"/>
      <alignment horizontal="center" vertical="center" textRotation="0" wrapText="0" indent="0" justifyLastLine="0" shrinkToFit="0" readingOrder="0"/>
    </dxf>
    <dxf>
      <numFmt numFmtId="165" formatCode="#,##0.00\ &quot;€&quot;"/>
    </dxf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solid">
          <fgColor indexed="45"/>
          <bgColor indexed="2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indexed="64"/>
          <bgColor theme="0" tint="-0.499984740745262"/>
        </patternFill>
      </fill>
    </dxf>
    <dxf>
      <numFmt numFmtId="165" formatCode="#,##0.00\ &quot;€&quot;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numFmt numFmtId="165" formatCode="#,##0.00\ &quot;€&quot;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solid">
          <fgColor indexed="45"/>
          <bgColor indexed="2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alignment horizontal="general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indexed="64"/>
          <bgColor theme="0" tint="-0.499984740745262"/>
        </patternFill>
      </fill>
    </dxf>
    <dxf>
      <numFmt numFmtId="165" formatCode="#,##0.00\ &quot;€&quot;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numFmt numFmtId="165" formatCode="#,##0.00\ &quot;€&quot;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</dxf>
    <dxf>
      <alignment horizontal="left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none"/>
      </font>
      <numFmt numFmtId="19" formatCode="dd/mm/yyyy"/>
      <fill>
        <patternFill patternType="solid">
          <fgColor indexed="45"/>
          <bgColor indexed="2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65" formatCode="#,##0.00\ &quot;€&quot;"/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numFmt numFmtId="165" formatCode="#,##0.00\ &quot;€&quot;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numFmt numFmtId="34" formatCode="_-* #,##0.00\ &quot;€&quot;_-;\-* #,##0.00\ &quot;€&quot;_-;_-* &quot;-&quot;??\ &quot;€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0" tint="-0.499984740745262"/>
        </patternFill>
      </fill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solid">
          <fgColor indexed="45"/>
          <bgColor indexed="2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E6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5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1324536</xdr:colOff>
      <xdr:row>2</xdr:row>
      <xdr:rowOff>44823</xdr:rowOff>
    </xdr:from>
    <xdr:to>
      <xdr:col>9</xdr:col>
      <xdr:colOff>262218</xdr:colOff>
      <xdr:row>15</xdr:row>
      <xdr:rowOff>78441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Asociado">
              <a:extLst>
                <a:ext uri="{FF2B5EF4-FFF2-40B4-BE49-F238E27FC236}">
                  <a16:creationId xmlns:a16="http://schemas.microsoft.com/office/drawing/2014/main" id="{C8A92CDF-F71E-3D8F-1966-07FAE7496A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oci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8742" y="1187823"/>
              <a:ext cx="1828800" cy="25213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400050</xdr:colOff>
      <xdr:row>2</xdr:row>
      <xdr:rowOff>19611</xdr:rowOff>
    </xdr:from>
    <xdr:to>
      <xdr:col>9</xdr:col>
      <xdr:colOff>2228850</xdr:colOff>
      <xdr:row>15</xdr:row>
      <xdr:rowOff>67235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Nombre Cliente">
              <a:extLst>
                <a:ext uri="{FF2B5EF4-FFF2-40B4-BE49-F238E27FC236}">
                  <a16:creationId xmlns:a16="http://schemas.microsoft.com/office/drawing/2014/main" id="{4BD7C5F3-ECD6-A09A-4E1B-DC25E5D912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65374" y="1162611"/>
              <a:ext cx="1828800" cy="25241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2684928</xdr:colOff>
      <xdr:row>8</xdr:row>
      <xdr:rowOff>11206</xdr:rowOff>
    </xdr:from>
    <xdr:to>
      <xdr:col>8</xdr:col>
      <xdr:colOff>336736</xdr:colOff>
      <xdr:row>21</xdr:row>
      <xdr:rowOff>71157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Asociado 1">
              <a:extLst>
                <a:ext uri="{FF2B5EF4-FFF2-40B4-BE49-F238E27FC236}">
                  <a16:creationId xmlns:a16="http://schemas.microsoft.com/office/drawing/2014/main" id="{7BD753FD-8411-FD74-DCCE-41EA227020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ociad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56693" y="1949824"/>
              <a:ext cx="1831602" cy="2525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487455</xdr:colOff>
      <xdr:row>7</xdr:row>
      <xdr:rowOff>11206</xdr:rowOff>
    </xdr:from>
    <xdr:to>
      <xdr:col>9</xdr:col>
      <xdr:colOff>756957</xdr:colOff>
      <xdr:row>20</xdr:row>
      <xdr:rowOff>61633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Nombre Cliente 1">
              <a:extLst>
                <a:ext uri="{FF2B5EF4-FFF2-40B4-BE49-F238E27FC236}">
                  <a16:creationId xmlns:a16="http://schemas.microsoft.com/office/drawing/2014/main" id="{D38226A4-5926-1505-2E4D-37C0FBB923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lie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39014" y="1762126"/>
              <a:ext cx="1827119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2408705</xdr:colOff>
      <xdr:row>7</xdr:row>
      <xdr:rowOff>75639</xdr:rowOff>
    </xdr:from>
    <xdr:to>
      <xdr:col>12</xdr:col>
      <xdr:colOff>774887</xdr:colOff>
      <xdr:row>20</xdr:row>
      <xdr:rowOff>123264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Tipo trámite">
              <a:extLst>
                <a:ext uri="{FF2B5EF4-FFF2-40B4-BE49-F238E27FC236}">
                  <a16:creationId xmlns:a16="http://schemas.microsoft.com/office/drawing/2014/main" id="{86C8E6E2-7E46-9437-89B8-E0E4CDA025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trámi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25558" y="1823757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1692089</xdr:colOff>
      <xdr:row>3</xdr:row>
      <xdr:rowOff>67234</xdr:rowOff>
    </xdr:from>
    <xdr:to>
      <xdr:col>6</xdr:col>
      <xdr:colOff>533961</xdr:colOff>
      <xdr:row>16</xdr:row>
      <xdr:rowOff>115978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Asociado 2">
              <a:extLst>
                <a:ext uri="{FF2B5EF4-FFF2-40B4-BE49-F238E27FC236}">
                  <a16:creationId xmlns:a16="http://schemas.microsoft.com/office/drawing/2014/main" id="{6149F630-48F3-4168-BA16-6756DF2730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ociad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64942" y="1053352"/>
              <a:ext cx="1654548" cy="25252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850527</xdr:colOff>
      <xdr:row>3</xdr:row>
      <xdr:rowOff>0</xdr:rowOff>
    </xdr:from>
    <xdr:to>
      <xdr:col>6</xdr:col>
      <xdr:colOff>2424393</xdr:colOff>
      <xdr:row>17</xdr:row>
      <xdr:rowOff>179294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Nombre Cliente 2">
              <a:extLst>
                <a:ext uri="{FF2B5EF4-FFF2-40B4-BE49-F238E27FC236}">
                  <a16:creationId xmlns:a16="http://schemas.microsoft.com/office/drawing/2014/main" id="{0292EF26-E147-48F7-9E60-A499030E2D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lien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6056" y="986118"/>
              <a:ext cx="1573866" cy="2847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2726392</xdr:colOff>
      <xdr:row>4</xdr:row>
      <xdr:rowOff>120462</xdr:rowOff>
    </xdr:from>
    <xdr:to>
      <xdr:col>8</xdr:col>
      <xdr:colOff>142876</xdr:colOff>
      <xdr:row>17</xdr:row>
      <xdr:rowOff>156882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Tipo trámite 1">
              <a:extLst>
                <a:ext uri="{FF2B5EF4-FFF2-40B4-BE49-F238E27FC236}">
                  <a16:creationId xmlns:a16="http://schemas.microsoft.com/office/drawing/2014/main" id="{C037E0FD-81BF-4471-84C9-493A9DA462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trámi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1921" y="1297080"/>
              <a:ext cx="123769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2292725</xdr:colOff>
      <xdr:row>5</xdr:row>
      <xdr:rowOff>177614</xdr:rowOff>
    </xdr:from>
    <xdr:to>
      <xdr:col>6</xdr:col>
      <xdr:colOff>699809</xdr:colOff>
      <xdr:row>19</xdr:row>
      <xdr:rowOff>44824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Asociado 3">
              <a:extLst>
                <a:ext uri="{FF2B5EF4-FFF2-40B4-BE49-F238E27FC236}">
                  <a16:creationId xmlns:a16="http://schemas.microsoft.com/office/drawing/2014/main" id="{ADBED370-080F-4A23-A138-1D46A00022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ociad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5578" y="1544732"/>
              <a:ext cx="1219760" cy="2534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646020</xdr:colOff>
      <xdr:row>3</xdr:row>
      <xdr:rowOff>34739</xdr:rowOff>
    </xdr:from>
    <xdr:to>
      <xdr:col>5</xdr:col>
      <xdr:colOff>648261</xdr:colOff>
      <xdr:row>18</xdr:row>
      <xdr:rowOff>23532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Nombre Cliente 3">
              <a:extLst>
                <a:ext uri="{FF2B5EF4-FFF2-40B4-BE49-F238E27FC236}">
                  <a16:creationId xmlns:a16="http://schemas.microsoft.com/office/drawing/2014/main" id="{44FC5B59-22EE-4BE7-B1BD-3EC32B546F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lient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18873" y="1020857"/>
              <a:ext cx="2241" cy="28462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773206</xdr:colOff>
      <xdr:row>5</xdr:row>
      <xdr:rowOff>179294</xdr:rowOff>
    </xdr:from>
    <xdr:to>
      <xdr:col>6</xdr:col>
      <xdr:colOff>2274793</xdr:colOff>
      <xdr:row>18</xdr:row>
      <xdr:rowOff>168088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Tipo trámite 2">
              <a:extLst>
                <a:ext uri="{FF2B5EF4-FFF2-40B4-BE49-F238E27FC236}">
                  <a16:creationId xmlns:a16="http://schemas.microsoft.com/office/drawing/2014/main" id="{A8CB2F9C-B3D6-4E38-8E61-FC860F4021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trámi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8735" y="1546412"/>
              <a:ext cx="1501587" cy="2465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sociado" xr10:uid="{02911D9C-1C33-43DF-8DA5-3FE7CF2B6AA6}" sourceName="Asociad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liente" xr10:uid="{735C394A-BEBE-424F-B9F5-C8E6ACAFB919}" sourceName="Nombre Cliente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sociado1" xr10:uid="{EBBC12DE-C619-4913-8003-3919D1B411DB}" sourceName="sef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liente1" xr10:uid="{D89110A9-68EF-4D46-8588-E74E1F242E47}" sourceName="Nombre Cliente">
  <extLst>
    <x:ext xmlns:x15="http://schemas.microsoft.com/office/spreadsheetml/2010/11/main" uri="{2F2917AC-EB37-4324-AD4E-5DD8C200BD13}">
      <x15:tableSlicerCache tableId="2" column="5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trámite" xr10:uid="{F81CD4F1-83CB-49D6-83B1-0DFD8F9CCF27}" sourceName="Tipo trámite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sociado11" xr10:uid="{2C8F5343-5817-4457-9A5D-5041E8832E30}" sourceName="indy">
  <extLst>
    <x:ext xmlns:x15="http://schemas.microsoft.com/office/spreadsheetml/2010/11/main" uri="{2F2917AC-EB37-4324-AD4E-5DD8C200BD13}">
      <x15:tableSlicerCache tableId="5" column="2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liente11" xr10:uid="{1003BD77-A6EC-4F03-A5B5-82E0D31AE23E}" sourceName="Nombre Cliente">
  <extLst>
    <x:ext xmlns:x15="http://schemas.microsoft.com/office/spreadsheetml/2010/11/main" uri="{2F2917AC-EB37-4324-AD4E-5DD8C200BD13}">
      <x15:tableSlicerCache tableId="5" column="5"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trámite1" xr10:uid="{7D02D0BC-BA47-482B-84EE-8E6428D2B075}" sourceName="Tipo trámite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sociado111" xr10:uid="{85E2D7B0-7B90-4A43-AA41-15C4C04C4DFA}" sourceName="empresa">
  <extLst>
    <x:ext xmlns:x15="http://schemas.microsoft.com/office/spreadsheetml/2010/11/main" uri="{2F2917AC-EB37-4324-AD4E-5DD8C200BD13}">
      <x15:tableSlicerCache tableId="7" column="2"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liente111" xr10:uid="{37D5EE2D-A106-40E6-8EA7-1CD4B5CBDA48}" sourceName="Nombre Cliente">
  <extLst>
    <x:ext xmlns:x15="http://schemas.microsoft.com/office/spreadsheetml/2010/11/main" uri="{2F2917AC-EB37-4324-AD4E-5DD8C200BD13}">
      <x15:tableSlicerCache tableId="7" column="5"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trámite11" xr10:uid="{67F3A79F-66A8-497F-8A00-1E3C83836981}" sourceName="Tipo trámite">
  <extLst>
    <x:ext xmlns:x15="http://schemas.microsoft.com/office/spreadsheetml/2010/11/main" uri="{2F2917AC-EB37-4324-AD4E-5DD8C200BD13}">
      <x15:tableSlicerCache tableId="7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sociado" xr10:uid="{4D88C28C-EBCF-4167-983F-8451AD812379}" cache="SegmentaciónDeDatos_Asociado" caption="Asociado" startItem="18" rowHeight="241300"/>
  <slicer name="Nombre Cliente" xr10:uid="{F3350B59-5EFC-4E3D-85CA-54B1D621ABD3}" cache="SegmentaciónDeDatos_Nombre_Cliente" caption="Nombre Cliente" startItem="19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sociado 1" xr10:uid="{84E188B2-52BE-4B6D-8CCB-9EC90AF17CA1}" cache="SegmentaciónDeDatos_Asociado1" caption="sef" startItem="7" rowHeight="241300"/>
  <slicer name="Nombre Cliente 1" xr10:uid="{5ED8F606-26F6-48E4-861C-09C9AA315BE4}" cache="SegmentaciónDeDatos_Nombre_Cliente1" caption="Nombre Cliente" startItem="26" rowHeight="241300"/>
  <slicer name="Tipo trámite" xr10:uid="{66B127BC-EE5F-4EBA-8BAE-F1CEE681F5DF}" cache="SegmentaciónDeDatos_Tipo_trámite" caption="Tipo trámite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sociado 2" xr10:uid="{162DB530-AFB2-4886-815D-1423419D2C83}" cache="SegmentaciónDeDatos_Asociado11" caption="indy" startItem="18" rowHeight="241300"/>
  <slicer name="Nombre Cliente 2" xr10:uid="{46ABC8ED-494E-4081-9DAB-23C4EFBA84C4}" cache="SegmentaciónDeDatos_Nombre_Cliente11" caption="Nombre Cliente" startItem="95" rowHeight="241300"/>
  <slicer name="Tipo trámite 1" xr10:uid="{01929C1E-B1FD-4086-A2D2-4C6FB575E303}" cache="SegmentaciónDeDatos_Tipo_trámite1" caption="Tipo trámite" startItem="8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sociado 3" xr10:uid="{FCADCF69-DF09-46ED-8839-E07817430903}" cache="SegmentaciónDeDatos_Asociado111" caption="empresa" rowHeight="241300"/>
  <slicer name="Nombre Cliente 3" xr10:uid="{A6180D60-8D82-4798-8A89-23946459316F}" cache="SegmentaciónDeDatos_Nombre_Cliente111" caption="Nombre Cliente" startItem="8" rowHeight="241300"/>
  <slicer name="Tipo trámite 2" xr10:uid="{DB6435A6-6338-4F9D-B0E2-53CD54BDD20E}" cache="SegmentaciónDeDatos_Tipo_trámite11" caption="Tipo trámit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AM382" totalsRowCount="1" headerRowDxfId="250" totalsRowDxfId="247" headerRowBorderDxfId="249" tableBorderDxfId="248">
  <autoFilter ref="A1:AM381" xr:uid="{00000000-0009-0000-0100-000001000000}"/>
  <tableColumns count="39">
    <tableColumn id="1" xr3:uid="{00000000-0010-0000-0000-000001000000}" name="Columna1" totalsRowLabel="Total" dataDxfId="246" totalsRowDxfId="245"/>
    <tableColumn id="2" xr3:uid="{00000000-0010-0000-0000-000002000000}" name="Asociado" totalsRowDxfId="244"/>
    <tableColumn id="3" xr3:uid="{00000000-0010-0000-0000-000003000000}" name="Presentación" totalsRowDxfId="243"/>
    <tableColumn id="4" xr3:uid="{00000000-0010-0000-0000-000004000000}" name="CIF" dataDxfId="242" totalsRowDxfId="241"/>
    <tableColumn id="39" xr3:uid="{422D63D4-1E1C-404D-96DA-C21799569AFD}" name="Columna2" dataDxfId="240" totalsRowDxfId="239"/>
    <tableColumn id="5" xr3:uid="{00000000-0010-0000-0000-000005000000}" name="Nombre Cliente" dataDxfId="238" totalsRowDxfId="237"/>
    <tableColumn id="6" xr3:uid="{00000000-0010-0000-0000-000006000000}" name="Domicilio" totalsRowDxfId="236"/>
    <tableColumn id="7" xr3:uid="{00000000-0010-0000-0000-000007000000}" name="Cód. Postal" dataDxfId="235" totalsRowDxfId="234"/>
    <tableColumn id="8" xr3:uid="{00000000-0010-0000-0000-000008000000}" name="Localidad" totalsRowDxfId="233"/>
    <tableColumn id="9" xr3:uid="{00000000-0010-0000-0000-000009000000}" name="Teléfono" totalsRowDxfId="232"/>
    <tableColumn id="10" xr3:uid="{00000000-0010-0000-0000-00000A000000}" name="e-mail" totalsRowDxfId="231"/>
    <tableColumn id="11" xr3:uid="{00000000-0010-0000-0000-00000B000000}" name="CIF de Cargo" totalsRowDxfId="230"/>
    <tableColumn id="12" xr3:uid="{00000000-0010-0000-0000-00000C000000}" name="Fecha Factura" dataDxfId="229" totalsRowDxfId="228"/>
    <tableColumn id="13" xr3:uid="{00000000-0010-0000-0000-00000D000000}" name="Concepto Cabecera" dataDxfId="227" totalsRowDxfId="226"/>
    <tableColumn id="38" xr3:uid="{75CC3D02-3E4D-46A2-91A1-28ABAB26512A}" name="Tipo trámite" dataDxfId="225" totalsRowDxfId="224"/>
    <tableColumn id="14" xr3:uid="{00000000-0010-0000-0000-00000E000000}" name="Concepto Línea" dataDxfId="223" totalsRowDxfId="222"/>
    <tableColumn id="15" xr3:uid="{00000000-0010-0000-0000-00000F000000}" name="Precio" dataDxfId="221" totalsRowDxfId="220"/>
    <tableColumn id="16" xr3:uid="{00000000-0010-0000-0000-000010000000}" name="Cantidad" totalsRowDxfId="219"/>
    <tableColumn id="17" xr3:uid="{00000000-0010-0000-0000-000011000000}" name="IVA" dataDxfId="218" totalsRowDxfId="217" dataCellStyle="Porcentaje"/>
    <tableColumn id="18" xr3:uid="{00000000-0010-0000-0000-000012000000}" name="Descuento" dataDxfId="216" totalsRowDxfId="215" dataCellStyle="Porcentaje"/>
    <tableColumn id="19" xr3:uid="{00000000-0010-0000-0000-000013000000}" name="Servicio" totalsRowDxfId="214"/>
    <tableColumn id="20" xr3:uid="{00000000-0010-0000-0000-000014000000}" name="Total" totalsRowFunction="sum" dataDxfId="213" totalsRowDxfId="212">
      <calculatedColumnFormula>SUM(Q2-(Q2*T2))*S2+(Q2-(Q2*T2))</calculatedColumnFormula>
    </tableColumn>
    <tableColumn id="21" xr3:uid="{00000000-0010-0000-0000-000015000000}" name="NIE" dataDxfId="211" totalsRowDxfId="210"/>
    <tableColumn id="22" xr3:uid="{00000000-0010-0000-0000-000016000000}" name="EXP" dataDxfId="209" totalsRowDxfId="208"/>
    <tableColumn id="23" xr3:uid="{00000000-0010-0000-0000-000017000000}" name="F.NAC" dataDxfId="207" totalsRowDxfId="206"/>
    <tableColumn id="24" xr3:uid="{00000000-0010-0000-0000-000018000000}" name="Presentación2" dataDxfId="205" totalsRowDxfId="204"/>
    <tableColumn id="25" xr3:uid="{00000000-0010-0000-0000-000019000000}" name="Estado Expediente" dataDxfId="203" totalsRowDxfId="202"/>
    <tableColumn id="26" xr3:uid="{00000000-0010-0000-0000-00001A000000}" name="NOTIFICADA" dataDxfId="201" totalsRowDxfId="200"/>
    <tableColumn id="27" xr3:uid="{00000000-0010-0000-0000-00001B000000}" name="NOT. CORREO/  LLAMAR" dataDxfId="199" totalsRowDxfId="198"/>
    <tableColumn id="28" xr3:uid="{00000000-0010-0000-0000-00001C000000}" name="MOTIVO DENEGACION" totalsRowDxfId="197"/>
    <tableColumn id="29" xr3:uid="{00000000-0010-0000-0000-00001D000000}" name="RECURSO" totalsRowDxfId="196"/>
    <tableColumn id="30" xr3:uid="{00000000-0010-0000-0000-00001E000000}" name="DOMICILIO NOTIFICACIÓN" dataDxfId="195" totalsRowDxfId="194"/>
    <tableColumn id="31" xr3:uid="{00000000-0010-0000-0000-00001F000000}" name="DEVOLVER" totalsRowDxfId="193"/>
    <tableColumn id="32" xr3:uid="{00000000-0010-0000-0000-000020000000}" name="Contrato" totalsRowDxfId="192"/>
    <tableColumn id="33" xr3:uid="{00000000-0010-0000-0000-000021000000}" name="Requerimiento" dataDxfId="191" totalsRowDxfId="190"/>
    <tableColumn id="34" xr3:uid="{00000000-0010-0000-0000-000022000000}" name="Fecha Requerimiento" totalsRowDxfId="189"/>
    <tableColumn id="35" xr3:uid="{00000000-0010-0000-0000-000023000000}" name="Caduca" dataDxfId="188" totalsRowDxfId="187"/>
    <tableColumn id="36" xr3:uid="{00000000-0010-0000-0000-000024000000}" name="Fecha Ampliacion" dataDxfId="186" totalsRowDxfId="185"/>
    <tableColumn id="37" xr3:uid="{00000000-0010-0000-0000-000025000000}" name="Subsanacion" totalsRowDxfId="18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8C1E11-A822-46E2-8720-181B65352D21}" name="Tabla3" displayName="Tabla3" ref="AT3:AT15" totalsRowShown="0" headerRowDxfId="183" dataDxfId="182">
  <autoFilter ref="AT3:AT15" xr:uid="{838C1E11-A822-46E2-8720-181B65352D21}"/>
  <tableColumns count="1">
    <tableColumn id="1" xr3:uid="{D58ED23B-B4DB-42D4-B021-BF5DA07D332E}" name="Tipo de trámite" dataDxfId="18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0901C5-9C16-497B-8B28-8743F47B9707}" name="Tabla2" displayName="Tabla2" ref="B1:AO426" totalsRowCount="1" headerRowDxfId="180" totalsRowDxfId="178" headerRowBorderDxfId="179">
  <autoFilter ref="B1:AO425" xr:uid="{5D0901C5-9C16-497B-8B28-8743F47B9707}"/>
  <tableColumns count="40">
    <tableColumn id="2" xr3:uid="{E32A19E6-42F3-4AE4-A21C-491E4A873E25}" name="sef" totalsRowLabel="Total" totalsRowDxfId="177"/>
    <tableColumn id="3" xr3:uid="{A7346C36-B8E7-4C58-95FB-0EFA752C160B}" name="Presentación" dataDxfId="176" totalsRowDxfId="175"/>
    <tableColumn id="41" xr3:uid="{581B27A2-021E-4143-8079-D302CD390172}" name="Columna1" dataDxfId="174" totalsRowDxfId="173"/>
    <tableColumn id="4" xr3:uid="{CF0F7D3F-4561-4706-82D1-F2AF481CC485}" name="CIF" dataDxfId="172" totalsRowDxfId="171"/>
    <tableColumn id="5" xr3:uid="{AB3F1C5F-66E7-4E05-B54A-E3A7FA0189EF}" name="Nombre Cliente" totalsRowDxfId="170"/>
    <tableColumn id="6" xr3:uid="{E4CD115C-F738-4B25-9C5E-10242D461922}" name="Domicilio" totalsRowDxfId="169"/>
    <tableColumn id="7" xr3:uid="{2DDD8B40-96D0-4501-91BC-1D1FFC94FB13}" name="Cód. Postal" dataDxfId="168" totalsRowDxfId="167"/>
    <tableColumn id="8" xr3:uid="{EBE2F465-2438-4D7C-8C40-CD525405A3DF}" name="Localidad" dataDxfId="166" totalsRowDxfId="165"/>
    <tableColumn id="9" xr3:uid="{0A9F83B5-A142-4EAE-90D9-11E804A2030C}" name="Teléfono" dataDxfId="164" totalsRowDxfId="163"/>
    <tableColumn id="10" xr3:uid="{BD5EDF15-FEEB-46BF-B885-CF542F574109}" name="e-mail" dataDxfId="162" totalsRowDxfId="161"/>
    <tableColumn id="11" xr3:uid="{FCE840E1-978B-497D-8F55-BA987333483E}" name="CIF de Cargo" dataDxfId="160" totalsRowDxfId="159"/>
    <tableColumn id="12" xr3:uid="{05E80092-B91B-4B62-A2DF-656D29D37AE7}" name="Fecha Factura" dataDxfId="158" totalsRowDxfId="157"/>
    <tableColumn id="13" xr3:uid="{9AB03151-A4BA-4A49-B9D9-DBED4F630821}" name="Concepto Cabecera" totalsRowDxfId="156"/>
    <tableColumn id="1" xr3:uid="{6C2C4D5B-02AC-46EE-9B88-E809E5AFB789}" name="Tipo trámite" dataDxfId="155" totalsRowDxfId="154"/>
    <tableColumn id="14" xr3:uid="{DC85B96E-2B5B-40B4-AF87-7C1C942ECFAB}" name="Concepto Línea" totalsRowDxfId="153"/>
    <tableColumn id="15" xr3:uid="{CB655072-0A10-471E-AE77-23B3C5B6F123}" name="Precio" totalsRowDxfId="152"/>
    <tableColumn id="16" xr3:uid="{1FF7DF59-2E43-444C-BECD-357673BAD002}" name="Cantidad" totalsRowDxfId="151"/>
    <tableColumn id="17" xr3:uid="{20B0542F-0BB3-41FB-92B0-EC6CB36C4D34}" name="IVA" totalsRowDxfId="150"/>
    <tableColumn id="18" xr3:uid="{82F38C3B-B6CC-49A1-B60C-395C74449A33}" name="Descuento" totalsRowDxfId="149"/>
    <tableColumn id="19" xr3:uid="{ED089A82-14BD-479A-B870-39557E027E6D}" name="Columna2" dataDxfId="148" totalsRowDxfId="147"/>
    <tableColumn id="20" xr3:uid="{7C5FD504-A8B1-4449-8B9A-68E1979537F7}" name="Total" totalsRowFunction="sum" dataDxfId="146" totalsRowDxfId="145">
      <calculatedColumnFormula>SUM(Q2-(Q2*T2))*S2+(Q2-(Q2*T2))</calculatedColumnFormula>
    </tableColumn>
    <tableColumn id="21" xr3:uid="{B215F456-C7FC-43CE-A3C8-F8AD280D629D}" name="NIE" totalsRowDxfId="144"/>
    <tableColumn id="22" xr3:uid="{B41A36A7-8212-4C95-BFA0-A1C95D729D35}" name="EXP" dataDxfId="143" totalsRowDxfId="142"/>
    <tableColumn id="23" xr3:uid="{0CF9CD45-7528-4FF3-9100-03B8A2472883}" name="F.NAC" totalsRowDxfId="141"/>
    <tableColumn id="24" xr3:uid="{3E02C97A-082D-42D5-966F-82DAE720FF8E}" name="Presentación2" dataDxfId="140" totalsRowDxfId="139"/>
    <tableColumn id="25" xr3:uid="{4FEB6365-7A35-4660-BCF4-722F15040A83}" name="Estado Expediente" totalsRowDxfId="138"/>
    <tableColumn id="26" xr3:uid="{F0195671-44FF-46FF-9BA0-C5A8DA4E43CC}" name="NOTIFICADA" dataDxfId="137" totalsRowDxfId="136"/>
    <tableColumn id="27" xr3:uid="{B255651B-4C0F-4ABA-AA97-481FF599AA02}" name="NOT. CORREO/  LLAMAR" totalsRowDxfId="135"/>
    <tableColumn id="28" xr3:uid="{A7E1CE63-09F7-4AE4-998C-58FF238BED72}" name="MOTIVO DENEGACION" totalsRowDxfId="134"/>
    <tableColumn id="29" xr3:uid="{3C5E1BB0-CE7C-4C80-AE91-7DAC0019B61B}" name="RECURSO" totalsRowDxfId="133"/>
    <tableColumn id="30" xr3:uid="{B9CDE291-FEB5-4032-A11A-7A7F50907934}" name="DOMICILIO NOTIFICACIÓN" totalsRowDxfId="132"/>
    <tableColumn id="31" xr3:uid="{636363D5-BB1B-4A27-9AF2-1E587DD2C428}" name="DEVOLVER" totalsRowDxfId="131"/>
    <tableColumn id="32" xr3:uid="{0F7D8843-3767-4DF0-BAF3-3A924A9FC046}" name="Contrato" totalsRowDxfId="130"/>
    <tableColumn id="33" xr3:uid="{D5ADF07F-ED69-402D-85FE-852F5C5CB385}" name="Requerimiento" totalsRowDxfId="129"/>
    <tableColumn id="34" xr3:uid="{A1447EB0-B7A5-4698-8D83-F8FADBA73934}" name="Fecha Requerimiento" totalsRowDxfId="128"/>
    <tableColumn id="35" xr3:uid="{F9856A80-BF96-4184-B084-5B6D3A71D980}" name="Caduca" totalsRowDxfId="127"/>
    <tableColumn id="36" xr3:uid="{D31FA3B4-C834-4AB0-9AA0-6FB743E4D655}" name="Fecha Ampliacion" totalsRowDxfId="126"/>
    <tableColumn id="37" xr3:uid="{65572E4A-80EC-4B08-97C2-BE2A35A0A6C1}" name="Subsanacion" totalsRowDxfId="125"/>
    <tableColumn id="38" xr3:uid="{F8AB8F49-0DC8-47A9-B436-55AA9DBA58E4}" name="Obervaciones" totalsRowDxfId="124"/>
    <tableColumn id="39" xr3:uid="{3FB3A557-118D-4A38-B571-51E5C8EEBF66}" name="Caducidad del permiso" totalsRowFunction="count" totalsRowDxfId="12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84D86C-27D2-442D-96AC-C36B3FBFF389}" name="Tabla35" displayName="Tabla35" ref="AS3:AS22" totalsRowShown="0" headerRowDxfId="122" dataDxfId="121">
  <autoFilter ref="AS3:AS22" xr:uid="{DC84D86C-27D2-442D-96AC-C36B3FBFF389}"/>
  <tableColumns count="1">
    <tableColumn id="1" xr3:uid="{6951164E-C238-4126-A509-A3B5B7920B9B}" name="Tipo de trámite" dataDxfId="1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7DD260-AEA9-4579-9456-A909A6471801}" name="Tabla26" displayName="Tabla26" ref="B1:AO430" totalsRowCount="1" headerRowDxfId="119" totalsRowDxfId="117" headerRowBorderDxfId="118">
  <autoFilter ref="B1:AO429" xr:uid="{167DD260-AEA9-4579-9456-A909A6471801}"/>
  <tableColumns count="40">
    <tableColumn id="2" xr3:uid="{327F2A37-CD38-40BB-99BD-414377DCAED8}" name="indy" totalsRowLabel="Total" totalsRowDxfId="116"/>
    <tableColumn id="3" xr3:uid="{49E97ED2-CB57-422D-AA1E-FBA408E327F7}" name="Presentación" dataDxfId="115" totalsRowDxfId="114"/>
    <tableColumn id="40" xr3:uid="{3BB8FECC-1C9A-4637-82EB-B9C2FDACA2F0}" name="CLIENTES NUEVOS" dataDxfId="113" totalsRowDxfId="112"/>
    <tableColumn id="4" xr3:uid="{DD8D4352-A868-44BF-9E25-574F7EA31662}" name="CIF" dataDxfId="111" totalsRowDxfId="110"/>
    <tableColumn id="5" xr3:uid="{7FEC815F-D4C9-44BC-B148-ED25975033E8}" name="Nombre Cliente" dataDxfId="109" totalsRowDxfId="108"/>
    <tableColumn id="6" xr3:uid="{A54ACA03-6133-47A6-90FC-C8FF8BD17D32}" name="Domicilio" totalsRowDxfId="107"/>
    <tableColumn id="7" xr3:uid="{ED07BDD3-CED2-4DB6-BEA6-DDBEF20F158B}" name="Cód. Postal" dataDxfId="106" totalsRowDxfId="105"/>
    <tableColumn id="8" xr3:uid="{7F170016-FE81-4C3C-88D1-42A92A01FCBF}" name="Localidad" dataDxfId="104" totalsRowDxfId="103"/>
    <tableColumn id="9" xr3:uid="{5655AA84-A03E-4C29-92D7-CDB61E3259B7}" name="Teléfono" dataDxfId="102" totalsRowDxfId="101"/>
    <tableColumn id="10" xr3:uid="{EF043548-1F74-4C7F-B974-464ADBD17D5C}" name="e-mail" dataDxfId="100" totalsRowDxfId="99"/>
    <tableColumn id="11" xr3:uid="{64B93A91-2A79-4A2A-80A5-E5C0E4E01AFC}" name="CIF de Cargo" dataDxfId="98" totalsRowDxfId="97"/>
    <tableColumn id="12" xr3:uid="{7BE48906-C4E4-4B98-87D8-D245A02FA227}" name="Fecha Factura" dataDxfId="96" totalsRowDxfId="95"/>
    <tableColumn id="13" xr3:uid="{E6328BA5-5EDE-4FA5-A3A3-50FAE4F093CD}" name="Concepto Cabecera" totalsRowDxfId="94"/>
    <tableColumn id="1" xr3:uid="{D5B67E88-0A9D-43E7-8803-0DC77C332103}" name="Tipo trámite" dataDxfId="93" totalsRowDxfId="92"/>
    <tableColumn id="14" xr3:uid="{5D289A59-49E6-41F5-8E60-EF9101363A71}" name="Concepto Línea" totalsRowDxfId="91"/>
    <tableColumn id="15" xr3:uid="{40BB3781-8714-41D8-A065-9022691076C5}" name="Precio" totalsRowDxfId="90"/>
    <tableColumn id="16" xr3:uid="{6B669A37-C7FD-437B-B683-6E2F02608630}" name="Cantidad" totalsRowDxfId="89"/>
    <tableColumn id="17" xr3:uid="{3DF8C2D8-98EB-4168-81EE-8C474211EE10}" name="IVA" totalsRowDxfId="88"/>
    <tableColumn id="18" xr3:uid="{88641D9C-E1FC-45F0-8F97-73DD9641ABE9}" name="Descuento" totalsRowDxfId="87"/>
    <tableColumn id="19" xr3:uid="{333EFA69-C7AE-4EB7-9AC7-881DC525918D}" name="Columna2" dataDxfId="86" totalsRowDxfId="85">
      <calculatedColumnFormula>SUM(P2-(P2*S2))*R2+(P2-(P2*S2))</calculatedColumnFormula>
    </tableColumn>
    <tableColumn id="20" xr3:uid="{417ACD55-D3DA-4A27-AAD4-21A3E3FCD2DB}" name="Total" totalsRowFunction="sum" dataDxfId="84" totalsRowDxfId="83">
      <calculatedColumnFormula>SUM(Q2-(Q2*T2))*S2+(Q2-(Q2*T2))</calculatedColumnFormula>
    </tableColumn>
    <tableColumn id="21" xr3:uid="{D69421DA-0ABE-415F-8355-0A15922793B6}" name="NIE" totalsRowDxfId="82"/>
    <tableColumn id="22" xr3:uid="{F3BF31E6-A2AB-4E41-93C7-8D4069B25ABB}" name="EXP" totalsRowDxfId="81"/>
    <tableColumn id="23" xr3:uid="{BEFC83D6-CB86-4E30-B6DC-8A9C632D5091}" name="F.NAC" totalsRowDxfId="80"/>
    <tableColumn id="24" xr3:uid="{DFF888E2-A113-4865-9F6B-495B724C6839}" name="Presentación2" dataDxfId="79" totalsRowDxfId="78"/>
    <tableColumn id="25" xr3:uid="{DB6930C4-3B50-464D-9DB3-3310F77BFED9}" name="Estado Expediente" totalsRowDxfId="77"/>
    <tableColumn id="26" xr3:uid="{3E1314C9-C260-4ADA-B7FB-F17808186165}" name="NOTIFICADA" dataDxfId="76" totalsRowDxfId="75"/>
    <tableColumn id="27" xr3:uid="{53B12FF2-9E9C-4241-8C05-A27081671566}" name="NOT. CORREO/  LLAMAR" totalsRowDxfId="74"/>
    <tableColumn id="28" xr3:uid="{3C0FF3DF-8310-4332-BB3A-75D339DE08B3}" name="MOTIVO DENEGACION" totalsRowDxfId="73"/>
    <tableColumn id="29" xr3:uid="{22214402-1C29-48BD-99FE-8A25145779B7}" name="RECURSO" totalsRowDxfId="72"/>
    <tableColumn id="30" xr3:uid="{360083D0-13C1-4F8C-8DF7-1A787EFD13A7}" name="DOMICILIO NOTIFICACIÓN" totalsRowDxfId="71"/>
    <tableColumn id="31" xr3:uid="{0FEA222E-655C-4C1B-9F47-43C6F27B5A2A}" name="DEVOLVER" totalsRowDxfId="70"/>
    <tableColumn id="32" xr3:uid="{D8DEE3D4-8D7E-404B-A870-0FE88693940A}" name="Contrato" totalsRowDxfId="69"/>
    <tableColumn id="33" xr3:uid="{E9FC3C9E-29A1-4672-9CC0-AC0B9A7F314A}" name="Requerimiento" totalsRowDxfId="68"/>
    <tableColumn id="34" xr3:uid="{95CDEB94-0467-406C-A398-B649923E3A5E}" name="Fecha Requerimiento" totalsRowDxfId="67"/>
    <tableColumn id="35" xr3:uid="{746D5461-0126-4C7A-964A-DBF625BFD34D}" name="Caduca" totalsRowDxfId="66"/>
    <tableColumn id="36" xr3:uid="{5DA601BB-4B69-47D6-BA62-22F352D08593}" name="Fecha Ampliacion" totalsRowDxfId="65"/>
    <tableColumn id="37" xr3:uid="{E6F0848A-E258-49ED-8A60-8A164137B700}" name="Subsanacion" totalsRowDxfId="64"/>
    <tableColumn id="38" xr3:uid="{87A2DF57-3D8C-4CAC-A99D-C532CF984958}" name="Obervaciones" totalsRowDxfId="63"/>
    <tableColumn id="39" xr3:uid="{5F84005C-EC27-4981-A1FC-A134FA55E974}" name="Caducidad del permiso" totalsRowFunction="count" totalsRowDxfId="6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F52865-47CB-4D07-8325-595500235203}" name="Tabla357" displayName="Tabla357" ref="AS3:AS23" totalsRowShown="0" dataDxfId="61">
  <autoFilter ref="AS3:AS23" xr:uid="{D2F52865-47CB-4D07-8325-595500235203}"/>
  <tableColumns count="1">
    <tableColumn id="1" xr3:uid="{C05447E6-C08F-4879-8A11-F233BCFCBE90}" name="Columna1" dataDxfId="6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551577-0F16-4322-B6C0-7142037B4AD3}" name="Tabla268" displayName="Tabla268" ref="B1:AO517" totalsRowCount="1" headerRowDxfId="59" totalsRowDxfId="57" headerRowBorderDxfId="58">
  <autoFilter ref="B1:AO516" xr:uid="{A4551577-0F16-4322-B6C0-7142037B4AD3}"/>
  <tableColumns count="40">
    <tableColumn id="2" xr3:uid="{A8D5242F-09C4-4E8B-9103-94BC2DF53D57}" name="empresa" totalsRowLabel="Total" totalsRowDxfId="39"/>
    <tableColumn id="3" xr3:uid="{3A6F451B-5F4F-4E51-B662-25CC64B2190A}" name="Presentación" dataDxfId="54" totalsRowDxfId="38"/>
    <tableColumn id="40" xr3:uid="{EA197C40-A944-4F72-9DC2-D04A6127A55C}" name="CLIENTES NUEVOS" dataDxfId="53" totalsRowDxfId="37"/>
    <tableColumn id="4" xr3:uid="{D29D9B6F-6C9E-476D-A1F0-082316F350AE}" name="CIF" dataDxfId="52" totalsRowDxfId="36"/>
    <tableColumn id="5" xr3:uid="{7FB7DFEC-E56A-491D-933D-BC893ACB5ACA}" name="Nombre Cliente" dataDxfId="51" totalsRowDxfId="35"/>
    <tableColumn id="6" xr3:uid="{99ACF991-8F52-4D3B-A5B1-8FE07EA3CCCC}" name="Domicilio" totalsRowDxfId="34"/>
    <tableColumn id="7" xr3:uid="{451324E6-D808-4AAE-99DB-A8FBAD73D317}" name="Cód. Postal" dataDxfId="50" totalsRowDxfId="33"/>
    <tableColumn id="8" xr3:uid="{18D87F35-EDF6-4770-A454-B068F70BA2AE}" name="Localidad" dataDxfId="49" totalsRowDxfId="32"/>
    <tableColumn id="9" xr3:uid="{8E90E8F6-B76A-4B1B-BA34-61ACAFD9E7AD}" name="Teléfono" dataDxfId="48" totalsRowDxfId="31"/>
    <tableColumn id="10" xr3:uid="{E0C2B7F2-01E1-4A85-B68D-9E07E8B3B0E3}" name="e-mail" dataDxfId="47" totalsRowDxfId="30"/>
    <tableColumn id="11" xr3:uid="{6B1ED5CA-5AB9-4D95-B2D9-5DF5B0032636}" name="CIF de Cargo" dataDxfId="46" totalsRowDxfId="29"/>
    <tableColumn id="12" xr3:uid="{070BC3BA-4945-40C9-A7F8-8FBA18A4A6DC}" name="Fecha Factura" dataDxfId="45" totalsRowDxfId="28"/>
    <tableColumn id="13" xr3:uid="{33DDD163-2048-4E30-8E15-8F025374FE7C}" name="Concepto Cabecera" totalsRowDxfId="27"/>
    <tableColumn id="1" xr3:uid="{D45AF172-D108-4E72-8105-683C886AC70F}" name="Tipo trámite" dataDxfId="44" totalsRowDxfId="26"/>
    <tableColumn id="14" xr3:uid="{F54EE6AD-2E23-4912-B9C0-F3584E8CC43E}" name="_Multinatura" totalsRowDxfId="25"/>
    <tableColumn id="15" xr3:uid="{06A624CE-2C06-4C12-8D03-FF9C17E3C90D}" name="Precio" totalsRowDxfId="24"/>
    <tableColumn id="16" xr3:uid="{DFBAF234-CB9F-4AB9-BAE2-3FEB7C6D1AEB}" name="Cantidad" totalsRowDxfId="23"/>
    <tableColumn id="17" xr3:uid="{4334406F-8961-49A3-BDC6-9D1531F66909}" name="IVA" totalsRowDxfId="22"/>
    <tableColumn id="18" xr3:uid="{1BD68CAA-319D-4FD7-8017-CFF384ABECED}" name="Descuento" totalsRowDxfId="21"/>
    <tableColumn id="19" xr3:uid="{92012610-A845-4DB8-B984-0C894912300C}" name="Columna2" dataDxfId="43" totalsRowDxfId="20">
      <calculatedColumnFormula>SUM(P2-(P2*S2))*R2+(P2-(P2*S2))</calculatedColumnFormula>
    </tableColumn>
    <tableColumn id="20" xr3:uid="{A9AB5147-A72F-4994-8ED5-E0B5079A11CB}" name="Total" totalsRowFunction="sum" dataDxfId="42" totalsRowDxfId="19">
      <calculatedColumnFormula>SUM(Q2-(Q2*T2))*S2+(Q2-(Q2*T2))</calculatedColumnFormula>
    </tableColumn>
    <tableColumn id="21" xr3:uid="{A0D588A8-3945-40EF-9F45-896CE11C0BD9}" name="NIE" totalsRowDxfId="18"/>
    <tableColumn id="22" xr3:uid="{58D3BF5E-D484-4566-9800-BC3925FC4B03}" name="EXP" totalsRowDxfId="17"/>
    <tableColumn id="23" xr3:uid="{29A8D9CD-33C3-4D90-BE24-BB4E7D691BDB}" name="F.NAC" totalsRowDxfId="16"/>
    <tableColumn id="24" xr3:uid="{429CCB65-C835-4BB6-AF8C-73C9CB989748}" name="Presentación2" dataDxfId="41" totalsRowDxfId="15"/>
    <tableColumn id="25" xr3:uid="{1910B62A-A8E4-40BD-B0DC-516D6D2D46D3}" name="Estado Expediente" totalsRowDxfId="14"/>
    <tableColumn id="26" xr3:uid="{DEEDE500-7892-4688-88E9-F33CC9E1A9FD}" name="NOTIFICADA" dataDxfId="40" totalsRowDxfId="13"/>
    <tableColumn id="27" xr3:uid="{721F716F-27E5-49EF-9FAF-CCFA864B7C51}" name="NOT. CORREO/  LLAMAR" totalsRowDxfId="12"/>
    <tableColumn id="28" xr3:uid="{E3191495-3F8F-4E21-BB9F-FDA46207FCFB}" name="MOTIVO DENEGACION" totalsRowDxfId="11"/>
    <tableColumn id="29" xr3:uid="{CBD5CB7A-0FA7-478D-B9D3-2956CF78E7A9}" name="RECURSO" totalsRowDxfId="10"/>
    <tableColumn id="30" xr3:uid="{55E62D46-9FA7-4487-B1A5-2A09FDDA2801}" name="DOMICILIO NOTIFICACIÓN" totalsRowDxfId="9"/>
    <tableColumn id="31" xr3:uid="{A9EB9F8E-BFEC-4852-B132-137E51787400}" name="DEVOLVER" totalsRowDxfId="8"/>
    <tableColumn id="32" xr3:uid="{86097A64-7FE4-4EF3-AEBD-7224A629620F}" name="Contrato" totalsRowDxfId="7"/>
    <tableColumn id="33" xr3:uid="{087B2BC0-7B20-41C3-801F-6E131D63B056}" name="Requerimiento" totalsRowDxfId="6"/>
    <tableColumn id="34" xr3:uid="{4FD02201-AD33-47B4-AE12-E5BC3A4D5401}" name="Fecha Requerimiento" totalsRowDxfId="5"/>
    <tableColumn id="35" xr3:uid="{ACED1BC7-C6E2-4F99-BD8E-C6B3EF3A80DC}" name="Caduca" totalsRowDxfId="4"/>
    <tableColumn id="36" xr3:uid="{71B5C110-C4E0-4FF3-9727-C7494550EDC4}" name="Fecha Ampliacion" totalsRowDxfId="3"/>
    <tableColumn id="37" xr3:uid="{C0343460-A891-4A1B-8F43-DFD478D85EA3}" name="Subsanacion" totalsRowDxfId="2"/>
    <tableColumn id="38" xr3:uid="{133D4307-F9C2-45E2-BE86-24AE300A9F9D}" name="Obervaciones" totalsRowDxfId="1"/>
    <tableColumn id="39" xr3:uid="{279E5756-FD23-4631-AEE8-47D1DE0B6DC2}" name="Caducidad del permiso" totalsRowFunction="count" totalsRowDxfId="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558B80-7870-40C4-97B3-5DA04549862E}" name="Tabla3579" displayName="Tabla3579" ref="AS2:AS22" totalsRowShown="0" dataDxfId="56">
  <autoFilter ref="AS2:AS22" xr:uid="{5F558B80-7870-40C4-97B3-5DA04549862E}"/>
  <tableColumns count="1">
    <tableColumn id="1" xr3:uid="{6E987DA1-9DF2-495C-B71C-06468AA65D20}" name="Columna1" dataDxfId="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info@delarentaconsultores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pacodelin@gmail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luisalvaro.mal@gmail.com" TargetMode="External"/><Relationship Id="rId1" Type="http://schemas.openxmlformats.org/officeDocument/2006/relationships/hyperlink" Target="mailto:pjcanetemunoz@hotmail.com" TargetMode="External"/><Relationship Id="rId6" Type="http://schemas.openxmlformats.org/officeDocument/2006/relationships/hyperlink" Target="mailto:javi_pekenin@hotmail.es" TargetMode="External"/><Relationship Id="rId5" Type="http://schemas.openxmlformats.org/officeDocument/2006/relationships/hyperlink" Target="mailto:anabel.hidalgo@gmail.com" TargetMode="External"/><Relationship Id="rId4" Type="http://schemas.openxmlformats.org/officeDocument/2006/relationships/hyperlink" Target="mailto:anabel.hidalgo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pacodelin@gmail.com" TargetMode="External"/><Relationship Id="rId13" Type="http://schemas.openxmlformats.org/officeDocument/2006/relationships/hyperlink" Target="mailto:ruben_mc95@hotmail.com" TargetMode="External"/><Relationship Id="rId18" Type="http://schemas.openxmlformats.org/officeDocument/2006/relationships/hyperlink" Target="mailto:sergioyou44@gmail.com" TargetMode="External"/><Relationship Id="rId3" Type="http://schemas.openxmlformats.org/officeDocument/2006/relationships/hyperlink" Target="mailto:jomake4@gmail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juagrisa@gmail.com" TargetMode="External"/><Relationship Id="rId12" Type="http://schemas.openxmlformats.org/officeDocument/2006/relationships/hyperlink" Target="mailto:gaspi1977mc@gmail.com" TargetMode="External"/><Relationship Id="rId17" Type="http://schemas.openxmlformats.org/officeDocument/2006/relationships/hyperlink" Target="mailto:el_ka@hotmail.com" TargetMode="External"/><Relationship Id="rId2" Type="http://schemas.openxmlformats.org/officeDocument/2006/relationships/hyperlink" Target="mailto:mnlhernandezgonzalez63@gmail.com" TargetMode="External"/><Relationship Id="rId16" Type="http://schemas.openxmlformats.org/officeDocument/2006/relationships/hyperlink" Target="mailto:asesoria@natursursca.es" TargetMode="External"/><Relationship Id="rId20" Type="http://schemas.openxmlformats.org/officeDocument/2006/relationships/drawing" Target="../drawings/drawing1.xml"/><Relationship Id="rId1" Type="http://schemas.openxmlformats.org/officeDocument/2006/relationships/hyperlink" Target="mailto:mnlhernandezgonzalez63@gmail.com" TargetMode="External"/><Relationship Id="rId6" Type="http://schemas.openxmlformats.org/officeDocument/2006/relationships/hyperlink" Target="mailto:castillocruzagustin@gmail.com" TargetMode="External"/><Relationship Id="rId11" Type="http://schemas.openxmlformats.org/officeDocument/2006/relationships/hyperlink" Target="mailto:s.alcaina@ciorganic.com" TargetMode="External"/><Relationship Id="rId5" Type="http://schemas.openxmlformats.org/officeDocument/2006/relationships/hyperlink" Target="mailto:juanmegane87@gmail.com" TargetMode="External"/><Relationship Id="rId15" Type="http://schemas.openxmlformats.org/officeDocument/2006/relationships/hyperlink" Target="mailto:loligarcia@bufetejuanramirez.com" TargetMode="External"/><Relationship Id="rId23" Type="http://schemas.microsoft.com/office/2007/relationships/slicer" Target="../slicers/slicer1.xml"/><Relationship Id="rId10" Type="http://schemas.openxmlformats.org/officeDocument/2006/relationships/hyperlink" Target="mailto:s.alcaina@ciorganic.com" TargetMode="External"/><Relationship Id="rId19" Type="http://schemas.openxmlformats.org/officeDocument/2006/relationships/printerSettings" Target="../printerSettings/printerSettings6.bin"/><Relationship Id="rId4" Type="http://schemas.openxmlformats.org/officeDocument/2006/relationships/hyperlink" Target="mailto:juagrisa@gmail.com" TargetMode="External"/><Relationship Id="rId9" Type="http://schemas.openxmlformats.org/officeDocument/2006/relationships/hyperlink" Target="mailto:s.alcaina@ciorganic.com" TargetMode="External"/><Relationship Id="rId14" Type="http://schemas.openxmlformats.org/officeDocument/2006/relationships/hyperlink" Target="mailto:luisalvaro.mal@gmail.com" TargetMode="External"/><Relationship Id="rId22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mlirola@agroiris.com" TargetMode="External"/><Relationship Id="rId18" Type="http://schemas.openxmlformats.org/officeDocument/2006/relationships/hyperlink" Target="mailto:mlirola@agroiris.com" TargetMode="External"/><Relationship Id="rId26" Type="http://schemas.openxmlformats.org/officeDocument/2006/relationships/hyperlink" Target="mailto:administracion@cohorsan.com" TargetMode="External"/><Relationship Id="rId39" Type="http://schemas.openxmlformats.org/officeDocument/2006/relationships/hyperlink" Target="mailto:administracion@cohorsan.com" TargetMode="External"/><Relationship Id="rId21" Type="http://schemas.openxmlformats.org/officeDocument/2006/relationships/hyperlink" Target="mailto:contigestion@murgiverde.com" TargetMode="External"/><Relationship Id="rId34" Type="http://schemas.openxmlformats.org/officeDocument/2006/relationships/hyperlink" Target="mailto:administracion@cohorsan.com" TargetMode="External"/><Relationship Id="rId42" Type="http://schemas.openxmlformats.org/officeDocument/2006/relationships/hyperlink" Target="mailto:administracion@cohorsan.com" TargetMode="External"/><Relationship Id="rId47" Type="http://schemas.openxmlformats.org/officeDocument/2006/relationships/hyperlink" Target="mailto:administracion@cohorsan.com" TargetMode="External"/><Relationship Id="rId50" Type="http://schemas.openxmlformats.org/officeDocument/2006/relationships/hyperlink" Target="mailto:administracion@cohorsan.com" TargetMode="External"/><Relationship Id="rId55" Type="http://schemas.openxmlformats.org/officeDocument/2006/relationships/hyperlink" Target="mailto:administracion@cohorsan.com" TargetMode="External"/><Relationship Id="rId63" Type="http://schemas.openxmlformats.org/officeDocument/2006/relationships/hyperlink" Target="mailto:administracion@cohorsan.com" TargetMode="External"/><Relationship Id="rId68" Type="http://schemas.openxmlformats.org/officeDocument/2006/relationships/hyperlink" Target="mailto:administracion@cohorsan.com" TargetMode="External"/><Relationship Id="rId76" Type="http://schemas.openxmlformats.org/officeDocument/2006/relationships/hyperlink" Target="mailto:administracion@cohorsan.com" TargetMode="External"/><Relationship Id="rId84" Type="http://schemas.openxmlformats.org/officeDocument/2006/relationships/hyperlink" Target="mailto:administracion@cohorsan.com" TargetMode="External"/><Relationship Id="rId89" Type="http://schemas.microsoft.com/office/2007/relationships/slicer" Target="../slicers/slicer2.xml"/><Relationship Id="rId7" Type="http://schemas.openxmlformats.org/officeDocument/2006/relationships/hyperlink" Target="mailto:pgerez@ferva.com" TargetMode="External"/><Relationship Id="rId71" Type="http://schemas.openxmlformats.org/officeDocument/2006/relationships/hyperlink" Target="mailto:administracion@cohorsan.com" TargetMode="External"/><Relationship Id="rId2" Type="http://schemas.openxmlformats.org/officeDocument/2006/relationships/hyperlink" Target="mailto:contigestion@murgiverde.com" TargetMode="External"/><Relationship Id="rId16" Type="http://schemas.openxmlformats.org/officeDocument/2006/relationships/hyperlink" Target="mailto:Mmartin@biolineagrosciences.com" TargetMode="External"/><Relationship Id="rId29" Type="http://schemas.openxmlformats.org/officeDocument/2006/relationships/hyperlink" Target="mailto:administracion@cohorsan.com" TargetMode="External"/><Relationship Id="rId11" Type="http://schemas.openxmlformats.org/officeDocument/2006/relationships/hyperlink" Target="mailto:loligarcia@bufetejuanramirez.com" TargetMode="External"/><Relationship Id="rId24" Type="http://schemas.openxmlformats.org/officeDocument/2006/relationships/hyperlink" Target="mailto:administracion@cohorsan.com" TargetMode="External"/><Relationship Id="rId32" Type="http://schemas.openxmlformats.org/officeDocument/2006/relationships/hyperlink" Target="mailto:administracion@cohorsan.com" TargetMode="External"/><Relationship Id="rId37" Type="http://schemas.openxmlformats.org/officeDocument/2006/relationships/hyperlink" Target="mailto:administracion@cohorsan.com" TargetMode="External"/><Relationship Id="rId40" Type="http://schemas.openxmlformats.org/officeDocument/2006/relationships/hyperlink" Target="mailto:administracion@cohorsan.com" TargetMode="External"/><Relationship Id="rId45" Type="http://schemas.openxmlformats.org/officeDocument/2006/relationships/hyperlink" Target="mailto:administracion@cohorsan.com" TargetMode="External"/><Relationship Id="rId53" Type="http://schemas.openxmlformats.org/officeDocument/2006/relationships/hyperlink" Target="mailto:administracion@cohorsan.com" TargetMode="External"/><Relationship Id="rId58" Type="http://schemas.openxmlformats.org/officeDocument/2006/relationships/hyperlink" Target="mailto:administracion@cohorsan.com" TargetMode="External"/><Relationship Id="rId66" Type="http://schemas.openxmlformats.org/officeDocument/2006/relationships/hyperlink" Target="mailto:administracion@cohorsan.com" TargetMode="External"/><Relationship Id="rId74" Type="http://schemas.openxmlformats.org/officeDocument/2006/relationships/hyperlink" Target="mailto:administracion@cohorsan.com" TargetMode="External"/><Relationship Id="rId79" Type="http://schemas.openxmlformats.org/officeDocument/2006/relationships/hyperlink" Target="mailto:administracion@cohorsan.com" TargetMode="External"/><Relationship Id="rId87" Type="http://schemas.openxmlformats.org/officeDocument/2006/relationships/table" Target="../tables/table3.xml"/><Relationship Id="rId5" Type="http://schemas.openxmlformats.org/officeDocument/2006/relationships/hyperlink" Target="mailto:loligarcia@bufetejuanramirez.com" TargetMode="External"/><Relationship Id="rId61" Type="http://schemas.openxmlformats.org/officeDocument/2006/relationships/hyperlink" Target="mailto:administracion@cohorsan.com" TargetMode="External"/><Relationship Id="rId82" Type="http://schemas.openxmlformats.org/officeDocument/2006/relationships/hyperlink" Target="mailto:administracion@cohorsan.com" TargetMode="External"/><Relationship Id="rId19" Type="http://schemas.openxmlformats.org/officeDocument/2006/relationships/hyperlink" Target="mailto:mlirola@agroiris.com" TargetMode="External"/><Relationship Id="rId4" Type="http://schemas.openxmlformats.org/officeDocument/2006/relationships/hyperlink" Target="mailto:contigestion@murgiverde.com" TargetMode="External"/><Relationship Id="rId9" Type="http://schemas.openxmlformats.org/officeDocument/2006/relationships/hyperlink" Target="mailto:contigestion@murgiverde.com" TargetMode="External"/><Relationship Id="rId14" Type="http://schemas.openxmlformats.org/officeDocument/2006/relationships/hyperlink" Target="mailto:contigestion@murgiverde.com" TargetMode="External"/><Relationship Id="rId22" Type="http://schemas.openxmlformats.org/officeDocument/2006/relationships/hyperlink" Target="mailto:mlirola@agroiris.com" TargetMode="External"/><Relationship Id="rId27" Type="http://schemas.openxmlformats.org/officeDocument/2006/relationships/hyperlink" Target="mailto:administracion@cohorsan.com" TargetMode="External"/><Relationship Id="rId30" Type="http://schemas.openxmlformats.org/officeDocument/2006/relationships/hyperlink" Target="mailto:administracion@cohorsan.com" TargetMode="External"/><Relationship Id="rId35" Type="http://schemas.openxmlformats.org/officeDocument/2006/relationships/hyperlink" Target="mailto:administracion@cohorsan.com" TargetMode="External"/><Relationship Id="rId43" Type="http://schemas.openxmlformats.org/officeDocument/2006/relationships/hyperlink" Target="mailto:administracion@cohorsan.com" TargetMode="External"/><Relationship Id="rId48" Type="http://schemas.openxmlformats.org/officeDocument/2006/relationships/hyperlink" Target="mailto:administracion@cohorsan.com" TargetMode="External"/><Relationship Id="rId56" Type="http://schemas.openxmlformats.org/officeDocument/2006/relationships/hyperlink" Target="mailto:administracion@cohorsan.com" TargetMode="External"/><Relationship Id="rId64" Type="http://schemas.openxmlformats.org/officeDocument/2006/relationships/hyperlink" Target="mailto:administracion@cohorsan.com" TargetMode="External"/><Relationship Id="rId69" Type="http://schemas.openxmlformats.org/officeDocument/2006/relationships/hyperlink" Target="mailto:administracion@cohorsan.com" TargetMode="External"/><Relationship Id="rId77" Type="http://schemas.openxmlformats.org/officeDocument/2006/relationships/hyperlink" Target="mailto:administracion@cohorsan.com" TargetMode="External"/><Relationship Id="rId8" Type="http://schemas.openxmlformats.org/officeDocument/2006/relationships/hyperlink" Target="mailto:loligarcia@bufetejuanramirez.com" TargetMode="External"/><Relationship Id="rId51" Type="http://schemas.openxmlformats.org/officeDocument/2006/relationships/hyperlink" Target="mailto:administracion@cohorsan.com" TargetMode="External"/><Relationship Id="rId72" Type="http://schemas.openxmlformats.org/officeDocument/2006/relationships/hyperlink" Target="mailto:administracion@cohorsan.com" TargetMode="External"/><Relationship Id="rId80" Type="http://schemas.openxmlformats.org/officeDocument/2006/relationships/hyperlink" Target="mailto:administracion@cohorsan.com" TargetMode="External"/><Relationship Id="rId85" Type="http://schemas.openxmlformats.org/officeDocument/2006/relationships/printerSettings" Target="../printerSettings/printerSettings7.bin"/><Relationship Id="rId3" Type="http://schemas.openxmlformats.org/officeDocument/2006/relationships/hyperlink" Target="mailto:contigestion@murgiverde.com" TargetMode="External"/><Relationship Id="rId12" Type="http://schemas.openxmlformats.org/officeDocument/2006/relationships/hyperlink" Target="mailto:contigestion@murgiverde.com" TargetMode="External"/><Relationship Id="rId17" Type="http://schemas.openxmlformats.org/officeDocument/2006/relationships/hyperlink" Target="mailto:mlirola@agroiris.com" TargetMode="External"/><Relationship Id="rId25" Type="http://schemas.openxmlformats.org/officeDocument/2006/relationships/hyperlink" Target="mailto:administracion@cohorsan.com" TargetMode="External"/><Relationship Id="rId33" Type="http://schemas.openxmlformats.org/officeDocument/2006/relationships/hyperlink" Target="mailto:administracion@cohorsan.com" TargetMode="External"/><Relationship Id="rId38" Type="http://schemas.openxmlformats.org/officeDocument/2006/relationships/hyperlink" Target="mailto:administracion@cohorsan.com" TargetMode="External"/><Relationship Id="rId46" Type="http://schemas.openxmlformats.org/officeDocument/2006/relationships/hyperlink" Target="mailto:administracion@cohorsan.com" TargetMode="External"/><Relationship Id="rId59" Type="http://schemas.openxmlformats.org/officeDocument/2006/relationships/hyperlink" Target="mailto:administracion@cohorsan.com" TargetMode="External"/><Relationship Id="rId67" Type="http://schemas.openxmlformats.org/officeDocument/2006/relationships/hyperlink" Target="mailto:administracion@cohorsan.com" TargetMode="External"/><Relationship Id="rId20" Type="http://schemas.openxmlformats.org/officeDocument/2006/relationships/hyperlink" Target="mailto:pgerez@ferva.com" TargetMode="External"/><Relationship Id="rId41" Type="http://schemas.openxmlformats.org/officeDocument/2006/relationships/hyperlink" Target="mailto:administracion@cohorsan.com" TargetMode="External"/><Relationship Id="rId54" Type="http://schemas.openxmlformats.org/officeDocument/2006/relationships/hyperlink" Target="mailto:administracion@cohorsan.com" TargetMode="External"/><Relationship Id="rId62" Type="http://schemas.openxmlformats.org/officeDocument/2006/relationships/hyperlink" Target="mailto:administracion@cohorsan.com" TargetMode="External"/><Relationship Id="rId70" Type="http://schemas.openxmlformats.org/officeDocument/2006/relationships/hyperlink" Target="mailto:administracion@cohorsan.com" TargetMode="External"/><Relationship Id="rId75" Type="http://schemas.openxmlformats.org/officeDocument/2006/relationships/hyperlink" Target="mailto:administracion@cohorsan.com" TargetMode="External"/><Relationship Id="rId83" Type="http://schemas.openxmlformats.org/officeDocument/2006/relationships/hyperlink" Target="mailto:administracion@cohorsan.com" TargetMode="External"/><Relationship Id="rId88" Type="http://schemas.openxmlformats.org/officeDocument/2006/relationships/table" Target="../tables/table4.xml"/><Relationship Id="rId1" Type="http://schemas.openxmlformats.org/officeDocument/2006/relationships/hyperlink" Target="mailto:contigestion@murgiverde.com" TargetMode="External"/><Relationship Id="rId6" Type="http://schemas.openxmlformats.org/officeDocument/2006/relationships/hyperlink" Target="mailto:pgerez@ferva.com" TargetMode="External"/><Relationship Id="rId15" Type="http://schemas.openxmlformats.org/officeDocument/2006/relationships/hyperlink" Target="mailto:gestion@olivenciaasesores.com" TargetMode="External"/><Relationship Id="rId23" Type="http://schemas.openxmlformats.org/officeDocument/2006/relationships/hyperlink" Target="mailto:administracion@cohorsan.com" TargetMode="External"/><Relationship Id="rId28" Type="http://schemas.openxmlformats.org/officeDocument/2006/relationships/hyperlink" Target="mailto:administracion@cohorsan.com" TargetMode="External"/><Relationship Id="rId36" Type="http://schemas.openxmlformats.org/officeDocument/2006/relationships/hyperlink" Target="mailto:administracion@cohorsan.com" TargetMode="External"/><Relationship Id="rId49" Type="http://schemas.openxmlformats.org/officeDocument/2006/relationships/hyperlink" Target="mailto:administracion@cohorsan.com" TargetMode="External"/><Relationship Id="rId57" Type="http://schemas.openxmlformats.org/officeDocument/2006/relationships/hyperlink" Target="mailto:administracion@cohorsan.com" TargetMode="External"/><Relationship Id="rId10" Type="http://schemas.openxmlformats.org/officeDocument/2006/relationships/hyperlink" Target="mailto:contigestion@murgiverde.com" TargetMode="External"/><Relationship Id="rId31" Type="http://schemas.openxmlformats.org/officeDocument/2006/relationships/hyperlink" Target="mailto:administracion@cohorsan.com" TargetMode="External"/><Relationship Id="rId44" Type="http://schemas.openxmlformats.org/officeDocument/2006/relationships/hyperlink" Target="mailto:administracion@cohorsan.com" TargetMode="External"/><Relationship Id="rId52" Type="http://schemas.openxmlformats.org/officeDocument/2006/relationships/hyperlink" Target="mailto:administracion@cohorsan.com" TargetMode="External"/><Relationship Id="rId60" Type="http://schemas.openxmlformats.org/officeDocument/2006/relationships/hyperlink" Target="mailto:administracion@cohorsan.com" TargetMode="External"/><Relationship Id="rId65" Type="http://schemas.openxmlformats.org/officeDocument/2006/relationships/hyperlink" Target="mailto:administracion@cohorsan.com" TargetMode="External"/><Relationship Id="rId73" Type="http://schemas.openxmlformats.org/officeDocument/2006/relationships/hyperlink" Target="mailto:administracion@cohorsan.com" TargetMode="External"/><Relationship Id="rId78" Type="http://schemas.openxmlformats.org/officeDocument/2006/relationships/hyperlink" Target="mailto:administracion@cohorsan.com" TargetMode="External"/><Relationship Id="rId81" Type="http://schemas.openxmlformats.org/officeDocument/2006/relationships/hyperlink" Target="mailto:administracion@cohorsan.com" TargetMode="External"/><Relationship Id="rId86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jmvargas613@gmail.com" TargetMode="External"/><Relationship Id="rId117" Type="http://schemas.openxmlformats.org/officeDocument/2006/relationships/hyperlink" Target="mailto:administracion@cohorsan.com" TargetMode="External"/><Relationship Id="rId21" Type="http://schemas.openxmlformats.org/officeDocument/2006/relationships/hyperlink" Target="mailto:mcarmen.garcia@escobi.es" TargetMode="External"/><Relationship Id="rId42" Type="http://schemas.openxmlformats.org/officeDocument/2006/relationships/hyperlink" Target="mailto:asesoria@natursursca.es" TargetMode="External"/><Relationship Id="rId47" Type="http://schemas.openxmlformats.org/officeDocument/2006/relationships/hyperlink" Target="mailto:pgerez@ferva.com" TargetMode="External"/><Relationship Id="rId63" Type="http://schemas.openxmlformats.org/officeDocument/2006/relationships/hyperlink" Target="mailto:administracion@cohorsan.com" TargetMode="External"/><Relationship Id="rId68" Type="http://schemas.openxmlformats.org/officeDocument/2006/relationships/hyperlink" Target="mailto:administracion@cohorsan.com" TargetMode="External"/><Relationship Id="rId84" Type="http://schemas.openxmlformats.org/officeDocument/2006/relationships/hyperlink" Target="mailto:administracion@cohorsan.com" TargetMode="External"/><Relationship Id="rId89" Type="http://schemas.openxmlformats.org/officeDocument/2006/relationships/hyperlink" Target="mailto:administracion@cohorsan.com" TargetMode="External"/><Relationship Id="rId112" Type="http://schemas.openxmlformats.org/officeDocument/2006/relationships/hyperlink" Target="mailto:administracion@cohorsan.com" TargetMode="External"/><Relationship Id="rId133" Type="http://schemas.openxmlformats.org/officeDocument/2006/relationships/hyperlink" Target="mailto:administracion@cohorsan.com" TargetMode="External"/><Relationship Id="rId138" Type="http://schemas.openxmlformats.org/officeDocument/2006/relationships/hyperlink" Target="mailto:administracion@cohorsan.com" TargetMode="External"/><Relationship Id="rId16" Type="http://schemas.openxmlformats.org/officeDocument/2006/relationships/hyperlink" Target="mailto:pgerez@ferva.com" TargetMode="External"/><Relationship Id="rId107" Type="http://schemas.openxmlformats.org/officeDocument/2006/relationships/hyperlink" Target="mailto:administracion@cohorsan.com" TargetMode="External"/><Relationship Id="rId11" Type="http://schemas.openxmlformats.org/officeDocument/2006/relationships/hyperlink" Target="mailto:mlirola@agroiris.com" TargetMode="External"/><Relationship Id="rId32" Type="http://schemas.openxmlformats.org/officeDocument/2006/relationships/hyperlink" Target="mailto:contigestion@murgiverde.com" TargetMode="External"/><Relationship Id="rId37" Type="http://schemas.openxmlformats.org/officeDocument/2006/relationships/hyperlink" Target="mailto:fjimenez@cabasc.com" TargetMode="External"/><Relationship Id="rId53" Type="http://schemas.openxmlformats.org/officeDocument/2006/relationships/hyperlink" Target="mailto:loligarcia@bufetejuanramirez.com" TargetMode="External"/><Relationship Id="rId58" Type="http://schemas.openxmlformats.org/officeDocument/2006/relationships/hyperlink" Target="mailto:administracion@cohorsan.com" TargetMode="External"/><Relationship Id="rId74" Type="http://schemas.openxmlformats.org/officeDocument/2006/relationships/hyperlink" Target="mailto:administracion@cohorsan.com" TargetMode="External"/><Relationship Id="rId79" Type="http://schemas.openxmlformats.org/officeDocument/2006/relationships/hyperlink" Target="mailto:administracion@cohorsan.com" TargetMode="External"/><Relationship Id="rId102" Type="http://schemas.openxmlformats.org/officeDocument/2006/relationships/hyperlink" Target="mailto:administracion@cohorsan.com" TargetMode="External"/><Relationship Id="rId123" Type="http://schemas.openxmlformats.org/officeDocument/2006/relationships/hyperlink" Target="mailto:administracion@cohorsan.com" TargetMode="External"/><Relationship Id="rId128" Type="http://schemas.openxmlformats.org/officeDocument/2006/relationships/hyperlink" Target="mailto:administracion@cohorsan.com" TargetMode="External"/><Relationship Id="rId5" Type="http://schemas.openxmlformats.org/officeDocument/2006/relationships/hyperlink" Target="mailto:edenessan@gmail.com" TargetMode="External"/><Relationship Id="rId90" Type="http://schemas.openxmlformats.org/officeDocument/2006/relationships/hyperlink" Target="mailto:administracion@cohorsan.com" TargetMode="External"/><Relationship Id="rId95" Type="http://schemas.openxmlformats.org/officeDocument/2006/relationships/hyperlink" Target="mailto:administracion@cohorsan.com" TargetMode="External"/><Relationship Id="rId22" Type="http://schemas.openxmlformats.org/officeDocument/2006/relationships/hyperlink" Target="mailto:angeles@vicasol.com" TargetMode="External"/><Relationship Id="rId27" Type="http://schemas.openxmlformats.org/officeDocument/2006/relationships/hyperlink" Target="mailto:mcarmen.garcia@escobi.es" TargetMode="External"/><Relationship Id="rId43" Type="http://schemas.openxmlformats.org/officeDocument/2006/relationships/hyperlink" Target="mailto:rasesoria@cabasc.com" TargetMode="External"/><Relationship Id="rId48" Type="http://schemas.openxmlformats.org/officeDocument/2006/relationships/hyperlink" Target="mailto:pgerez@ferva.com" TargetMode="External"/><Relationship Id="rId64" Type="http://schemas.openxmlformats.org/officeDocument/2006/relationships/hyperlink" Target="mailto:administracion@cohorsan.com" TargetMode="External"/><Relationship Id="rId69" Type="http://schemas.openxmlformats.org/officeDocument/2006/relationships/hyperlink" Target="mailto:administracion@cohorsan.com" TargetMode="External"/><Relationship Id="rId113" Type="http://schemas.openxmlformats.org/officeDocument/2006/relationships/hyperlink" Target="mailto:administracion@cohorsan.com" TargetMode="External"/><Relationship Id="rId118" Type="http://schemas.openxmlformats.org/officeDocument/2006/relationships/hyperlink" Target="mailto:administracion@cohorsan.com" TargetMode="External"/><Relationship Id="rId134" Type="http://schemas.openxmlformats.org/officeDocument/2006/relationships/hyperlink" Target="mailto:administracion@cohorsan.com" TargetMode="External"/><Relationship Id="rId139" Type="http://schemas.openxmlformats.org/officeDocument/2006/relationships/drawing" Target="../drawings/drawing3.xml"/><Relationship Id="rId8" Type="http://schemas.openxmlformats.org/officeDocument/2006/relationships/hyperlink" Target="mailto:mlirola@agroiris.com" TargetMode="External"/><Relationship Id="rId51" Type="http://schemas.openxmlformats.org/officeDocument/2006/relationships/hyperlink" Target="mailto:mlirola@agroiris.com" TargetMode="External"/><Relationship Id="rId72" Type="http://schemas.openxmlformats.org/officeDocument/2006/relationships/hyperlink" Target="mailto:administracion@cohorsan.com" TargetMode="External"/><Relationship Id="rId80" Type="http://schemas.openxmlformats.org/officeDocument/2006/relationships/hyperlink" Target="mailto:administracion@cohorsan.com" TargetMode="External"/><Relationship Id="rId85" Type="http://schemas.openxmlformats.org/officeDocument/2006/relationships/hyperlink" Target="mailto:administracion@cohorsan.com" TargetMode="External"/><Relationship Id="rId93" Type="http://schemas.openxmlformats.org/officeDocument/2006/relationships/hyperlink" Target="mailto:administracion@cohorsan.com" TargetMode="External"/><Relationship Id="rId98" Type="http://schemas.openxmlformats.org/officeDocument/2006/relationships/hyperlink" Target="mailto:administracion@cohorsan.com" TargetMode="External"/><Relationship Id="rId121" Type="http://schemas.openxmlformats.org/officeDocument/2006/relationships/hyperlink" Target="mailto:administracion@cohorsan.com" TargetMode="External"/><Relationship Id="rId142" Type="http://schemas.microsoft.com/office/2007/relationships/slicer" Target="../slicers/slicer3.xml"/><Relationship Id="rId3" Type="http://schemas.openxmlformats.org/officeDocument/2006/relationships/hyperlink" Target="mailto:angeles@vicasol.com" TargetMode="External"/><Relationship Id="rId12" Type="http://schemas.openxmlformats.org/officeDocument/2006/relationships/hyperlink" Target="mailto:fjimenez@cabasc.com" TargetMode="External"/><Relationship Id="rId17" Type="http://schemas.openxmlformats.org/officeDocument/2006/relationships/hyperlink" Target="mailto:sonera.benzal@gmail.com" TargetMode="External"/><Relationship Id="rId25" Type="http://schemas.openxmlformats.org/officeDocument/2006/relationships/hyperlink" Target="mailto:mlirola@agroiris.com" TargetMode="External"/><Relationship Id="rId33" Type="http://schemas.openxmlformats.org/officeDocument/2006/relationships/hyperlink" Target="mailto:mlirola@agroiris.com" TargetMode="External"/><Relationship Id="rId38" Type="http://schemas.openxmlformats.org/officeDocument/2006/relationships/hyperlink" Target="mailto:asesoria@natursursca.es" TargetMode="External"/><Relationship Id="rId46" Type="http://schemas.openxmlformats.org/officeDocument/2006/relationships/hyperlink" Target="mailto:mperez@cabasc.com" TargetMode="External"/><Relationship Id="rId59" Type="http://schemas.openxmlformats.org/officeDocument/2006/relationships/hyperlink" Target="mailto:administracion@cohorsan.com" TargetMode="External"/><Relationship Id="rId67" Type="http://schemas.openxmlformats.org/officeDocument/2006/relationships/hyperlink" Target="mailto:administracion@cohorsan.com" TargetMode="External"/><Relationship Id="rId103" Type="http://schemas.openxmlformats.org/officeDocument/2006/relationships/hyperlink" Target="mailto:administracion@cohorsan.com" TargetMode="External"/><Relationship Id="rId108" Type="http://schemas.openxmlformats.org/officeDocument/2006/relationships/hyperlink" Target="mailto:administracion@cohorsan.com" TargetMode="External"/><Relationship Id="rId116" Type="http://schemas.openxmlformats.org/officeDocument/2006/relationships/hyperlink" Target="mailto:administracion@cohorsan.com" TargetMode="External"/><Relationship Id="rId124" Type="http://schemas.openxmlformats.org/officeDocument/2006/relationships/hyperlink" Target="mailto:administracion@cohorsan.com" TargetMode="External"/><Relationship Id="rId129" Type="http://schemas.openxmlformats.org/officeDocument/2006/relationships/hyperlink" Target="mailto:administracion@cohorsan.com" TargetMode="External"/><Relationship Id="rId137" Type="http://schemas.openxmlformats.org/officeDocument/2006/relationships/hyperlink" Target="mailto:administracion@cohorsan.com" TargetMode="External"/><Relationship Id="rId20" Type="http://schemas.openxmlformats.org/officeDocument/2006/relationships/hyperlink" Target="mailto:asesorialaboral@coprohnijar.es" TargetMode="External"/><Relationship Id="rId41" Type="http://schemas.openxmlformats.org/officeDocument/2006/relationships/hyperlink" Target="mailto:asesoria@natursursca.es" TargetMode="External"/><Relationship Id="rId54" Type="http://schemas.openxmlformats.org/officeDocument/2006/relationships/hyperlink" Target="mailto:laboral.smi@gmail.com" TargetMode="External"/><Relationship Id="rId62" Type="http://schemas.openxmlformats.org/officeDocument/2006/relationships/hyperlink" Target="mailto:administracion@cohorsan.com" TargetMode="External"/><Relationship Id="rId70" Type="http://schemas.openxmlformats.org/officeDocument/2006/relationships/hyperlink" Target="mailto:administracion@cohorsan.com" TargetMode="External"/><Relationship Id="rId75" Type="http://schemas.openxmlformats.org/officeDocument/2006/relationships/hyperlink" Target="mailto:administracion@cohorsan.com" TargetMode="External"/><Relationship Id="rId83" Type="http://schemas.openxmlformats.org/officeDocument/2006/relationships/hyperlink" Target="mailto:administracion@cohorsan.com" TargetMode="External"/><Relationship Id="rId88" Type="http://schemas.openxmlformats.org/officeDocument/2006/relationships/hyperlink" Target="mailto:administracion@cohorsan.com" TargetMode="External"/><Relationship Id="rId91" Type="http://schemas.openxmlformats.org/officeDocument/2006/relationships/hyperlink" Target="mailto:administracion@cohorsan.com" TargetMode="External"/><Relationship Id="rId96" Type="http://schemas.openxmlformats.org/officeDocument/2006/relationships/hyperlink" Target="mailto:administracion@cohorsan.com" TargetMode="External"/><Relationship Id="rId111" Type="http://schemas.openxmlformats.org/officeDocument/2006/relationships/hyperlink" Target="mailto:administracion@cohorsan.com" TargetMode="External"/><Relationship Id="rId132" Type="http://schemas.openxmlformats.org/officeDocument/2006/relationships/hyperlink" Target="mailto:administracion@cohorsan.com" TargetMode="External"/><Relationship Id="rId140" Type="http://schemas.openxmlformats.org/officeDocument/2006/relationships/table" Target="../tables/table5.xml"/><Relationship Id="rId1" Type="http://schemas.openxmlformats.org/officeDocument/2006/relationships/hyperlink" Target="mailto:ruben_mc95@hotmail.com" TargetMode="External"/><Relationship Id="rId6" Type="http://schemas.openxmlformats.org/officeDocument/2006/relationships/hyperlink" Target="mailto:mlirola@agroiris.com" TargetMode="External"/><Relationship Id="rId15" Type="http://schemas.openxmlformats.org/officeDocument/2006/relationships/hyperlink" Target="mailto:asesoria@natursursca.es" TargetMode="External"/><Relationship Id="rId23" Type="http://schemas.openxmlformats.org/officeDocument/2006/relationships/hyperlink" Target="mailto:bohloolzadeh@gmail.com" TargetMode="External"/><Relationship Id="rId28" Type="http://schemas.openxmlformats.org/officeDocument/2006/relationships/hyperlink" Target="mailto:pgerez@ferva.com" TargetMode="External"/><Relationship Id="rId36" Type="http://schemas.openxmlformats.org/officeDocument/2006/relationships/hyperlink" Target="mailto:asesoria@natursursca.es" TargetMode="External"/><Relationship Id="rId49" Type="http://schemas.openxmlformats.org/officeDocument/2006/relationships/hyperlink" Target="mailto:mlirola@agroiris.com" TargetMode="External"/><Relationship Id="rId57" Type="http://schemas.openxmlformats.org/officeDocument/2006/relationships/hyperlink" Target="mailto:administracion@cohorsan.com" TargetMode="External"/><Relationship Id="rId106" Type="http://schemas.openxmlformats.org/officeDocument/2006/relationships/hyperlink" Target="mailto:administracion@cohorsan.com" TargetMode="External"/><Relationship Id="rId114" Type="http://schemas.openxmlformats.org/officeDocument/2006/relationships/hyperlink" Target="mailto:administracion@cohorsan.com" TargetMode="External"/><Relationship Id="rId119" Type="http://schemas.openxmlformats.org/officeDocument/2006/relationships/hyperlink" Target="mailto:administracion@cohorsan.com" TargetMode="External"/><Relationship Id="rId127" Type="http://schemas.openxmlformats.org/officeDocument/2006/relationships/hyperlink" Target="mailto:administracion@cohorsan.com" TargetMode="External"/><Relationship Id="rId10" Type="http://schemas.openxmlformats.org/officeDocument/2006/relationships/hyperlink" Target="mailto:juagrisa@gmail.com" TargetMode="External"/><Relationship Id="rId31" Type="http://schemas.openxmlformats.org/officeDocument/2006/relationships/hyperlink" Target="mailto:contigestion@murgiverde.com" TargetMode="External"/><Relationship Id="rId44" Type="http://schemas.openxmlformats.org/officeDocument/2006/relationships/hyperlink" Target="mailto:asesoria@natursursca.es" TargetMode="External"/><Relationship Id="rId52" Type="http://schemas.openxmlformats.org/officeDocument/2006/relationships/hyperlink" Target="mailto:loligarcia@bufetejuanramirez.com" TargetMode="External"/><Relationship Id="rId60" Type="http://schemas.openxmlformats.org/officeDocument/2006/relationships/hyperlink" Target="mailto:administracion@cohorsan.com" TargetMode="External"/><Relationship Id="rId65" Type="http://schemas.openxmlformats.org/officeDocument/2006/relationships/hyperlink" Target="mailto:administracion@cohorsan.com" TargetMode="External"/><Relationship Id="rId73" Type="http://schemas.openxmlformats.org/officeDocument/2006/relationships/hyperlink" Target="mailto:administracion@cohorsan.com" TargetMode="External"/><Relationship Id="rId78" Type="http://schemas.openxmlformats.org/officeDocument/2006/relationships/hyperlink" Target="mailto:administracion@cohorsan.com" TargetMode="External"/><Relationship Id="rId81" Type="http://schemas.openxmlformats.org/officeDocument/2006/relationships/hyperlink" Target="mailto:administracion@cohorsan.com" TargetMode="External"/><Relationship Id="rId86" Type="http://schemas.openxmlformats.org/officeDocument/2006/relationships/hyperlink" Target="mailto:administracion@cohorsan.com" TargetMode="External"/><Relationship Id="rId94" Type="http://schemas.openxmlformats.org/officeDocument/2006/relationships/hyperlink" Target="mailto:administracion@cohorsan.com" TargetMode="External"/><Relationship Id="rId99" Type="http://schemas.openxmlformats.org/officeDocument/2006/relationships/hyperlink" Target="mailto:administracion@cohorsan.com" TargetMode="External"/><Relationship Id="rId101" Type="http://schemas.openxmlformats.org/officeDocument/2006/relationships/hyperlink" Target="mailto:administracion@cohorsan.com" TargetMode="External"/><Relationship Id="rId122" Type="http://schemas.openxmlformats.org/officeDocument/2006/relationships/hyperlink" Target="mailto:administracion@cohorsan.com" TargetMode="External"/><Relationship Id="rId130" Type="http://schemas.openxmlformats.org/officeDocument/2006/relationships/hyperlink" Target="mailto:administracion@cohorsan.com" TargetMode="External"/><Relationship Id="rId135" Type="http://schemas.openxmlformats.org/officeDocument/2006/relationships/hyperlink" Target="mailto:administracion@cohorsan.com" TargetMode="External"/><Relationship Id="rId4" Type="http://schemas.openxmlformats.org/officeDocument/2006/relationships/hyperlink" Target="mailto:juanmegane87@gmail.com" TargetMode="External"/><Relationship Id="rId9" Type="http://schemas.openxmlformats.org/officeDocument/2006/relationships/hyperlink" Target="mailto:pacodelin@gmail.com" TargetMode="External"/><Relationship Id="rId13" Type="http://schemas.openxmlformats.org/officeDocument/2006/relationships/hyperlink" Target="mailto:contigestion@murgiverde.com" TargetMode="External"/><Relationship Id="rId18" Type="http://schemas.openxmlformats.org/officeDocument/2006/relationships/hyperlink" Target="mailto:loligarcia@bufetejuanramirez.com" TargetMode="External"/><Relationship Id="rId39" Type="http://schemas.openxmlformats.org/officeDocument/2006/relationships/hyperlink" Target="mailto:mlirola@agroiris.com" TargetMode="External"/><Relationship Id="rId109" Type="http://schemas.openxmlformats.org/officeDocument/2006/relationships/hyperlink" Target="mailto:administracion@cohorsan.com" TargetMode="External"/><Relationship Id="rId34" Type="http://schemas.openxmlformats.org/officeDocument/2006/relationships/hyperlink" Target="mailto:asesoria@natursursca.es" TargetMode="External"/><Relationship Id="rId50" Type="http://schemas.openxmlformats.org/officeDocument/2006/relationships/hyperlink" Target="mailto:edenessan@gmail.com" TargetMode="External"/><Relationship Id="rId55" Type="http://schemas.openxmlformats.org/officeDocument/2006/relationships/hyperlink" Target="mailto:administracion@cohorsan.com" TargetMode="External"/><Relationship Id="rId76" Type="http://schemas.openxmlformats.org/officeDocument/2006/relationships/hyperlink" Target="mailto:administracion@cohorsan.com" TargetMode="External"/><Relationship Id="rId97" Type="http://schemas.openxmlformats.org/officeDocument/2006/relationships/hyperlink" Target="mailto:administracion@cohorsan.com" TargetMode="External"/><Relationship Id="rId104" Type="http://schemas.openxmlformats.org/officeDocument/2006/relationships/hyperlink" Target="mailto:administracion@cohorsan.com" TargetMode="External"/><Relationship Id="rId120" Type="http://schemas.openxmlformats.org/officeDocument/2006/relationships/hyperlink" Target="mailto:administracion@cohorsan.com" TargetMode="External"/><Relationship Id="rId125" Type="http://schemas.openxmlformats.org/officeDocument/2006/relationships/hyperlink" Target="mailto:administracion@cohorsan.com" TargetMode="External"/><Relationship Id="rId141" Type="http://schemas.openxmlformats.org/officeDocument/2006/relationships/table" Target="../tables/table6.xml"/><Relationship Id="rId7" Type="http://schemas.openxmlformats.org/officeDocument/2006/relationships/hyperlink" Target="mailto:mlirola@agroiris.com" TargetMode="External"/><Relationship Id="rId71" Type="http://schemas.openxmlformats.org/officeDocument/2006/relationships/hyperlink" Target="mailto:administracion@cohorsan.com" TargetMode="External"/><Relationship Id="rId92" Type="http://schemas.openxmlformats.org/officeDocument/2006/relationships/hyperlink" Target="mailto:administracion@cohorsan.com" TargetMode="External"/><Relationship Id="rId2" Type="http://schemas.openxmlformats.org/officeDocument/2006/relationships/hyperlink" Target="mailto:contigestion@murgiverde.com" TargetMode="External"/><Relationship Id="rId29" Type="http://schemas.openxmlformats.org/officeDocument/2006/relationships/hyperlink" Target="mailto:mperez@cabasc.com" TargetMode="External"/><Relationship Id="rId24" Type="http://schemas.openxmlformats.org/officeDocument/2006/relationships/hyperlink" Target="mailto:mperez@cabasc.com" TargetMode="External"/><Relationship Id="rId40" Type="http://schemas.openxmlformats.org/officeDocument/2006/relationships/hyperlink" Target="mailto:gestion@olivenciaasesores.com" TargetMode="External"/><Relationship Id="rId45" Type="http://schemas.openxmlformats.org/officeDocument/2006/relationships/hyperlink" Target="mailto:luisalvaro.mal@gmail.com" TargetMode="External"/><Relationship Id="rId66" Type="http://schemas.openxmlformats.org/officeDocument/2006/relationships/hyperlink" Target="mailto:administracion@cohorsan.com" TargetMode="External"/><Relationship Id="rId87" Type="http://schemas.openxmlformats.org/officeDocument/2006/relationships/hyperlink" Target="mailto:administracion@cohorsan.com" TargetMode="External"/><Relationship Id="rId110" Type="http://schemas.openxmlformats.org/officeDocument/2006/relationships/hyperlink" Target="mailto:administracion@cohorsan.com" TargetMode="External"/><Relationship Id="rId115" Type="http://schemas.openxmlformats.org/officeDocument/2006/relationships/hyperlink" Target="mailto:administracion@cohorsan.com" TargetMode="External"/><Relationship Id="rId131" Type="http://schemas.openxmlformats.org/officeDocument/2006/relationships/hyperlink" Target="mailto:administracion@cohorsan.com" TargetMode="External"/><Relationship Id="rId136" Type="http://schemas.openxmlformats.org/officeDocument/2006/relationships/hyperlink" Target="mailto:administracion@cohorsan.com" TargetMode="External"/><Relationship Id="rId61" Type="http://schemas.openxmlformats.org/officeDocument/2006/relationships/hyperlink" Target="mailto:administracion@cohorsan.com" TargetMode="External"/><Relationship Id="rId82" Type="http://schemas.openxmlformats.org/officeDocument/2006/relationships/hyperlink" Target="mailto:administracion@cohorsan.com" TargetMode="External"/><Relationship Id="rId19" Type="http://schemas.openxmlformats.org/officeDocument/2006/relationships/hyperlink" Target="mailto:bohloolzadeh@gmail.com" TargetMode="External"/><Relationship Id="rId14" Type="http://schemas.openxmlformats.org/officeDocument/2006/relationships/hyperlink" Target="mailto:pgerez@ferva.com" TargetMode="External"/><Relationship Id="rId30" Type="http://schemas.openxmlformats.org/officeDocument/2006/relationships/hyperlink" Target="mailto:bohloolzadeh@gmail.com" TargetMode="External"/><Relationship Id="rId35" Type="http://schemas.openxmlformats.org/officeDocument/2006/relationships/hyperlink" Target="mailto:loligarcia@bufetejuanramirez.com" TargetMode="External"/><Relationship Id="rId56" Type="http://schemas.openxmlformats.org/officeDocument/2006/relationships/hyperlink" Target="mailto:administracion@cohorsan.com" TargetMode="External"/><Relationship Id="rId77" Type="http://schemas.openxmlformats.org/officeDocument/2006/relationships/hyperlink" Target="mailto:administracion@cohorsan.com" TargetMode="External"/><Relationship Id="rId100" Type="http://schemas.openxmlformats.org/officeDocument/2006/relationships/hyperlink" Target="mailto:administracion@cohorsan.com" TargetMode="External"/><Relationship Id="rId105" Type="http://schemas.openxmlformats.org/officeDocument/2006/relationships/hyperlink" Target="mailto:administracion@cohorsan.com" TargetMode="External"/><Relationship Id="rId126" Type="http://schemas.openxmlformats.org/officeDocument/2006/relationships/hyperlink" Target="mailto:administracion@cohorsan.com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administracion@cohorsan.com" TargetMode="External"/><Relationship Id="rId21" Type="http://schemas.openxmlformats.org/officeDocument/2006/relationships/hyperlink" Target="mailto:administracion@cohorsan.com" TargetMode="External"/><Relationship Id="rId42" Type="http://schemas.openxmlformats.org/officeDocument/2006/relationships/hyperlink" Target="mailto:administracion@cohorsan.com" TargetMode="External"/><Relationship Id="rId63" Type="http://schemas.openxmlformats.org/officeDocument/2006/relationships/hyperlink" Target="mailto:administracion@cohorsan.com" TargetMode="External"/><Relationship Id="rId84" Type="http://schemas.openxmlformats.org/officeDocument/2006/relationships/hyperlink" Target="mailto:loligarcia@bufetejuanramirez.com" TargetMode="External"/><Relationship Id="rId138" Type="http://schemas.openxmlformats.org/officeDocument/2006/relationships/hyperlink" Target="mailto:pgerez@ferva.com" TargetMode="External"/><Relationship Id="rId159" Type="http://schemas.openxmlformats.org/officeDocument/2006/relationships/hyperlink" Target="mailto:administracion@cohorsan.com" TargetMode="External"/><Relationship Id="rId170" Type="http://schemas.openxmlformats.org/officeDocument/2006/relationships/hyperlink" Target="mailto:contigestion@murgiverde.com" TargetMode="External"/><Relationship Id="rId191" Type="http://schemas.openxmlformats.org/officeDocument/2006/relationships/hyperlink" Target="mailto:administracion@cohorsan.com" TargetMode="External"/><Relationship Id="rId196" Type="http://schemas.openxmlformats.org/officeDocument/2006/relationships/hyperlink" Target="mailto:mperez@cabasc.com" TargetMode="External"/><Relationship Id="rId200" Type="http://schemas.openxmlformats.org/officeDocument/2006/relationships/table" Target="../tables/table7.xml"/><Relationship Id="rId16" Type="http://schemas.openxmlformats.org/officeDocument/2006/relationships/hyperlink" Target="mailto:administracion@cohorsan.com" TargetMode="External"/><Relationship Id="rId107" Type="http://schemas.openxmlformats.org/officeDocument/2006/relationships/hyperlink" Target="mailto:pgerez@ferva.com" TargetMode="External"/><Relationship Id="rId11" Type="http://schemas.openxmlformats.org/officeDocument/2006/relationships/hyperlink" Target="mailto:administracion@cohorsan.com" TargetMode="External"/><Relationship Id="rId32" Type="http://schemas.openxmlformats.org/officeDocument/2006/relationships/hyperlink" Target="mailto:administracion@cohorsan.com" TargetMode="External"/><Relationship Id="rId37" Type="http://schemas.openxmlformats.org/officeDocument/2006/relationships/hyperlink" Target="mailto:laboral.smi@gmail.com" TargetMode="External"/><Relationship Id="rId53" Type="http://schemas.openxmlformats.org/officeDocument/2006/relationships/hyperlink" Target="mailto:administracion@cohorsan.com" TargetMode="External"/><Relationship Id="rId58" Type="http://schemas.openxmlformats.org/officeDocument/2006/relationships/hyperlink" Target="mailto:rrhh@medipalm.com" TargetMode="External"/><Relationship Id="rId74" Type="http://schemas.openxmlformats.org/officeDocument/2006/relationships/hyperlink" Target="mailto:pgerez@ferva.com" TargetMode="External"/><Relationship Id="rId79" Type="http://schemas.openxmlformats.org/officeDocument/2006/relationships/hyperlink" Target="mailto:administracion@cohorsan.com" TargetMode="External"/><Relationship Id="rId102" Type="http://schemas.openxmlformats.org/officeDocument/2006/relationships/hyperlink" Target="mailto:administracion@cohorsan.com" TargetMode="External"/><Relationship Id="rId123" Type="http://schemas.openxmlformats.org/officeDocument/2006/relationships/hyperlink" Target="mailto:administracion@cohorsan.com" TargetMode="External"/><Relationship Id="rId128" Type="http://schemas.openxmlformats.org/officeDocument/2006/relationships/hyperlink" Target="mailto:mperez@cabasc.com" TargetMode="External"/><Relationship Id="rId144" Type="http://schemas.openxmlformats.org/officeDocument/2006/relationships/hyperlink" Target="mailto:administracion@cohorsan.com" TargetMode="External"/><Relationship Id="rId149" Type="http://schemas.openxmlformats.org/officeDocument/2006/relationships/hyperlink" Target="mailto:mcarmen.garcia@escobi.es" TargetMode="External"/><Relationship Id="rId5" Type="http://schemas.openxmlformats.org/officeDocument/2006/relationships/hyperlink" Target="mailto:asesorialaboral@coprohnijar.es" TargetMode="External"/><Relationship Id="rId90" Type="http://schemas.openxmlformats.org/officeDocument/2006/relationships/hyperlink" Target="mailto:administracion@cohorsan.com" TargetMode="External"/><Relationship Id="rId95" Type="http://schemas.openxmlformats.org/officeDocument/2006/relationships/hyperlink" Target="mailto:mercedes@murgiverde.com" TargetMode="External"/><Relationship Id="rId160" Type="http://schemas.openxmlformats.org/officeDocument/2006/relationships/hyperlink" Target="mailto:smi.tierras@gmail.com" TargetMode="External"/><Relationship Id="rId165" Type="http://schemas.openxmlformats.org/officeDocument/2006/relationships/hyperlink" Target="mailto:administracion@cohorsan.com" TargetMode="External"/><Relationship Id="rId181" Type="http://schemas.openxmlformats.org/officeDocument/2006/relationships/hyperlink" Target="mailto:administracion@cohorsan.com" TargetMode="External"/><Relationship Id="rId186" Type="http://schemas.openxmlformats.org/officeDocument/2006/relationships/hyperlink" Target="mailto:administracion@cohorsan.com" TargetMode="External"/><Relationship Id="rId22" Type="http://schemas.openxmlformats.org/officeDocument/2006/relationships/hyperlink" Target="mailto:administracion@cohorsan.com" TargetMode="External"/><Relationship Id="rId27" Type="http://schemas.openxmlformats.org/officeDocument/2006/relationships/hyperlink" Target="mailto:administracion@cohorsan.com" TargetMode="External"/><Relationship Id="rId43" Type="http://schemas.openxmlformats.org/officeDocument/2006/relationships/hyperlink" Target="mailto:administracion@cohorsan.com" TargetMode="External"/><Relationship Id="rId48" Type="http://schemas.openxmlformats.org/officeDocument/2006/relationships/hyperlink" Target="mailto:administracion@cohorsan.com" TargetMode="External"/><Relationship Id="rId64" Type="http://schemas.openxmlformats.org/officeDocument/2006/relationships/hyperlink" Target="mailto:administracion@cohorsan.com" TargetMode="External"/><Relationship Id="rId69" Type="http://schemas.openxmlformats.org/officeDocument/2006/relationships/hyperlink" Target="mailto:administracion@cohorsan.com" TargetMode="External"/><Relationship Id="rId113" Type="http://schemas.openxmlformats.org/officeDocument/2006/relationships/hyperlink" Target="mailto:administracion@cohorsan.com" TargetMode="External"/><Relationship Id="rId118" Type="http://schemas.openxmlformats.org/officeDocument/2006/relationships/hyperlink" Target="mailto:administracion@cohorsan.com" TargetMode="External"/><Relationship Id="rId134" Type="http://schemas.openxmlformats.org/officeDocument/2006/relationships/hyperlink" Target="mailto:administracion@cohorsan.com" TargetMode="External"/><Relationship Id="rId139" Type="http://schemas.openxmlformats.org/officeDocument/2006/relationships/hyperlink" Target="mailto:mperez@cabasc.com" TargetMode="External"/><Relationship Id="rId80" Type="http://schemas.openxmlformats.org/officeDocument/2006/relationships/hyperlink" Target="mailto:mlirola@agroiris.com" TargetMode="External"/><Relationship Id="rId85" Type="http://schemas.openxmlformats.org/officeDocument/2006/relationships/hyperlink" Target="mailto:asesoria@natursursca.es" TargetMode="External"/><Relationship Id="rId150" Type="http://schemas.openxmlformats.org/officeDocument/2006/relationships/hyperlink" Target="mailto:administracion@cohorsan.com" TargetMode="External"/><Relationship Id="rId155" Type="http://schemas.openxmlformats.org/officeDocument/2006/relationships/hyperlink" Target="mailto:fjimenez@cabasc.com" TargetMode="External"/><Relationship Id="rId171" Type="http://schemas.openxmlformats.org/officeDocument/2006/relationships/hyperlink" Target="mailto:administracion@cohorsan.com" TargetMode="External"/><Relationship Id="rId176" Type="http://schemas.openxmlformats.org/officeDocument/2006/relationships/hyperlink" Target="mailto:administracion@cohorsan.com" TargetMode="External"/><Relationship Id="rId192" Type="http://schemas.openxmlformats.org/officeDocument/2006/relationships/hyperlink" Target="mailto:contigestion@murgiverde.com" TargetMode="External"/><Relationship Id="rId197" Type="http://schemas.openxmlformats.org/officeDocument/2006/relationships/hyperlink" Target="mailto:contigestion@murgiverde.com" TargetMode="External"/><Relationship Id="rId201" Type="http://schemas.openxmlformats.org/officeDocument/2006/relationships/table" Target="../tables/table8.xml"/><Relationship Id="rId12" Type="http://schemas.openxmlformats.org/officeDocument/2006/relationships/hyperlink" Target="mailto:administracion@cohorsan.com" TargetMode="External"/><Relationship Id="rId17" Type="http://schemas.openxmlformats.org/officeDocument/2006/relationships/hyperlink" Target="mailto:administracion@cohorsan.com" TargetMode="External"/><Relationship Id="rId33" Type="http://schemas.openxmlformats.org/officeDocument/2006/relationships/hyperlink" Target="mailto:administracion@cohorsan.com" TargetMode="External"/><Relationship Id="rId38" Type="http://schemas.openxmlformats.org/officeDocument/2006/relationships/hyperlink" Target="mailto:administracion@cohorsan.com" TargetMode="External"/><Relationship Id="rId59" Type="http://schemas.openxmlformats.org/officeDocument/2006/relationships/hyperlink" Target="mailto:asesoria@natursursca.es" TargetMode="External"/><Relationship Id="rId103" Type="http://schemas.openxmlformats.org/officeDocument/2006/relationships/hyperlink" Target="mailto:administracion@cohorsan.com" TargetMode="External"/><Relationship Id="rId108" Type="http://schemas.openxmlformats.org/officeDocument/2006/relationships/hyperlink" Target="mailto:s.alcaina@ciorganic.com" TargetMode="External"/><Relationship Id="rId124" Type="http://schemas.openxmlformats.org/officeDocument/2006/relationships/hyperlink" Target="mailto:administracion@cohorsan.com" TargetMode="External"/><Relationship Id="rId129" Type="http://schemas.openxmlformats.org/officeDocument/2006/relationships/hyperlink" Target="mailto:mperez@cabasc.com" TargetMode="External"/><Relationship Id="rId54" Type="http://schemas.openxmlformats.org/officeDocument/2006/relationships/hyperlink" Target="mailto:rrhh@medipalm.com" TargetMode="External"/><Relationship Id="rId70" Type="http://schemas.openxmlformats.org/officeDocument/2006/relationships/hyperlink" Target="mailto:rrhh@medipalm.com" TargetMode="External"/><Relationship Id="rId75" Type="http://schemas.openxmlformats.org/officeDocument/2006/relationships/hyperlink" Target="mailto:administracion@cohorsan.com" TargetMode="External"/><Relationship Id="rId91" Type="http://schemas.openxmlformats.org/officeDocument/2006/relationships/hyperlink" Target="mailto:administracion@cohorsan.com" TargetMode="External"/><Relationship Id="rId96" Type="http://schemas.openxmlformats.org/officeDocument/2006/relationships/hyperlink" Target="mailto:contigestion@murgiverde.com" TargetMode="External"/><Relationship Id="rId140" Type="http://schemas.openxmlformats.org/officeDocument/2006/relationships/hyperlink" Target="mailto:administracion@cohorsan.com" TargetMode="External"/><Relationship Id="rId145" Type="http://schemas.openxmlformats.org/officeDocument/2006/relationships/hyperlink" Target="mailto:administracion@cohorsan.com" TargetMode="External"/><Relationship Id="rId161" Type="http://schemas.openxmlformats.org/officeDocument/2006/relationships/hyperlink" Target="mailto:administracion@cohorsan.com" TargetMode="External"/><Relationship Id="rId166" Type="http://schemas.openxmlformats.org/officeDocument/2006/relationships/hyperlink" Target="mailto:mperez@cabasc.com" TargetMode="External"/><Relationship Id="rId182" Type="http://schemas.openxmlformats.org/officeDocument/2006/relationships/hyperlink" Target="mailto:laboral@viralgestionintegral.com" TargetMode="External"/><Relationship Id="rId187" Type="http://schemas.openxmlformats.org/officeDocument/2006/relationships/hyperlink" Target="mailto:administracion@cohorsan.com" TargetMode="External"/><Relationship Id="rId1" Type="http://schemas.openxmlformats.org/officeDocument/2006/relationships/hyperlink" Target="mailto:mperez@cabasc.com" TargetMode="External"/><Relationship Id="rId6" Type="http://schemas.openxmlformats.org/officeDocument/2006/relationships/hyperlink" Target="mailto:mlirola@agroiris.com" TargetMode="External"/><Relationship Id="rId23" Type="http://schemas.openxmlformats.org/officeDocument/2006/relationships/hyperlink" Target="mailto:administracion@cohorsan.com" TargetMode="External"/><Relationship Id="rId28" Type="http://schemas.openxmlformats.org/officeDocument/2006/relationships/hyperlink" Target="mailto:administracion@cohorsan.com" TargetMode="External"/><Relationship Id="rId49" Type="http://schemas.openxmlformats.org/officeDocument/2006/relationships/hyperlink" Target="mailto:administracion@cohorsan.com" TargetMode="External"/><Relationship Id="rId114" Type="http://schemas.openxmlformats.org/officeDocument/2006/relationships/hyperlink" Target="mailto:administracion@cohorsan.com" TargetMode="External"/><Relationship Id="rId119" Type="http://schemas.openxmlformats.org/officeDocument/2006/relationships/hyperlink" Target="mailto:administracion@cohorsan.com" TargetMode="External"/><Relationship Id="rId44" Type="http://schemas.openxmlformats.org/officeDocument/2006/relationships/hyperlink" Target="mailto:mperez@cabasc.com" TargetMode="External"/><Relationship Id="rId60" Type="http://schemas.openxmlformats.org/officeDocument/2006/relationships/hyperlink" Target="mailto:ramartin@cabasc.com" TargetMode="External"/><Relationship Id="rId65" Type="http://schemas.openxmlformats.org/officeDocument/2006/relationships/hyperlink" Target="mailto:contigestion@murgiverde.com" TargetMode="External"/><Relationship Id="rId81" Type="http://schemas.openxmlformats.org/officeDocument/2006/relationships/hyperlink" Target="mailto:rrhh@medipalm.com" TargetMode="External"/><Relationship Id="rId86" Type="http://schemas.openxmlformats.org/officeDocument/2006/relationships/hyperlink" Target="mailto:administracion@cohorsan.com" TargetMode="External"/><Relationship Id="rId130" Type="http://schemas.openxmlformats.org/officeDocument/2006/relationships/hyperlink" Target="mailto:administracion@cohorsan.com" TargetMode="External"/><Relationship Id="rId135" Type="http://schemas.openxmlformats.org/officeDocument/2006/relationships/hyperlink" Target="mailto:loligarcia@bufetejuanramirez.com" TargetMode="External"/><Relationship Id="rId151" Type="http://schemas.openxmlformats.org/officeDocument/2006/relationships/hyperlink" Target="mailto:administracion@cohorsan.com" TargetMode="External"/><Relationship Id="rId156" Type="http://schemas.openxmlformats.org/officeDocument/2006/relationships/hyperlink" Target="mailto:administracion@cohorsan.com" TargetMode="External"/><Relationship Id="rId177" Type="http://schemas.openxmlformats.org/officeDocument/2006/relationships/hyperlink" Target="mailto:administracion@cohorsan.com" TargetMode="External"/><Relationship Id="rId198" Type="http://schemas.openxmlformats.org/officeDocument/2006/relationships/printerSettings" Target="../printerSettings/printerSettings8.bin"/><Relationship Id="rId172" Type="http://schemas.openxmlformats.org/officeDocument/2006/relationships/hyperlink" Target="mailto:administracion@cohorsan.com" TargetMode="External"/><Relationship Id="rId193" Type="http://schemas.openxmlformats.org/officeDocument/2006/relationships/hyperlink" Target="mailto:asesorialaboral@coprohnijar.es" TargetMode="External"/><Relationship Id="rId202" Type="http://schemas.microsoft.com/office/2007/relationships/slicer" Target="../slicers/slicer4.xml"/><Relationship Id="rId13" Type="http://schemas.openxmlformats.org/officeDocument/2006/relationships/hyperlink" Target="mailto:administracion@cohorsan.com" TargetMode="External"/><Relationship Id="rId18" Type="http://schemas.openxmlformats.org/officeDocument/2006/relationships/hyperlink" Target="mailto:administracion@cohorsan.com" TargetMode="External"/><Relationship Id="rId39" Type="http://schemas.openxmlformats.org/officeDocument/2006/relationships/hyperlink" Target="mailto:administracion@cohorsan.com" TargetMode="External"/><Relationship Id="rId109" Type="http://schemas.openxmlformats.org/officeDocument/2006/relationships/hyperlink" Target="mailto:administracion@cohorsan.com" TargetMode="External"/><Relationship Id="rId34" Type="http://schemas.openxmlformats.org/officeDocument/2006/relationships/hyperlink" Target="mailto:administracion@cohorsan.com" TargetMode="External"/><Relationship Id="rId50" Type="http://schemas.openxmlformats.org/officeDocument/2006/relationships/hyperlink" Target="mailto:sonera.benzal@gmail.com" TargetMode="External"/><Relationship Id="rId55" Type="http://schemas.openxmlformats.org/officeDocument/2006/relationships/hyperlink" Target="mailto:rrhh@medipalm.com" TargetMode="External"/><Relationship Id="rId76" Type="http://schemas.openxmlformats.org/officeDocument/2006/relationships/hyperlink" Target="mailto:administracion@cohorsan.com" TargetMode="External"/><Relationship Id="rId97" Type="http://schemas.openxmlformats.org/officeDocument/2006/relationships/hyperlink" Target="mailto:administracion@cohorsan.com" TargetMode="External"/><Relationship Id="rId104" Type="http://schemas.openxmlformats.org/officeDocument/2006/relationships/hyperlink" Target="mailto:mcarmen.garcia@escobi.es" TargetMode="External"/><Relationship Id="rId120" Type="http://schemas.openxmlformats.org/officeDocument/2006/relationships/hyperlink" Target="mailto:administracion@cohorsan.com" TargetMode="External"/><Relationship Id="rId125" Type="http://schemas.openxmlformats.org/officeDocument/2006/relationships/hyperlink" Target="mailto:administracion@cohorsan.com" TargetMode="External"/><Relationship Id="rId141" Type="http://schemas.openxmlformats.org/officeDocument/2006/relationships/hyperlink" Target="mailto:pgerez@ferva.com" TargetMode="External"/><Relationship Id="rId146" Type="http://schemas.openxmlformats.org/officeDocument/2006/relationships/hyperlink" Target="mailto:mcarmen.garcia@escobi.es" TargetMode="External"/><Relationship Id="rId167" Type="http://schemas.openxmlformats.org/officeDocument/2006/relationships/hyperlink" Target="mailto:administracion@cohorsan.com" TargetMode="External"/><Relationship Id="rId188" Type="http://schemas.openxmlformats.org/officeDocument/2006/relationships/hyperlink" Target="mailto:administracion@cohorsan.com" TargetMode="External"/><Relationship Id="rId7" Type="http://schemas.openxmlformats.org/officeDocument/2006/relationships/hyperlink" Target="mailto:mcarmen.garcia@escobi.es" TargetMode="External"/><Relationship Id="rId71" Type="http://schemas.openxmlformats.org/officeDocument/2006/relationships/hyperlink" Target="mailto:rrhh@medipalm.com" TargetMode="External"/><Relationship Id="rId92" Type="http://schemas.openxmlformats.org/officeDocument/2006/relationships/hyperlink" Target="mailto:administracion@cohorsan.com" TargetMode="External"/><Relationship Id="rId162" Type="http://schemas.openxmlformats.org/officeDocument/2006/relationships/hyperlink" Target="mailto:loligarcia@bufetejuanramirez.com" TargetMode="External"/><Relationship Id="rId183" Type="http://schemas.openxmlformats.org/officeDocument/2006/relationships/hyperlink" Target="mailto:administracion@cohorsan.com" TargetMode="External"/><Relationship Id="rId2" Type="http://schemas.openxmlformats.org/officeDocument/2006/relationships/hyperlink" Target="mailto:contigestion@murgiverde.com" TargetMode="External"/><Relationship Id="rId29" Type="http://schemas.openxmlformats.org/officeDocument/2006/relationships/hyperlink" Target="mailto:administracion@cohorsan.com" TargetMode="External"/><Relationship Id="rId24" Type="http://schemas.openxmlformats.org/officeDocument/2006/relationships/hyperlink" Target="mailto:administracion@cohorsan.com" TargetMode="External"/><Relationship Id="rId40" Type="http://schemas.openxmlformats.org/officeDocument/2006/relationships/hyperlink" Target="mailto:administracion@cohorsan.com" TargetMode="External"/><Relationship Id="rId45" Type="http://schemas.openxmlformats.org/officeDocument/2006/relationships/hyperlink" Target="mailto:pgerez@ferva.com" TargetMode="External"/><Relationship Id="rId66" Type="http://schemas.openxmlformats.org/officeDocument/2006/relationships/hyperlink" Target="mailto:rrhh@medipalm.com" TargetMode="External"/><Relationship Id="rId87" Type="http://schemas.openxmlformats.org/officeDocument/2006/relationships/hyperlink" Target="mailto:pgerez@ferva.com" TargetMode="External"/><Relationship Id="rId110" Type="http://schemas.openxmlformats.org/officeDocument/2006/relationships/hyperlink" Target="mailto:administracion@cohorsan.com" TargetMode="External"/><Relationship Id="rId115" Type="http://schemas.openxmlformats.org/officeDocument/2006/relationships/hyperlink" Target="mailto:rosalia@murgiverde.com" TargetMode="External"/><Relationship Id="rId131" Type="http://schemas.openxmlformats.org/officeDocument/2006/relationships/hyperlink" Target="mailto:administracion@cohorsan.com" TargetMode="External"/><Relationship Id="rId136" Type="http://schemas.openxmlformats.org/officeDocument/2006/relationships/hyperlink" Target="mailto:administracion@cohorsan.com" TargetMode="External"/><Relationship Id="rId157" Type="http://schemas.openxmlformats.org/officeDocument/2006/relationships/hyperlink" Target="mailto:ramartin@cabasc.com" TargetMode="External"/><Relationship Id="rId178" Type="http://schemas.openxmlformats.org/officeDocument/2006/relationships/hyperlink" Target="mailto:administracion@cohorsan.com" TargetMode="External"/><Relationship Id="rId61" Type="http://schemas.openxmlformats.org/officeDocument/2006/relationships/hyperlink" Target="mailto:contigestion@murgiverde.com" TargetMode="External"/><Relationship Id="rId82" Type="http://schemas.openxmlformats.org/officeDocument/2006/relationships/hyperlink" Target="mailto:rrhh@medipalm.com" TargetMode="External"/><Relationship Id="rId152" Type="http://schemas.openxmlformats.org/officeDocument/2006/relationships/hyperlink" Target="mailto:administracion@cohorsan.com" TargetMode="External"/><Relationship Id="rId173" Type="http://schemas.openxmlformats.org/officeDocument/2006/relationships/hyperlink" Target="mailto:detagri.pedrovargas@gmail.com" TargetMode="External"/><Relationship Id="rId194" Type="http://schemas.openxmlformats.org/officeDocument/2006/relationships/hyperlink" Target="mailto:pgerez@ferva.com" TargetMode="External"/><Relationship Id="rId199" Type="http://schemas.openxmlformats.org/officeDocument/2006/relationships/drawing" Target="../drawings/drawing4.xml"/><Relationship Id="rId19" Type="http://schemas.openxmlformats.org/officeDocument/2006/relationships/hyperlink" Target="mailto:administracion@cohorsan.com" TargetMode="External"/><Relationship Id="rId14" Type="http://schemas.openxmlformats.org/officeDocument/2006/relationships/hyperlink" Target="mailto:administracion@cohorsan.com" TargetMode="External"/><Relationship Id="rId30" Type="http://schemas.openxmlformats.org/officeDocument/2006/relationships/hyperlink" Target="mailto:administracion@cohorsan.com" TargetMode="External"/><Relationship Id="rId35" Type="http://schemas.openxmlformats.org/officeDocument/2006/relationships/hyperlink" Target="mailto:administracion@cohorsan.com" TargetMode="External"/><Relationship Id="rId56" Type="http://schemas.openxmlformats.org/officeDocument/2006/relationships/hyperlink" Target="mailto:rrhh@medipalm.com" TargetMode="External"/><Relationship Id="rId77" Type="http://schemas.openxmlformats.org/officeDocument/2006/relationships/hyperlink" Target="mailto:administracion@cohorsan.com" TargetMode="External"/><Relationship Id="rId100" Type="http://schemas.openxmlformats.org/officeDocument/2006/relationships/hyperlink" Target="mailto:administracion@cohorsan.com" TargetMode="External"/><Relationship Id="rId105" Type="http://schemas.openxmlformats.org/officeDocument/2006/relationships/hyperlink" Target="mailto:administracion@cohorsan.com" TargetMode="External"/><Relationship Id="rId126" Type="http://schemas.openxmlformats.org/officeDocument/2006/relationships/hyperlink" Target="mailto:administracion@cohorsan.com" TargetMode="External"/><Relationship Id="rId147" Type="http://schemas.openxmlformats.org/officeDocument/2006/relationships/hyperlink" Target="mailto:loligarcia@bufetejuanramirez.com" TargetMode="External"/><Relationship Id="rId168" Type="http://schemas.openxmlformats.org/officeDocument/2006/relationships/hyperlink" Target="mailto:asesorialaboral@coprohnijar.es" TargetMode="External"/><Relationship Id="rId8" Type="http://schemas.openxmlformats.org/officeDocument/2006/relationships/hyperlink" Target="mailto:juanmegane87@gmail.com" TargetMode="External"/><Relationship Id="rId51" Type="http://schemas.openxmlformats.org/officeDocument/2006/relationships/hyperlink" Target="mailto:contigestion@murgiverde.com" TargetMode="External"/><Relationship Id="rId72" Type="http://schemas.openxmlformats.org/officeDocument/2006/relationships/hyperlink" Target="mailto:rrhh@medipalm.com" TargetMode="External"/><Relationship Id="rId93" Type="http://schemas.openxmlformats.org/officeDocument/2006/relationships/hyperlink" Target="mailto:administracion@cohorsan.com" TargetMode="External"/><Relationship Id="rId98" Type="http://schemas.openxmlformats.org/officeDocument/2006/relationships/hyperlink" Target="mailto:mperez@cabasc.com" TargetMode="External"/><Relationship Id="rId121" Type="http://schemas.openxmlformats.org/officeDocument/2006/relationships/hyperlink" Target="mailto:administracion@cohorsan.com" TargetMode="External"/><Relationship Id="rId142" Type="http://schemas.openxmlformats.org/officeDocument/2006/relationships/hyperlink" Target="mailto:mperez@cabasc.com" TargetMode="External"/><Relationship Id="rId163" Type="http://schemas.openxmlformats.org/officeDocument/2006/relationships/hyperlink" Target="mailto:administracion@cohorsan.com" TargetMode="External"/><Relationship Id="rId184" Type="http://schemas.openxmlformats.org/officeDocument/2006/relationships/hyperlink" Target="mailto:administracion@cohorsan.com" TargetMode="External"/><Relationship Id="rId189" Type="http://schemas.openxmlformats.org/officeDocument/2006/relationships/hyperlink" Target="mailto:administracion@cohorsan.com" TargetMode="External"/><Relationship Id="rId3" Type="http://schemas.openxmlformats.org/officeDocument/2006/relationships/hyperlink" Target="mailto:mlirola@agroiris.com" TargetMode="External"/><Relationship Id="rId25" Type="http://schemas.openxmlformats.org/officeDocument/2006/relationships/hyperlink" Target="mailto:administracion@cohorsan.com" TargetMode="External"/><Relationship Id="rId46" Type="http://schemas.openxmlformats.org/officeDocument/2006/relationships/hyperlink" Target="mailto:antoniocabeogarcia@gmail.com" TargetMode="External"/><Relationship Id="rId67" Type="http://schemas.openxmlformats.org/officeDocument/2006/relationships/hyperlink" Target="mailto:laboral.smi@gmail.com" TargetMode="External"/><Relationship Id="rId116" Type="http://schemas.openxmlformats.org/officeDocument/2006/relationships/hyperlink" Target="mailto:laboral@viralgestionintegral.com" TargetMode="External"/><Relationship Id="rId137" Type="http://schemas.openxmlformats.org/officeDocument/2006/relationships/hyperlink" Target="mailto:mperez@cabasc.com" TargetMode="External"/><Relationship Id="rId158" Type="http://schemas.openxmlformats.org/officeDocument/2006/relationships/hyperlink" Target="mailto:ramartin@cabasc.com" TargetMode="External"/><Relationship Id="rId20" Type="http://schemas.openxmlformats.org/officeDocument/2006/relationships/hyperlink" Target="mailto:administracion@cohorsan.com" TargetMode="External"/><Relationship Id="rId41" Type="http://schemas.openxmlformats.org/officeDocument/2006/relationships/hyperlink" Target="mailto:administracion@cohorsan.com" TargetMode="External"/><Relationship Id="rId62" Type="http://schemas.openxmlformats.org/officeDocument/2006/relationships/hyperlink" Target="mailto:contigestion@murgiverde.com" TargetMode="External"/><Relationship Id="rId83" Type="http://schemas.openxmlformats.org/officeDocument/2006/relationships/hyperlink" Target="mailto:laboral@bafersa.es" TargetMode="External"/><Relationship Id="rId88" Type="http://schemas.openxmlformats.org/officeDocument/2006/relationships/hyperlink" Target="mailto:jmvargas613@gmail.com" TargetMode="External"/><Relationship Id="rId111" Type="http://schemas.openxmlformats.org/officeDocument/2006/relationships/hyperlink" Target="mailto:administracion@cohorsan.com" TargetMode="External"/><Relationship Id="rId132" Type="http://schemas.openxmlformats.org/officeDocument/2006/relationships/hyperlink" Target="mailto:asesoria@natursursca.es" TargetMode="External"/><Relationship Id="rId153" Type="http://schemas.openxmlformats.org/officeDocument/2006/relationships/hyperlink" Target="mailto:pgerez@ferva.com" TargetMode="External"/><Relationship Id="rId174" Type="http://schemas.openxmlformats.org/officeDocument/2006/relationships/hyperlink" Target="mailto:contigestion@murgiverde.com" TargetMode="External"/><Relationship Id="rId179" Type="http://schemas.openxmlformats.org/officeDocument/2006/relationships/hyperlink" Target="mailto:pgerez@ferva.com" TargetMode="External"/><Relationship Id="rId195" Type="http://schemas.openxmlformats.org/officeDocument/2006/relationships/hyperlink" Target="mailto:administracion@cohorsan.com" TargetMode="External"/><Relationship Id="rId190" Type="http://schemas.openxmlformats.org/officeDocument/2006/relationships/hyperlink" Target="mailto:fjimenez@cabasc.com" TargetMode="External"/><Relationship Id="rId15" Type="http://schemas.openxmlformats.org/officeDocument/2006/relationships/hyperlink" Target="mailto:administracion@cohorsan.com" TargetMode="External"/><Relationship Id="rId36" Type="http://schemas.openxmlformats.org/officeDocument/2006/relationships/hyperlink" Target="mailto:administracion@cohorsan.com" TargetMode="External"/><Relationship Id="rId57" Type="http://schemas.openxmlformats.org/officeDocument/2006/relationships/hyperlink" Target="mailto:rrhh@medipalm.com" TargetMode="External"/><Relationship Id="rId106" Type="http://schemas.openxmlformats.org/officeDocument/2006/relationships/hyperlink" Target="mailto:administracion@cohorsan.com" TargetMode="External"/><Relationship Id="rId127" Type="http://schemas.openxmlformats.org/officeDocument/2006/relationships/hyperlink" Target="mailto:administracion@cohorsan.com" TargetMode="External"/><Relationship Id="rId10" Type="http://schemas.openxmlformats.org/officeDocument/2006/relationships/hyperlink" Target="mailto:asesoria@natursursca.es" TargetMode="External"/><Relationship Id="rId31" Type="http://schemas.openxmlformats.org/officeDocument/2006/relationships/hyperlink" Target="mailto:administracion@cohorsan.com" TargetMode="External"/><Relationship Id="rId52" Type="http://schemas.openxmlformats.org/officeDocument/2006/relationships/hyperlink" Target="mailto:administracion@cohorsan.com" TargetMode="External"/><Relationship Id="rId73" Type="http://schemas.openxmlformats.org/officeDocument/2006/relationships/hyperlink" Target="mailto:rrhh@medipalm.com" TargetMode="External"/><Relationship Id="rId78" Type="http://schemas.openxmlformats.org/officeDocument/2006/relationships/hyperlink" Target="mailto:administracion@cohorsan.com" TargetMode="External"/><Relationship Id="rId94" Type="http://schemas.openxmlformats.org/officeDocument/2006/relationships/hyperlink" Target="mailto:administracion@cohorsan.com" TargetMode="External"/><Relationship Id="rId99" Type="http://schemas.openxmlformats.org/officeDocument/2006/relationships/hyperlink" Target="mailto:contigestion@murgiverde.com" TargetMode="External"/><Relationship Id="rId101" Type="http://schemas.openxmlformats.org/officeDocument/2006/relationships/hyperlink" Target="mailto:asesoria@natursursca.es" TargetMode="External"/><Relationship Id="rId122" Type="http://schemas.openxmlformats.org/officeDocument/2006/relationships/hyperlink" Target="mailto:administracion@cohorsan.com" TargetMode="External"/><Relationship Id="rId143" Type="http://schemas.openxmlformats.org/officeDocument/2006/relationships/hyperlink" Target="mailto:administracion@cohorsan.com" TargetMode="External"/><Relationship Id="rId148" Type="http://schemas.openxmlformats.org/officeDocument/2006/relationships/hyperlink" Target="mailto:asesorialaboral@coprohnijar.es" TargetMode="External"/><Relationship Id="rId164" Type="http://schemas.openxmlformats.org/officeDocument/2006/relationships/hyperlink" Target="mailto:contigestion@murgiverde.com" TargetMode="External"/><Relationship Id="rId169" Type="http://schemas.openxmlformats.org/officeDocument/2006/relationships/hyperlink" Target="mailto:administracion@cohorsan.com" TargetMode="External"/><Relationship Id="rId185" Type="http://schemas.openxmlformats.org/officeDocument/2006/relationships/hyperlink" Target="mailto:administracion@cohorsan.com" TargetMode="External"/><Relationship Id="rId4" Type="http://schemas.openxmlformats.org/officeDocument/2006/relationships/hyperlink" Target="mailto:contigestion@murgiverde.com" TargetMode="External"/><Relationship Id="rId9" Type="http://schemas.openxmlformats.org/officeDocument/2006/relationships/hyperlink" Target="mailto:asesoria@natursursca.es" TargetMode="External"/><Relationship Id="rId180" Type="http://schemas.openxmlformats.org/officeDocument/2006/relationships/hyperlink" Target="mailto:administracion@cohorsan.com" TargetMode="External"/><Relationship Id="rId26" Type="http://schemas.openxmlformats.org/officeDocument/2006/relationships/hyperlink" Target="mailto:administracion@cohorsan.com" TargetMode="External"/><Relationship Id="rId47" Type="http://schemas.openxmlformats.org/officeDocument/2006/relationships/hyperlink" Target="mailto:antoniocabeogarcia@gmail.com" TargetMode="External"/><Relationship Id="rId68" Type="http://schemas.openxmlformats.org/officeDocument/2006/relationships/hyperlink" Target="mailto:administracion@cohorsan.com" TargetMode="External"/><Relationship Id="rId89" Type="http://schemas.openxmlformats.org/officeDocument/2006/relationships/hyperlink" Target="mailto:administracion@cohorsan.com" TargetMode="External"/><Relationship Id="rId112" Type="http://schemas.openxmlformats.org/officeDocument/2006/relationships/hyperlink" Target="mailto:loligarcia@bufetejuanramirez.com" TargetMode="External"/><Relationship Id="rId133" Type="http://schemas.openxmlformats.org/officeDocument/2006/relationships/hyperlink" Target="mailto:administracion@cohorsan.com" TargetMode="External"/><Relationship Id="rId154" Type="http://schemas.openxmlformats.org/officeDocument/2006/relationships/hyperlink" Target="mailto:administracion@cohorsan.com" TargetMode="External"/><Relationship Id="rId175" Type="http://schemas.openxmlformats.org/officeDocument/2006/relationships/hyperlink" Target="mailto:administracion@cohors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L218"/>
  <sheetViews>
    <sheetView topLeftCell="F1" zoomScaleNormal="100" workbookViewId="0">
      <pane ySplit="1" topLeftCell="A186" activePane="bottomLeft" state="frozen"/>
      <selection pane="bottomLeft" activeCell="N203" sqref="N203"/>
    </sheetView>
  </sheetViews>
  <sheetFormatPr baseColWidth="10" defaultColWidth="11.5703125" defaultRowHeight="15"/>
  <cols>
    <col min="1" max="1" width="4" style="30" bestFit="1" customWidth="1"/>
    <col min="2" max="2" width="19.140625" style="31" bestFit="1" customWidth="1"/>
    <col min="3" max="3" width="10.7109375" style="30" bestFit="1" customWidth="1"/>
    <col min="4" max="4" width="10.7109375" style="31" bestFit="1" customWidth="1"/>
    <col min="5" max="5" width="32.42578125" style="31" customWidth="1"/>
    <col min="6" max="6" width="26.42578125" style="31" bestFit="1" customWidth="1"/>
    <col min="7" max="7" width="6.140625" style="40" bestFit="1" customWidth="1"/>
    <col min="8" max="8" width="16.28515625" style="31" bestFit="1" customWidth="1"/>
    <col min="9" max="9" width="10" style="31" bestFit="1" customWidth="1"/>
    <col min="10" max="10" width="6.28515625" style="31" bestFit="1" customWidth="1"/>
    <col min="11" max="11" width="10" style="31" bestFit="1" customWidth="1"/>
    <col min="12" max="12" width="10.5703125" style="31" bestFit="1" customWidth="1"/>
    <col min="13" max="13" width="28.28515625" style="31" bestFit="1" customWidth="1"/>
    <col min="14" max="14" width="89.5703125" style="35" bestFit="1" customWidth="1"/>
    <col min="15" max="15" width="6.28515625" style="30" bestFit="1" customWidth="1"/>
    <col min="16" max="16" width="8.5703125" style="31" bestFit="1" customWidth="1"/>
    <col min="17" max="17" width="7.42578125" style="30" bestFit="1" customWidth="1"/>
    <col min="18" max="18" width="9.85546875" style="30" bestFit="1" customWidth="1"/>
    <col min="19" max="19" width="14.85546875" style="31" bestFit="1" customWidth="1"/>
    <col min="20" max="20" width="5.42578125" style="31" bestFit="1" customWidth="1"/>
    <col min="21" max="21" width="10.28515625" style="31" bestFit="1" customWidth="1"/>
    <col min="22" max="22" width="16.140625" style="40" bestFit="1" customWidth="1"/>
    <col min="23" max="23" width="10.5703125" style="31" bestFit="1" customWidth="1"/>
    <col min="24" max="24" width="12.28515625" style="30" customWidth="1"/>
    <col min="25" max="25" width="25.5703125" style="31" customWidth="1"/>
    <col min="26" max="26" width="10.5703125" style="31" bestFit="1" customWidth="1"/>
    <col min="27" max="29" width="10.7109375" style="31" bestFit="1" customWidth="1"/>
    <col min="30" max="31" width="10.5703125" style="31" bestFit="1" customWidth="1"/>
    <col min="32" max="32" width="7.28515625" style="31" bestFit="1" customWidth="1"/>
    <col min="33" max="33" width="10.42578125" style="31" bestFit="1" customWidth="1"/>
    <col min="34" max="34" width="11.7109375" style="31" bestFit="1" customWidth="1"/>
    <col min="35" max="35" width="9.28515625" style="31" bestFit="1" customWidth="1"/>
    <col min="36" max="36" width="12.42578125" style="31" customWidth="1"/>
    <col min="37" max="37" width="10.7109375" style="31" bestFit="1" customWidth="1"/>
    <col min="38" max="16384" width="11.5703125" style="31"/>
  </cols>
  <sheetData>
    <row r="1" spans="1:37" s="29" customFormat="1" ht="45">
      <c r="A1" s="15"/>
      <c r="B1" s="16" t="s">
        <v>0</v>
      </c>
      <c r="C1" s="17" t="s">
        <v>1</v>
      </c>
      <c r="D1" s="18" t="s">
        <v>2</v>
      </c>
      <c r="E1" s="18" t="s">
        <v>3</v>
      </c>
      <c r="F1" s="18" t="s">
        <v>4</v>
      </c>
      <c r="G1" s="19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20" t="s">
        <v>10</v>
      </c>
      <c r="M1" s="18" t="s">
        <v>11</v>
      </c>
      <c r="N1" s="21" t="s">
        <v>12</v>
      </c>
      <c r="O1" s="22" t="s">
        <v>13</v>
      </c>
      <c r="P1" s="18" t="s">
        <v>14</v>
      </c>
      <c r="Q1" s="23" t="s">
        <v>15</v>
      </c>
      <c r="R1" s="24" t="s">
        <v>16</v>
      </c>
      <c r="S1" s="18" t="s">
        <v>17</v>
      </c>
      <c r="T1" s="25" t="s">
        <v>18</v>
      </c>
      <c r="U1" s="25" t="s">
        <v>19</v>
      </c>
      <c r="V1" s="26" t="s">
        <v>20</v>
      </c>
      <c r="W1" s="27" t="s">
        <v>21</v>
      </c>
      <c r="X1" s="17" t="s">
        <v>1</v>
      </c>
      <c r="Y1" s="25" t="s">
        <v>22</v>
      </c>
      <c r="Z1" s="25" t="s">
        <v>153</v>
      </c>
      <c r="AA1" s="25" t="s">
        <v>218</v>
      </c>
      <c r="AB1" s="25" t="s">
        <v>23</v>
      </c>
      <c r="AC1" s="25" t="s">
        <v>24</v>
      </c>
      <c r="AD1" s="25" t="s">
        <v>25</v>
      </c>
      <c r="AE1" s="27" t="s">
        <v>26</v>
      </c>
      <c r="AF1" s="27" t="s">
        <v>27</v>
      </c>
      <c r="AG1" s="27" t="s">
        <v>28</v>
      </c>
      <c r="AH1" s="27" t="s">
        <v>29</v>
      </c>
      <c r="AI1" s="25" t="s">
        <v>30</v>
      </c>
      <c r="AJ1" s="28" t="s">
        <v>31</v>
      </c>
      <c r="AK1" s="25" t="s">
        <v>32</v>
      </c>
    </row>
    <row r="2" spans="1:37">
      <c r="A2" s="30">
        <v>1</v>
      </c>
      <c r="B2" s="31" t="s">
        <v>82</v>
      </c>
      <c r="C2" s="32">
        <v>42740</v>
      </c>
      <c r="D2" s="31" t="s">
        <v>329</v>
      </c>
      <c r="E2" s="31" t="s">
        <v>330</v>
      </c>
      <c r="F2" s="31" t="s">
        <v>331</v>
      </c>
      <c r="G2" s="33" t="s">
        <v>242</v>
      </c>
      <c r="H2" s="31" t="s">
        <v>401</v>
      </c>
      <c r="I2" s="31">
        <v>618295618</v>
      </c>
      <c r="K2" s="31" t="s">
        <v>329</v>
      </c>
      <c r="L2" s="34">
        <v>42766</v>
      </c>
      <c r="M2" s="31" t="s">
        <v>35</v>
      </c>
      <c r="N2" s="35" t="s">
        <v>332</v>
      </c>
      <c r="O2" s="36">
        <v>60</v>
      </c>
      <c r="P2" s="30">
        <v>1</v>
      </c>
      <c r="Q2" s="37">
        <v>0.21</v>
      </c>
      <c r="R2" s="38">
        <v>0</v>
      </c>
      <c r="S2" s="31" t="s">
        <v>36</v>
      </c>
      <c r="T2" s="39">
        <f t="shared" ref="T2:T34" si="0">(O2*P2)*Q2+O2*P2</f>
        <v>72.599999999999994</v>
      </c>
      <c r="U2" s="31" t="s">
        <v>333</v>
      </c>
      <c r="V2" s="40" t="s">
        <v>334</v>
      </c>
      <c r="W2" s="34">
        <v>32509</v>
      </c>
      <c r="X2" s="32">
        <v>42740</v>
      </c>
      <c r="Y2" s="41" t="s">
        <v>368</v>
      </c>
      <c r="Z2" s="30"/>
      <c r="AA2" s="31" t="s">
        <v>244</v>
      </c>
      <c r="AD2" s="31" t="s">
        <v>335</v>
      </c>
      <c r="AE2" s="42">
        <v>42740</v>
      </c>
      <c r="AH2" s="34">
        <v>42762</v>
      </c>
    </row>
    <row r="3" spans="1:37">
      <c r="A3" s="30">
        <v>2</v>
      </c>
      <c r="B3" s="31" t="s">
        <v>131</v>
      </c>
      <c r="C3" s="32">
        <v>42740</v>
      </c>
      <c r="D3" s="31" t="s">
        <v>204</v>
      </c>
      <c r="E3" s="31" t="s">
        <v>205</v>
      </c>
      <c r="F3" s="31" t="s">
        <v>206</v>
      </c>
      <c r="G3" s="33" t="s">
        <v>242</v>
      </c>
      <c r="H3" s="31" t="s">
        <v>154</v>
      </c>
      <c r="I3" s="31">
        <v>647672066</v>
      </c>
      <c r="K3" s="31" t="s">
        <v>50</v>
      </c>
      <c r="L3" s="34">
        <v>42766</v>
      </c>
      <c r="M3" s="31" t="s">
        <v>35</v>
      </c>
      <c r="N3" s="35" t="s">
        <v>336</v>
      </c>
      <c r="O3" s="36">
        <v>60</v>
      </c>
      <c r="P3" s="30">
        <v>1</v>
      </c>
      <c r="Q3" s="37">
        <v>0.21</v>
      </c>
      <c r="R3" s="38">
        <v>1</v>
      </c>
      <c r="S3" s="31" t="s">
        <v>36</v>
      </c>
      <c r="T3" s="39">
        <f t="shared" si="0"/>
        <v>72.599999999999994</v>
      </c>
      <c r="U3" s="31" t="s">
        <v>337</v>
      </c>
      <c r="V3" s="40" t="s">
        <v>338</v>
      </c>
      <c r="W3" s="34">
        <v>33848</v>
      </c>
      <c r="X3" s="32">
        <v>42740</v>
      </c>
      <c r="Y3" s="43" t="s">
        <v>505</v>
      </c>
      <c r="Z3" s="34">
        <v>42874</v>
      </c>
      <c r="AA3" s="31" t="s">
        <v>244</v>
      </c>
    </row>
    <row r="4" spans="1:37">
      <c r="A4" s="30">
        <v>3</v>
      </c>
      <c r="B4" s="31" t="s">
        <v>131</v>
      </c>
      <c r="C4" s="32">
        <v>42740</v>
      </c>
      <c r="D4" s="31" t="s">
        <v>246</v>
      </c>
      <c r="E4" s="31" t="s">
        <v>115</v>
      </c>
      <c r="F4" s="31" t="s">
        <v>206</v>
      </c>
      <c r="G4" s="33" t="s">
        <v>242</v>
      </c>
      <c r="H4" s="31" t="s">
        <v>154</v>
      </c>
      <c r="I4" s="31">
        <v>631006562</v>
      </c>
      <c r="K4" t="s">
        <v>50</v>
      </c>
      <c r="L4" s="34">
        <v>42766</v>
      </c>
      <c r="M4" s="31" t="s">
        <v>35</v>
      </c>
      <c r="N4" s="35" t="s">
        <v>216</v>
      </c>
      <c r="O4" s="36">
        <v>60</v>
      </c>
      <c r="P4" s="30">
        <v>1</v>
      </c>
      <c r="Q4" s="37">
        <v>0.21</v>
      </c>
      <c r="R4" s="38">
        <v>1</v>
      </c>
      <c r="S4" s="31" t="s">
        <v>36</v>
      </c>
      <c r="T4" s="39">
        <f t="shared" si="0"/>
        <v>72.599999999999994</v>
      </c>
      <c r="U4" s="31" t="s">
        <v>217</v>
      </c>
      <c r="V4" s="40" t="s">
        <v>339</v>
      </c>
      <c r="W4" s="34">
        <v>25245</v>
      </c>
      <c r="X4" s="32">
        <v>42740</v>
      </c>
      <c r="Y4" s="41" t="s">
        <v>368</v>
      </c>
      <c r="AA4" s="31" t="s">
        <v>340</v>
      </c>
    </row>
    <row r="5" spans="1:37">
      <c r="A5" s="44">
        <v>4</v>
      </c>
      <c r="B5" s="31" t="s">
        <v>37</v>
      </c>
      <c r="C5" s="32">
        <v>42740</v>
      </c>
      <c r="D5" s="31" t="s">
        <v>199</v>
      </c>
      <c r="E5" s="31" t="s">
        <v>200</v>
      </c>
      <c r="F5" s="31" t="s">
        <v>341</v>
      </c>
      <c r="G5" s="33" t="s">
        <v>245</v>
      </c>
      <c r="H5" s="31" t="s">
        <v>54</v>
      </c>
      <c r="I5" s="31">
        <v>631169572</v>
      </c>
      <c r="K5" s="31" t="s">
        <v>199</v>
      </c>
      <c r="L5" s="34">
        <v>42766</v>
      </c>
      <c r="M5" s="31" t="s">
        <v>35</v>
      </c>
      <c r="N5" s="35" t="s">
        <v>201</v>
      </c>
      <c r="O5" s="38">
        <v>60</v>
      </c>
      <c r="P5" s="30">
        <v>1</v>
      </c>
      <c r="Q5" s="37">
        <v>0.21</v>
      </c>
      <c r="R5" s="38">
        <v>0</v>
      </c>
      <c r="S5" s="31" t="s">
        <v>36</v>
      </c>
      <c r="T5" s="39">
        <f t="shared" si="0"/>
        <v>72.599999999999994</v>
      </c>
      <c r="U5" s="31" t="s">
        <v>199</v>
      </c>
      <c r="V5" s="40" t="s">
        <v>342</v>
      </c>
      <c r="W5" s="34">
        <v>29227</v>
      </c>
      <c r="X5" s="32">
        <v>42740</v>
      </c>
      <c r="Y5" s="41" t="s">
        <v>413</v>
      </c>
      <c r="AA5" s="31" t="s">
        <v>340</v>
      </c>
      <c r="AD5" s="31" t="s">
        <v>343</v>
      </c>
      <c r="AE5" s="34">
        <v>42740</v>
      </c>
      <c r="AF5" s="34"/>
      <c r="AG5" s="34"/>
      <c r="AH5" s="34">
        <v>42748</v>
      </c>
      <c r="AJ5" s="31" t="s">
        <v>376</v>
      </c>
    </row>
    <row r="6" spans="1:37">
      <c r="A6" s="30">
        <v>5</v>
      </c>
      <c r="B6" s="31" t="s">
        <v>137</v>
      </c>
      <c r="C6" s="32">
        <v>42740</v>
      </c>
      <c r="D6" s="31" t="s">
        <v>344</v>
      </c>
      <c r="E6" s="31" t="s">
        <v>345</v>
      </c>
      <c r="F6" s="31" t="s">
        <v>346</v>
      </c>
      <c r="G6" s="33" t="s">
        <v>221</v>
      </c>
      <c r="H6" s="31" t="s">
        <v>34</v>
      </c>
      <c r="I6" s="31">
        <v>632782018</v>
      </c>
      <c r="K6" s="31" t="s">
        <v>344</v>
      </c>
      <c r="L6" s="34">
        <v>42766</v>
      </c>
      <c r="M6" s="31" t="s">
        <v>35</v>
      </c>
      <c r="N6" s="35" t="s">
        <v>347</v>
      </c>
      <c r="O6" s="36">
        <v>60</v>
      </c>
      <c r="P6" s="30">
        <v>1</v>
      </c>
      <c r="Q6" s="37">
        <v>0.21</v>
      </c>
      <c r="R6" s="38">
        <v>0</v>
      </c>
      <c r="S6" s="31" t="s">
        <v>36</v>
      </c>
      <c r="T6" s="39">
        <f t="shared" si="0"/>
        <v>72.599999999999994</v>
      </c>
      <c r="U6" s="31" t="s">
        <v>348</v>
      </c>
      <c r="V6" s="40" t="s">
        <v>349</v>
      </c>
      <c r="W6" s="34">
        <v>28651</v>
      </c>
      <c r="X6" s="32">
        <v>42740</v>
      </c>
      <c r="Y6" s="41" t="s">
        <v>368</v>
      </c>
      <c r="AA6" s="31" t="s">
        <v>366</v>
      </c>
      <c r="AD6" s="31" t="s">
        <v>350</v>
      </c>
      <c r="AE6" s="34">
        <v>42740</v>
      </c>
      <c r="AH6" s="34">
        <v>42748</v>
      </c>
    </row>
    <row r="7" spans="1:37">
      <c r="A7" s="30">
        <v>6</v>
      </c>
      <c r="B7" s="31" t="s">
        <v>33</v>
      </c>
      <c r="C7" s="32">
        <v>42740</v>
      </c>
      <c r="D7" s="31" t="s">
        <v>308</v>
      </c>
      <c r="E7" s="31" t="s">
        <v>309</v>
      </c>
      <c r="F7" s="31" t="s">
        <v>310</v>
      </c>
      <c r="G7" s="40" t="s">
        <v>219</v>
      </c>
      <c r="H7" s="31" t="s">
        <v>38</v>
      </c>
      <c r="I7" s="31">
        <v>652507255</v>
      </c>
      <c r="K7" s="31" t="s">
        <v>237</v>
      </c>
      <c r="L7" s="34">
        <v>42766</v>
      </c>
      <c r="M7" s="31" t="s">
        <v>35</v>
      </c>
      <c r="N7" s="35" t="s">
        <v>351</v>
      </c>
      <c r="O7" s="36">
        <v>60</v>
      </c>
      <c r="P7" s="30">
        <v>1</v>
      </c>
      <c r="Q7" s="37">
        <v>0.21</v>
      </c>
      <c r="R7" s="38">
        <v>0</v>
      </c>
      <c r="S7" s="31" t="s">
        <v>36</v>
      </c>
      <c r="T7" s="39">
        <f t="shared" si="0"/>
        <v>72.599999999999994</v>
      </c>
      <c r="U7" t="s">
        <v>352</v>
      </c>
      <c r="V7" s="40" t="s">
        <v>353</v>
      </c>
      <c r="W7" s="34">
        <v>30682</v>
      </c>
      <c r="X7" s="32">
        <v>42740</v>
      </c>
      <c r="Y7" s="31" t="s">
        <v>594</v>
      </c>
      <c r="Z7" s="34">
        <v>42879</v>
      </c>
      <c r="AA7" s="31" t="s">
        <v>244</v>
      </c>
    </row>
    <row r="8" spans="1:37">
      <c r="A8" s="30">
        <v>7</v>
      </c>
      <c r="B8" s="31" t="s">
        <v>59</v>
      </c>
      <c r="C8" s="32">
        <v>42748</v>
      </c>
      <c r="D8" s="31" t="s">
        <v>177</v>
      </c>
      <c r="E8" s="31" t="s">
        <v>178</v>
      </c>
      <c r="F8" s="31" t="s">
        <v>354</v>
      </c>
      <c r="G8" s="40" t="s">
        <v>294</v>
      </c>
      <c r="H8" s="31" t="s">
        <v>103</v>
      </c>
      <c r="K8" s="31" t="s">
        <v>177</v>
      </c>
      <c r="L8" s="34">
        <v>42766</v>
      </c>
      <c r="M8" s="31" t="s">
        <v>35</v>
      </c>
      <c r="N8" s="35" t="s">
        <v>355</v>
      </c>
      <c r="O8" s="38">
        <v>60</v>
      </c>
      <c r="P8" s="30">
        <v>1</v>
      </c>
      <c r="Q8" s="37">
        <v>0.21</v>
      </c>
      <c r="R8" s="38">
        <v>0</v>
      </c>
      <c r="S8" s="31" t="s">
        <v>36</v>
      </c>
      <c r="T8" s="39">
        <f t="shared" si="0"/>
        <v>72.599999999999994</v>
      </c>
      <c r="U8" s="31" t="s">
        <v>179</v>
      </c>
      <c r="V8" s="40" t="s">
        <v>356</v>
      </c>
      <c r="W8" s="34">
        <v>30682</v>
      </c>
      <c r="X8" s="32">
        <v>42748</v>
      </c>
      <c r="Y8" s="41" t="s">
        <v>368</v>
      </c>
      <c r="AA8" s="31" t="s">
        <v>244</v>
      </c>
      <c r="AD8" s="31" t="s">
        <v>357</v>
      </c>
      <c r="AE8" s="34">
        <v>42748</v>
      </c>
      <c r="AH8" s="34">
        <v>42762</v>
      </c>
    </row>
    <row r="9" spans="1:37">
      <c r="A9" s="30">
        <v>8</v>
      </c>
      <c r="B9" s="31" t="s">
        <v>40</v>
      </c>
      <c r="C9" s="32">
        <v>42748</v>
      </c>
      <c r="D9" s="31" t="s">
        <v>57</v>
      </c>
      <c r="E9" s="31" t="s">
        <v>58</v>
      </c>
      <c r="F9" s="31" t="s">
        <v>358</v>
      </c>
      <c r="G9" s="40" t="s">
        <v>221</v>
      </c>
      <c r="H9" s="31" t="s">
        <v>34</v>
      </c>
      <c r="K9" s="31" t="s">
        <v>57</v>
      </c>
      <c r="L9" s="34">
        <v>42766</v>
      </c>
      <c r="M9" s="31" t="s">
        <v>35</v>
      </c>
      <c r="N9" s="35" t="s">
        <v>359</v>
      </c>
      <c r="O9" s="36">
        <v>60</v>
      </c>
      <c r="P9" s="30">
        <v>1</v>
      </c>
      <c r="Q9" s="37">
        <v>0.21</v>
      </c>
      <c r="R9" s="38">
        <v>0</v>
      </c>
      <c r="S9" s="31" t="s">
        <v>36</v>
      </c>
      <c r="T9" s="39">
        <f t="shared" si="0"/>
        <v>72.599999999999994</v>
      </c>
      <c r="U9" s="31" t="s">
        <v>360</v>
      </c>
      <c r="V9" s="40" t="s">
        <v>361</v>
      </c>
      <c r="W9" s="34">
        <v>30807</v>
      </c>
      <c r="X9" s="32">
        <v>42748</v>
      </c>
      <c r="Y9" s="43" t="s">
        <v>396</v>
      </c>
      <c r="AA9" s="31" t="s">
        <v>244</v>
      </c>
      <c r="AD9" s="31" t="s">
        <v>73</v>
      </c>
      <c r="AE9" s="34">
        <v>42748</v>
      </c>
      <c r="AH9" s="34">
        <v>42762</v>
      </c>
    </row>
    <row r="10" spans="1:37">
      <c r="A10" s="30">
        <v>9</v>
      </c>
      <c r="B10" s="31" t="s">
        <v>131</v>
      </c>
      <c r="C10" s="32">
        <v>42762</v>
      </c>
      <c r="D10" s="31" t="s">
        <v>362</v>
      </c>
      <c r="E10" s="31" t="s">
        <v>363</v>
      </c>
      <c r="F10" s="31" t="s">
        <v>364</v>
      </c>
      <c r="G10" s="40" t="s">
        <v>242</v>
      </c>
      <c r="H10" s="31" t="s">
        <v>86</v>
      </c>
      <c r="K10" s="31" t="s">
        <v>50</v>
      </c>
      <c r="L10" s="34">
        <v>42766</v>
      </c>
      <c r="M10" s="31" t="s">
        <v>35</v>
      </c>
      <c r="N10" s="35" t="s">
        <v>365</v>
      </c>
      <c r="O10" s="36">
        <v>60</v>
      </c>
      <c r="P10" s="30">
        <v>1</v>
      </c>
      <c r="Q10" s="37">
        <v>0.21</v>
      </c>
      <c r="R10" s="38">
        <v>0</v>
      </c>
      <c r="S10" s="31" t="s">
        <v>36</v>
      </c>
      <c r="T10" s="39">
        <f t="shared" si="0"/>
        <v>72.599999999999994</v>
      </c>
      <c r="V10" s="40" t="s">
        <v>375</v>
      </c>
      <c r="W10" s="34">
        <v>30958</v>
      </c>
      <c r="X10" s="32">
        <v>42762</v>
      </c>
      <c r="Y10" s="31" t="s">
        <v>562</v>
      </c>
      <c r="AA10" s="31" t="s">
        <v>366</v>
      </c>
      <c r="AD10" s="31" t="s">
        <v>215</v>
      </c>
      <c r="AH10" s="34">
        <v>42776</v>
      </c>
    </row>
    <row r="11" spans="1:37">
      <c r="A11" s="30">
        <v>10</v>
      </c>
      <c r="B11" s="31" t="s">
        <v>37</v>
      </c>
      <c r="C11" s="32">
        <v>42765</v>
      </c>
      <c r="D11" s="31" t="s">
        <v>51</v>
      </c>
      <c r="E11" s="31" t="s">
        <v>120</v>
      </c>
      <c r="F11" s="31" t="s">
        <v>367</v>
      </c>
      <c r="G11" s="40" t="s">
        <v>219</v>
      </c>
      <c r="H11" s="31" t="s">
        <v>38</v>
      </c>
      <c r="I11" s="31">
        <v>605331621</v>
      </c>
      <c r="K11" s="31" t="s">
        <v>51</v>
      </c>
      <c r="L11" s="34">
        <v>42766</v>
      </c>
      <c r="M11" s="31" t="s">
        <v>35</v>
      </c>
      <c r="N11" s="35" t="s">
        <v>121</v>
      </c>
      <c r="O11" s="38">
        <v>30</v>
      </c>
      <c r="P11" s="30">
        <v>1</v>
      </c>
      <c r="Q11" s="37">
        <v>0.21</v>
      </c>
      <c r="R11" s="38">
        <v>0</v>
      </c>
      <c r="S11" s="31" t="s">
        <v>36</v>
      </c>
      <c r="T11" s="39">
        <f t="shared" si="0"/>
        <v>36.299999999999997</v>
      </c>
      <c r="U11" s="31" t="s">
        <v>51</v>
      </c>
      <c r="W11" s="34">
        <v>27760</v>
      </c>
      <c r="X11" s="32">
        <v>42765</v>
      </c>
      <c r="Y11" s="41" t="s">
        <v>422</v>
      </c>
    </row>
    <row r="12" spans="1:37">
      <c r="A12" s="30">
        <v>11</v>
      </c>
      <c r="B12" s="31" t="s">
        <v>295</v>
      </c>
      <c r="C12" s="32">
        <v>42776</v>
      </c>
      <c r="D12" s="31" t="s">
        <v>296</v>
      </c>
      <c r="E12" s="31" t="s">
        <v>297</v>
      </c>
      <c r="F12" s="31" t="s">
        <v>298</v>
      </c>
      <c r="G12" s="33" t="s">
        <v>299</v>
      </c>
      <c r="H12" s="31" t="s">
        <v>300</v>
      </c>
      <c r="I12" s="31" t="s">
        <v>301</v>
      </c>
      <c r="K12" s="31" t="s">
        <v>296</v>
      </c>
      <c r="L12" s="34">
        <v>42794</v>
      </c>
      <c r="M12" s="31" t="s">
        <v>35</v>
      </c>
      <c r="N12" s="35" t="s">
        <v>302</v>
      </c>
      <c r="O12" s="36">
        <v>41.32</v>
      </c>
      <c r="P12" s="30">
        <v>1</v>
      </c>
      <c r="Q12" s="37">
        <v>0.21</v>
      </c>
      <c r="R12" s="38">
        <v>0</v>
      </c>
      <c r="S12" s="31" t="s">
        <v>36</v>
      </c>
      <c r="T12" s="39">
        <f t="shared" si="0"/>
        <v>49.997199999999999</v>
      </c>
      <c r="U12" s="31" t="s">
        <v>303</v>
      </c>
      <c r="W12" s="34">
        <v>32457</v>
      </c>
      <c r="X12" s="32">
        <v>42776</v>
      </c>
      <c r="Y12" s="41" t="s">
        <v>151</v>
      </c>
      <c r="Z12" s="30"/>
      <c r="AE12" s="42"/>
    </row>
    <row r="13" spans="1:37">
      <c r="A13" s="30">
        <v>12</v>
      </c>
      <c r="B13" s="31" t="s">
        <v>37</v>
      </c>
      <c r="C13" s="32">
        <v>42776</v>
      </c>
      <c r="D13" s="31" t="s">
        <v>369</v>
      </c>
      <c r="E13" s="31" t="s">
        <v>370</v>
      </c>
      <c r="F13" s="31" t="s">
        <v>371</v>
      </c>
      <c r="G13" s="40" t="s">
        <v>219</v>
      </c>
      <c r="H13" s="31" t="s">
        <v>38</v>
      </c>
      <c r="I13" s="31">
        <v>602039243</v>
      </c>
      <c r="K13" s="31" t="s">
        <v>369</v>
      </c>
      <c r="L13" s="34">
        <v>42794</v>
      </c>
      <c r="M13" s="31" t="s">
        <v>35</v>
      </c>
      <c r="N13" s="35" t="s">
        <v>372</v>
      </c>
      <c r="O13" s="36">
        <v>60</v>
      </c>
      <c r="P13" s="30">
        <v>1</v>
      </c>
      <c r="Q13" s="37">
        <v>0.21</v>
      </c>
      <c r="R13" s="38">
        <v>0</v>
      </c>
      <c r="S13" s="31" t="s">
        <v>36</v>
      </c>
      <c r="T13" s="39">
        <f t="shared" si="0"/>
        <v>72.599999999999994</v>
      </c>
      <c r="U13" s="31" t="s">
        <v>369</v>
      </c>
      <c r="V13" s="40" t="s">
        <v>373</v>
      </c>
      <c r="W13" s="34">
        <v>24168</v>
      </c>
      <c r="X13" s="32">
        <v>42776</v>
      </c>
      <c r="Y13" s="31" t="s">
        <v>504</v>
      </c>
      <c r="AA13" s="31" t="s">
        <v>366</v>
      </c>
      <c r="AD13" s="31" t="s">
        <v>77</v>
      </c>
      <c r="AE13" s="34">
        <v>42776</v>
      </c>
      <c r="AH13" s="34">
        <v>42776</v>
      </c>
    </row>
    <row r="14" spans="1:37">
      <c r="A14" s="30">
        <v>13</v>
      </c>
      <c r="B14" s="31" t="s">
        <v>82</v>
      </c>
      <c r="C14" s="32">
        <v>42776</v>
      </c>
      <c r="D14" s="31" t="s">
        <v>173</v>
      </c>
      <c r="E14" s="31" t="s">
        <v>257</v>
      </c>
      <c r="F14" s="31" t="s">
        <v>258</v>
      </c>
      <c r="G14" s="33" t="s">
        <v>250</v>
      </c>
      <c r="H14" s="31" t="s">
        <v>86</v>
      </c>
      <c r="I14" s="31">
        <v>607218735</v>
      </c>
      <c r="K14" s="31" t="s">
        <v>173</v>
      </c>
      <c r="L14" s="34">
        <v>42794</v>
      </c>
      <c r="M14" s="31" t="s">
        <v>35</v>
      </c>
      <c r="N14" s="35" t="s">
        <v>374</v>
      </c>
      <c r="O14" s="36">
        <v>41.32</v>
      </c>
      <c r="P14" s="30">
        <v>1</v>
      </c>
      <c r="Q14" s="37">
        <v>0.21</v>
      </c>
      <c r="R14" s="38">
        <v>0</v>
      </c>
      <c r="S14" s="31" t="s">
        <v>36</v>
      </c>
      <c r="T14" s="39">
        <f t="shared" si="0"/>
        <v>49.997199999999999</v>
      </c>
      <c r="W14" s="34"/>
      <c r="X14" s="32">
        <v>42776</v>
      </c>
      <c r="Y14" s="45" t="s">
        <v>151</v>
      </c>
      <c r="Z14" s="30"/>
      <c r="AE14" s="42"/>
      <c r="AH14" s="34"/>
    </row>
    <row r="15" spans="1:37">
      <c r="A15" s="30">
        <v>14</v>
      </c>
      <c r="B15" s="31" t="s">
        <v>37</v>
      </c>
      <c r="C15" s="32">
        <v>42783</v>
      </c>
      <c r="D15" s="31" t="s">
        <v>377</v>
      </c>
      <c r="E15" s="31" t="s">
        <v>378</v>
      </c>
      <c r="F15" s="31" t="s">
        <v>379</v>
      </c>
      <c r="G15" s="40" t="s">
        <v>221</v>
      </c>
      <c r="H15" s="31" t="s">
        <v>34</v>
      </c>
      <c r="I15" s="31">
        <v>632379603</v>
      </c>
      <c r="K15" s="31" t="s">
        <v>377</v>
      </c>
      <c r="L15" s="34">
        <v>42794</v>
      </c>
      <c r="M15" s="31" t="s">
        <v>35</v>
      </c>
      <c r="N15" s="35" t="s">
        <v>380</v>
      </c>
      <c r="O15" s="38">
        <v>60</v>
      </c>
      <c r="P15" s="30">
        <v>1</v>
      </c>
      <c r="Q15" s="37">
        <v>0.21</v>
      </c>
      <c r="R15" s="38">
        <v>0</v>
      </c>
      <c r="S15" s="31" t="s">
        <v>36</v>
      </c>
      <c r="T15" s="39">
        <f t="shared" si="0"/>
        <v>72.599999999999994</v>
      </c>
      <c r="U15" s="31" t="s">
        <v>377</v>
      </c>
      <c r="V15" s="40" t="s">
        <v>381</v>
      </c>
      <c r="W15" s="34">
        <v>28724</v>
      </c>
      <c r="X15" s="32">
        <v>42783</v>
      </c>
      <c r="Y15" s="41" t="s">
        <v>689</v>
      </c>
      <c r="Z15" s="34">
        <v>42874</v>
      </c>
      <c r="AA15" s="31" t="s">
        <v>366</v>
      </c>
      <c r="AD15" s="31" t="s">
        <v>382</v>
      </c>
      <c r="AE15" s="34">
        <v>42783</v>
      </c>
      <c r="AH15" s="34">
        <v>42789</v>
      </c>
      <c r="AJ15" s="31" t="s">
        <v>471</v>
      </c>
    </row>
    <row r="16" spans="1:37">
      <c r="A16" s="30">
        <v>15</v>
      </c>
      <c r="B16" s="31" t="s">
        <v>37</v>
      </c>
      <c r="C16" s="32">
        <v>42783</v>
      </c>
      <c r="D16" s="31" t="s">
        <v>383</v>
      </c>
      <c r="E16" s="31" t="s">
        <v>78</v>
      </c>
      <c r="F16" s="31" t="s">
        <v>472</v>
      </c>
      <c r="G16" s="40" t="s">
        <v>238</v>
      </c>
      <c r="H16" s="31" t="s">
        <v>48</v>
      </c>
      <c r="I16" s="31">
        <v>632223501</v>
      </c>
      <c r="K16" s="31" t="s">
        <v>383</v>
      </c>
      <c r="L16" s="34">
        <v>42794</v>
      </c>
      <c r="M16" s="31" t="s">
        <v>35</v>
      </c>
      <c r="N16" s="35" t="s">
        <v>130</v>
      </c>
      <c r="O16" s="38">
        <v>30</v>
      </c>
      <c r="P16" s="30">
        <v>1</v>
      </c>
      <c r="Q16" s="37">
        <v>0.21</v>
      </c>
      <c r="R16" s="38">
        <v>0</v>
      </c>
      <c r="S16" s="31" t="s">
        <v>36</v>
      </c>
      <c r="T16" s="39">
        <f t="shared" si="0"/>
        <v>36.299999999999997</v>
      </c>
      <c r="U16" s="31" t="s">
        <v>383</v>
      </c>
      <c r="W16" s="34">
        <v>30515</v>
      </c>
      <c r="X16" s="32">
        <v>42783</v>
      </c>
      <c r="Y16" s="41" t="s">
        <v>455</v>
      </c>
    </row>
    <row r="17" spans="1:36">
      <c r="A17" s="30">
        <v>16</v>
      </c>
      <c r="B17" s="31" t="s">
        <v>37</v>
      </c>
      <c r="C17" s="32">
        <v>42783</v>
      </c>
      <c r="D17" s="31" t="s">
        <v>384</v>
      </c>
      <c r="E17" s="31" t="s">
        <v>385</v>
      </c>
      <c r="F17" s="31" t="s">
        <v>116</v>
      </c>
      <c r="G17" s="40" t="s">
        <v>220</v>
      </c>
      <c r="H17" s="31" t="s">
        <v>39</v>
      </c>
      <c r="I17" s="31">
        <v>632669954</v>
      </c>
      <c r="K17" s="31" t="s">
        <v>384</v>
      </c>
      <c r="L17" s="34">
        <v>42794</v>
      </c>
      <c r="M17" s="31" t="s">
        <v>35</v>
      </c>
      <c r="N17" s="35" t="s">
        <v>386</v>
      </c>
      <c r="O17" s="38">
        <v>30</v>
      </c>
      <c r="P17" s="30">
        <v>1</v>
      </c>
      <c r="Q17" s="37">
        <v>0.21</v>
      </c>
      <c r="R17" s="38">
        <v>0</v>
      </c>
      <c r="S17" s="31" t="s">
        <v>36</v>
      </c>
      <c r="T17" s="39">
        <f t="shared" si="0"/>
        <v>36.299999999999997</v>
      </c>
      <c r="U17" s="31" t="s">
        <v>384</v>
      </c>
      <c r="W17" s="34">
        <v>26362</v>
      </c>
      <c r="X17" s="32">
        <v>42783</v>
      </c>
      <c r="Y17" s="41" t="s">
        <v>456</v>
      </c>
    </row>
    <row r="18" spans="1:36">
      <c r="A18" s="44">
        <v>17</v>
      </c>
      <c r="B18" s="31" t="s">
        <v>52</v>
      </c>
      <c r="C18" s="32">
        <v>42783</v>
      </c>
      <c r="D18" s="31" t="s">
        <v>166</v>
      </c>
      <c r="E18" s="31" t="s">
        <v>182</v>
      </c>
      <c r="F18" s="31" t="s">
        <v>540</v>
      </c>
      <c r="G18" s="33" t="s">
        <v>227</v>
      </c>
      <c r="H18" s="31" t="s">
        <v>203</v>
      </c>
      <c r="K18" s="31" t="s">
        <v>53</v>
      </c>
      <c r="L18" s="34">
        <v>42794</v>
      </c>
      <c r="M18" s="31" t="s">
        <v>35</v>
      </c>
      <c r="N18" s="35" t="s">
        <v>387</v>
      </c>
      <c r="O18" s="38">
        <v>30</v>
      </c>
      <c r="P18" s="30">
        <v>1</v>
      </c>
      <c r="Q18" s="37">
        <v>0.21</v>
      </c>
      <c r="R18" s="38">
        <v>0</v>
      </c>
      <c r="S18" s="31" t="s">
        <v>36</v>
      </c>
      <c r="T18" s="39">
        <f t="shared" si="0"/>
        <v>36.299999999999997</v>
      </c>
      <c r="U18" s="31" t="s">
        <v>85</v>
      </c>
      <c r="W18" s="34">
        <v>29691</v>
      </c>
      <c r="X18" s="32">
        <v>42783</v>
      </c>
      <c r="Y18" s="41" t="s">
        <v>455</v>
      </c>
      <c r="AD18" s="34"/>
      <c r="AE18" s="34"/>
      <c r="AF18" s="34"/>
      <c r="AG18" s="34"/>
    </row>
    <row r="19" spans="1:36">
      <c r="A19" s="30">
        <v>18</v>
      </c>
      <c r="B19" s="31" t="s">
        <v>40</v>
      </c>
      <c r="C19" s="32">
        <v>42783</v>
      </c>
      <c r="D19" s="31" t="s">
        <v>186</v>
      </c>
      <c r="E19" s="31" t="s">
        <v>64</v>
      </c>
      <c r="F19" s="31" t="s">
        <v>187</v>
      </c>
      <c r="G19" s="40" t="s">
        <v>221</v>
      </c>
      <c r="H19" s="31" t="s">
        <v>34</v>
      </c>
      <c r="K19" s="31" t="s">
        <v>186</v>
      </c>
      <c r="L19" s="34">
        <v>42794</v>
      </c>
      <c r="M19" s="31" t="s">
        <v>35</v>
      </c>
      <c r="N19" s="35" t="s">
        <v>388</v>
      </c>
      <c r="O19" s="38">
        <v>60</v>
      </c>
      <c r="P19" s="30">
        <v>1</v>
      </c>
      <c r="Q19" s="37">
        <v>0.21</v>
      </c>
      <c r="R19" s="38">
        <v>0</v>
      </c>
      <c r="S19" s="31" t="s">
        <v>36</v>
      </c>
      <c r="T19" s="39">
        <f t="shared" si="0"/>
        <v>72.599999999999994</v>
      </c>
      <c r="U19" s="31" t="s">
        <v>389</v>
      </c>
      <c r="V19" s="40" t="s">
        <v>390</v>
      </c>
      <c r="W19" s="34">
        <v>31080</v>
      </c>
      <c r="X19" s="32">
        <v>42783</v>
      </c>
      <c r="Y19" s="43" t="s">
        <v>457</v>
      </c>
      <c r="Z19" s="34">
        <v>42851</v>
      </c>
    </row>
    <row r="20" spans="1:36">
      <c r="A20" s="30">
        <v>19</v>
      </c>
      <c r="B20" s="31" t="s">
        <v>37</v>
      </c>
      <c r="C20" s="32">
        <v>42783</v>
      </c>
      <c r="D20" s="31" t="s">
        <v>391</v>
      </c>
      <c r="E20" s="31" t="s">
        <v>392</v>
      </c>
      <c r="F20" s="31" t="s">
        <v>393</v>
      </c>
      <c r="G20" s="40" t="s">
        <v>221</v>
      </c>
      <c r="H20" s="31" t="s">
        <v>34</v>
      </c>
      <c r="I20" s="31">
        <v>671939833</v>
      </c>
      <c r="K20" s="31" t="s">
        <v>391</v>
      </c>
      <c r="L20" s="34">
        <v>42794</v>
      </c>
      <c r="M20" s="31" t="s">
        <v>35</v>
      </c>
      <c r="N20" s="35" t="s">
        <v>394</v>
      </c>
      <c r="O20" s="38">
        <v>60</v>
      </c>
      <c r="P20" s="30">
        <v>1</v>
      </c>
      <c r="Q20" s="37">
        <v>0.21</v>
      </c>
      <c r="R20" s="38">
        <v>0</v>
      </c>
      <c r="S20" s="31" t="s">
        <v>36</v>
      </c>
      <c r="T20" s="39">
        <f t="shared" si="0"/>
        <v>72.599999999999994</v>
      </c>
      <c r="U20" s="31" t="s">
        <v>391</v>
      </c>
      <c r="V20" s="40" t="s">
        <v>395</v>
      </c>
      <c r="W20" s="34">
        <v>29986</v>
      </c>
      <c r="X20" s="32">
        <v>42783</v>
      </c>
      <c r="Y20" s="43" t="s">
        <v>501</v>
      </c>
      <c r="Z20" s="31" t="s">
        <v>895</v>
      </c>
    </row>
    <row r="21" spans="1:36">
      <c r="A21" s="30">
        <v>20</v>
      </c>
      <c r="B21" s="31" t="s">
        <v>37</v>
      </c>
      <c r="C21" s="32">
        <v>42787</v>
      </c>
      <c r="D21" s="31" t="s">
        <v>397</v>
      </c>
      <c r="E21" s="31" t="s">
        <v>398</v>
      </c>
      <c r="F21" s="31" t="s">
        <v>399</v>
      </c>
      <c r="G21" s="40" t="s">
        <v>219</v>
      </c>
      <c r="H21" s="31" t="s">
        <v>38</v>
      </c>
      <c r="I21" s="31">
        <v>602132430</v>
      </c>
      <c r="K21" s="31" t="s">
        <v>397</v>
      </c>
      <c r="L21" s="34">
        <v>42794</v>
      </c>
      <c r="M21" s="31" t="s">
        <v>35</v>
      </c>
      <c r="N21" s="35" t="s">
        <v>400</v>
      </c>
      <c r="O21" s="38">
        <v>30</v>
      </c>
      <c r="P21" s="30">
        <v>1</v>
      </c>
      <c r="Q21" s="37">
        <v>0.21</v>
      </c>
      <c r="R21" s="38">
        <v>0</v>
      </c>
      <c r="S21" s="31" t="s">
        <v>36</v>
      </c>
      <c r="T21" s="39">
        <f t="shared" si="0"/>
        <v>36.299999999999997</v>
      </c>
      <c r="U21" s="31" t="s">
        <v>397</v>
      </c>
      <c r="W21" s="34">
        <v>27114</v>
      </c>
      <c r="X21" s="32">
        <v>42787</v>
      </c>
      <c r="Y21" s="41" t="s">
        <v>437</v>
      </c>
    </row>
    <row r="22" spans="1:36">
      <c r="A22" s="30">
        <v>21</v>
      </c>
      <c r="B22" s="31" t="s">
        <v>37</v>
      </c>
      <c r="C22" s="32">
        <v>42789</v>
      </c>
      <c r="D22" s="31" t="s">
        <v>402</v>
      </c>
      <c r="E22" s="31" t="s">
        <v>403</v>
      </c>
      <c r="F22" s="31" t="s">
        <v>118</v>
      </c>
      <c r="G22" s="40" t="s">
        <v>245</v>
      </c>
      <c r="H22" s="31" t="s">
        <v>54</v>
      </c>
      <c r="I22" s="31">
        <v>632290678</v>
      </c>
      <c r="K22" s="31" t="s">
        <v>402</v>
      </c>
      <c r="L22" s="34">
        <v>42794</v>
      </c>
      <c r="M22" s="31" t="s">
        <v>35</v>
      </c>
      <c r="N22" s="35" t="s">
        <v>404</v>
      </c>
      <c r="O22" s="38">
        <v>60</v>
      </c>
      <c r="P22" s="30">
        <v>1</v>
      </c>
      <c r="Q22" s="37">
        <v>0.21</v>
      </c>
      <c r="R22" s="38">
        <v>0</v>
      </c>
      <c r="S22" s="31" t="s">
        <v>36</v>
      </c>
      <c r="T22" s="39">
        <f t="shared" si="0"/>
        <v>72.599999999999994</v>
      </c>
      <c r="U22" s="31" t="s">
        <v>436</v>
      </c>
      <c r="V22" s="40" t="s">
        <v>405</v>
      </c>
      <c r="W22" s="34">
        <v>27458</v>
      </c>
      <c r="X22" s="32">
        <v>42789</v>
      </c>
      <c r="Y22" s="41" t="s">
        <v>454</v>
      </c>
      <c r="AD22" s="31" t="s">
        <v>406</v>
      </c>
      <c r="AE22" s="34">
        <v>42789</v>
      </c>
      <c r="AH22" s="34">
        <v>42804</v>
      </c>
      <c r="AJ22" s="31" t="s">
        <v>451</v>
      </c>
    </row>
    <row r="23" spans="1:36">
      <c r="A23" s="30">
        <v>22</v>
      </c>
      <c r="B23" s="31" t="s">
        <v>80</v>
      </c>
      <c r="C23" s="32">
        <v>42789</v>
      </c>
      <c r="D23" s="31" t="s">
        <v>407</v>
      </c>
      <c r="E23" s="31" t="s">
        <v>408</v>
      </c>
      <c r="F23" s="31" t="s">
        <v>409</v>
      </c>
      <c r="G23" s="40" t="s">
        <v>232</v>
      </c>
      <c r="H23" s="31" t="s">
        <v>144</v>
      </c>
      <c r="K23" s="31" t="s">
        <v>407</v>
      </c>
      <c r="L23" s="34">
        <v>42794</v>
      </c>
      <c r="M23" s="31" t="s">
        <v>35</v>
      </c>
      <c r="N23" s="35" t="s">
        <v>410</v>
      </c>
      <c r="O23" s="38">
        <v>41.32</v>
      </c>
      <c r="P23" s="30">
        <v>1</v>
      </c>
      <c r="Q23" s="37">
        <v>0.21</v>
      </c>
      <c r="R23" s="38">
        <v>0</v>
      </c>
      <c r="S23" s="31" t="s">
        <v>36</v>
      </c>
      <c r="T23" s="39">
        <f t="shared" si="0"/>
        <v>49.997199999999999</v>
      </c>
      <c r="U23" s="31" t="s">
        <v>407</v>
      </c>
      <c r="W23" s="34">
        <v>27301</v>
      </c>
      <c r="X23" s="32">
        <v>42789</v>
      </c>
      <c r="Y23" s="41" t="s">
        <v>151</v>
      </c>
    </row>
    <row r="24" spans="1:36">
      <c r="A24" s="30">
        <v>23</v>
      </c>
      <c r="B24" s="31" t="s">
        <v>80</v>
      </c>
      <c r="C24" s="32">
        <v>42789</v>
      </c>
      <c r="D24" s="31" t="s">
        <v>407</v>
      </c>
      <c r="E24" s="31" t="s">
        <v>408</v>
      </c>
      <c r="F24" s="31" t="s">
        <v>409</v>
      </c>
      <c r="G24" s="40" t="s">
        <v>232</v>
      </c>
      <c r="H24" s="31" t="s">
        <v>144</v>
      </c>
      <c r="K24" s="31" t="s">
        <v>407</v>
      </c>
      <c r="L24" s="34">
        <v>42794</v>
      </c>
      <c r="M24" s="31" t="s">
        <v>35</v>
      </c>
      <c r="N24" s="35" t="s">
        <v>411</v>
      </c>
      <c r="O24" s="38">
        <v>41.32</v>
      </c>
      <c r="P24" s="30">
        <v>1</v>
      </c>
      <c r="Q24" s="37">
        <v>0.21</v>
      </c>
      <c r="R24" s="38">
        <v>0</v>
      </c>
      <c r="S24" s="31" t="s">
        <v>36</v>
      </c>
      <c r="T24" s="39">
        <f t="shared" si="0"/>
        <v>49.997199999999999</v>
      </c>
      <c r="U24" s="31" t="s">
        <v>412</v>
      </c>
      <c r="W24" s="34">
        <v>24037</v>
      </c>
      <c r="X24" s="32">
        <v>42789</v>
      </c>
      <c r="Y24" s="41" t="s">
        <v>151</v>
      </c>
    </row>
    <row r="25" spans="1:36">
      <c r="A25" s="30">
        <v>24</v>
      </c>
      <c r="B25" s="31" t="s">
        <v>37</v>
      </c>
      <c r="C25" s="32">
        <v>42801</v>
      </c>
      <c r="D25" s="30" t="s">
        <v>414</v>
      </c>
      <c r="E25" s="31" t="s">
        <v>415</v>
      </c>
      <c r="F25" s="31" t="s">
        <v>416</v>
      </c>
      <c r="G25" s="40" t="s">
        <v>239</v>
      </c>
      <c r="H25" t="s">
        <v>897</v>
      </c>
      <c r="I25" s="31">
        <v>653201711</v>
      </c>
      <c r="K25" s="31" t="s">
        <v>414</v>
      </c>
      <c r="L25" s="34">
        <v>42825</v>
      </c>
      <c r="M25" s="31" t="s">
        <v>35</v>
      </c>
      <c r="N25" s="35" t="s">
        <v>420</v>
      </c>
      <c r="O25" s="38">
        <v>24.79</v>
      </c>
      <c r="P25" s="30">
        <v>1</v>
      </c>
      <c r="Q25" s="37">
        <v>0.21</v>
      </c>
      <c r="R25" s="38">
        <v>0</v>
      </c>
      <c r="S25" s="31" t="s">
        <v>36</v>
      </c>
      <c r="T25" s="46">
        <f t="shared" si="0"/>
        <v>29.995899999999999</v>
      </c>
      <c r="U25" s="31" t="s">
        <v>414</v>
      </c>
      <c r="W25" s="34">
        <v>30821</v>
      </c>
      <c r="X25" s="32">
        <v>42801</v>
      </c>
      <c r="Y25" s="41" t="s">
        <v>454</v>
      </c>
      <c r="AA25" s="34"/>
      <c r="AB25" s="34">
        <v>42859</v>
      </c>
    </row>
    <row r="26" spans="1:36">
      <c r="A26" s="30">
        <v>25</v>
      </c>
      <c r="B26" s="31" t="s">
        <v>417</v>
      </c>
      <c r="C26" s="32">
        <v>42801</v>
      </c>
      <c r="D26" s="31" t="s">
        <v>418</v>
      </c>
      <c r="E26" s="31" t="s">
        <v>182</v>
      </c>
      <c r="F26" s="31" t="s">
        <v>540</v>
      </c>
      <c r="G26" s="33" t="s">
        <v>227</v>
      </c>
      <c r="H26" s="31" t="s">
        <v>203</v>
      </c>
      <c r="K26" s="31" t="s">
        <v>418</v>
      </c>
      <c r="L26" s="34">
        <v>42825</v>
      </c>
      <c r="M26" s="31" t="s">
        <v>35</v>
      </c>
      <c r="N26" s="35" t="s">
        <v>419</v>
      </c>
      <c r="O26" s="38">
        <v>30</v>
      </c>
      <c r="P26" s="30">
        <v>1</v>
      </c>
      <c r="Q26" s="37">
        <v>0.21</v>
      </c>
      <c r="R26" s="38">
        <v>0</v>
      </c>
      <c r="S26" s="31" t="s">
        <v>36</v>
      </c>
      <c r="T26" s="39">
        <f t="shared" si="0"/>
        <v>36.299999999999997</v>
      </c>
      <c r="U26" s="31" t="s">
        <v>421</v>
      </c>
      <c r="W26" s="34">
        <v>30317</v>
      </c>
      <c r="X26" s="32">
        <v>42801</v>
      </c>
      <c r="Y26" s="41" t="s">
        <v>500</v>
      </c>
    </row>
    <row r="27" spans="1:36">
      <c r="A27" s="30">
        <v>26</v>
      </c>
      <c r="B27" s="31" t="s">
        <v>423</v>
      </c>
      <c r="C27" s="32">
        <v>42804</v>
      </c>
      <c r="D27" s="31" t="s">
        <v>424</v>
      </c>
      <c r="E27" s="31" t="s">
        <v>91</v>
      </c>
      <c r="F27" s="31" t="s">
        <v>425</v>
      </c>
      <c r="G27" s="40" t="s">
        <v>219</v>
      </c>
      <c r="H27" s="31" t="s">
        <v>38</v>
      </c>
      <c r="K27" s="31" t="s">
        <v>424</v>
      </c>
      <c r="L27" s="34">
        <v>42825</v>
      </c>
      <c r="M27" s="31" t="s">
        <v>35</v>
      </c>
      <c r="N27" s="35" t="s">
        <v>426</v>
      </c>
      <c r="O27" s="38">
        <v>60</v>
      </c>
      <c r="P27" s="30">
        <v>1</v>
      </c>
      <c r="Q27" s="37">
        <v>0.21</v>
      </c>
      <c r="R27" s="38">
        <v>0</v>
      </c>
      <c r="S27" s="31" t="s">
        <v>36</v>
      </c>
      <c r="T27" s="39">
        <f t="shared" si="0"/>
        <v>72.599999999999994</v>
      </c>
      <c r="U27" s="31" t="s">
        <v>427</v>
      </c>
      <c r="V27" s="40" t="s">
        <v>428</v>
      </c>
      <c r="W27" s="34">
        <v>35787</v>
      </c>
      <c r="X27" s="32">
        <v>42804</v>
      </c>
      <c r="Y27" s="41" t="s">
        <v>634</v>
      </c>
      <c r="AD27" s="31" t="s">
        <v>77</v>
      </c>
      <c r="AE27" s="34">
        <v>42804</v>
      </c>
    </row>
    <row r="28" spans="1:36">
      <c r="A28" s="30">
        <v>27</v>
      </c>
      <c r="B28" s="31" t="s">
        <v>37</v>
      </c>
      <c r="C28" s="32">
        <v>42804</v>
      </c>
      <c r="D28" s="31" t="s">
        <v>429</v>
      </c>
      <c r="E28" s="31" t="s">
        <v>430</v>
      </c>
      <c r="F28" s="31" t="s">
        <v>431</v>
      </c>
      <c r="G28" s="40" t="s">
        <v>432</v>
      </c>
      <c r="H28" s="31" t="s">
        <v>49</v>
      </c>
      <c r="I28" s="31">
        <v>622787272</v>
      </c>
      <c r="K28" s="31" t="s">
        <v>429</v>
      </c>
      <c r="L28" s="34">
        <v>42825</v>
      </c>
      <c r="M28" s="31" t="s">
        <v>35</v>
      </c>
      <c r="N28" s="35" t="s">
        <v>433</v>
      </c>
      <c r="O28" s="38">
        <v>0</v>
      </c>
      <c r="P28" s="30">
        <v>1</v>
      </c>
      <c r="Q28" s="37">
        <v>0.21</v>
      </c>
      <c r="R28" s="38">
        <v>0</v>
      </c>
      <c r="S28" s="31" t="s">
        <v>36</v>
      </c>
      <c r="T28" s="39">
        <f t="shared" si="0"/>
        <v>0</v>
      </c>
      <c r="U28" s="31" t="s">
        <v>429</v>
      </c>
      <c r="V28" s="40" t="s">
        <v>434</v>
      </c>
      <c r="W28" s="34">
        <v>23179</v>
      </c>
      <c r="X28" s="32">
        <v>42804</v>
      </c>
      <c r="Y28" s="43" t="s">
        <v>576</v>
      </c>
      <c r="AD28" s="31" t="s">
        <v>435</v>
      </c>
      <c r="AE28" s="34">
        <v>42804</v>
      </c>
      <c r="AJ28" s="31" t="s">
        <v>452</v>
      </c>
    </row>
    <row r="29" spans="1:36">
      <c r="A29" s="30">
        <v>28</v>
      </c>
      <c r="B29" s="31" t="s">
        <v>37</v>
      </c>
      <c r="C29" s="32">
        <v>42810</v>
      </c>
      <c r="D29" s="31" t="s">
        <v>223</v>
      </c>
      <c r="E29" s="31" t="s">
        <v>224</v>
      </c>
      <c r="F29" s="31" t="s">
        <v>225</v>
      </c>
      <c r="G29" s="40" t="s">
        <v>226</v>
      </c>
      <c r="H29" s="31" t="s">
        <v>86</v>
      </c>
      <c r="I29" s="31">
        <v>666729001</v>
      </c>
      <c r="K29" s="31" t="s">
        <v>223</v>
      </c>
      <c r="L29" s="34">
        <v>42825</v>
      </c>
      <c r="M29" s="31" t="s">
        <v>35</v>
      </c>
      <c r="N29" s="35" t="s">
        <v>453</v>
      </c>
      <c r="O29" s="38">
        <v>30</v>
      </c>
      <c r="P29" s="30">
        <v>1</v>
      </c>
      <c r="Q29" s="37">
        <v>0.21</v>
      </c>
      <c r="R29" s="38">
        <v>0</v>
      </c>
      <c r="S29" s="31" t="s">
        <v>36</v>
      </c>
      <c r="T29" s="39">
        <f t="shared" si="0"/>
        <v>36.299999999999997</v>
      </c>
      <c r="U29" s="31" t="s">
        <v>223</v>
      </c>
      <c r="W29" s="34">
        <v>29600</v>
      </c>
      <c r="X29" s="32">
        <v>42810</v>
      </c>
      <c r="Y29" s="41" t="s">
        <v>580</v>
      </c>
      <c r="AD29" s="31" t="s">
        <v>77</v>
      </c>
      <c r="AE29" s="34"/>
      <c r="AH29" s="34">
        <v>42832</v>
      </c>
    </row>
    <row r="30" spans="1:36">
      <c r="A30" s="30">
        <v>29</v>
      </c>
      <c r="B30" s="31" t="s">
        <v>438</v>
      </c>
      <c r="C30" s="32">
        <v>42811</v>
      </c>
      <c r="D30" s="31" t="s">
        <v>439</v>
      </c>
      <c r="E30" s="31" t="s">
        <v>440</v>
      </c>
      <c r="F30" s="31" t="s">
        <v>441</v>
      </c>
      <c r="G30" s="40" t="s">
        <v>221</v>
      </c>
      <c r="H30" s="31" t="s">
        <v>34</v>
      </c>
      <c r="I30" s="31">
        <v>630625427</v>
      </c>
      <c r="K30" s="31" t="s">
        <v>439</v>
      </c>
      <c r="L30" s="34">
        <v>42825</v>
      </c>
      <c r="M30" s="31" t="s">
        <v>35</v>
      </c>
      <c r="N30" s="35" t="s">
        <v>442</v>
      </c>
      <c r="O30" s="38">
        <v>60</v>
      </c>
      <c r="P30" s="30">
        <v>1</v>
      </c>
      <c r="Q30" s="37">
        <v>0.21</v>
      </c>
      <c r="R30" s="38">
        <v>0</v>
      </c>
      <c r="S30" s="31" t="s">
        <v>36</v>
      </c>
      <c r="T30" s="39">
        <f t="shared" si="0"/>
        <v>72.599999999999994</v>
      </c>
      <c r="U30" t="s">
        <v>443</v>
      </c>
      <c r="V30" s="40" t="s">
        <v>444</v>
      </c>
      <c r="W30" s="34">
        <v>34048</v>
      </c>
      <c r="X30" s="32">
        <v>42811</v>
      </c>
      <c r="Y30" t="s">
        <v>896</v>
      </c>
      <c r="Z30" s="34">
        <v>42902</v>
      </c>
      <c r="AD30" s="31" t="s">
        <v>77</v>
      </c>
      <c r="AE30" s="34">
        <v>42811</v>
      </c>
    </row>
    <row r="31" spans="1:36">
      <c r="A31" s="30">
        <v>30</v>
      </c>
      <c r="B31" s="31" t="s">
        <v>40</v>
      </c>
      <c r="C31" s="32">
        <v>42811</v>
      </c>
      <c r="D31" s="31" t="s">
        <v>445</v>
      </c>
      <c r="E31" s="31" t="s">
        <v>446</v>
      </c>
      <c r="F31" s="31" t="s">
        <v>447</v>
      </c>
      <c r="G31" s="40" t="s">
        <v>227</v>
      </c>
      <c r="H31" s="31" t="s">
        <v>203</v>
      </c>
      <c r="I31" s="31">
        <v>687466012</v>
      </c>
      <c r="K31" s="31" t="s">
        <v>445</v>
      </c>
      <c r="L31" s="34">
        <v>42825</v>
      </c>
      <c r="M31" s="31" t="s">
        <v>35</v>
      </c>
      <c r="N31" s="35" t="s">
        <v>448</v>
      </c>
      <c r="O31" s="38">
        <v>60</v>
      </c>
      <c r="P31" s="30">
        <v>1</v>
      </c>
      <c r="Q31" s="37">
        <v>0.21</v>
      </c>
      <c r="R31" s="38">
        <v>0</v>
      </c>
      <c r="S31" s="31" t="s">
        <v>36</v>
      </c>
      <c r="T31" s="39">
        <f t="shared" si="0"/>
        <v>72.599999999999994</v>
      </c>
      <c r="U31" s="31" t="s">
        <v>449</v>
      </c>
      <c r="V31" s="40" t="s">
        <v>450</v>
      </c>
      <c r="W31" s="34">
        <v>34990</v>
      </c>
      <c r="X31" s="32">
        <v>42811</v>
      </c>
      <c r="Y31" s="41" t="s">
        <v>577</v>
      </c>
      <c r="AD31" s="31" t="s">
        <v>77</v>
      </c>
      <c r="AE31" s="34">
        <v>42811</v>
      </c>
    </row>
    <row r="32" spans="1:36">
      <c r="A32" s="30">
        <v>31</v>
      </c>
      <c r="B32" s="31" t="s">
        <v>37</v>
      </c>
      <c r="C32" s="32">
        <v>42822</v>
      </c>
      <c r="D32" s="31" t="s">
        <v>327</v>
      </c>
      <c r="E32" s="31" t="s">
        <v>469</v>
      </c>
      <c r="F32" s="31" t="s">
        <v>468</v>
      </c>
      <c r="G32" s="40" t="s">
        <v>242</v>
      </c>
      <c r="H32" s="31" t="s">
        <v>86</v>
      </c>
      <c r="I32" s="31">
        <v>632866878</v>
      </c>
      <c r="K32" s="31" t="s">
        <v>327</v>
      </c>
      <c r="L32" s="34">
        <v>42825</v>
      </c>
      <c r="M32" s="31" t="s">
        <v>35</v>
      </c>
      <c r="N32" s="14" t="s">
        <v>470</v>
      </c>
      <c r="O32" s="38">
        <v>30</v>
      </c>
      <c r="P32" s="30">
        <v>1</v>
      </c>
      <c r="Q32" s="37">
        <v>0.21</v>
      </c>
      <c r="R32" s="38">
        <v>0</v>
      </c>
      <c r="S32" s="31" t="s">
        <v>36</v>
      </c>
      <c r="T32" s="39">
        <f t="shared" si="0"/>
        <v>36.299999999999997</v>
      </c>
      <c r="U32" t="s">
        <v>632</v>
      </c>
      <c r="W32" s="34">
        <v>42460</v>
      </c>
      <c r="X32" s="32">
        <v>42822</v>
      </c>
      <c r="Y32" s="11" t="s">
        <v>1326</v>
      </c>
      <c r="AD32" s="31" t="s">
        <v>652</v>
      </c>
      <c r="AE32" s="34"/>
      <c r="AH32" s="34">
        <v>42894</v>
      </c>
    </row>
    <row r="33" spans="1:36">
      <c r="A33" s="30">
        <v>32</v>
      </c>
      <c r="B33" s="31" t="s">
        <v>52</v>
      </c>
      <c r="C33" s="32">
        <v>42825</v>
      </c>
      <c r="D33" s="31" t="s">
        <v>458</v>
      </c>
      <c r="E33" s="31" t="s">
        <v>84</v>
      </c>
      <c r="F33" s="31" t="s">
        <v>138</v>
      </c>
      <c r="G33" s="40" t="s">
        <v>221</v>
      </c>
      <c r="H33" s="31" t="s">
        <v>34</v>
      </c>
      <c r="K33" s="31" t="s">
        <v>53</v>
      </c>
      <c r="L33" s="34">
        <v>42825</v>
      </c>
      <c r="M33" s="31" t="s">
        <v>35</v>
      </c>
      <c r="N33" s="35" t="s">
        <v>459</v>
      </c>
      <c r="O33" s="38">
        <v>60</v>
      </c>
      <c r="P33" s="30">
        <v>1</v>
      </c>
      <c r="Q33" s="37">
        <v>0.21</v>
      </c>
      <c r="R33" s="38">
        <v>0</v>
      </c>
      <c r="S33" s="31" t="s">
        <v>36</v>
      </c>
      <c r="T33" s="39">
        <f t="shared" si="0"/>
        <v>72.599999999999994</v>
      </c>
      <c r="U33" s="31" t="s">
        <v>460</v>
      </c>
      <c r="V33" s="40" t="s">
        <v>461</v>
      </c>
      <c r="W33" s="34">
        <v>31452</v>
      </c>
      <c r="X33" s="32">
        <v>42825</v>
      </c>
      <c r="Y33" s="41" t="s">
        <v>578</v>
      </c>
      <c r="AD33" s="31" t="s">
        <v>77</v>
      </c>
      <c r="AE33" s="34">
        <v>42825</v>
      </c>
      <c r="AH33" s="34">
        <v>42832</v>
      </c>
    </row>
    <row r="34" spans="1:36">
      <c r="A34" s="30">
        <v>33</v>
      </c>
      <c r="B34" s="31" t="s">
        <v>111</v>
      </c>
      <c r="C34" s="32">
        <v>42825</v>
      </c>
      <c r="D34" s="31" t="s">
        <v>462</v>
      </c>
      <c r="E34" s="31" t="s">
        <v>463</v>
      </c>
      <c r="F34" s="31" t="s">
        <v>464</v>
      </c>
      <c r="G34" s="40" t="s">
        <v>221</v>
      </c>
      <c r="H34" s="31" t="s">
        <v>34</v>
      </c>
      <c r="I34" s="31">
        <v>647653451</v>
      </c>
      <c r="K34" s="31" t="s">
        <v>462</v>
      </c>
      <c r="L34" s="34">
        <v>42825</v>
      </c>
      <c r="M34" s="31" t="s">
        <v>35</v>
      </c>
      <c r="N34" s="35" t="s">
        <v>465</v>
      </c>
      <c r="O34" s="38">
        <v>60</v>
      </c>
      <c r="P34" s="30">
        <v>1</v>
      </c>
      <c r="Q34" s="37">
        <v>0.21</v>
      </c>
      <c r="R34" s="38">
        <v>0</v>
      </c>
      <c r="S34" s="31" t="s">
        <v>36</v>
      </c>
      <c r="T34" s="39">
        <f t="shared" si="0"/>
        <v>72.599999999999994</v>
      </c>
      <c r="U34" s="31" t="s">
        <v>466</v>
      </c>
      <c r="V34" s="40" t="s">
        <v>467</v>
      </c>
      <c r="W34" s="34">
        <v>29922</v>
      </c>
      <c r="X34" s="32">
        <v>42825</v>
      </c>
      <c r="Y34" s="41" t="s">
        <v>782</v>
      </c>
      <c r="Z34" s="34">
        <v>42916</v>
      </c>
    </row>
    <row r="35" spans="1:36">
      <c r="A35" s="30">
        <v>34</v>
      </c>
      <c r="B35" s="31" t="s">
        <v>295</v>
      </c>
      <c r="C35" s="32">
        <v>42832</v>
      </c>
      <c r="D35" s="31" t="s">
        <v>296</v>
      </c>
      <c r="E35" s="31" t="s">
        <v>297</v>
      </c>
      <c r="F35" s="31" t="s">
        <v>298</v>
      </c>
      <c r="G35" s="33" t="s">
        <v>299</v>
      </c>
      <c r="H35" s="31" t="s">
        <v>300</v>
      </c>
      <c r="I35" s="31" t="s">
        <v>301</v>
      </c>
      <c r="K35" s="31" t="s">
        <v>296</v>
      </c>
      <c r="L35" s="34">
        <v>42855</v>
      </c>
      <c r="M35" s="31" t="s">
        <v>35</v>
      </c>
      <c r="N35" s="35" t="s">
        <v>473</v>
      </c>
      <c r="O35" s="36">
        <v>41.32</v>
      </c>
      <c r="P35" s="30">
        <v>1</v>
      </c>
      <c r="Q35" s="37">
        <v>0.21</v>
      </c>
      <c r="R35" s="38">
        <v>0</v>
      </c>
      <c r="S35" s="31" t="s">
        <v>36</v>
      </c>
      <c r="T35" s="39">
        <f t="shared" ref="T35:T44" si="1">(O35*P35)*Q35+O35*P35</f>
        <v>49.997199999999999</v>
      </c>
      <c r="U35" s="31" t="s">
        <v>474</v>
      </c>
      <c r="W35" s="34">
        <v>26945</v>
      </c>
      <c r="X35" s="32">
        <v>42832</v>
      </c>
      <c r="Y35" s="41" t="s">
        <v>151</v>
      </c>
      <c r="Z35" s="30"/>
      <c r="AE35" s="42"/>
    </row>
    <row r="36" spans="1:36">
      <c r="A36" s="30">
        <v>35</v>
      </c>
      <c r="B36" s="31" t="s">
        <v>52</v>
      </c>
      <c r="C36" s="32">
        <v>42832</v>
      </c>
      <c r="D36" s="31" t="s">
        <v>418</v>
      </c>
      <c r="E36" s="31" t="s">
        <v>182</v>
      </c>
      <c r="F36" s="31" t="s">
        <v>540</v>
      </c>
      <c r="G36" s="33" t="s">
        <v>227</v>
      </c>
      <c r="H36" s="31" t="s">
        <v>203</v>
      </c>
      <c r="K36" s="31" t="s">
        <v>53</v>
      </c>
      <c r="L36" s="34">
        <v>42855</v>
      </c>
      <c r="M36" s="31" t="s">
        <v>35</v>
      </c>
      <c r="N36" s="35" t="s">
        <v>475</v>
      </c>
      <c r="O36" s="38">
        <v>41.32</v>
      </c>
      <c r="P36" s="30">
        <v>1</v>
      </c>
      <c r="Q36" s="37">
        <v>0.21</v>
      </c>
      <c r="R36" s="38">
        <v>0</v>
      </c>
      <c r="S36" s="31" t="s">
        <v>36</v>
      </c>
      <c r="T36" s="39">
        <f t="shared" si="1"/>
        <v>49.997199999999999</v>
      </c>
      <c r="W36" s="34">
        <v>31554</v>
      </c>
      <c r="X36" s="32">
        <v>42832</v>
      </c>
      <c r="Y36" s="41" t="s">
        <v>151</v>
      </c>
    </row>
    <row r="37" spans="1:36">
      <c r="A37" s="30">
        <v>36</v>
      </c>
      <c r="B37" s="31" t="s">
        <v>260</v>
      </c>
      <c r="C37" s="32">
        <v>42832</v>
      </c>
      <c r="D37" s="31" t="s">
        <v>175</v>
      </c>
      <c r="E37" s="31" t="s">
        <v>196</v>
      </c>
      <c r="F37" s="31" t="s">
        <v>188</v>
      </c>
      <c r="G37" s="33" t="s">
        <v>220</v>
      </c>
      <c r="H37" s="31" t="s">
        <v>92</v>
      </c>
      <c r="I37" s="31">
        <v>687885782</v>
      </c>
      <c r="K37" s="31" t="s">
        <v>175</v>
      </c>
      <c r="L37" s="34">
        <v>42855</v>
      </c>
      <c r="M37" s="31" t="s">
        <v>35</v>
      </c>
      <c r="N37" s="35" t="s">
        <v>476</v>
      </c>
      <c r="O37" s="36">
        <v>60</v>
      </c>
      <c r="P37" s="30">
        <v>1</v>
      </c>
      <c r="Q37" s="37">
        <v>0.21</v>
      </c>
      <c r="R37" s="38">
        <v>0</v>
      </c>
      <c r="S37" s="31" t="s">
        <v>36</v>
      </c>
      <c r="T37" s="39">
        <f t="shared" si="1"/>
        <v>72.599999999999994</v>
      </c>
      <c r="U37" s="31" t="s">
        <v>477</v>
      </c>
      <c r="V37" s="40" t="s">
        <v>478</v>
      </c>
      <c r="W37" s="34">
        <v>25288</v>
      </c>
      <c r="X37" s="32">
        <v>42832</v>
      </c>
      <c r="Y37" s="41" t="s">
        <v>579</v>
      </c>
      <c r="Z37" s="30"/>
      <c r="AD37" s="31" t="s">
        <v>77</v>
      </c>
      <c r="AE37" s="42">
        <v>42832</v>
      </c>
      <c r="AH37" s="34"/>
    </row>
    <row r="38" spans="1:36">
      <c r="A38" s="30">
        <v>37</v>
      </c>
      <c r="B38" s="31" t="s">
        <v>260</v>
      </c>
      <c r="C38" s="32">
        <v>42832</v>
      </c>
      <c r="D38" s="31" t="s">
        <v>175</v>
      </c>
      <c r="E38" s="31" t="s">
        <v>196</v>
      </c>
      <c r="F38" s="31" t="s">
        <v>188</v>
      </c>
      <c r="G38" s="40" t="s">
        <v>220</v>
      </c>
      <c r="H38" s="31" t="s">
        <v>92</v>
      </c>
      <c r="K38" s="31" t="s">
        <v>175</v>
      </c>
      <c r="L38" s="34">
        <v>42855</v>
      </c>
      <c r="M38" s="31" t="s">
        <v>35</v>
      </c>
      <c r="N38" s="35" t="s">
        <v>479</v>
      </c>
      <c r="O38" s="36">
        <v>60</v>
      </c>
      <c r="P38" s="30">
        <v>1</v>
      </c>
      <c r="Q38" s="37">
        <v>0.21</v>
      </c>
      <c r="R38" s="38">
        <v>0</v>
      </c>
      <c r="S38" s="31" t="s">
        <v>36</v>
      </c>
      <c r="T38" s="39">
        <f t="shared" si="1"/>
        <v>72.599999999999994</v>
      </c>
      <c r="U38" s="31" t="s">
        <v>94</v>
      </c>
      <c r="V38" s="40" t="s">
        <v>480</v>
      </c>
      <c r="W38" s="34">
        <v>26463</v>
      </c>
      <c r="X38" s="32">
        <v>42832</v>
      </c>
      <c r="Y38" s="41" t="s">
        <v>579</v>
      </c>
      <c r="AD38" s="31" t="s">
        <v>77</v>
      </c>
      <c r="AE38" s="34">
        <v>42832</v>
      </c>
    </row>
    <row r="39" spans="1:36">
      <c r="A39" s="30">
        <v>38</v>
      </c>
      <c r="B39" s="31" t="s">
        <v>260</v>
      </c>
      <c r="C39" s="32">
        <v>42832</v>
      </c>
      <c r="D39" s="31" t="s">
        <v>175</v>
      </c>
      <c r="E39" s="31" t="s">
        <v>196</v>
      </c>
      <c r="F39" s="31" t="s">
        <v>188</v>
      </c>
      <c r="G39" s="40" t="s">
        <v>220</v>
      </c>
      <c r="H39" s="31" t="s">
        <v>92</v>
      </c>
      <c r="K39" s="31" t="s">
        <v>175</v>
      </c>
      <c r="L39" s="34">
        <v>42855</v>
      </c>
      <c r="M39" s="31" t="s">
        <v>35</v>
      </c>
      <c r="N39" s="35" t="s">
        <v>481</v>
      </c>
      <c r="O39" s="36">
        <v>60</v>
      </c>
      <c r="P39" s="30">
        <v>1</v>
      </c>
      <c r="Q39" s="37">
        <v>0.21</v>
      </c>
      <c r="R39" s="38">
        <v>0</v>
      </c>
      <c r="S39" s="31" t="s">
        <v>36</v>
      </c>
      <c r="T39" s="39">
        <f t="shared" si="1"/>
        <v>72.599999999999994</v>
      </c>
      <c r="U39" s="31" t="s">
        <v>97</v>
      </c>
      <c r="V39" s="40" t="s">
        <v>482</v>
      </c>
      <c r="W39" s="34">
        <v>29820</v>
      </c>
      <c r="X39" s="32">
        <v>42832</v>
      </c>
      <c r="Y39" s="41" t="s">
        <v>579</v>
      </c>
      <c r="AD39" s="31" t="s">
        <v>77</v>
      </c>
      <c r="AE39" s="34">
        <v>42832</v>
      </c>
    </row>
    <row r="40" spans="1:36">
      <c r="A40" s="30">
        <v>39</v>
      </c>
      <c r="B40" s="31" t="s">
        <v>260</v>
      </c>
      <c r="C40" s="32">
        <v>42832</v>
      </c>
      <c r="D40" s="31" t="s">
        <v>175</v>
      </c>
      <c r="E40" s="31" t="s">
        <v>196</v>
      </c>
      <c r="F40" s="31" t="s">
        <v>188</v>
      </c>
      <c r="G40" s="40" t="s">
        <v>220</v>
      </c>
      <c r="H40" s="31" t="s">
        <v>92</v>
      </c>
      <c r="K40" s="31" t="s">
        <v>175</v>
      </c>
      <c r="L40" s="34">
        <v>42855</v>
      </c>
      <c r="M40" s="31" t="s">
        <v>35</v>
      </c>
      <c r="N40" s="35" t="s">
        <v>483</v>
      </c>
      <c r="O40" s="36">
        <v>60</v>
      </c>
      <c r="P40" s="30">
        <v>1</v>
      </c>
      <c r="Q40" s="37">
        <v>0.21</v>
      </c>
      <c r="R40" s="38">
        <v>0</v>
      </c>
      <c r="S40" s="31" t="s">
        <v>36</v>
      </c>
      <c r="T40" s="39">
        <f t="shared" si="1"/>
        <v>72.599999999999994</v>
      </c>
      <c r="U40" s="31" t="s">
        <v>136</v>
      </c>
      <c r="V40" s="40" t="s">
        <v>484</v>
      </c>
      <c r="W40" s="34">
        <v>32204</v>
      </c>
      <c r="X40" s="32">
        <v>42832</v>
      </c>
      <c r="Y40" s="41" t="s">
        <v>579</v>
      </c>
      <c r="AD40" s="31" t="s">
        <v>77</v>
      </c>
      <c r="AE40" s="34">
        <v>42832</v>
      </c>
    </row>
    <row r="41" spans="1:36">
      <c r="A41" s="30">
        <v>40</v>
      </c>
      <c r="B41" s="31" t="s">
        <v>40</v>
      </c>
      <c r="C41" s="32">
        <v>42832</v>
      </c>
      <c r="D41" s="31" t="s">
        <v>485</v>
      </c>
      <c r="E41" s="31" t="s">
        <v>486</v>
      </c>
      <c r="F41" s="31" t="s">
        <v>231</v>
      </c>
      <c r="G41" s="40" t="s">
        <v>221</v>
      </c>
      <c r="H41" s="31" t="s">
        <v>34</v>
      </c>
      <c r="I41" s="31">
        <v>631031425</v>
      </c>
      <c r="K41" s="31" t="s">
        <v>485</v>
      </c>
      <c r="L41" s="34">
        <v>42855</v>
      </c>
      <c r="M41" s="31" t="s">
        <v>35</v>
      </c>
      <c r="N41" s="35" t="s">
        <v>487</v>
      </c>
      <c r="O41" s="36">
        <v>60</v>
      </c>
      <c r="P41" s="30">
        <v>1</v>
      </c>
      <c r="Q41" s="37">
        <v>0.21</v>
      </c>
      <c r="R41" s="38">
        <v>0</v>
      </c>
      <c r="S41" s="31" t="s">
        <v>36</v>
      </c>
      <c r="T41" s="39">
        <f t="shared" si="1"/>
        <v>72.599999999999994</v>
      </c>
      <c r="U41" s="31" t="s">
        <v>488</v>
      </c>
      <c r="V41" s="40" t="s">
        <v>489</v>
      </c>
      <c r="W41" s="34">
        <v>28875</v>
      </c>
      <c r="X41" s="32">
        <v>42832</v>
      </c>
      <c r="Y41" s="47" t="s">
        <v>765</v>
      </c>
      <c r="Z41" s="34">
        <v>42888</v>
      </c>
    </row>
    <row r="42" spans="1:36">
      <c r="A42" s="30">
        <v>41</v>
      </c>
      <c r="B42" s="31" t="s">
        <v>82</v>
      </c>
      <c r="C42" s="32">
        <v>42832</v>
      </c>
      <c r="D42" s="31" t="s">
        <v>263</v>
      </c>
      <c r="E42" s="31" t="s">
        <v>264</v>
      </c>
      <c r="F42" s="31" t="s">
        <v>490</v>
      </c>
      <c r="G42" s="40" t="s">
        <v>250</v>
      </c>
      <c r="H42" s="31" t="s">
        <v>86</v>
      </c>
      <c r="I42" s="31">
        <v>657359536</v>
      </c>
      <c r="K42" s="31" t="s">
        <v>263</v>
      </c>
      <c r="L42" s="34">
        <v>42855</v>
      </c>
      <c r="M42" s="31" t="s">
        <v>35</v>
      </c>
      <c r="N42" s="35" t="s">
        <v>491</v>
      </c>
      <c r="O42" s="36">
        <v>60</v>
      </c>
      <c r="P42" s="30">
        <v>1</v>
      </c>
      <c r="Q42" s="37">
        <v>0.21</v>
      </c>
      <c r="R42" s="38">
        <v>0</v>
      </c>
      <c r="S42" s="31" t="s">
        <v>36</v>
      </c>
      <c r="T42" s="39">
        <f t="shared" si="1"/>
        <v>72.599999999999994</v>
      </c>
      <c r="U42" s="31" t="s">
        <v>492</v>
      </c>
      <c r="V42" s="40" t="s">
        <v>493</v>
      </c>
      <c r="W42" s="34">
        <v>30174</v>
      </c>
      <c r="X42" s="32">
        <v>42832</v>
      </c>
      <c r="Y42" s="43" t="s">
        <v>633</v>
      </c>
      <c r="AD42" s="31" t="s">
        <v>77</v>
      </c>
      <c r="AE42" s="34">
        <v>42832</v>
      </c>
      <c r="AJ42" s="31" t="s">
        <v>559</v>
      </c>
    </row>
    <row r="43" spans="1:36">
      <c r="A43" s="30">
        <v>42</v>
      </c>
      <c r="B43" s="31" t="s">
        <v>119</v>
      </c>
      <c r="C43" s="32">
        <v>42832</v>
      </c>
      <c r="D43" s="31" t="s">
        <v>494</v>
      </c>
      <c r="E43" s="31" t="s">
        <v>495</v>
      </c>
      <c r="F43" s="31" t="s">
        <v>496</v>
      </c>
      <c r="G43" s="40" t="s">
        <v>242</v>
      </c>
      <c r="H43" s="31" t="s">
        <v>86</v>
      </c>
      <c r="I43" s="31">
        <v>602340326</v>
      </c>
      <c r="K43" s="31" t="s">
        <v>174</v>
      </c>
      <c r="L43" s="34">
        <v>42855</v>
      </c>
      <c r="M43" s="31" t="s">
        <v>35</v>
      </c>
      <c r="N43" s="35" t="s">
        <v>497</v>
      </c>
      <c r="O43" s="36">
        <v>60</v>
      </c>
      <c r="P43" s="30">
        <v>1</v>
      </c>
      <c r="Q43" s="37">
        <v>0.21</v>
      </c>
      <c r="R43" s="38">
        <v>0</v>
      </c>
      <c r="S43" s="31" t="s">
        <v>36</v>
      </c>
      <c r="T43" s="39">
        <f t="shared" si="1"/>
        <v>72.599999999999994</v>
      </c>
      <c r="U43" s="31" t="s">
        <v>498</v>
      </c>
      <c r="V43" s="40" t="s">
        <v>499</v>
      </c>
      <c r="W43" s="34">
        <v>35859</v>
      </c>
      <c r="X43" s="32">
        <v>42832</v>
      </c>
      <c r="Y43" s="41" t="s">
        <v>579</v>
      </c>
      <c r="AD43" s="31" t="s">
        <v>77</v>
      </c>
      <c r="AE43" s="34">
        <v>42832</v>
      </c>
      <c r="AH43" s="34">
        <v>42846</v>
      </c>
    </row>
    <row r="44" spans="1:36">
      <c r="A44" s="30">
        <v>43</v>
      </c>
      <c r="B44" s="31" t="s">
        <v>37</v>
      </c>
      <c r="C44" s="32">
        <v>42836</v>
      </c>
      <c r="D44" s="31" t="s">
        <v>75</v>
      </c>
      <c r="E44" s="31" t="s">
        <v>76</v>
      </c>
      <c r="F44" s="31" t="s">
        <v>181</v>
      </c>
      <c r="G44" s="40" t="s">
        <v>219</v>
      </c>
      <c r="H44" s="31" t="s">
        <v>38</v>
      </c>
      <c r="I44" s="31">
        <v>632256791</v>
      </c>
      <c r="K44" s="31" t="s">
        <v>75</v>
      </c>
      <c r="L44" s="34">
        <v>42855</v>
      </c>
      <c r="M44" s="31" t="s">
        <v>35</v>
      </c>
      <c r="N44" s="35" t="s">
        <v>537</v>
      </c>
      <c r="O44" s="36">
        <v>30</v>
      </c>
      <c r="P44" s="30">
        <v>1</v>
      </c>
      <c r="Q44" s="37">
        <v>0.21</v>
      </c>
      <c r="R44" s="38">
        <v>0</v>
      </c>
      <c r="S44" s="31" t="s">
        <v>36</v>
      </c>
      <c r="T44" s="39">
        <f t="shared" si="1"/>
        <v>36.299999999999997</v>
      </c>
      <c r="U44" s="31" t="s">
        <v>75</v>
      </c>
      <c r="W44" s="34">
        <v>30333</v>
      </c>
      <c r="X44" s="32">
        <v>42836</v>
      </c>
      <c r="Y44" s="41" t="s">
        <v>579</v>
      </c>
      <c r="AE44" s="34"/>
      <c r="AH44" s="34"/>
    </row>
    <row r="45" spans="1:36">
      <c r="A45" s="30">
        <v>44</v>
      </c>
      <c r="B45" s="31" t="s">
        <v>52</v>
      </c>
      <c r="C45" s="32">
        <v>42837</v>
      </c>
      <c r="D45" s="31" t="s">
        <v>418</v>
      </c>
      <c r="E45" s="31" t="s">
        <v>182</v>
      </c>
      <c r="F45" s="31" t="s">
        <v>540</v>
      </c>
      <c r="G45" s="33" t="s">
        <v>227</v>
      </c>
      <c r="H45" s="31" t="s">
        <v>203</v>
      </c>
      <c r="K45" s="31" t="s">
        <v>53</v>
      </c>
      <c r="L45" s="34">
        <v>42855</v>
      </c>
      <c r="M45" s="31" t="s">
        <v>35</v>
      </c>
      <c r="N45" s="35" t="s">
        <v>502</v>
      </c>
      <c r="O45" s="38">
        <v>41.32</v>
      </c>
      <c r="P45" s="30">
        <v>1</v>
      </c>
      <c r="Q45" s="37">
        <v>0.21</v>
      </c>
      <c r="R45" s="38">
        <v>0</v>
      </c>
      <c r="S45" s="31" t="s">
        <v>36</v>
      </c>
      <c r="T45" s="39">
        <f>(O45*P45)*Q45+O45*P45</f>
        <v>49.997199999999999</v>
      </c>
      <c r="U45" s="31" t="s">
        <v>503</v>
      </c>
      <c r="W45" s="34">
        <v>31042</v>
      </c>
      <c r="X45" s="32">
        <v>42837</v>
      </c>
      <c r="Y45" s="41" t="s">
        <v>151</v>
      </c>
    </row>
    <row r="46" spans="1:36">
      <c r="A46" s="30">
        <v>45</v>
      </c>
      <c r="B46" s="31" t="s">
        <v>52</v>
      </c>
      <c r="C46" s="32">
        <v>42845</v>
      </c>
      <c r="D46" s="31" t="s">
        <v>418</v>
      </c>
      <c r="E46" s="31" t="s">
        <v>182</v>
      </c>
      <c r="F46" s="31" t="s">
        <v>540</v>
      </c>
      <c r="G46" s="33" t="s">
        <v>227</v>
      </c>
      <c r="H46" s="31" t="s">
        <v>203</v>
      </c>
      <c r="K46" s="31" t="s">
        <v>53</v>
      </c>
      <c r="L46" s="34">
        <v>42855</v>
      </c>
      <c r="M46" s="31" t="s">
        <v>35</v>
      </c>
      <c r="N46" s="35" t="s">
        <v>506</v>
      </c>
      <c r="O46" s="38">
        <v>41.32</v>
      </c>
      <c r="P46" s="30">
        <v>1</v>
      </c>
      <c r="Q46" s="37">
        <v>0.21</v>
      </c>
      <c r="R46" s="38">
        <v>0</v>
      </c>
      <c r="S46" s="31" t="s">
        <v>36</v>
      </c>
      <c r="T46" s="39">
        <f>(O46*P46)*Q46+O46*P46</f>
        <v>49.997199999999999</v>
      </c>
      <c r="U46" s="31" t="s">
        <v>507</v>
      </c>
      <c r="W46" s="34">
        <v>34107</v>
      </c>
      <c r="X46" s="32">
        <v>42845</v>
      </c>
      <c r="Y46" s="41" t="s">
        <v>151</v>
      </c>
    </row>
    <row r="47" spans="1:36">
      <c r="A47" s="30">
        <v>46</v>
      </c>
      <c r="B47" s="31" t="s">
        <v>438</v>
      </c>
      <c r="C47" s="32">
        <v>42845</v>
      </c>
      <c r="D47" s="31" t="s">
        <v>228</v>
      </c>
      <c r="E47" s="31" t="s">
        <v>229</v>
      </c>
      <c r="F47" s="31" t="s">
        <v>56</v>
      </c>
      <c r="G47" s="33" t="s">
        <v>230</v>
      </c>
      <c r="H47" s="31" t="s">
        <v>183</v>
      </c>
      <c r="K47" s="31" t="s">
        <v>228</v>
      </c>
      <c r="L47" s="34">
        <v>42855</v>
      </c>
      <c r="M47" s="31" t="s">
        <v>35</v>
      </c>
      <c r="N47" s="35" t="s">
        <v>508</v>
      </c>
      <c r="O47" s="38">
        <v>41.32</v>
      </c>
      <c r="P47" s="30">
        <v>1</v>
      </c>
      <c r="Q47" s="37">
        <v>0.21</v>
      </c>
      <c r="R47" s="38">
        <v>0</v>
      </c>
      <c r="S47" s="31" t="s">
        <v>36</v>
      </c>
      <c r="T47" s="39">
        <f>(O47*P47)*Q47+O47*P47</f>
        <v>49.997199999999999</v>
      </c>
      <c r="U47" s="31" t="s">
        <v>509</v>
      </c>
      <c r="W47" s="34"/>
      <c r="X47" s="32">
        <v>42845</v>
      </c>
      <c r="Y47" s="41" t="s">
        <v>151</v>
      </c>
    </row>
    <row r="48" spans="1:36">
      <c r="A48" s="30">
        <v>47</v>
      </c>
      <c r="B48" s="31" t="s">
        <v>260</v>
      </c>
      <c r="C48" s="32">
        <v>42845</v>
      </c>
      <c r="D48" s="31" t="s">
        <v>175</v>
      </c>
      <c r="E48" s="31" t="s">
        <v>196</v>
      </c>
      <c r="F48" s="31" t="s">
        <v>188</v>
      </c>
      <c r="G48" s="40" t="s">
        <v>220</v>
      </c>
      <c r="H48" s="31" t="s">
        <v>92</v>
      </c>
      <c r="K48" s="31" t="s">
        <v>175</v>
      </c>
      <c r="L48" s="34">
        <v>42855</v>
      </c>
      <c r="M48" s="31" t="s">
        <v>35</v>
      </c>
      <c r="N48" s="35" t="s">
        <v>510</v>
      </c>
      <c r="O48" s="36">
        <v>60</v>
      </c>
      <c r="P48" s="30">
        <v>1</v>
      </c>
      <c r="Q48" s="37">
        <v>0.21</v>
      </c>
      <c r="R48" s="38">
        <v>0</v>
      </c>
      <c r="S48" s="31" t="s">
        <v>36</v>
      </c>
      <c r="T48" s="39">
        <f>(O48*P48)*Q48+O48*P48</f>
        <v>72.599999999999994</v>
      </c>
      <c r="U48" s="31" t="s">
        <v>511</v>
      </c>
      <c r="V48" s="40" t="s">
        <v>512</v>
      </c>
      <c r="W48" s="34">
        <v>26947</v>
      </c>
      <c r="X48" s="32">
        <v>42845</v>
      </c>
      <c r="Y48" s="41" t="s">
        <v>579</v>
      </c>
      <c r="AE48" s="34"/>
    </row>
    <row r="49" spans="1:34">
      <c r="A49" s="30">
        <v>48</v>
      </c>
      <c r="B49" s="31" t="s">
        <v>260</v>
      </c>
      <c r="C49" s="32">
        <v>42845</v>
      </c>
      <c r="D49" s="31" t="s">
        <v>175</v>
      </c>
      <c r="E49" s="31" t="s">
        <v>196</v>
      </c>
      <c r="F49" s="31" t="s">
        <v>188</v>
      </c>
      <c r="G49" s="40" t="s">
        <v>220</v>
      </c>
      <c r="H49" s="31" t="s">
        <v>92</v>
      </c>
      <c r="K49" s="31" t="s">
        <v>175</v>
      </c>
      <c r="L49" s="34">
        <v>42855</v>
      </c>
      <c r="M49" s="31" t="s">
        <v>35</v>
      </c>
      <c r="N49" s="35" t="s">
        <v>513</v>
      </c>
      <c r="O49" s="36">
        <v>60</v>
      </c>
      <c r="P49" s="30">
        <v>1</v>
      </c>
      <c r="Q49" s="37">
        <v>0.21</v>
      </c>
      <c r="R49" s="38">
        <v>0</v>
      </c>
      <c r="S49" s="31" t="s">
        <v>36</v>
      </c>
      <c r="T49" s="39">
        <f t="shared" ref="T49:T63" si="2">(O49*P49)*Q49+O49*P49</f>
        <v>72.599999999999994</v>
      </c>
      <c r="U49" s="31" t="s">
        <v>514</v>
      </c>
      <c r="V49" s="40" t="s">
        <v>515</v>
      </c>
      <c r="W49" s="34">
        <v>32480</v>
      </c>
      <c r="X49" s="32">
        <v>42845</v>
      </c>
      <c r="Y49" s="41" t="s">
        <v>579</v>
      </c>
      <c r="AE49" s="34"/>
    </row>
    <row r="50" spans="1:34">
      <c r="A50" s="30">
        <v>49</v>
      </c>
      <c r="B50" s="31" t="s">
        <v>260</v>
      </c>
      <c r="C50" s="32">
        <v>42845</v>
      </c>
      <c r="D50" s="31" t="s">
        <v>175</v>
      </c>
      <c r="E50" s="31" t="s">
        <v>196</v>
      </c>
      <c r="F50" s="31" t="s">
        <v>188</v>
      </c>
      <c r="G50" s="40" t="s">
        <v>220</v>
      </c>
      <c r="H50" s="31" t="s">
        <v>92</v>
      </c>
      <c r="K50" s="31" t="s">
        <v>175</v>
      </c>
      <c r="L50" s="34">
        <v>42855</v>
      </c>
      <c r="M50" s="31" t="s">
        <v>35</v>
      </c>
      <c r="N50" s="35" t="s">
        <v>516</v>
      </c>
      <c r="O50" s="36">
        <v>60</v>
      </c>
      <c r="P50" s="30">
        <v>1</v>
      </c>
      <c r="Q50" s="37">
        <v>0.21</v>
      </c>
      <c r="R50" s="38">
        <v>0</v>
      </c>
      <c r="S50" s="31" t="s">
        <v>36</v>
      </c>
      <c r="T50" s="39">
        <f t="shared" si="2"/>
        <v>72.599999999999994</v>
      </c>
      <c r="U50" s="31" t="s">
        <v>517</v>
      </c>
      <c r="V50" s="40" t="s">
        <v>518</v>
      </c>
      <c r="W50" s="34">
        <v>29712</v>
      </c>
      <c r="X50" s="32">
        <v>42845</v>
      </c>
      <c r="Y50" s="41" t="s">
        <v>579</v>
      </c>
      <c r="AE50" s="34"/>
    </row>
    <row r="51" spans="1:34">
      <c r="A51" s="30">
        <v>50</v>
      </c>
      <c r="B51" s="31" t="s">
        <v>260</v>
      </c>
      <c r="C51" s="32">
        <v>42845</v>
      </c>
      <c r="D51" s="31" t="s">
        <v>175</v>
      </c>
      <c r="E51" s="31" t="s">
        <v>196</v>
      </c>
      <c r="F51" s="31" t="s">
        <v>188</v>
      </c>
      <c r="G51" s="40" t="s">
        <v>220</v>
      </c>
      <c r="H51" s="31" t="s">
        <v>92</v>
      </c>
      <c r="K51" s="31" t="s">
        <v>175</v>
      </c>
      <c r="L51" s="34">
        <v>42855</v>
      </c>
      <c r="M51" s="31" t="s">
        <v>35</v>
      </c>
      <c r="N51" s="35" t="s">
        <v>519</v>
      </c>
      <c r="O51" s="36">
        <v>60</v>
      </c>
      <c r="P51" s="30">
        <v>1</v>
      </c>
      <c r="Q51" s="37">
        <v>0.21</v>
      </c>
      <c r="R51" s="38">
        <v>0</v>
      </c>
      <c r="S51" s="31" t="s">
        <v>36</v>
      </c>
      <c r="T51" s="39">
        <f t="shared" si="2"/>
        <v>72.599999999999994</v>
      </c>
      <c r="U51" s="31" t="s">
        <v>520</v>
      </c>
      <c r="V51" s="40" t="s">
        <v>521</v>
      </c>
      <c r="W51" s="34">
        <v>31464</v>
      </c>
      <c r="X51" s="32">
        <v>42845</v>
      </c>
      <c r="Y51" s="41" t="s">
        <v>579</v>
      </c>
      <c r="AE51" s="34"/>
    </row>
    <row r="52" spans="1:34">
      <c r="A52" s="30">
        <v>51</v>
      </c>
      <c r="B52" s="31" t="s">
        <v>260</v>
      </c>
      <c r="C52" s="32">
        <v>42845</v>
      </c>
      <c r="D52" s="31" t="s">
        <v>175</v>
      </c>
      <c r="E52" s="31" t="s">
        <v>196</v>
      </c>
      <c r="F52" s="31" t="s">
        <v>188</v>
      </c>
      <c r="G52" s="40" t="s">
        <v>220</v>
      </c>
      <c r="H52" s="31" t="s">
        <v>92</v>
      </c>
      <c r="K52" s="31" t="s">
        <v>175</v>
      </c>
      <c r="L52" s="34">
        <v>42855</v>
      </c>
      <c r="M52" s="31" t="s">
        <v>35</v>
      </c>
      <c r="N52" s="35" t="s">
        <v>522</v>
      </c>
      <c r="O52" s="36">
        <v>60</v>
      </c>
      <c r="P52" s="30">
        <v>1</v>
      </c>
      <c r="Q52" s="37">
        <v>0.21</v>
      </c>
      <c r="R52" s="38">
        <v>0</v>
      </c>
      <c r="S52" s="31" t="s">
        <v>36</v>
      </c>
      <c r="T52" s="39">
        <f t="shared" si="2"/>
        <v>72.599999999999994</v>
      </c>
      <c r="U52" s="31" t="s">
        <v>523</v>
      </c>
      <c r="V52" s="40" t="s">
        <v>524</v>
      </c>
      <c r="W52" s="34">
        <v>36160</v>
      </c>
      <c r="X52" s="32">
        <v>42845</v>
      </c>
      <c r="Y52" s="41" t="s">
        <v>579</v>
      </c>
      <c r="AE52" s="34"/>
    </row>
    <row r="53" spans="1:34">
      <c r="A53" s="30">
        <v>52</v>
      </c>
      <c r="B53" s="31" t="s">
        <v>260</v>
      </c>
      <c r="C53" s="32">
        <v>42845</v>
      </c>
      <c r="D53" s="31" t="s">
        <v>175</v>
      </c>
      <c r="E53" s="31" t="s">
        <v>196</v>
      </c>
      <c r="F53" s="31" t="s">
        <v>188</v>
      </c>
      <c r="G53" s="40" t="s">
        <v>220</v>
      </c>
      <c r="H53" s="31" t="s">
        <v>92</v>
      </c>
      <c r="K53" s="31" t="s">
        <v>175</v>
      </c>
      <c r="L53" s="34">
        <v>42855</v>
      </c>
      <c r="M53" s="31" t="s">
        <v>35</v>
      </c>
      <c r="N53" s="35" t="s">
        <v>525</v>
      </c>
      <c r="O53" s="36">
        <v>60</v>
      </c>
      <c r="P53" s="30">
        <v>1</v>
      </c>
      <c r="Q53" s="37">
        <v>0.21</v>
      </c>
      <c r="R53" s="38">
        <v>0</v>
      </c>
      <c r="S53" s="31" t="s">
        <v>36</v>
      </c>
      <c r="T53" s="39">
        <f t="shared" si="2"/>
        <v>72.599999999999994</v>
      </c>
      <c r="U53" s="31" t="s">
        <v>98</v>
      </c>
      <c r="V53" s="40" t="s">
        <v>526</v>
      </c>
      <c r="W53" s="34">
        <v>31022</v>
      </c>
      <c r="X53" s="32">
        <v>42845</v>
      </c>
      <c r="Y53" s="41" t="s">
        <v>579</v>
      </c>
      <c r="AE53" s="34"/>
    </row>
    <row r="54" spans="1:34">
      <c r="A54" s="30">
        <v>53</v>
      </c>
      <c r="B54" s="31" t="s">
        <v>260</v>
      </c>
      <c r="C54" s="32">
        <v>42845</v>
      </c>
      <c r="D54" s="31" t="s">
        <v>175</v>
      </c>
      <c r="E54" s="31" t="s">
        <v>196</v>
      </c>
      <c r="F54" s="31" t="s">
        <v>188</v>
      </c>
      <c r="G54" s="40" t="s">
        <v>220</v>
      </c>
      <c r="H54" s="31" t="s">
        <v>92</v>
      </c>
      <c r="K54" s="31" t="s">
        <v>175</v>
      </c>
      <c r="L54" s="34">
        <v>42855</v>
      </c>
      <c r="M54" s="31" t="s">
        <v>35</v>
      </c>
      <c r="N54" s="35" t="s">
        <v>527</v>
      </c>
      <c r="O54" s="36">
        <v>60</v>
      </c>
      <c r="P54" s="30">
        <v>1</v>
      </c>
      <c r="Q54" s="37">
        <v>0.21</v>
      </c>
      <c r="R54" s="38">
        <v>0</v>
      </c>
      <c r="S54" s="31" t="s">
        <v>36</v>
      </c>
      <c r="T54" s="39">
        <f t="shared" si="2"/>
        <v>72.599999999999994</v>
      </c>
      <c r="U54" s="31" t="s">
        <v>95</v>
      </c>
      <c r="V54" s="40" t="s">
        <v>528</v>
      </c>
      <c r="W54" s="34">
        <v>27312</v>
      </c>
      <c r="X54" s="32">
        <v>42845</v>
      </c>
      <c r="Y54" s="41" t="s">
        <v>579</v>
      </c>
      <c r="AE54" s="34"/>
    </row>
    <row r="55" spans="1:34">
      <c r="A55" s="30">
        <v>54</v>
      </c>
      <c r="B55" s="31" t="s">
        <v>260</v>
      </c>
      <c r="C55" s="32">
        <v>42845</v>
      </c>
      <c r="D55" s="31" t="s">
        <v>175</v>
      </c>
      <c r="E55" s="31" t="s">
        <v>196</v>
      </c>
      <c r="F55" s="31" t="s">
        <v>188</v>
      </c>
      <c r="G55" s="40" t="s">
        <v>220</v>
      </c>
      <c r="H55" s="31" t="s">
        <v>92</v>
      </c>
      <c r="K55" s="31" t="s">
        <v>175</v>
      </c>
      <c r="L55" s="34">
        <v>42855</v>
      </c>
      <c r="M55" s="31" t="s">
        <v>35</v>
      </c>
      <c r="N55" s="35" t="s">
        <v>529</v>
      </c>
      <c r="O55" s="36">
        <v>60</v>
      </c>
      <c r="P55" s="30">
        <v>1</v>
      </c>
      <c r="Q55" s="37">
        <v>0.21</v>
      </c>
      <c r="R55" s="38">
        <v>0</v>
      </c>
      <c r="S55" s="31" t="s">
        <v>36</v>
      </c>
      <c r="T55" s="39">
        <f t="shared" si="2"/>
        <v>72.599999999999994</v>
      </c>
      <c r="U55" s="31" t="s">
        <v>530</v>
      </c>
      <c r="V55" s="40" t="s">
        <v>531</v>
      </c>
      <c r="W55" s="34">
        <v>32483</v>
      </c>
      <c r="X55" s="32">
        <v>42845</v>
      </c>
      <c r="Y55" s="41" t="s">
        <v>579</v>
      </c>
      <c r="AE55" s="34"/>
    </row>
    <row r="56" spans="1:34">
      <c r="A56" s="30">
        <v>55</v>
      </c>
      <c r="B56" s="31" t="s">
        <v>33</v>
      </c>
      <c r="C56" s="32">
        <v>42846</v>
      </c>
      <c r="D56" s="31" t="s">
        <v>532</v>
      </c>
      <c r="E56" s="31" t="s">
        <v>309</v>
      </c>
      <c r="F56" s="31" t="s">
        <v>310</v>
      </c>
      <c r="G56" s="40" t="s">
        <v>219</v>
      </c>
      <c r="H56" s="31" t="s">
        <v>38</v>
      </c>
      <c r="K56" s="31" t="s">
        <v>237</v>
      </c>
      <c r="L56" s="34">
        <v>42855</v>
      </c>
      <c r="M56" s="31" t="s">
        <v>35</v>
      </c>
      <c r="N56" s="35" t="s">
        <v>693</v>
      </c>
      <c r="O56" s="36">
        <v>60</v>
      </c>
      <c r="P56" s="30">
        <v>1</v>
      </c>
      <c r="Q56" s="37">
        <v>0.21</v>
      </c>
      <c r="R56" s="38">
        <v>0</v>
      </c>
      <c r="S56" s="31" t="s">
        <v>36</v>
      </c>
      <c r="T56" s="39">
        <f t="shared" si="2"/>
        <v>72.599999999999994</v>
      </c>
      <c r="U56" s="31" t="s">
        <v>533</v>
      </c>
      <c r="V56" s="40" t="s">
        <v>534</v>
      </c>
      <c r="W56" s="34">
        <v>34714</v>
      </c>
      <c r="X56" s="32">
        <v>42846</v>
      </c>
      <c r="Y56" s="31" t="s">
        <v>635</v>
      </c>
    </row>
    <row r="57" spans="1:34">
      <c r="A57" s="30">
        <v>56</v>
      </c>
      <c r="B57" s="31" t="s">
        <v>37</v>
      </c>
      <c r="C57" s="32">
        <v>42849</v>
      </c>
      <c r="D57" s="31" t="s">
        <v>88</v>
      </c>
      <c r="E57" s="31" t="s">
        <v>78</v>
      </c>
      <c r="F57" s="31" t="s">
        <v>535</v>
      </c>
      <c r="G57" s="40" t="s">
        <v>238</v>
      </c>
      <c r="H57" s="31" t="s">
        <v>48</v>
      </c>
      <c r="K57" s="31" t="s">
        <v>88</v>
      </c>
      <c r="L57" s="34">
        <v>42855</v>
      </c>
      <c r="M57" s="31" t="s">
        <v>35</v>
      </c>
      <c r="N57" s="35" t="s">
        <v>536</v>
      </c>
      <c r="O57" s="36">
        <v>30</v>
      </c>
      <c r="P57" s="30">
        <v>1</v>
      </c>
      <c r="Q57" s="37">
        <v>0.21</v>
      </c>
      <c r="R57" s="38">
        <v>0</v>
      </c>
      <c r="S57" s="31" t="s">
        <v>36</v>
      </c>
      <c r="T57" s="39">
        <f t="shared" si="2"/>
        <v>36.299999999999997</v>
      </c>
      <c r="U57" s="31" t="s">
        <v>88</v>
      </c>
      <c r="W57" s="34">
        <v>31550</v>
      </c>
      <c r="X57" s="32">
        <v>42849</v>
      </c>
      <c r="Y57" s="41" t="s">
        <v>630</v>
      </c>
    </row>
    <row r="58" spans="1:34">
      <c r="A58" s="30">
        <v>57</v>
      </c>
      <c r="B58" s="31" t="s">
        <v>37</v>
      </c>
      <c r="C58" s="32">
        <v>42849</v>
      </c>
      <c r="D58" s="31" t="s">
        <v>149</v>
      </c>
      <c r="E58" s="31" t="s">
        <v>150</v>
      </c>
      <c r="F58" s="31" t="s">
        <v>538</v>
      </c>
      <c r="G58" s="40" t="s">
        <v>221</v>
      </c>
      <c r="H58" s="31" t="s">
        <v>34</v>
      </c>
      <c r="K58" s="31" t="s">
        <v>149</v>
      </c>
      <c r="L58" s="34">
        <v>42855</v>
      </c>
      <c r="M58" s="31" t="s">
        <v>35</v>
      </c>
      <c r="N58" s="35" t="s">
        <v>539</v>
      </c>
      <c r="O58" s="36">
        <v>30</v>
      </c>
      <c r="P58" s="30">
        <v>1</v>
      </c>
      <c r="Q58" s="37">
        <v>0.21</v>
      </c>
      <c r="R58" s="38">
        <v>0</v>
      </c>
      <c r="S58" s="31" t="s">
        <v>36</v>
      </c>
      <c r="T58" s="39">
        <f t="shared" si="2"/>
        <v>36.299999999999997</v>
      </c>
      <c r="U58" s="31" t="s">
        <v>149</v>
      </c>
      <c r="W58" s="34">
        <v>30290</v>
      </c>
      <c r="X58" s="32">
        <v>42849</v>
      </c>
      <c r="Y58" s="41" t="s">
        <v>599</v>
      </c>
    </row>
    <row r="59" spans="1:34">
      <c r="A59" s="30">
        <v>58</v>
      </c>
      <c r="B59" s="31" t="s">
        <v>59</v>
      </c>
      <c r="C59" s="32">
        <v>42851</v>
      </c>
      <c r="D59" s="31" t="s">
        <v>541</v>
      </c>
      <c r="E59" s="31" t="s">
        <v>542</v>
      </c>
      <c r="F59" s="31" t="s">
        <v>543</v>
      </c>
      <c r="G59" s="40" t="s">
        <v>294</v>
      </c>
      <c r="H59" s="31" t="s">
        <v>103</v>
      </c>
      <c r="K59" s="31" t="s">
        <v>541</v>
      </c>
      <c r="L59" s="34">
        <v>42855</v>
      </c>
      <c r="M59" s="31" t="s">
        <v>35</v>
      </c>
      <c r="N59" s="35" t="s">
        <v>544</v>
      </c>
      <c r="O59" s="36">
        <v>60</v>
      </c>
      <c r="P59" s="30">
        <v>1</v>
      </c>
      <c r="Q59" s="37">
        <v>0.21</v>
      </c>
      <c r="R59" s="38">
        <v>0</v>
      </c>
      <c r="S59" s="31" t="s">
        <v>36</v>
      </c>
      <c r="T59" s="39">
        <f t="shared" si="2"/>
        <v>72.599999999999994</v>
      </c>
      <c r="U59" s="31" t="s">
        <v>545</v>
      </c>
      <c r="V59" s="40" t="s">
        <v>546</v>
      </c>
      <c r="W59" s="34">
        <v>36170</v>
      </c>
      <c r="X59" s="32">
        <v>42851</v>
      </c>
      <c r="Y59" s="41" t="s">
        <v>588</v>
      </c>
      <c r="AA59" s="31" t="s">
        <v>244</v>
      </c>
    </row>
    <row r="60" spans="1:34">
      <c r="A60" s="30">
        <v>59</v>
      </c>
      <c r="B60" s="31" t="s">
        <v>59</v>
      </c>
      <c r="C60" s="32">
        <v>42851</v>
      </c>
      <c r="D60" s="31" t="s">
        <v>547</v>
      </c>
      <c r="E60" s="31" t="s">
        <v>548</v>
      </c>
      <c r="F60" s="31" t="s">
        <v>549</v>
      </c>
      <c r="G60" s="40" t="s">
        <v>270</v>
      </c>
      <c r="H60" s="31" t="s">
        <v>49</v>
      </c>
      <c r="K60" s="31" t="s">
        <v>547</v>
      </c>
      <c r="L60" s="34">
        <v>42855</v>
      </c>
      <c r="M60" s="31" t="s">
        <v>35</v>
      </c>
      <c r="N60" s="35" t="s">
        <v>550</v>
      </c>
      <c r="O60" s="36">
        <v>60</v>
      </c>
      <c r="P60" s="30">
        <v>1</v>
      </c>
      <c r="Q60" s="37">
        <v>0.21</v>
      </c>
      <c r="R60" s="38">
        <v>0</v>
      </c>
      <c r="S60" s="31" t="s">
        <v>36</v>
      </c>
      <c r="T60" s="39">
        <f t="shared" si="2"/>
        <v>72.599999999999994</v>
      </c>
      <c r="U60" s="31" t="s">
        <v>551</v>
      </c>
      <c r="V60" s="40" t="s">
        <v>552</v>
      </c>
      <c r="W60" s="34">
        <v>31486</v>
      </c>
      <c r="X60" s="32">
        <v>42851</v>
      </c>
      <c r="Y60" s="41" t="s">
        <v>781</v>
      </c>
      <c r="Z60" s="34">
        <v>42912</v>
      </c>
      <c r="AA60" s="31" t="s">
        <v>243</v>
      </c>
    </row>
    <row r="61" spans="1:34">
      <c r="A61" s="30">
        <v>60</v>
      </c>
      <c r="B61" s="31" t="s">
        <v>131</v>
      </c>
      <c r="C61" s="32">
        <v>42851</v>
      </c>
      <c r="D61" s="31" t="s">
        <v>553</v>
      </c>
      <c r="E61" s="31" t="s">
        <v>554</v>
      </c>
      <c r="F61" s="31" t="s">
        <v>555</v>
      </c>
      <c r="G61" s="40" t="s">
        <v>242</v>
      </c>
      <c r="H61" s="31" t="s">
        <v>401</v>
      </c>
      <c r="K61" s="31" t="s">
        <v>50</v>
      </c>
      <c r="L61" s="34">
        <v>42855</v>
      </c>
      <c r="M61" s="31" t="s">
        <v>35</v>
      </c>
      <c r="N61" s="35" t="s">
        <v>556</v>
      </c>
      <c r="O61" s="36">
        <v>60</v>
      </c>
      <c r="P61" s="30">
        <v>1</v>
      </c>
      <c r="Q61" s="37">
        <v>0.21</v>
      </c>
      <c r="R61" s="38">
        <v>0</v>
      </c>
      <c r="S61" s="31" t="s">
        <v>36</v>
      </c>
      <c r="T61" s="39">
        <f t="shared" si="2"/>
        <v>72.599999999999994</v>
      </c>
      <c r="U61" t="s">
        <v>557</v>
      </c>
      <c r="V61" s="40" t="s">
        <v>558</v>
      </c>
      <c r="W61" s="34">
        <v>36059</v>
      </c>
      <c r="X61" s="32">
        <v>42851</v>
      </c>
      <c r="Y61" s="31" t="s">
        <v>653</v>
      </c>
      <c r="AA61" s="31" t="s">
        <v>244</v>
      </c>
      <c r="AD61" s="31" t="s">
        <v>77</v>
      </c>
      <c r="AE61" s="34">
        <v>42851</v>
      </c>
      <c r="AH61" s="34">
        <v>42860</v>
      </c>
    </row>
    <row r="62" spans="1:34">
      <c r="A62" s="30">
        <v>61</v>
      </c>
      <c r="B62" s="31" t="s">
        <v>37</v>
      </c>
      <c r="C62" s="32">
        <v>42857</v>
      </c>
      <c r="D62" s="31" t="s">
        <v>248</v>
      </c>
      <c r="E62" s="31" t="s">
        <v>249</v>
      </c>
      <c r="F62" s="31" t="s">
        <v>560</v>
      </c>
      <c r="G62" s="40" t="s">
        <v>219</v>
      </c>
      <c r="H62" s="31" t="s">
        <v>38</v>
      </c>
      <c r="I62" s="31">
        <v>689455994</v>
      </c>
      <c r="K62" s="31" t="s">
        <v>248</v>
      </c>
      <c r="L62" s="34">
        <v>42886</v>
      </c>
      <c r="M62" s="31" t="s">
        <v>35</v>
      </c>
      <c r="N62" s="35" t="s">
        <v>561</v>
      </c>
      <c r="O62" s="36">
        <v>30</v>
      </c>
      <c r="P62" s="30">
        <v>1</v>
      </c>
      <c r="Q62" s="37">
        <v>0.21</v>
      </c>
      <c r="R62" s="38">
        <v>0</v>
      </c>
      <c r="S62" s="31" t="s">
        <v>36</v>
      </c>
      <c r="T62" s="39">
        <f t="shared" si="2"/>
        <v>36.299999999999997</v>
      </c>
      <c r="U62" s="31" t="s">
        <v>248</v>
      </c>
      <c r="W62" s="34">
        <v>29510</v>
      </c>
      <c r="X62" s="32">
        <v>42857</v>
      </c>
      <c r="Y62" s="41" t="s">
        <v>631</v>
      </c>
    </row>
    <row r="63" spans="1:34">
      <c r="A63" s="30">
        <v>62</v>
      </c>
      <c r="B63" s="31" t="s">
        <v>52</v>
      </c>
      <c r="C63" s="32">
        <v>42860</v>
      </c>
      <c r="D63" s="31" t="s">
        <v>256</v>
      </c>
      <c r="E63" s="31" t="s">
        <v>155</v>
      </c>
      <c r="F63" s="31" t="s">
        <v>138</v>
      </c>
      <c r="G63" s="33" t="s">
        <v>227</v>
      </c>
      <c r="H63" s="31" t="s">
        <v>203</v>
      </c>
      <c r="K63" s="31" t="s">
        <v>53</v>
      </c>
      <c r="L63" s="34">
        <v>42886</v>
      </c>
      <c r="M63" s="31" t="s">
        <v>35</v>
      </c>
      <c r="N63" s="35" t="s">
        <v>563</v>
      </c>
      <c r="O63" s="38">
        <v>41.32</v>
      </c>
      <c r="P63" s="30">
        <v>1</v>
      </c>
      <c r="Q63" s="37">
        <v>0.21</v>
      </c>
      <c r="R63" s="38">
        <v>0</v>
      </c>
      <c r="S63" s="31" t="s">
        <v>36</v>
      </c>
      <c r="T63" s="39">
        <f t="shared" si="2"/>
        <v>49.997199999999999</v>
      </c>
      <c r="W63" s="34">
        <v>34558</v>
      </c>
      <c r="X63" s="32">
        <v>42860</v>
      </c>
      <c r="Y63" s="41" t="s">
        <v>151</v>
      </c>
      <c r="Z63" s="30"/>
      <c r="AE63" s="42"/>
      <c r="AH63" s="34"/>
    </row>
    <row r="64" spans="1:34">
      <c r="A64" s="30">
        <v>63</v>
      </c>
      <c r="B64" s="31" t="s">
        <v>61</v>
      </c>
      <c r="C64" s="32">
        <v>42860</v>
      </c>
      <c r="D64" s="31" t="s">
        <v>564</v>
      </c>
      <c r="E64" s="31" t="s">
        <v>172</v>
      </c>
      <c r="F64" s="31" t="s">
        <v>565</v>
      </c>
      <c r="G64" s="40" t="s">
        <v>241</v>
      </c>
      <c r="H64" s="31" t="s">
        <v>60</v>
      </c>
      <c r="K64" s="31" t="s">
        <v>564</v>
      </c>
      <c r="L64" s="34">
        <v>42886</v>
      </c>
      <c r="M64" s="31" t="s">
        <v>35</v>
      </c>
      <c r="N64" s="35" t="s">
        <v>566</v>
      </c>
      <c r="O64" s="36">
        <v>60</v>
      </c>
      <c r="P64" s="30">
        <v>1</v>
      </c>
      <c r="Q64" s="37">
        <v>0.21</v>
      </c>
      <c r="R64" s="38">
        <v>0</v>
      </c>
      <c r="S64" s="31" t="s">
        <v>36</v>
      </c>
      <c r="T64" s="39">
        <f t="shared" ref="T64:T69" si="3">(O64*P64)*Q64+O64*P64</f>
        <v>72.599999999999994</v>
      </c>
      <c r="U64" s="31" t="s">
        <v>572</v>
      </c>
      <c r="V64" s="40" t="s">
        <v>567</v>
      </c>
      <c r="W64" s="34">
        <v>29221</v>
      </c>
      <c r="X64" s="32">
        <v>42860</v>
      </c>
      <c r="Y64" s="41" t="s">
        <v>600</v>
      </c>
      <c r="AA64" s="31" t="s">
        <v>243</v>
      </c>
      <c r="AD64" s="31" t="s">
        <v>87</v>
      </c>
      <c r="AE64" s="34">
        <v>42860</v>
      </c>
    </row>
    <row r="65" spans="1:38">
      <c r="A65" s="30">
        <v>64</v>
      </c>
      <c r="B65" s="31" t="s">
        <v>33</v>
      </c>
      <c r="C65" s="32">
        <v>42860</v>
      </c>
      <c r="D65" s="31" t="s">
        <v>568</v>
      </c>
      <c r="E65" s="31" t="s">
        <v>569</v>
      </c>
      <c r="F65" s="31" t="s">
        <v>570</v>
      </c>
      <c r="G65" s="40" t="s">
        <v>304</v>
      </c>
      <c r="H65" s="31" t="s">
        <v>68</v>
      </c>
      <c r="K65" s="31" t="s">
        <v>237</v>
      </c>
      <c r="L65" s="34">
        <v>42886</v>
      </c>
      <c r="M65" s="31" t="s">
        <v>35</v>
      </c>
      <c r="N65" s="35" t="s">
        <v>571</v>
      </c>
      <c r="O65" s="36">
        <v>60</v>
      </c>
      <c r="P65" s="30">
        <v>1</v>
      </c>
      <c r="Q65" s="37">
        <v>0.21</v>
      </c>
      <c r="R65" s="38">
        <v>0</v>
      </c>
      <c r="S65" s="31" t="s">
        <v>36</v>
      </c>
      <c r="T65" s="39">
        <f t="shared" si="3"/>
        <v>72.599999999999994</v>
      </c>
      <c r="U65" s="31" t="s">
        <v>573</v>
      </c>
      <c r="V65" s="40" t="s">
        <v>574</v>
      </c>
      <c r="W65" s="34">
        <v>33175</v>
      </c>
      <c r="X65" s="32">
        <v>42860</v>
      </c>
      <c r="Y65" s="41" t="s">
        <v>588</v>
      </c>
      <c r="AA65" s="31" t="s">
        <v>243</v>
      </c>
    </row>
    <row r="66" spans="1:38">
      <c r="A66" s="30">
        <v>65</v>
      </c>
      <c r="B66" s="31" t="s">
        <v>82</v>
      </c>
      <c r="C66" s="32">
        <v>42863</v>
      </c>
      <c r="D66" s="31" t="s">
        <v>251</v>
      </c>
      <c r="E66" s="31" t="s">
        <v>252</v>
      </c>
      <c r="F66" s="31" t="s">
        <v>253</v>
      </c>
      <c r="G66" s="40" t="s">
        <v>239</v>
      </c>
      <c r="H66" s="31" t="s">
        <v>86</v>
      </c>
      <c r="K66" s="31" t="s">
        <v>251</v>
      </c>
      <c r="L66" s="34">
        <v>42886</v>
      </c>
      <c r="M66" s="31" t="s">
        <v>35</v>
      </c>
      <c r="N66" s="14" t="s">
        <v>575</v>
      </c>
      <c r="O66" s="38">
        <v>30</v>
      </c>
      <c r="P66" s="30">
        <v>1</v>
      </c>
      <c r="Q66" s="37">
        <v>0.21</v>
      </c>
      <c r="R66" s="38">
        <v>0</v>
      </c>
      <c r="S66" s="31" t="s">
        <v>36</v>
      </c>
      <c r="T66" s="39">
        <f t="shared" si="3"/>
        <v>36.299999999999997</v>
      </c>
      <c r="U66" s="31" t="s">
        <v>254</v>
      </c>
      <c r="W66" s="34">
        <v>26665</v>
      </c>
      <c r="X66" s="32">
        <v>42863</v>
      </c>
      <c r="Y66" s="41" t="s">
        <v>631</v>
      </c>
    </row>
    <row r="67" spans="1:38">
      <c r="A67" s="30">
        <v>66</v>
      </c>
      <c r="B67" s="31" t="s">
        <v>117</v>
      </c>
      <c r="C67" s="32">
        <v>42866</v>
      </c>
      <c r="D67" s="31" t="s">
        <v>140</v>
      </c>
      <c r="E67" s="31" t="s">
        <v>141</v>
      </c>
      <c r="F67" s="31" t="s">
        <v>581</v>
      </c>
      <c r="G67" s="40" t="s">
        <v>221</v>
      </c>
      <c r="H67" s="31" t="s">
        <v>34</v>
      </c>
      <c r="K67" s="31" t="s">
        <v>140</v>
      </c>
      <c r="L67" s="34">
        <v>42886</v>
      </c>
      <c r="M67" s="31" t="s">
        <v>35</v>
      </c>
      <c r="N67" s="35" t="s">
        <v>582</v>
      </c>
      <c r="O67" s="38">
        <v>60</v>
      </c>
      <c r="P67" s="30">
        <v>1</v>
      </c>
      <c r="Q67" s="37">
        <v>0.21</v>
      </c>
      <c r="R67" s="38">
        <v>0</v>
      </c>
      <c r="S67" s="31" t="s">
        <v>36</v>
      </c>
      <c r="T67" s="39">
        <f t="shared" si="3"/>
        <v>72.599999999999994</v>
      </c>
      <c r="U67" s="31" t="s">
        <v>583</v>
      </c>
      <c r="V67" s="40" t="s">
        <v>584</v>
      </c>
      <c r="W67" s="34">
        <v>33805</v>
      </c>
      <c r="X67" s="32">
        <v>42866</v>
      </c>
      <c r="Y67" s="43" t="s">
        <v>825</v>
      </c>
      <c r="AD67" s="31" t="s">
        <v>585</v>
      </c>
      <c r="AE67" s="34">
        <v>42866</v>
      </c>
    </row>
    <row r="68" spans="1:38">
      <c r="A68" s="30">
        <v>67</v>
      </c>
      <c r="B68" s="31" t="s">
        <v>82</v>
      </c>
      <c r="C68" s="32">
        <v>42866</v>
      </c>
      <c r="D68" s="31" t="s">
        <v>329</v>
      </c>
      <c r="E68" s="31" t="s">
        <v>330</v>
      </c>
      <c r="F68" s="31" t="s">
        <v>331</v>
      </c>
      <c r="G68" s="40" t="s">
        <v>242</v>
      </c>
      <c r="H68" s="31" t="s">
        <v>401</v>
      </c>
      <c r="K68" s="31" t="s">
        <v>329</v>
      </c>
      <c r="L68" s="34">
        <v>42886</v>
      </c>
      <c r="M68" s="31" t="s">
        <v>35</v>
      </c>
      <c r="N68" s="35" t="s">
        <v>586</v>
      </c>
      <c r="O68" s="36">
        <v>60</v>
      </c>
      <c r="P68" s="30">
        <v>1</v>
      </c>
      <c r="Q68" s="37">
        <v>0.21</v>
      </c>
      <c r="R68" s="38">
        <v>0</v>
      </c>
      <c r="S68" s="31" t="s">
        <v>36</v>
      </c>
      <c r="T68" s="39">
        <f t="shared" si="3"/>
        <v>72.599999999999994</v>
      </c>
      <c r="U68" s="31" t="s">
        <v>333</v>
      </c>
      <c r="V68" s="40" t="s">
        <v>587</v>
      </c>
      <c r="W68" s="34">
        <v>32509</v>
      </c>
      <c r="X68" s="32">
        <v>42866</v>
      </c>
      <c r="Y68" s="41" t="s">
        <v>780</v>
      </c>
      <c r="AD68" s="31" t="s">
        <v>77</v>
      </c>
      <c r="AH68" s="34">
        <v>42894</v>
      </c>
    </row>
    <row r="69" spans="1:38">
      <c r="A69" s="30">
        <v>68</v>
      </c>
      <c r="B69" s="31" t="s">
        <v>59</v>
      </c>
      <c r="C69" s="32">
        <v>42874</v>
      </c>
      <c r="D69" s="31" t="s">
        <v>210</v>
      </c>
      <c r="E69" s="31" t="s">
        <v>211</v>
      </c>
      <c r="F69" s="31" t="s">
        <v>589</v>
      </c>
      <c r="G69" s="40" t="s">
        <v>294</v>
      </c>
      <c r="H69" s="31" t="s">
        <v>103</v>
      </c>
      <c r="K69" s="31" t="s">
        <v>210</v>
      </c>
      <c r="L69" s="34">
        <v>42886</v>
      </c>
      <c r="M69" s="31" t="s">
        <v>35</v>
      </c>
      <c r="N69" s="35" t="s">
        <v>590</v>
      </c>
      <c r="O69" s="36">
        <v>60</v>
      </c>
      <c r="P69" s="30">
        <v>1</v>
      </c>
      <c r="Q69" s="37">
        <v>0.21</v>
      </c>
      <c r="R69" s="38">
        <v>0</v>
      </c>
      <c r="S69" s="31" t="s">
        <v>36</v>
      </c>
      <c r="T69" s="39">
        <f t="shared" si="3"/>
        <v>72.599999999999994</v>
      </c>
      <c r="U69" s="31" t="s">
        <v>591</v>
      </c>
      <c r="V69" s="40" t="s">
        <v>592</v>
      </c>
      <c r="W69" s="34">
        <v>32139</v>
      </c>
      <c r="X69" s="32">
        <v>42874</v>
      </c>
      <c r="Y69" s="41" t="s">
        <v>690</v>
      </c>
      <c r="AD69" s="31" t="s">
        <v>593</v>
      </c>
      <c r="AE69" s="34">
        <v>42874</v>
      </c>
      <c r="AH69" s="34">
        <v>42880</v>
      </c>
    </row>
    <row r="70" spans="1:38">
      <c r="A70" s="30">
        <v>69</v>
      </c>
      <c r="B70" s="31" t="s">
        <v>37</v>
      </c>
      <c r="C70" s="32">
        <v>42874</v>
      </c>
      <c r="D70" s="31" t="s">
        <v>595</v>
      </c>
      <c r="E70" s="31" t="s">
        <v>596</v>
      </c>
      <c r="F70" s="31" t="s">
        <v>597</v>
      </c>
      <c r="G70" s="40" t="s">
        <v>221</v>
      </c>
      <c r="H70" s="31" t="s">
        <v>34</v>
      </c>
      <c r="I70" s="31">
        <v>642727428</v>
      </c>
      <c r="K70" s="31" t="s">
        <v>595</v>
      </c>
      <c r="L70" s="34">
        <v>42886</v>
      </c>
      <c r="M70" s="31" t="s">
        <v>35</v>
      </c>
      <c r="N70" s="35" t="s">
        <v>598</v>
      </c>
      <c r="O70" s="38">
        <v>41.32</v>
      </c>
      <c r="P70" s="30">
        <v>1</v>
      </c>
      <c r="Q70" s="37">
        <v>0.21</v>
      </c>
      <c r="R70" s="38">
        <v>0</v>
      </c>
      <c r="S70" s="31" t="s">
        <v>36</v>
      </c>
      <c r="T70" s="39">
        <f t="shared" ref="T70:T76" si="4">(O70*P70)*Q70+O70*P70</f>
        <v>49.997199999999999</v>
      </c>
      <c r="U70" s="31" t="s">
        <v>595</v>
      </c>
      <c r="X70" s="32">
        <v>42874</v>
      </c>
    </row>
    <row r="71" spans="1:38">
      <c r="A71" s="30">
        <v>70</v>
      </c>
      <c r="B71" s="31" t="s">
        <v>52</v>
      </c>
      <c r="C71" s="32">
        <v>42886</v>
      </c>
      <c r="D71" s="31" t="s">
        <v>458</v>
      </c>
      <c r="E71" s="31" t="s">
        <v>84</v>
      </c>
      <c r="F71" s="31" t="s">
        <v>138</v>
      </c>
      <c r="G71" s="40" t="s">
        <v>227</v>
      </c>
      <c r="H71" s="31" t="s">
        <v>203</v>
      </c>
      <c r="K71" s="31" t="s">
        <v>53</v>
      </c>
      <c r="L71" s="34">
        <v>42916</v>
      </c>
      <c r="M71" s="31" t="s">
        <v>35</v>
      </c>
      <c r="N71" s="35" t="s">
        <v>673</v>
      </c>
      <c r="O71" s="38">
        <v>60</v>
      </c>
      <c r="P71" s="30">
        <v>1</v>
      </c>
      <c r="Q71" s="37">
        <v>0.21</v>
      </c>
      <c r="R71" s="38">
        <v>0</v>
      </c>
      <c r="S71" s="31" t="s">
        <v>36</v>
      </c>
      <c r="T71" s="39">
        <f t="shared" si="4"/>
        <v>72.599999999999994</v>
      </c>
      <c r="U71" t="s">
        <v>674</v>
      </c>
      <c r="V71" s="40" t="s">
        <v>675</v>
      </c>
      <c r="W71" s="34">
        <v>31775</v>
      </c>
      <c r="X71" s="32">
        <v>42886</v>
      </c>
      <c r="Y71" s="11" t="s">
        <v>958</v>
      </c>
      <c r="Z71" s="31" t="s">
        <v>874</v>
      </c>
      <c r="AD71" s="31" t="s">
        <v>676</v>
      </c>
      <c r="AE71" s="34">
        <v>42886</v>
      </c>
      <c r="AH71" s="34">
        <v>42902</v>
      </c>
    </row>
    <row r="72" spans="1:38">
      <c r="A72" s="30">
        <v>71</v>
      </c>
      <c r="B72" s="31" t="s">
        <v>37</v>
      </c>
      <c r="C72" s="32">
        <v>42888</v>
      </c>
      <c r="D72" s="31" t="s">
        <v>601</v>
      </c>
      <c r="E72" s="31" t="s">
        <v>602</v>
      </c>
      <c r="F72" s="31" t="s">
        <v>267</v>
      </c>
      <c r="G72" s="40" t="s">
        <v>238</v>
      </c>
      <c r="H72" s="31" t="s">
        <v>48</v>
      </c>
      <c r="I72" s="31">
        <v>665736578</v>
      </c>
      <c r="K72" s="31" t="s">
        <v>601</v>
      </c>
      <c r="L72" s="34">
        <v>42916</v>
      </c>
      <c r="M72" s="31" t="s">
        <v>35</v>
      </c>
      <c r="N72" s="35" t="s">
        <v>603</v>
      </c>
      <c r="O72" s="36">
        <v>60</v>
      </c>
      <c r="P72" s="30">
        <v>1</v>
      </c>
      <c r="Q72" s="37">
        <v>0.21</v>
      </c>
      <c r="R72" s="38">
        <v>0</v>
      </c>
      <c r="S72" s="31" t="s">
        <v>36</v>
      </c>
      <c r="T72" s="39">
        <f t="shared" si="4"/>
        <v>72.599999999999994</v>
      </c>
      <c r="U72" s="31" t="s">
        <v>601</v>
      </c>
      <c r="V72" s="40" t="s">
        <v>604</v>
      </c>
      <c r="W72" s="34">
        <v>29590</v>
      </c>
      <c r="X72" s="32">
        <v>42888</v>
      </c>
      <c r="Y72" s="31" t="s">
        <v>691</v>
      </c>
      <c r="AA72" s="31" t="s">
        <v>366</v>
      </c>
      <c r="AD72" s="31" t="s">
        <v>605</v>
      </c>
      <c r="AE72" s="34">
        <v>42888</v>
      </c>
      <c r="AL72" s="48" t="s">
        <v>695</v>
      </c>
    </row>
    <row r="73" spans="1:38">
      <c r="A73" s="30">
        <v>72</v>
      </c>
      <c r="B73" s="31" t="s">
        <v>37</v>
      </c>
      <c r="C73" s="32">
        <v>42888</v>
      </c>
      <c r="D73" s="31" t="s">
        <v>606</v>
      </c>
      <c r="E73" s="31" t="s">
        <v>607</v>
      </c>
      <c r="F73" s="31" t="s">
        <v>608</v>
      </c>
      <c r="G73" s="40" t="s">
        <v>245</v>
      </c>
      <c r="H73" s="31" t="s">
        <v>54</v>
      </c>
      <c r="I73" s="31">
        <v>671994365</v>
      </c>
      <c r="K73" s="31" t="s">
        <v>609</v>
      </c>
      <c r="L73" s="34">
        <v>42916</v>
      </c>
      <c r="M73" s="31" t="s">
        <v>35</v>
      </c>
      <c r="N73" s="35" t="s">
        <v>610</v>
      </c>
      <c r="O73" s="36">
        <v>60</v>
      </c>
      <c r="P73" s="30">
        <v>1</v>
      </c>
      <c r="Q73" s="37">
        <v>0.21</v>
      </c>
      <c r="R73" s="38">
        <v>0</v>
      </c>
      <c r="S73" s="31" t="s">
        <v>36</v>
      </c>
      <c r="T73" s="39">
        <f t="shared" si="4"/>
        <v>72.599999999999994</v>
      </c>
      <c r="U73" t="s">
        <v>606</v>
      </c>
      <c r="V73" s="40" t="s">
        <v>611</v>
      </c>
      <c r="W73" s="34">
        <v>22584</v>
      </c>
      <c r="X73" s="32">
        <v>42888</v>
      </c>
      <c r="Y73" s="43" t="s">
        <v>694</v>
      </c>
      <c r="Z73" s="34">
        <v>42955</v>
      </c>
      <c r="AA73" s="31" t="s">
        <v>366</v>
      </c>
      <c r="AD73" s="31" t="s">
        <v>612</v>
      </c>
      <c r="AE73" s="34">
        <v>42888</v>
      </c>
    </row>
    <row r="74" spans="1:38">
      <c r="A74" s="30">
        <v>73</v>
      </c>
      <c r="B74" s="31" t="s">
        <v>119</v>
      </c>
      <c r="C74" s="32">
        <v>42888</v>
      </c>
      <c r="D74" s="31" t="s">
        <v>613</v>
      </c>
      <c r="E74" s="31" t="s">
        <v>614</v>
      </c>
      <c r="F74" s="31" t="s">
        <v>615</v>
      </c>
      <c r="G74" s="40" t="s">
        <v>239</v>
      </c>
      <c r="H74" s="31" t="s">
        <v>108</v>
      </c>
      <c r="I74" s="31">
        <v>632629072</v>
      </c>
      <c r="K74" s="31" t="s">
        <v>109</v>
      </c>
      <c r="L74" s="34">
        <v>42916</v>
      </c>
      <c r="M74" s="31" t="s">
        <v>35</v>
      </c>
      <c r="N74" s="35" t="s">
        <v>616</v>
      </c>
      <c r="O74" s="36">
        <v>60</v>
      </c>
      <c r="P74" s="30">
        <v>1</v>
      </c>
      <c r="Q74" s="37">
        <v>0.21</v>
      </c>
      <c r="R74" s="38">
        <v>0</v>
      </c>
      <c r="S74" s="31" t="s">
        <v>36</v>
      </c>
      <c r="T74" s="39">
        <f t="shared" si="4"/>
        <v>72.599999999999994</v>
      </c>
      <c r="U74" s="31" t="s">
        <v>617</v>
      </c>
      <c r="V74" s="40" t="s">
        <v>618</v>
      </c>
      <c r="W74" s="34">
        <v>28965</v>
      </c>
      <c r="X74" s="32">
        <v>42888</v>
      </c>
      <c r="Y74" s="41" t="s">
        <v>692</v>
      </c>
      <c r="AA74" s="31" t="s">
        <v>366</v>
      </c>
    </row>
    <row r="75" spans="1:38">
      <c r="A75" s="30">
        <v>74</v>
      </c>
      <c r="B75" s="31" t="s">
        <v>119</v>
      </c>
      <c r="C75" s="32">
        <v>42888</v>
      </c>
      <c r="D75" s="49" t="s">
        <v>626</v>
      </c>
      <c r="E75" s="31" t="s">
        <v>625</v>
      </c>
      <c r="F75" s="31" t="s">
        <v>688</v>
      </c>
      <c r="G75" s="40" t="s">
        <v>242</v>
      </c>
      <c r="H75" s="31" t="s">
        <v>401</v>
      </c>
      <c r="I75" s="31">
        <v>697981938</v>
      </c>
      <c r="K75" s="31" t="s">
        <v>174</v>
      </c>
      <c r="L75" s="34">
        <v>42916</v>
      </c>
      <c r="M75" s="31" t="s">
        <v>35</v>
      </c>
      <c r="N75" s="35" t="s">
        <v>627</v>
      </c>
      <c r="O75" s="36">
        <v>60</v>
      </c>
      <c r="P75" s="30">
        <v>1</v>
      </c>
      <c r="Q75" s="37">
        <v>0.21</v>
      </c>
      <c r="R75" s="38">
        <v>0</v>
      </c>
      <c r="S75" s="31" t="s">
        <v>36</v>
      </c>
      <c r="T75" s="39">
        <f t="shared" si="4"/>
        <v>72.599999999999994</v>
      </c>
      <c r="U75" t="s">
        <v>628</v>
      </c>
      <c r="V75" s="40" t="s">
        <v>629</v>
      </c>
      <c r="W75" s="34">
        <v>31539</v>
      </c>
      <c r="X75" s="32">
        <v>42888</v>
      </c>
      <c r="Y75" s="11" t="s">
        <v>948</v>
      </c>
      <c r="Z75" s="34">
        <v>43019</v>
      </c>
      <c r="AA75" s="31" t="s">
        <v>366</v>
      </c>
    </row>
    <row r="76" spans="1:38">
      <c r="A76" s="30">
        <v>75</v>
      </c>
      <c r="B76" s="31" t="s">
        <v>40</v>
      </c>
      <c r="C76" s="32">
        <v>42888</v>
      </c>
      <c r="D76" s="31" t="s">
        <v>619</v>
      </c>
      <c r="E76" s="31" t="s">
        <v>620</v>
      </c>
      <c r="F76" s="31" t="s">
        <v>621</v>
      </c>
      <c r="G76" s="40" t="s">
        <v>221</v>
      </c>
      <c r="H76" s="31" t="s">
        <v>34</v>
      </c>
      <c r="I76" s="31">
        <v>619984204</v>
      </c>
      <c r="K76" s="31" t="s">
        <v>619</v>
      </c>
      <c r="L76" s="34">
        <v>42916</v>
      </c>
      <c r="M76" s="31" t="s">
        <v>35</v>
      </c>
      <c r="N76" s="35" t="s">
        <v>622</v>
      </c>
      <c r="O76" s="36">
        <v>60</v>
      </c>
      <c r="P76" s="30">
        <v>1</v>
      </c>
      <c r="Q76" s="37">
        <v>0.21</v>
      </c>
      <c r="R76" s="38">
        <v>0</v>
      </c>
      <c r="S76" s="31" t="s">
        <v>36</v>
      </c>
      <c r="T76" s="39">
        <f t="shared" si="4"/>
        <v>72.599999999999994</v>
      </c>
      <c r="U76" s="31" t="s">
        <v>619</v>
      </c>
      <c r="V76" s="40" t="s">
        <v>623</v>
      </c>
      <c r="W76" s="34">
        <v>31584</v>
      </c>
      <c r="X76" s="32">
        <v>42888</v>
      </c>
      <c r="Y76" s="41" t="s">
        <v>692</v>
      </c>
      <c r="AA76" s="31" t="s">
        <v>366</v>
      </c>
      <c r="AD76" s="31" t="s">
        <v>624</v>
      </c>
      <c r="AE76" s="34">
        <v>42888</v>
      </c>
    </row>
    <row r="77" spans="1:38">
      <c r="A77" s="30">
        <v>76</v>
      </c>
      <c r="B77" s="31" t="s">
        <v>45</v>
      </c>
      <c r="C77" s="32">
        <v>42894</v>
      </c>
      <c r="D77" s="31" t="s">
        <v>636</v>
      </c>
      <c r="E77" s="31" t="s">
        <v>638</v>
      </c>
      <c r="F77" s="31" t="s">
        <v>637</v>
      </c>
      <c r="G77" s="40" t="s">
        <v>220</v>
      </c>
      <c r="H77" s="31" t="s">
        <v>92</v>
      </c>
      <c r="I77" s="31">
        <v>663506847</v>
      </c>
      <c r="K77" s="31" t="s">
        <v>636</v>
      </c>
      <c r="L77" s="34">
        <v>42916</v>
      </c>
      <c r="M77" s="31" t="s">
        <v>35</v>
      </c>
      <c r="N77" s="35" t="s">
        <v>639</v>
      </c>
      <c r="O77" s="36">
        <v>60</v>
      </c>
      <c r="P77" s="30">
        <v>1</v>
      </c>
      <c r="Q77" s="37">
        <v>0.21</v>
      </c>
      <c r="R77" s="38">
        <v>0</v>
      </c>
      <c r="S77" s="31" t="s">
        <v>36</v>
      </c>
      <c r="T77" s="39">
        <f t="shared" ref="T77:T93" si="5">(O77*P77)*Q77+O77*P77</f>
        <v>72.599999999999994</v>
      </c>
      <c r="U77" s="31" t="s">
        <v>640</v>
      </c>
      <c r="V77" s="40" t="s">
        <v>641</v>
      </c>
      <c r="W77" s="34">
        <v>33204</v>
      </c>
      <c r="X77" s="32">
        <v>42894</v>
      </c>
      <c r="Y77" s="41" t="s">
        <v>798</v>
      </c>
      <c r="AA77" s="31" t="s">
        <v>366</v>
      </c>
    </row>
    <row r="78" spans="1:38">
      <c r="A78" s="30">
        <v>77</v>
      </c>
      <c r="B78" s="31" t="s">
        <v>260</v>
      </c>
      <c r="C78" s="32">
        <v>42894</v>
      </c>
      <c r="D78" s="31" t="s">
        <v>175</v>
      </c>
      <c r="E78" s="31" t="s">
        <v>196</v>
      </c>
      <c r="F78" s="31" t="s">
        <v>188</v>
      </c>
      <c r="G78" s="40" t="s">
        <v>220</v>
      </c>
      <c r="H78" s="31" t="s">
        <v>92</v>
      </c>
      <c r="K78" s="31" t="s">
        <v>175</v>
      </c>
      <c r="L78" s="34">
        <v>42916</v>
      </c>
      <c r="M78" s="31" t="s">
        <v>35</v>
      </c>
      <c r="N78" s="35" t="s">
        <v>642</v>
      </c>
      <c r="O78" s="36">
        <v>60</v>
      </c>
      <c r="P78" s="30">
        <v>1</v>
      </c>
      <c r="Q78" s="37">
        <v>0.21</v>
      </c>
      <c r="R78" s="38">
        <v>0</v>
      </c>
      <c r="S78" s="31" t="s">
        <v>36</v>
      </c>
      <c r="T78" s="39">
        <f t="shared" si="5"/>
        <v>72.599999999999994</v>
      </c>
      <c r="U78" s="31" t="s">
        <v>96</v>
      </c>
      <c r="V78" s="40" t="s">
        <v>750</v>
      </c>
      <c r="W78" s="34"/>
      <c r="X78" s="32">
        <v>42894</v>
      </c>
      <c r="Y78" s="41" t="s">
        <v>744</v>
      </c>
      <c r="AD78" s="31" t="s">
        <v>73</v>
      </c>
      <c r="AE78" s="34">
        <v>42894</v>
      </c>
    </row>
    <row r="79" spans="1:38">
      <c r="A79" s="30">
        <v>78</v>
      </c>
      <c r="B79" s="31" t="s">
        <v>260</v>
      </c>
      <c r="C79" s="32">
        <v>42894</v>
      </c>
      <c r="D79" s="31" t="s">
        <v>175</v>
      </c>
      <c r="E79" s="31" t="s">
        <v>196</v>
      </c>
      <c r="F79" s="31" t="s">
        <v>188</v>
      </c>
      <c r="G79" s="40" t="s">
        <v>220</v>
      </c>
      <c r="H79" s="31" t="s">
        <v>92</v>
      </c>
      <c r="K79" s="31" t="s">
        <v>175</v>
      </c>
      <c r="L79" s="34">
        <v>42916</v>
      </c>
      <c r="M79" s="31" t="s">
        <v>35</v>
      </c>
      <c r="N79" s="35" t="s">
        <v>287</v>
      </c>
      <c r="O79" s="36">
        <v>60</v>
      </c>
      <c r="P79" s="30">
        <v>1</v>
      </c>
      <c r="Q79" s="37">
        <v>0.21</v>
      </c>
      <c r="R79" s="38">
        <v>0</v>
      </c>
      <c r="S79" s="31" t="s">
        <v>36</v>
      </c>
      <c r="T79" s="39">
        <f t="shared" si="5"/>
        <v>72.599999999999994</v>
      </c>
      <c r="U79" s="31" t="s">
        <v>128</v>
      </c>
      <c r="V79" s="40" t="s">
        <v>745</v>
      </c>
      <c r="W79" s="34"/>
      <c r="X79" s="32">
        <v>42894</v>
      </c>
      <c r="Y79" s="41" t="s">
        <v>744</v>
      </c>
      <c r="AD79" s="31" t="s">
        <v>73</v>
      </c>
      <c r="AE79" s="34">
        <v>42894</v>
      </c>
    </row>
    <row r="80" spans="1:38">
      <c r="A80" s="30">
        <v>79</v>
      </c>
      <c r="B80" s="31" t="s">
        <v>260</v>
      </c>
      <c r="C80" s="32">
        <v>42894</v>
      </c>
      <c r="D80" s="31" t="s">
        <v>175</v>
      </c>
      <c r="E80" s="31" t="s">
        <v>196</v>
      </c>
      <c r="F80" s="31" t="s">
        <v>188</v>
      </c>
      <c r="G80" s="40" t="s">
        <v>220</v>
      </c>
      <c r="H80" s="31" t="s">
        <v>92</v>
      </c>
      <c r="K80" s="31" t="s">
        <v>175</v>
      </c>
      <c r="L80" s="34">
        <v>42916</v>
      </c>
      <c r="M80" s="31" t="s">
        <v>35</v>
      </c>
      <c r="N80" s="35" t="s">
        <v>291</v>
      </c>
      <c r="O80" s="36">
        <v>60</v>
      </c>
      <c r="P80" s="30">
        <v>1</v>
      </c>
      <c r="Q80" s="37">
        <v>0.21</v>
      </c>
      <c r="R80" s="38">
        <v>0</v>
      </c>
      <c r="S80" s="31" t="s">
        <v>36</v>
      </c>
      <c r="T80" s="39">
        <f t="shared" si="5"/>
        <v>72.599999999999994</v>
      </c>
      <c r="U80" s="31" t="s">
        <v>129</v>
      </c>
      <c r="V80" s="40" t="s">
        <v>743</v>
      </c>
      <c r="W80" s="34"/>
      <c r="X80" s="32">
        <v>42894</v>
      </c>
      <c r="Y80" s="41" t="s">
        <v>744</v>
      </c>
      <c r="AD80" s="31" t="s">
        <v>73</v>
      </c>
      <c r="AE80" s="34">
        <v>42894</v>
      </c>
    </row>
    <row r="81" spans="1:36">
      <c r="A81" s="30">
        <v>80</v>
      </c>
      <c r="B81" s="31" t="s">
        <v>260</v>
      </c>
      <c r="C81" s="32">
        <v>42894</v>
      </c>
      <c r="D81" s="31" t="s">
        <v>175</v>
      </c>
      <c r="E81" s="31" t="s">
        <v>196</v>
      </c>
      <c r="F81" s="31" t="s">
        <v>188</v>
      </c>
      <c r="G81" s="40" t="s">
        <v>220</v>
      </c>
      <c r="H81" s="31" t="s">
        <v>92</v>
      </c>
      <c r="K81" s="31" t="s">
        <v>175</v>
      </c>
      <c r="L81" s="34">
        <v>42916</v>
      </c>
      <c r="M81" s="31" t="s">
        <v>35</v>
      </c>
      <c r="N81" s="35" t="s">
        <v>285</v>
      </c>
      <c r="O81" s="36">
        <v>60</v>
      </c>
      <c r="P81" s="30">
        <v>1</v>
      </c>
      <c r="Q81" s="37">
        <v>0.21</v>
      </c>
      <c r="R81" s="38">
        <v>0</v>
      </c>
      <c r="S81" s="31" t="s">
        <v>36</v>
      </c>
      <c r="T81" s="39">
        <f t="shared" si="5"/>
        <v>72.599999999999994</v>
      </c>
      <c r="U81" s="31" t="s">
        <v>127</v>
      </c>
      <c r="V81" s="40" t="s">
        <v>746</v>
      </c>
      <c r="W81" s="34"/>
      <c r="X81" s="32">
        <v>42894</v>
      </c>
      <c r="Y81" s="41" t="s">
        <v>744</v>
      </c>
      <c r="AD81" s="31" t="s">
        <v>73</v>
      </c>
      <c r="AE81" s="34">
        <v>42894</v>
      </c>
    </row>
    <row r="82" spans="1:36">
      <c r="A82" s="30">
        <v>81</v>
      </c>
      <c r="B82" s="31" t="s">
        <v>260</v>
      </c>
      <c r="C82" s="32">
        <v>42894</v>
      </c>
      <c r="D82" s="31" t="s">
        <v>175</v>
      </c>
      <c r="E82" s="31" t="s">
        <v>196</v>
      </c>
      <c r="F82" s="31" t="s">
        <v>188</v>
      </c>
      <c r="G82" s="40" t="s">
        <v>220</v>
      </c>
      <c r="H82" s="31" t="s">
        <v>92</v>
      </c>
      <c r="K82" s="31" t="s">
        <v>175</v>
      </c>
      <c r="L82" s="34">
        <v>42916</v>
      </c>
      <c r="M82" s="31" t="s">
        <v>35</v>
      </c>
      <c r="N82" s="35" t="s">
        <v>643</v>
      </c>
      <c r="O82" s="36">
        <v>60</v>
      </c>
      <c r="P82" s="30">
        <v>1</v>
      </c>
      <c r="Q82" s="37">
        <v>0.21</v>
      </c>
      <c r="R82" s="38">
        <v>0</v>
      </c>
      <c r="S82" s="31" t="s">
        <v>36</v>
      </c>
      <c r="T82" s="39">
        <f t="shared" si="5"/>
        <v>72.599999999999994</v>
      </c>
      <c r="U82" s="31" t="s">
        <v>125</v>
      </c>
      <c r="V82" s="40" t="s">
        <v>748</v>
      </c>
      <c r="W82" s="34"/>
      <c r="X82" s="32">
        <v>42894</v>
      </c>
      <c r="Y82" s="41" t="s">
        <v>744</v>
      </c>
      <c r="AD82" s="31" t="s">
        <v>73</v>
      </c>
      <c r="AE82" s="34">
        <v>42894</v>
      </c>
    </row>
    <row r="83" spans="1:36">
      <c r="A83" s="30">
        <v>82</v>
      </c>
      <c r="B83" s="31" t="s">
        <v>260</v>
      </c>
      <c r="C83" s="32">
        <v>42894</v>
      </c>
      <c r="D83" s="31" t="s">
        <v>175</v>
      </c>
      <c r="E83" s="31" t="s">
        <v>196</v>
      </c>
      <c r="F83" s="31" t="s">
        <v>188</v>
      </c>
      <c r="G83" s="40" t="s">
        <v>220</v>
      </c>
      <c r="H83" s="31" t="s">
        <v>92</v>
      </c>
      <c r="K83" s="31" t="s">
        <v>175</v>
      </c>
      <c r="L83" s="34">
        <v>42916</v>
      </c>
      <c r="M83" s="31" t="s">
        <v>35</v>
      </c>
      <c r="N83" s="14" t="s">
        <v>290</v>
      </c>
      <c r="O83" s="36">
        <v>60</v>
      </c>
      <c r="P83" s="30">
        <v>1</v>
      </c>
      <c r="Q83" s="37">
        <v>0.21</v>
      </c>
      <c r="R83" s="38">
        <v>0</v>
      </c>
      <c r="S83" s="31" t="s">
        <v>36</v>
      </c>
      <c r="T83" s="39">
        <f t="shared" si="5"/>
        <v>72.599999999999994</v>
      </c>
      <c r="U83" s="31" t="s">
        <v>281</v>
      </c>
      <c r="V83" s="40" t="s">
        <v>749</v>
      </c>
      <c r="W83" s="34"/>
      <c r="X83" s="32">
        <v>42894</v>
      </c>
      <c r="Y83" s="41" t="s">
        <v>744</v>
      </c>
      <c r="AD83" s="31" t="s">
        <v>73</v>
      </c>
      <c r="AE83" s="34">
        <v>42894</v>
      </c>
    </row>
    <row r="84" spans="1:36">
      <c r="A84" s="30">
        <v>83</v>
      </c>
      <c r="B84" s="31" t="s">
        <v>260</v>
      </c>
      <c r="C84" s="32">
        <v>42894</v>
      </c>
      <c r="D84" s="31" t="s">
        <v>175</v>
      </c>
      <c r="E84" s="31" t="s">
        <v>196</v>
      </c>
      <c r="F84" s="31" t="s">
        <v>188</v>
      </c>
      <c r="G84" s="40" t="s">
        <v>220</v>
      </c>
      <c r="H84" s="31" t="s">
        <v>92</v>
      </c>
      <c r="K84" s="31" t="s">
        <v>175</v>
      </c>
      <c r="L84" s="34">
        <v>42916</v>
      </c>
      <c r="M84" s="31" t="s">
        <v>35</v>
      </c>
      <c r="N84" s="35" t="s">
        <v>644</v>
      </c>
      <c r="O84" s="36">
        <v>60</v>
      </c>
      <c r="P84" s="30">
        <v>1</v>
      </c>
      <c r="Q84" s="37">
        <v>0.21</v>
      </c>
      <c r="R84" s="38">
        <v>0</v>
      </c>
      <c r="S84" s="31" t="s">
        <v>36</v>
      </c>
      <c r="T84" s="39">
        <f t="shared" si="5"/>
        <v>72.599999999999994</v>
      </c>
      <c r="U84" s="31" t="s">
        <v>277</v>
      </c>
      <c r="V84" s="40" t="s">
        <v>755</v>
      </c>
      <c r="W84" s="34"/>
      <c r="X84" s="32">
        <v>42894</v>
      </c>
      <c r="Y84" s="41" t="s">
        <v>744</v>
      </c>
      <c r="AD84" s="31" t="s">
        <v>73</v>
      </c>
      <c r="AE84" s="34">
        <v>42894</v>
      </c>
    </row>
    <row r="85" spans="1:36">
      <c r="A85" s="30">
        <v>84</v>
      </c>
      <c r="B85" s="31" t="s">
        <v>260</v>
      </c>
      <c r="C85" s="32">
        <v>42894</v>
      </c>
      <c r="D85" s="31" t="s">
        <v>175</v>
      </c>
      <c r="E85" s="31" t="s">
        <v>196</v>
      </c>
      <c r="F85" s="31" t="s">
        <v>188</v>
      </c>
      <c r="G85" s="40" t="s">
        <v>220</v>
      </c>
      <c r="H85" s="31" t="s">
        <v>92</v>
      </c>
      <c r="K85" s="31" t="s">
        <v>175</v>
      </c>
      <c r="L85" s="34">
        <v>42916</v>
      </c>
      <c r="M85" s="31" t="s">
        <v>35</v>
      </c>
      <c r="N85" s="35" t="s">
        <v>645</v>
      </c>
      <c r="O85" s="36">
        <v>60</v>
      </c>
      <c r="P85" s="30">
        <v>1</v>
      </c>
      <c r="Q85" s="37">
        <v>0.21</v>
      </c>
      <c r="R85" s="38">
        <v>0</v>
      </c>
      <c r="S85" s="31" t="s">
        <v>36</v>
      </c>
      <c r="T85" s="39">
        <f t="shared" si="5"/>
        <v>72.599999999999994</v>
      </c>
      <c r="U85" s="31" t="s">
        <v>275</v>
      </c>
      <c r="V85" s="40" t="s">
        <v>756</v>
      </c>
      <c r="W85" s="34"/>
      <c r="X85" s="32">
        <v>42894</v>
      </c>
      <c r="Y85" s="41" t="s">
        <v>744</v>
      </c>
      <c r="AD85" s="31" t="s">
        <v>73</v>
      </c>
      <c r="AE85" s="34">
        <v>42894</v>
      </c>
    </row>
    <row r="86" spans="1:36">
      <c r="A86" s="30">
        <v>85</v>
      </c>
      <c r="B86" s="31" t="s">
        <v>260</v>
      </c>
      <c r="C86" s="32">
        <v>42894</v>
      </c>
      <c r="D86" s="31" t="s">
        <v>175</v>
      </c>
      <c r="E86" s="31" t="s">
        <v>196</v>
      </c>
      <c r="F86" s="31" t="s">
        <v>188</v>
      </c>
      <c r="G86" s="40" t="s">
        <v>220</v>
      </c>
      <c r="H86" s="31" t="s">
        <v>92</v>
      </c>
      <c r="K86" s="31" t="s">
        <v>175</v>
      </c>
      <c r="L86" s="34">
        <v>42916</v>
      </c>
      <c r="M86" s="31" t="s">
        <v>35</v>
      </c>
      <c r="N86" s="35" t="s">
        <v>646</v>
      </c>
      <c r="O86" s="36">
        <v>60</v>
      </c>
      <c r="P86" s="30">
        <v>1</v>
      </c>
      <c r="Q86" s="37">
        <v>0.21</v>
      </c>
      <c r="R86" s="38">
        <v>0</v>
      </c>
      <c r="S86" s="31" t="s">
        <v>36</v>
      </c>
      <c r="T86" s="39">
        <f t="shared" si="5"/>
        <v>72.599999999999994</v>
      </c>
      <c r="U86" s="31" t="s">
        <v>282</v>
      </c>
      <c r="V86" s="40" t="s">
        <v>751</v>
      </c>
      <c r="W86" s="34"/>
      <c r="X86" s="32">
        <v>42894</v>
      </c>
      <c r="Y86" s="41" t="s">
        <v>744</v>
      </c>
      <c r="AD86" s="31" t="s">
        <v>73</v>
      </c>
      <c r="AE86" s="34">
        <v>42894</v>
      </c>
    </row>
    <row r="87" spans="1:36">
      <c r="A87" s="30">
        <v>86</v>
      </c>
      <c r="B87" s="31" t="s">
        <v>260</v>
      </c>
      <c r="C87" s="32">
        <v>42894</v>
      </c>
      <c r="D87" s="31" t="s">
        <v>175</v>
      </c>
      <c r="E87" s="31" t="s">
        <v>196</v>
      </c>
      <c r="F87" s="31" t="s">
        <v>188</v>
      </c>
      <c r="G87" s="40" t="s">
        <v>220</v>
      </c>
      <c r="H87" s="31" t="s">
        <v>92</v>
      </c>
      <c r="K87" s="31" t="s">
        <v>175</v>
      </c>
      <c r="L87" s="34">
        <v>42916</v>
      </c>
      <c r="M87" s="31" t="s">
        <v>35</v>
      </c>
      <c r="N87" s="35" t="s">
        <v>647</v>
      </c>
      <c r="O87" s="36">
        <v>60</v>
      </c>
      <c r="P87" s="30">
        <v>1</v>
      </c>
      <c r="Q87" s="37">
        <v>0.21</v>
      </c>
      <c r="R87" s="38">
        <v>0</v>
      </c>
      <c r="S87" s="31" t="s">
        <v>36</v>
      </c>
      <c r="T87" s="39">
        <f t="shared" si="5"/>
        <v>72.599999999999994</v>
      </c>
      <c r="U87" s="31" t="s">
        <v>279</v>
      </c>
      <c r="V87" s="40" t="s">
        <v>753</v>
      </c>
      <c r="W87" s="34"/>
      <c r="X87" s="32">
        <v>42894</v>
      </c>
      <c r="Y87" s="41" t="s">
        <v>744</v>
      </c>
      <c r="AD87" s="31" t="s">
        <v>73</v>
      </c>
      <c r="AE87" s="34">
        <v>42894</v>
      </c>
    </row>
    <row r="88" spans="1:36">
      <c r="A88" s="30">
        <v>87</v>
      </c>
      <c r="B88" s="31" t="s">
        <v>260</v>
      </c>
      <c r="C88" s="32">
        <v>42894</v>
      </c>
      <c r="D88" s="31" t="s">
        <v>175</v>
      </c>
      <c r="E88" s="31" t="s">
        <v>196</v>
      </c>
      <c r="F88" s="31" t="s">
        <v>188</v>
      </c>
      <c r="G88" s="40" t="s">
        <v>220</v>
      </c>
      <c r="H88" s="31" t="s">
        <v>92</v>
      </c>
      <c r="K88" s="31" t="s">
        <v>175</v>
      </c>
      <c r="L88" s="34">
        <v>42916</v>
      </c>
      <c r="M88" s="31" t="s">
        <v>35</v>
      </c>
      <c r="N88" s="35" t="s">
        <v>648</v>
      </c>
      <c r="O88" s="36">
        <v>60</v>
      </c>
      <c r="P88" s="30">
        <v>1</v>
      </c>
      <c r="Q88" s="37">
        <v>0.21</v>
      </c>
      <c r="R88" s="38">
        <v>0</v>
      </c>
      <c r="S88" s="31" t="s">
        <v>36</v>
      </c>
      <c r="T88" s="39">
        <f t="shared" si="5"/>
        <v>72.599999999999994</v>
      </c>
      <c r="U88" s="31" t="s">
        <v>278</v>
      </c>
      <c r="V88" s="40" t="s">
        <v>754</v>
      </c>
      <c r="W88" s="34"/>
      <c r="X88" s="32">
        <v>42894</v>
      </c>
      <c r="Y88" s="41" t="s">
        <v>744</v>
      </c>
      <c r="AD88" s="31" t="s">
        <v>73</v>
      </c>
      <c r="AE88" s="34">
        <v>42894</v>
      </c>
    </row>
    <row r="89" spans="1:36">
      <c r="A89" s="30">
        <v>88</v>
      </c>
      <c r="B89" s="31" t="s">
        <v>260</v>
      </c>
      <c r="C89" s="32">
        <v>42894</v>
      </c>
      <c r="D89" s="31" t="s">
        <v>175</v>
      </c>
      <c r="E89" s="31" t="s">
        <v>196</v>
      </c>
      <c r="F89" s="31" t="s">
        <v>188</v>
      </c>
      <c r="G89" s="40" t="s">
        <v>220</v>
      </c>
      <c r="H89" s="31" t="s">
        <v>92</v>
      </c>
      <c r="K89" s="31" t="s">
        <v>175</v>
      </c>
      <c r="L89" s="34">
        <v>42916</v>
      </c>
      <c r="M89" s="31" t="s">
        <v>35</v>
      </c>
      <c r="N89" s="35" t="s">
        <v>290</v>
      </c>
      <c r="O89" s="36">
        <v>60</v>
      </c>
      <c r="P89" s="30">
        <v>1</v>
      </c>
      <c r="Q89" s="37">
        <v>0.21</v>
      </c>
      <c r="R89" s="38">
        <v>0</v>
      </c>
      <c r="S89" s="31" t="s">
        <v>36</v>
      </c>
      <c r="T89" s="39">
        <f t="shared" si="5"/>
        <v>72.599999999999994</v>
      </c>
      <c r="U89" t="s">
        <v>126</v>
      </c>
      <c r="V89" s="5" t="s">
        <v>752</v>
      </c>
      <c r="W89" s="34"/>
      <c r="X89" s="32">
        <v>42894</v>
      </c>
      <c r="Y89" s="41" t="s">
        <v>744</v>
      </c>
      <c r="AD89" s="31" t="s">
        <v>73</v>
      </c>
      <c r="AE89" s="34">
        <v>42894</v>
      </c>
    </row>
    <row r="90" spans="1:36">
      <c r="A90" s="30">
        <v>89</v>
      </c>
      <c r="B90" s="31" t="s">
        <v>260</v>
      </c>
      <c r="C90" s="32">
        <v>42894</v>
      </c>
      <c r="D90" s="31" t="s">
        <v>175</v>
      </c>
      <c r="E90" s="31" t="s">
        <v>196</v>
      </c>
      <c r="F90" s="31" t="s">
        <v>188</v>
      </c>
      <c r="G90" s="40" t="s">
        <v>220</v>
      </c>
      <c r="H90" s="31" t="s">
        <v>92</v>
      </c>
      <c r="K90" s="31" t="s">
        <v>175</v>
      </c>
      <c r="L90" s="34">
        <v>42916</v>
      </c>
      <c r="M90" s="31" t="s">
        <v>35</v>
      </c>
      <c r="N90" s="35" t="s">
        <v>286</v>
      </c>
      <c r="O90" s="36">
        <v>60</v>
      </c>
      <c r="P90" s="30">
        <v>1</v>
      </c>
      <c r="Q90" s="37">
        <v>0.21</v>
      </c>
      <c r="R90" s="38">
        <v>0</v>
      </c>
      <c r="S90" s="31" t="s">
        <v>36</v>
      </c>
      <c r="T90" s="39">
        <f t="shared" si="5"/>
        <v>72.599999999999994</v>
      </c>
      <c r="U90" s="31" t="s">
        <v>124</v>
      </c>
      <c r="V90" s="40" t="s">
        <v>747</v>
      </c>
      <c r="W90" s="34"/>
      <c r="X90" s="32">
        <v>42894</v>
      </c>
      <c r="Y90" s="41" t="s">
        <v>744</v>
      </c>
      <c r="AD90" s="31" t="s">
        <v>73</v>
      </c>
      <c r="AE90" s="34">
        <v>42894</v>
      </c>
    </row>
    <row r="91" spans="1:36">
      <c r="A91" s="30">
        <v>90</v>
      </c>
      <c r="B91" s="31" t="s">
        <v>260</v>
      </c>
      <c r="C91" s="32">
        <v>42894</v>
      </c>
      <c r="D91" s="31" t="s">
        <v>175</v>
      </c>
      <c r="E91" s="31" t="s">
        <v>196</v>
      </c>
      <c r="F91" s="31" t="s">
        <v>188</v>
      </c>
      <c r="G91" s="40" t="s">
        <v>220</v>
      </c>
      <c r="H91" s="31" t="s">
        <v>92</v>
      </c>
      <c r="K91" s="31" t="s">
        <v>175</v>
      </c>
      <c r="L91" s="34">
        <v>42916</v>
      </c>
      <c r="M91" s="31" t="s">
        <v>35</v>
      </c>
      <c r="N91" s="35" t="s">
        <v>649</v>
      </c>
      <c r="O91" s="36">
        <v>60</v>
      </c>
      <c r="P91" s="30">
        <v>1</v>
      </c>
      <c r="Q91" s="37">
        <v>0.21</v>
      </c>
      <c r="R91" s="38">
        <v>0</v>
      </c>
      <c r="S91" s="31" t="s">
        <v>36</v>
      </c>
      <c r="T91" s="39">
        <f t="shared" si="5"/>
        <v>72.599999999999994</v>
      </c>
      <c r="U91" s="31" t="s">
        <v>262</v>
      </c>
      <c r="V91" s="40" t="s">
        <v>740</v>
      </c>
      <c r="W91" s="34"/>
      <c r="X91" s="32">
        <v>42894</v>
      </c>
      <c r="Y91" s="41" t="s">
        <v>744</v>
      </c>
      <c r="AD91" s="31" t="s">
        <v>73</v>
      </c>
      <c r="AE91" s="34">
        <v>42894</v>
      </c>
    </row>
    <row r="92" spans="1:36">
      <c r="A92" s="30">
        <v>91</v>
      </c>
      <c r="B92" s="31" t="s">
        <v>260</v>
      </c>
      <c r="C92" s="32">
        <v>42894</v>
      </c>
      <c r="D92" s="31" t="s">
        <v>175</v>
      </c>
      <c r="E92" s="31" t="s">
        <v>196</v>
      </c>
      <c r="F92" s="31" t="s">
        <v>188</v>
      </c>
      <c r="G92" s="40" t="s">
        <v>220</v>
      </c>
      <c r="H92" s="31" t="s">
        <v>92</v>
      </c>
      <c r="K92" s="31" t="s">
        <v>175</v>
      </c>
      <c r="L92" s="34">
        <v>42916</v>
      </c>
      <c r="M92" s="31" t="s">
        <v>35</v>
      </c>
      <c r="N92" s="35" t="s">
        <v>650</v>
      </c>
      <c r="O92" s="36">
        <v>60</v>
      </c>
      <c r="P92" s="30">
        <v>1</v>
      </c>
      <c r="Q92" s="37">
        <v>0.21</v>
      </c>
      <c r="R92" s="38">
        <v>0</v>
      </c>
      <c r="S92" s="31" t="s">
        <v>36</v>
      </c>
      <c r="T92" s="39">
        <f t="shared" si="5"/>
        <v>72.599999999999994</v>
      </c>
      <c r="U92" s="31" t="s">
        <v>261</v>
      </c>
      <c r="V92" s="40" t="s">
        <v>742</v>
      </c>
      <c r="W92" s="34"/>
      <c r="X92" s="32">
        <v>42894</v>
      </c>
      <c r="Y92" s="41" t="s">
        <v>744</v>
      </c>
      <c r="AD92" s="31" t="s">
        <v>73</v>
      </c>
      <c r="AE92" s="34">
        <v>42894</v>
      </c>
    </row>
    <row r="93" spans="1:36">
      <c r="A93" s="30">
        <v>92</v>
      </c>
      <c r="B93" s="31" t="s">
        <v>260</v>
      </c>
      <c r="C93" s="32">
        <v>42894</v>
      </c>
      <c r="D93" s="31" t="s">
        <v>175</v>
      </c>
      <c r="E93" s="31" t="s">
        <v>196</v>
      </c>
      <c r="F93" s="31" t="s">
        <v>188</v>
      </c>
      <c r="G93" s="40" t="s">
        <v>220</v>
      </c>
      <c r="H93" s="31" t="s">
        <v>92</v>
      </c>
      <c r="K93" s="31" t="s">
        <v>175</v>
      </c>
      <c r="L93" s="34">
        <v>42916</v>
      </c>
      <c r="M93" s="31" t="s">
        <v>35</v>
      </c>
      <c r="N93" s="35" t="s">
        <v>651</v>
      </c>
      <c r="O93" s="36">
        <v>60</v>
      </c>
      <c r="P93" s="30">
        <v>1</v>
      </c>
      <c r="Q93" s="37">
        <v>0.21</v>
      </c>
      <c r="R93" s="38">
        <v>0</v>
      </c>
      <c r="S93" s="31" t="s">
        <v>36</v>
      </c>
      <c r="T93" s="39">
        <f t="shared" si="5"/>
        <v>72.599999999999994</v>
      </c>
      <c r="U93" s="31" t="s">
        <v>69</v>
      </c>
      <c r="V93" s="40" t="s">
        <v>741</v>
      </c>
      <c r="W93" s="34"/>
      <c r="X93" s="32">
        <v>42894</v>
      </c>
      <c r="Y93" s="41" t="s">
        <v>744</v>
      </c>
      <c r="AD93" s="31" t="s">
        <v>73</v>
      </c>
      <c r="AE93" s="34">
        <v>42894</v>
      </c>
    </row>
    <row r="94" spans="1:36">
      <c r="A94" s="30">
        <v>93</v>
      </c>
      <c r="B94" s="31" t="s">
        <v>52</v>
      </c>
      <c r="C94" s="32">
        <v>42908</v>
      </c>
      <c r="D94" s="31" t="s">
        <v>654</v>
      </c>
      <c r="E94" s="31" t="s">
        <v>655</v>
      </c>
      <c r="F94" s="31" t="s">
        <v>656</v>
      </c>
      <c r="G94" s="40" t="s">
        <v>221</v>
      </c>
      <c r="H94" s="31" t="s">
        <v>34</v>
      </c>
      <c r="K94" s="31" t="s">
        <v>53</v>
      </c>
      <c r="L94" s="34">
        <v>42916</v>
      </c>
      <c r="M94" s="31" t="s">
        <v>35</v>
      </c>
      <c r="N94" s="35" t="s">
        <v>662</v>
      </c>
      <c r="O94" s="36">
        <v>60</v>
      </c>
      <c r="P94" s="30">
        <v>1</v>
      </c>
      <c r="Q94" s="37">
        <v>0.21</v>
      </c>
      <c r="R94" s="38">
        <v>0</v>
      </c>
      <c r="S94" s="31" t="s">
        <v>36</v>
      </c>
      <c r="T94" s="39">
        <f>(O94*P94)*Q94+O94*P94</f>
        <v>72.599999999999994</v>
      </c>
      <c r="U94" s="31" t="s">
        <v>657</v>
      </c>
      <c r="V94" s="40" t="s">
        <v>658</v>
      </c>
      <c r="W94" s="34">
        <v>31412</v>
      </c>
      <c r="X94" s="32">
        <v>42908</v>
      </c>
      <c r="Y94" s="41" t="s">
        <v>893</v>
      </c>
      <c r="Z94" s="34">
        <v>42999</v>
      </c>
    </row>
    <row r="95" spans="1:36">
      <c r="A95" s="30">
        <v>94</v>
      </c>
      <c r="B95" s="31" t="s">
        <v>82</v>
      </c>
      <c r="C95" s="32">
        <v>42908</v>
      </c>
      <c r="D95" s="31" t="s">
        <v>659</v>
      </c>
      <c r="E95" s="31" t="s">
        <v>660</v>
      </c>
      <c r="F95" s="31" t="s">
        <v>661</v>
      </c>
      <c r="G95" s="40" t="s">
        <v>239</v>
      </c>
      <c r="H95" s="31" t="s">
        <v>108</v>
      </c>
      <c r="I95" s="31">
        <v>632365636</v>
      </c>
      <c r="K95" s="31" t="s">
        <v>659</v>
      </c>
      <c r="L95" s="34">
        <v>42916</v>
      </c>
      <c r="M95" s="31" t="s">
        <v>35</v>
      </c>
      <c r="N95" s="35" t="s">
        <v>663</v>
      </c>
      <c r="O95" s="36">
        <v>60</v>
      </c>
      <c r="P95" s="30">
        <v>1</v>
      </c>
      <c r="Q95" s="37">
        <v>0.21</v>
      </c>
      <c r="R95" s="38">
        <v>0</v>
      </c>
      <c r="S95" s="31" t="s">
        <v>36</v>
      </c>
      <c r="T95" s="39">
        <f>(O95*P95)*Q95+O95*P95</f>
        <v>72.599999999999994</v>
      </c>
      <c r="U95" s="31" t="s">
        <v>664</v>
      </c>
      <c r="V95" s="40" t="s">
        <v>665</v>
      </c>
      <c r="W95" s="34">
        <v>29314</v>
      </c>
      <c r="X95" s="32">
        <v>42908</v>
      </c>
      <c r="Y95" s="41" t="s">
        <v>892</v>
      </c>
      <c r="Z95" s="34">
        <v>42955</v>
      </c>
      <c r="AJ95" s="31" t="s">
        <v>687</v>
      </c>
    </row>
    <row r="96" spans="1:36">
      <c r="A96" s="30">
        <v>95</v>
      </c>
      <c r="B96" s="31" t="s">
        <v>82</v>
      </c>
      <c r="C96" s="32">
        <v>42908</v>
      </c>
      <c r="D96" s="31" t="s">
        <v>666</v>
      </c>
      <c r="E96" s="31" t="s">
        <v>667</v>
      </c>
      <c r="F96" s="31" t="s">
        <v>668</v>
      </c>
      <c r="G96" s="40" t="s">
        <v>238</v>
      </c>
      <c r="H96" s="31" t="s">
        <v>48</v>
      </c>
      <c r="K96" s="31" t="s">
        <v>666</v>
      </c>
      <c r="L96" s="34">
        <v>42916</v>
      </c>
      <c r="M96" s="31" t="s">
        <v>35</v>
      </c>
      <c r="N96" s="35" t="s">
        <v>669</v>
      </c>
      <c r="O96" s="36">
        <v>60</v>
      </c>
      <c r="P96" s="30">
        <v>1</v>
      </c>
      <c r="Q96" s="37">
        <v>0.21</v>
      </c>
      <c r="R96" s="38">
        <v>0</v>
      </c>
      <c r="S96" s="31" t="s">
        <v>36</v>
      </c>
      <c r="T96" s="39">
        <f>(O96*P96)*Q96+O96*P96</f>
        <v>72.599999999999994</v>
      </c>
      <c r="U96" s="31" t="s">
        <v>670</v>
      </c>
      <c r="V96" s="40" t="s">
        <v>671</v>
      </c>
      <c r="W96" s="34">
        <v>33412</v>
      </c>
      <c r="X96" s="32">
        <v>42908</v>
      </c>
      <c r="Y96" s="41" t="s">
        <v>779</v>
      </c>
      <c r="AA96" s="31" t="s">
        <v>244</v>
      </c>
      <c r="AD96" s="31" t="s">
        <v>672</v>
      </c>
      <c r="AE96" s="34">
        <v>42908</v>
      </c>
      <c r="AH96" s="34">
        <v>42915</v>
      </c>
    </row>
    <row r="97" spans="1:34">
      <c r="A97" s="30">
        <v>96</v>
      </c>
      <c r="B97" s="31" t="s">
        <v>260</v>
      </c>
      <c r="C97" s="32">
        <v>42909</v>
      </c>
      <c r="D97" s="31" t="s">
        <v>175</v>
      </c>
      <c r="E97" s="31" t="s">
        <v>196</v>
      </c>
      <c r="F97" s="31" t="s">
        <v>188</v>
      </c>
      <c r="G97" s="40" t="s">
        <v>220</v>
      </c>
      <c r="H97" s="31" t="s">
        <v>92</v>
      </c>
      <c r="K97" s="31" t="s">
        <v>175</v>
      </c>
      <c r="L97" s="34">
        <v>42947</v>
      </c>
      <c r="M97" s="31" t="s">
        <v>35</v>
      </c>
      <c r="N97" s="35" t="s">
        <v>710</v>
      </c>
      <c r="O97" s="36">
        <v>60</v>
      </c>
      <c r="P97" s="30">
        <v>1</v>
      </c>
      <c r="Q97" s="37">
        <v>0.21</v>
      </c>
      <c r="R97" s="38">
        <v>0</v>
      </c>
      <c r="S97" s="31" t="s">
        <v>36</v>
      </c>
      <c r="T97" s="39">
        <f t="shared" ref="T97:T112" si="6">(O97*P97)*Q97+O97*P97</f>
        <v>72.599999999999994</v>
      </c>
      <c r="U97" s="31" t="s">
        <v>194</v>
      </c>
      <c r="V97" s="40" t="s">
        <v>711</v>
      </c>
      <c r="W97" s="34"/>
      <c r="X97" s="32">
        <v>42909</v>
      </c>
      <c r="Y97" s="41" t="s">
        <v>757</v>
      </c>
      <c r="AD97" s="31" t="s">
        <v>73</v>
      </c>
      <c r="AE97" s="34">
        <v>42909</v>
      </c>
      <c r="AH97" s="34">
        <v>42923</v>
      </c>
    </row>
    <row r="98" spans="1:34">
      <c r="A98" s="30">
        <v>97</v>
      </c>
      <c r="B98" s="31" t="s">
        <v>260</v>
      </c>
      <c r="C98" s="32">
        <v>42909</v>
      </c>
      <c r="D98" s="31" t="s">
        <v>175</v>
      </c>
      <c r="E98" s="31" t="s">
        <v>196</v>
      </c>
      <c r="F98" s="31" t="s">
        <v>188</v>
      </c>
      <c r="G98" s="40" t="s">
        <v>220</v>
      </c>
      <c r="H98" s="31" t="s">
        <v>92</v>
      </c>
      <c r="K98" s="31" t="s">
        <v>175</v>
      </c>
      <c r="L98" s="34">
        <v>42947</v>
      </c>
      <c r="M98" s="31" t="s">
        <v>35</v>
      </c>
      <c r="N98" s="35" t="s">
        <v>714</v>
      </c>
      <c r="O98" s="36">
        <v>60</v>
      </c>
      <c r="P98" s="30">
        <v>1</v>
      </c>
      <c r="Q98" s="37">
        <v>0.21</v>
      </c>
      <c r="R98" s="38">
        <v>0</v>
      </c>
      <c r="S98" s="31" t="s">
        <v>36</v>
      </c>
      <c r="T98" s="39">
        <f t="shared" si="6"/>
        <v>72.599999999999994</v>
      </c>
      <c r="U98" s="31" t="s">
        <v>191</v>
      </c>
      <c r="V98" s="40" t="s">
        <v>715</v>
      </c>
      <c r="W98" s="34"/>
      <c r="X98" s="32">
        <v>42909</v>
      </c>
      <c r="Y98" s="41" t="s">
        <v>757</v>
      </c>
      <c r="AD98" s="31" t="s">
        <v>73</v>
      </c>
      <c r="AE98" s="34">
        <v>42909</v>
      </c>
      <c r="AH98" s="34">
        <v>42923</v>
      </c>
    </row>
    <row r="99" spans="1:34">
      <c r="A99" s="30">
        <v>98</v>
      </c>
      <c r="B99" s="31" t="s">
        <v>260</v>
      </c>
      <c r="C99" s="32">
        <v>42909</v>
      </c>
      <c r="D99" s="31" t="s">
        <v>175</v>
      </c>
      <c r="E99" s="31" t="s">
        <v>196</v>
      </c>
      <c r="F99" s="31" t="s">
        <v>188</v>
      </c>
      <c r="G99" s="40" t="s">
        <v>220</v>
      </c>
      <c r="H99" s="31" t="s">
        <v>92</v>
      </c>
      <c r="K99" s="31" t="s">
        <v>175</v>
      </c>
      <c r="L99" s="34">
        <v>42947</v>
      </c>
      <c r="M99" s="31" t="s">
        <v>35</v>
      </c>
      <c r="N99" s="35" t="s">
        <v>716</v>
      </c>
      <c r="O99" s="36">
        <v>60</v>
      </c>
      <c r="P99" s="30">
        <v>1</v>
      </c>
      <c r="Q99" s="37">
        <v>0.21</v>
      </c>
      <c r="R99" s="38">
        <v>0</v>
      </c>
      <c r="S99" s="31" t="s">
        <v>36</v>
      </c>
      <c r="T99" s="39">
        <f t="shared" si="6"/>
        <v>72.599999999999994</v>
      </c>
      <c r="U99" s="31" t="s">
        <v>276</v>
      </c>
      <c r="V99" s="40" t="s">
        <v>717</v>
      </c>
      <c r="W99" s="34"/>
      <c r="X99" s="32">
        <v>42909</v>
      </c>
      <c r="Y99" s="41" t="s">
        <v>757</v>
      </c>
      <c r="AD99" s="31" t="s">
        <v>73</v>
      </c>
      <c r="AE99" s="34">
        <v>42909</v>
      </c>
      <c r="AH99" s="34">
        <v>42923</v>
      </c>
    </row>
    <row r="100" spans="1:34">
      <c r="A100" s="30">
        <v>99</v>
      </c>
      <c r="B100" s="31" t="s">
        <v>260</v>
      </c>
      <c r="C100" s="32">
        <v>42909</v>
      </c>
      <c r="D100" s="31" t="s">
        <v>175</v>
      </c>
      <c r="E100" s="31" t="s">
        <v>196</v>
      </c>
      <c r="F100" s="31" t="s">
        <v>188</v>
      </c>
      <c r="G100" s="40" t="s">
        <v>220</v>
      </c>
      <c r="H100" s="31" t="s">
        <v>92</v>
      </c>
      <c r="K100" s="31" t="s">
        <v>175</v>
      </c>
      <c r="L100" s="34">
        <v>42947</v>
      </c>
      <c r="M100" s="31" t="s">
        <v>35</v>
      </c>
      <c r="N100" s="35" t="s">
        <v>718</v>
      </c>
      <c r="O100" s="36">
        <v>60</v>
      </c>
      <c r="P100" s="30">
        <v>1</v>
      </c>
      <c r="Q100" s="37">
        <v>0.21</v>
      </c>
      <c r="R100" s="38">
        <v>0</v>
      </c>
      <c r="S100" s="31" t="s">
        <v>36</v>
      </c>
      <c r="T100" s="39">
        <f t="shared" si="6"/>
        <v>72.599999999999994</v>
      </c>
      <c r="U100" s="31" t="s">
        <v>93</v>
      </c>
      <c r="V100" s="40" t="s">
        <v>719</v>
      </c>
      <c r="W100" s="34"/>
      <c r="X100" s="32">
        <v>42909</v>
      </c>
      <c r="Y100" s="41" t="s">
        <v>757</v>
      </c>
      <c r="AD100" s="31" t="s">
        <v>73</v>
      </c>
      <c r="AE100" s="34">
        <v>42909</v>
      </c>
      <c r="AH100" s="34">
        <v>42923</v>
      </c>
    </row>
    <row r="101" spans="1:34">
      <c r="A101" s="30">
        <v>100</v>
      </c>
      <c r="B101" s="31" t="s">
        <v>260</v>
      </c>
      <c r="C101" s="32">
        <v>42909</v>
      </c>
      <c r="D101" s="31" t="s">
        <v>175</v>
      </c>
      <c r="E101" s="31" t="s">
        <v>196</v>
      </c>
      <c r="F101" s="31" t="s">
        <v>188</v>
      </c>
      <c r="G101" s="40" t="s">
        <v>220</v>
      </c>
      <c r="H101" s="31" t="s">
        <v>92</v>
      </c>
      <c r="K101" s="31" t="s">
        <v>175</v>
      </c>
      <c r="L101" s="34">
        <v>42947</v>
      </c>
      <c r="M101" s="31" t="s">
        <v>35</v>
      </c>
      <c r="N101" s="35" t="s">
        <v>720</v>
      </c>
      <c r="O101" s="36">
        <v>60</v>
      </c>
      <c r="P101" s="30">
        <v>1</v>
      </c>
      <c r="Q101" s="37">
        <v>0.21</v>
      </c>
      <c r="R101" s="38">
        <v>0</v>
      </c>
      <c r="S101" s="31" t="s">
        <v>36</v>
      </c>
      <c r="T101" s="39">
        <f t="shared" si="6"/>
        <v>72.599999999999994</v>
      </c>
      <c r="U101" s="31" t="s">
        <v>190</v>
      </c>
      <c r="V101" s="40" t="s">
        <v>721</v>
      </c>
      <c r="W101" s="34"/>
      <c r="X101" s="32">
        <v>42909</v>
      </c>
      <c r="Y101" s="41" t="s">
        <v>757</v>
      </c>
      <c r="AD101" s="31" t="s">
        <v>73</v>
      </c>
      <c r="AE101" s="34">
        <v>42909</v>
      </c>
      <c r="AH101" s="34">
        <v>42923</v>
      </c>
    </row>
    <row r="102" spans="1:34">
      <c r="A102" s="30">
        <v>101</v>
      </c>
      <c r="B102" s="31" t="s">
        <v>260</v>
      </c>
      <c r="C102" s="32">
        <v>42909</v>
      </c>
      <c r="D102" s="31" t="s">
        <v>175</v>
      </c>
      <c r="E102" s="31" t="s">
        <v>196</v>
      </c>
      <c r="F102" s="31" t="s">
        <v>188</v>
      </c>
      <c r="G102" s="40" t="s">
        <v>220</v>
      </c>
      <c r="H102" s="31" t="s">
        <v>92</v>
      </c>
      <c r="K102" s="31" t="s">
        <v>175</v>
      </c>
      <c r="L102" s="34">
        <v>42947</v>
      </c>
      <c r="M102" s="31" t="s">
        <v>35</v>
      </c>
      <c r="N102" s="35" t="s">
        <v>722</v>
      </c>
      <c r="O102" s="36">
        <v>60</v>
      </c>
      <c r="P102" s="30">
        <v>1</v>
      </c>
      <c r="Q102" s="37">
        <v>0.21</v>
      </c>
      <c r="R102" s="38">
        <v>0</v>
      </c>
      <c r="S102" s="31" t="s">
        <v>36</v>
      </c>
      <c r="T102" s="39">
        <f t="shared" si="6"/>
        <v>72.599999999999994</v>
      </c>
      <c r="U102" s="31" t="s">
        <v>195</v>
      </c>
      <c r="V102" s="40" t="s">
        <v>723</v>
      </c>
      <c r="W102" s="34"/>
      <c r="X102" s="32">
        <v>42909</v>
      </c>
      <c r="Y102" s="41" t="s">
        <v>757</v>
      </c>
      <c r="AD102" s="31" t="s">
        <v>73</v>
      </c>
      <c r="AE102" s="34">
        <v>42909</v>
      </c>
      <c r="AH102" s="34">
        <v>42923</v>
      </c>
    </row>
    <row r="103" spans="1:34">
      <c r="A103" s="30">
        <v>102</v>
      </c>
      <c r="B103" s="31" t="s">
        <v>260</v>
      </c>
      <c r="C103" s="32">
        <v>42909</v>
      </c>
      <c r="D103" s="31" t="s">
        <v>175</v>
      </c>
      <c r="E103" s="31" t="s">
        <v>196</v>
      </c>
      <c r="F103" s="31" t="s">
        <v>188</v>
      </c>
      <c r="G103" s="40" t="s">
        <v>220</v>
      </c>
      <c r="H103" s="31" t="s">
        <v>92</v>
      </c>
      <c r="K103" s="31" t="s">
        <v>175</v>
      </c>
      <c r="L103" s="34">
        <v>42947</v>
      </c>
      <c r="M103" s="31" t="s">
        <v>35</v>
      </c>
      <c r="N103" s="35" t="s">
        <v>724</v>
      </c>
      <c r="O103" s="36">
        <v>60</v>
      </c>
      <c r="P103" s="30">
        <v>1</v>
      </c>
      <c r="Q103" s="37">
        <v>0.21</v>
      </c>
      <c r="R103" s="38">
        <v>0</v>
      </c>
      <c r="S103" s="31" t="s">
        <v>36</v>
      </c>
      <c r="T103" s="39">
        <f t="shared" si="6"/>
        <v>72.599999999999994</v>
      </c>
      <c r="U103" s="31" t="s">
        <v>280</v>
      </c>
      <c r="V103" s="40" t="s">
        <v>725</v>
      </c>
      <c r="W103" s="34"/>
      <c r="X103" s="32">
        <v>42909</v>
      </c>
      <c r="Y103" s="41" t="s">
        <v>757</v>
      </c>
      <c r="AD103" s="31" t="s">
        <v>73</v>
      </c>
      <c r="AE103" s="34">
        <v>42909</v>
      </c>
      <c r="AH103" s="34">
        <v>42923</v>
      </c>
    </row>
    <row r="104" spans="1:34">
      <c r="A104" s="30">
        <v>103</v>
      </c>
      <c r="B104" s="31" t="s">
        <v>260</v>
      </c>
      <c r="C104" s="32">
        <v>42909</v>
      </c>
      <c r="D104" s="31" t="s">
        <v>175</v>
      </c>
      <c r="E104" s="31" t="s">
        <v>196</v>
      </c>
      <c r="F104" s="31" t="s">
        <v>188</v>
      </c>
      <c r="G104" s="40" t="s">
        <v>220</v>
      </c>
      <c r="H104" s="31" t="s">
        <v>92</v>
      </c>
      <c r="K104" s="31" t="s">
        <v>175</v>
      </c>
      <c r="L104" s="34">
        <v>42947</v>
      </c>
      <c r="M104" s="31" t="s">
        <v>35</v>
      </c>
      <c r="N104" s="35" t="s">
        <v>726</v>
      </c>
      <c r="O104" s="36">
        <v>60</v>
      </c>
      <c r="P104" s="30">
        <v>1</v>
      </c>
      <c r="Q104" s="37">
        <v>0.21</v>
      </c>
      <c r="R104" s="38">
        <v>0</v>
      </c>
      <c r="S104" s="31" t="s">
        <v>36</v>
      </c>
      <c r="T104" s="39">
        <f t="shared" si="6"/>
        <v>72.599999999999994</v>
      </c>
      <c r="U104" s="31" t="s">
        <v>272</v>
      </c>
      <c r="V104" s="40" t="s">
        <v>727</v>
      </c>
      <c r="W104" s="34"/>
      <c r="X104" s="32">
        <v>42909</v>
      </c>
      <c r="Y104" s="41" t="s">
        <v>757</v>
      </c>
      <c r="AD104" s="31" t="s">
        <v>73</v>
      </c>
      <c r="AE104" s="34">
        <v>42909</v>
      </c>
      <c r="AH104" s="34">
        <v>42923</v>
      </c>
    </row>
    <row r="105" spans="1:34">
      <c r="A105" s="30">
        <v>104</v>
      </c>
      <c r="B105" s="31" t="s">
        <v>260</v>
      </c>
      <c r="C105" s="32">
        <v>42909</v>
      </c>
      <c r="D105" s="31" t="s">
        <v>175</v>
      </c>
      <c r="E105" s="31" t="s">
        <v>196</v>
      </c>
      <c r="F105" s="31" t="s">
        <v>188</v>
      </c>
      <c r="G105" s="40" t="s">
        <v>220</v>
      </c>
      <c r="H105" s="31" t="s">
        <v>92</v>
      </c>
      <c r="K105" s="31" t="s">
        <v>175</v>
      </c>
      <c r="L105" s="34">
        <v>42947</v>
      </c>
      <c r="M105" s="31" t="s">
        <v>35</v>
      </c>
      <c r="N105" s="35" t="s">
        <v>728</v>
      </c>
      <c r="O105" s="36">
        <v>60</v>
      </c>
      <c r="P105" s="30">
        <v>1</v>
      </c>
      <c r="Q105" s="37">
        <v>0.21</v>
      </c>
      <c r="R105" s="38">
        <v>0</v>
      </c>
      <c r="S105" s="31" t="s">
        <v>36</v>
      </c>
      <c r="T105" s="39">
        <f t="shared" si="6"/>
        <v>72.599999999999994</v>
      </c>
      <c r="U105" s="31" t="s">
        <v>273</v>
      </c>
      <c r="V105" s="40" t="s">
        <v>729</v>
      </c>
      <c r="W105" s="34"/>
      <c r="X105" s="32">
        <v>42909</v>
      </c>
      <c r="Y105" s="41" t="s">
        <v>757</v>
      </c>
      <c r="AD105" s="31" t="s">
        <v>73</v>
      </c>
      <c r="AE105" s="34">
        <v>42909</v>
      </c>
      <c r="AH105" s="34">
        <v>42923</v>
      </c>
    </row>
    <row r="106" spans="1:34">
      <c r="A106" s="30">
        <v>105</v>
      </c>
      <c r="B106" s="31" t="s">
        <v>260</v>
      </c>
      <c r="C106" s="32">
        <v>42909</v>
      </c>
      <c r="D106" s="31" t="s">
        <v>175</v>
      </c>
      <c r="E106" s="31" t="s">
        <v>196</v>
      </c>
      <c r="F106" s="31" t="s">
        <v>188</v>
      </c>
      <c r="G106" s="40" t="s">
        <v>220</v>
      </c>
      <c r="H106" s="31" t="s">
        <v>92</v>
      </c>
      <c r="K106" s="31" t="s">
        <v>175</v>
      </c>
      <c r="L106" s="34">
        <v>42947</v>
      </c>
      <c r="M106" s="31" t="s">
        <v>35</v>
      </c>
      <c r="N106" s="35" t="s">
        <v>730</v>
      </c>
      <c r="O106" s="36">
        <v>60</v>
      </c>
      <c r="P106" s="30">
        <v>1</v>
      </c>
      <c r="Q106" s="37">
        <v>0.21</v>
      </c>
      <c r="R106" s="38">
        <v>0</v>
      </c>
      <c r="S106" s="31" t="s">
        <v>36</v>
      </c>
      <c r="T106" s="39">
        <f t="shared" si="6"/>
        <v>72.599999999999994</v>
      </c>
      <c r="U106" s="31" t="s">
        <v>283</v>
      </c>
      <c r="V106" s="40" t="s">
        <v>731</v>
      </c>
      <c r="W106" s="34"/>
      <c r="X106" s="32">
        <v>42909</v>
      </c>
      <c r="Y106" s="41" t="s">
        <v>757</v>
      </c>
      <c r="AD106" s="31" t="s">
        <v>73</v>
      </c>
      <c r="AE106" s="34">
        <v>42909</v>
      </c>
      <c r="AH106" s="34">
        <v>42923</v>
      </c>
    </row>
    <row r="107" spans="1:34">
      <c r="A107" s="30">
        <v>106</v>
      </c>
      <c r="B107" s="31" t="s">
        <v>260</v>
      </c>
      <c r="C107" s="32">
        <v>42909</v>
      </c>
      <c r="D107" s="31" t="s">
        <v>175</v>
      </c>
      <c r="E107" s="31" t="s">
        <v>196</v>
      </c>
      <c r="F107" s="31" t="s">
        <v>188</v>
      </c>
      <c r="G107" s="40" t="s">
        <v>220</v>
      </c>
      <c r="H107" s="31" t="s">
        <v>92</v>
      </c>
      <c r="K107" s="31" t="s">
        <v>175</v>
      </c>
      <c r="L107" s="34">
        <v>42947</v>
      </c>
      <c r="M107" s="31" t="s">
        <v>35</v>
      </c>
      <c r="N107" s="35" t="s">
        <v>289</v>
      </c>
      <c r="O107" s="36">
        <v>60</v>
      </c>
      <c r="P107" s="30">
        <v>1</v>
      </c>
      <c r="Q107" s="37">
        <v>0.21</v>
      </c>
      <c r="R107" s="38">
        <v>0</v>
      </c>
      <c r="S107" s="31" t="s">
        <v>36</v>
      </c>
      <c r="T107" s="39">
        <f t="shared" si="6"/>
        <v>72.599999999999994</v>
      </c>
      <c r="U107" s="31" t="s">
        <v>193</v>
      </c>
      <c r="V107" s="40" t="s">
        <v>712</v>
      </c>
      <c r="W107" s="34"/>
      <c r="X107" s="32">
        <v>42909</v>
      </c>
      <c r="Y107" s="41" t="s">
        <v>757</v>
      </c>
      <c r="AD107" s="31" t="s">
        <v>73</v>
      </c>
      <c r="AE107" s="34">
        <v>42909</v>
      </c>
      <c r="AH107" s="34">
        <v>42923</v>
      </c>
    </row>
    <row r="108" spans="1:34">
      <c r="A108" s="30">
        <v>107</v>
      </c>
      <c r="B108" s="31" t="s">
        <v>260</v>
      </c>
      <c r="C108" s="32">
        <v>42909</v>
      </c>
      <c r="D108" s="31" t="s">
        <v>175</v>
      </c>
      <c r="E108" s="31" t="s">
        <v>196</v>
      </c>
      <c r="F108" s="31" t="s">
        <v>188</v>
      </c>
      <c r="G108" s="40" t="s">
        <v>220</v>
      </c>
      <c r="H108" s="31" t="s">
        <v>92</v>
      </c>
      <c r="K108" s="31" t="s">
        <v>175</v>
      </c>
      <c r="L108" s="34">
        <v>42947</v>
      </c>
      <c r="M108" s="31" t="s">
        <v>35</v>
      </c>
      <c r="N108" s="35" t="s">
        <v>732</v>
      </c>
      <c r="O108" s="36">
        <v>60</v>
      </c>
      <c r="P108" s="30">
        <v>1</v>
      </c>
      <c r="Q108" s="37">
        <v>0.21</v>
      </c>
      <c r="R108" s="38">
        <v>0</v>
      </c>
      <c r="S108" s="31" t="s">
        <v>36</v>
      </c>
      <c r="T108" s="39">
        <f t="shared" si="6"/>
        <v>72.599999999999994</v>
      </c>
      <c r="U108" s="31" t="s">
        <v>284</v>
      </c>
      <c r="V108" s="40" t="s">
        <v>733</v>
      </c>
      <c r="W108" s="34"/>
      <c r="X108" s="32">
        <v>42909</v>
      </c>
      <c r="Y108" s="41" t="s">
        <v>757</v>
      </c>
      <c r="AD108" s="31" t="s">
        <v>73</v>
      </c>
      <c r="AE108" s="34">
        <v>42909</v>
      </c>
      <c r="AH108" s="34">
        <v>42923</v>
      </c>
    </row>
    <row r="109" spans="1:34">
      <c r="A109" s="30">
        <v>108</v>
      </c>
      <c r="B109" s="31" t="s">
        <v>260</v>
      </c>
      <c r="C109" s="32">
        <v>42909</v>
      </c>
      <c r="D109" s="31" t="s">
        <v>175</v>
      </c>
      <c r="E109" s="31" t="s">
        <v>196</v>
      </c>
      <c r="F109" s="31" t="s">
        <v>188</v>
      </c>
      <c r="G109" s="40" t="s">
        <v>220</v>
      </c>
      <c r="H109" s="31" t="s">
        <v>92</v>
      </c>
      <c r="K109" s="31" t="s">
        <v>175</v>
      </c>
      <c r="L109" s="34">
        <v>42947</v>
      </c>
      <c r="M109" s="31" t="s">
        <v>35</v>
      </c>
      <c r="N109" s="35" t="s">
        <v>734</v>
      </c>
      <c r="O109" s="36">
        <v>60</v>
      </c>
      <c r="P109" s="30">
        <v>1</v>
      </c>
      <c r="Q109" s="37">
        <v>0.21</v>
      </c>
      <c r="R109" s="38">
        <v>0</v>
      </c>
      <c r="S109" s="31" t="s">
        <v>36</v>
      </c>
      <c r="T109" s="39">
        <f t="shared" si="6"/>
        <v>72.599999999999994</v>
      </c>
      <c r="U109" s="31" t="s">
        <v>274</v>
      </c>
      <c r="V109" s="40" t="s">
        <v>735</v>
      </c>
      <c r="W109" s="34"/>
      <c r="X109" s="32">
        <v>42909</v>
      </c>
      <c r="Y109" s="41" t="s">
        <v>757</v>
      </c>
      <c r="AD109" s="31" t="s">
        <v>73</v>
      </c>
      <c r="AE109" s="34">
        <v>42909</v>
      </c>
      <c r="AH109" s="34">
        <v>42923</v>
      </c>
    </row>
    <row r="110" spans="1:34">
      <c r="A110" s="30">
        <v>109</v>
      </c>
      <c r="B110" s="31" t="s">
        <v>260</v>
      </c>
      <c r="C110" s="32">
        <v>42909</v>
      </c>
      <c r="D110" s="31" t="s">
        <v>175</v>
      </c>
      <c r="E110" s="31" t="s">
        <v>196</v>
      </c>
      <c r="F110" s="31" t="s">
        <v>188</v>
      </c>
      <c r="G110" s="40" t="s">
        <v>220</v>
      </c>
      <c r="H110" s="31" t="s">
        <v>92</v>
      </c>
      <c r="K110" s="31" t="s">
        <v>175</v>
      </c>
      <c r="L110" s="34">
        <v>42947</v>
      </c>
      <c r="M110" s="31" t="s">
        <v>35</v>
      </c>
      <c r="N110" s="35" t="s">
        <v>736</v>
      </c>
      <c r="O110" s="36">
        <v>60</v>
      </c>
      <c r="P110" s="30">
        <v>1</v>
      </c>
      <c r="Q110" s="37">
        <v>0.21</v>
      </c>
      <c r="R110" s="38">
        <v>0</v>
      </c>
      <c r="S110" s="31" t="s">
        <v>36</v>
      </c>
      <c r="T110" s="39">
        <f t="shared" si="6"/>
        <v>72.599999999999994</v>
      </c>
      <c r="U110" s="31" t="s">
        <v>189</v>
      </c>
      <c r="V110" s="40" t="s">
        <v>737</v>
      </c>
      <c r="W110" s="34"/>
      <c r="X110" s="32">
        <v>42909</v>
      </c>
      <c r="Y110" s="41" t="s">
        <v>757</v>
      </c>
      <c r="AD110" s="31" t="s">
        <v>73</v>
      </c>
      <c r="AE110" s="34">
        <v>42909</v>
      </c>
      <c r="AH110" s="34">
        <v>42923</v>
      </c>
    </row>
    <row r="111" spans="1:34">
      <c r="A111" s="30">
        <v>110</v>
      </c>
      <c r="B111" s="31" t="s">
        <v>260</v>
      </c>
      <c r="C111" s="32">
        <v>42909</v>
      </c>
      <c r="D111" s="31" t="s">
        <v>175</v>
      </c>
      <c r="E111" s="31" t="s">
        <v>196</v>
      </c>
      <c r="F111" s="31" t="s">
        <v>188</v>
      </c>
      <c r="G111" s="40" t="s">
        <v>220</v>
      </c>
      <c r="H111" s="31" t="s">
        <v>92</v>
      </c>
      <c r="K111" s="31" t="s">
        <v>175</v>
      </c>
      <c r="L111" s="34">
        <v>42947</v>
      </c>
      <c r="M111" s="31" t="s">
        <v>35</v>
      </c>
      <c r="N111" s="35" t="s">
        <v>738</v>
      </c>
      <c r="O111" s="36">
        <v>60</v>
      </c>
      <c r="P111" s="30">
        <v>1</v>
      </c>
      <c r="Q111" s="37">
        <v>0.21</v>
      </c>
      <c r="R111" s="38">
        <v>0</v>
      </c>
      <c r="S111" s="31" t="s">
        <v>36</v>
      </c>
      <c r="T111" s="39">
        <f t="shared" si="6"/>
        <v>72.599999999999994</v>
      </c>
      <c r="U111" s="31" t="s">
        <v>271</v>
      </c>
      <c r="V111" s="40" t="s">
        <v>739</v>
      </c>
      <c r="W111" s="34"/>
      <c r="X111" s="32">
        <v>42909</v>
      </c>
      <c r="Y111" s="41" t="s">
        <v>757</v>
      </c>
      <c r="AD111" s="31" t="s">
        <v>73</v>
      </c>
      <c r="AE111" s="34">
        <v>42909</v>
      </c>
      <c r="AH111" s="34">
        <v>42923</v>
      </c>
    </row>
    <row r="112" spans="1:34">
      <c r="A112" s="30">
        <v>111</v>
      </c>
      <c r="B112" s="31" t="s">
        <v>260</v>
      </c>
      <c r="C112" s="32">
        <v>42909</v>
      </c>
      <c r="D112" s="31" t="s">
        <v>175</v>
      </c>
      <c r="E112" s="31" t="s">
        <v>196</v>
      </c>
      <c r="F112" s="31" t="s">
        <v>188</v>
      </c>
      <c r="G112" s="40" t="s">
        <v>220</v>
      </c>
      <c r="H112" s="31" t="s">
        <v>92</v>
      </c>
      <c r="K112" s="31" t="s">
        <v>175</v>
      </c>
      <c r="L112" s="34">
        <v>42947</v>
      </c>
      <c r="M112" s="31" t="s">
        <v>35</v>
      </c>
      <c r="N112" s="35" t="s">
        <v>288</v>
      </c>
      <c r="O112" s="36">
        <v>60</v>
      </c>
      <c r="P112" s="30">
        <v>1</v>
      </c>
      <c r="Q112" s="37">
        <v>0.21</v>
      </c>
      <c r="R112" s="38">
        <v>0</v>
      </c>
      <c r="S112" s="31" t="s">
        <v>36</v>
      </c>
      <c r="T112" s="39">
        <f t="shared" si="6"/>
        <v>72.599999999999994</v>
      </c>
      <c r="U112" s="31" t="s">
        <v>192</v>
      </c>
      <c r="V112" s="40" t="s">
        <v>713</v>
      </c>
      <c r="W112" s="34"/>
      <c r="X112" s="32">
        <v>42909</v>
      </c>
      <c r="Y112" s="41" t="s">
        <v>757</v>
      </c>
      <c r="AD112" s="31" t="s">
        <v>73</v>
      </c>
      <c r="AE112" s="34">
        <v>42909</v>
      </c>
      <c r="AH112" s="34">
        <v>42923</v>
      </c>
    </row>
    <row r="113" spans="1:37">
      <c r="A113" s="30">
        <v>112</v>
      </c>
      <c r="B113" s="31" t="s">
        <v>37</v>
      </c>
      <c r="C113" s="32">
        <v>42913</v>
      </c>
      <c r="D113" s="31" t="s">
        <v>255</v>
      </c>
      <c r="E113" s="31" t="s">
        <v>677</v>
      </c>
      <c r="F113" s="31" t="s">
        <v>678</v>
      </c>
      <c r="G113" s="40" t="s">
        <v>304</v>
      </c>
      <c r="H113" s="31" t="s">
        <v>198</v>
      </c>
      <c r="I113" s="31">
        <v>632940230</v>
      </c>
      <c r="K113" s="31" t="s">
        <v>255</v>
      </c>
      <c r="L113" s="34">
        <v>42916</v>
      </c>
      <c r="M113" s="31" t="s">
        <v>35</v>
      </c>
      <c r="N113" s="35" t="s">
        <v>679</v>
      </c>
      <c r="O113" s="36">
        <v>30</v>
      </c>
      <c r="P113" s="30">
        <v>1</v>
      </c>
      <c r="Q113" s="37">
        <v>0.21</v>
      </c>
      <c r="R113" s="38">
        <v>0</v>
      </c>
      <c r="S113" s="31" t="s">
        <v>36</v>
      </c>
      <c r="T113" s="39">
        <f>(O113*P113)*Q113+O113*P113</f>
        <v>36.299999999999997</v>
      </c>
      <c r="U113" s="31" t="s">
        <v>255</v>
      </c>
      <c r="W113" s="34">
        <v>32215</v>
      </c>
      <c r="X113" s="32">
        <v>42913</v>
      </c>
      <c r="Y113" s="41" t="s">
        <v>790</v>
      </c>
      <c r="AJ113" s="31" t="s">
        <v>788</v>
      </c>
    </row>
    <row r="114" spans="1:37">
      <c r="A114" s="30">
        <v>113</v>
      </c>
      <c r="B114" s="31" t="s">
        <v>37</v>
      </c>
      <c r="C114" s="32">
        <v>42913</v>
      </c>
      <c r="D114" s="31" t="s">
        <v>89</v>
      </c>
      <c r="E114" s="31" t="s">
        <v>90</v>
      </c>
      <c r="F114" s="31" t="s">
        <v>680</v>
      </c>
      <c r="G114" s="40" t="s">
        <v>221</v>
      </c>
      <c r="H114" s="31" t="s">
        <v>34</v>
      </c>
      <c r="I114" s="31">
        <v>631842175</v>
      </c>
      <c r="K114" s="31" t="s">
        <v>89</v>
      </c>
      <c r="L114" s="34">
        <v>42916</v>
      </c>
      <c r="M114" s="31" t="s">
        <v>35</v>
      </c>
      <c r="N114" s="35" t="s">
        <v>681</v>
      </c>
      <c r="O114" s="36">
        <v>30</v>
      </c>
      <c r="P114" s="30">
        <v>1</v>
      </c>
      <c r="Q114" s="37">
        <v>0.21</v>
      </c>
      <c r="R114" s="38">
        <v>0</v>
      </c>
      <c r="S114" s="31" t="s">
        <v>36</v>
      </c>
      <c r="T114" s="39">
        <v>36.299999999999997</v>
      </c>
      <c r="U114" s="31" t="s">
        <v>89</v>
      </c>
      <c r="W114" s="34">
        <v>28508</v>
      </c>
      <c r="X114" s="32">
        <v>42913</v>
      </c>
      <c r="Y114" s="41" t="s">
        <v>757</v>
      </c>
    </row>
    <row r="115" spans="1:37">
      <c r="A115" s="30">
        <v>114</v>
      </c>
      <c r="B115" s="31" t="s">
        <v>37</v>
      </c>
      <c r="C115" s="32">
        <v>42915</v>
      </c>
      <c r="D115" s="31" t="s">
        <v>682</v>
      </c>
      <c r="E115" s="31" t="s">
        <v>683</v>
      </c>
      <c r="F115" s="31" t="s">
        <v>684</v>
      </c>
      <c r="G115" s="40" t="s">
        <v>221</v>
      </c>
      <c r="H115" s="31" t="s">
        <v>34</v>
      </c>
      <c r="I115" s="31">
        <v>632580400</v>
      </c>
      <c r="K115" s="31" t="s">
        <v>682</v>
      </c>
      <c r="L115" s="34">
        <v>42916</v>
      </c>
      <c r="M115" s="31" t="s">
        <v>35</v>
      </c>
      <c r="N115" s="35" t="s">
        <v>685</v>
      </c>
      <c r="O115" s="36">
        <v>60</v>
      </c>
      <c r="P115" s="30">
        <v>1</v>
      </c>
      <c r="Q115" s="37">
        <v>0.21</v>
      </c>
      <c r="R115" s="38">
        <v>0</v>
      </c>
      <c r="S115" s="31" t="s">
        <v>36</v>
      </c>
      <c r="T115" s="39">
        <f t="shared" ref="T115:T125" si="7">(O115*P115)*Q115+O115*P115</f>
        <v>72.599999999999994</v>
      </c>
      <c r="U115" s="31" t="s">
        <v>682</v>
      </c>
      <c r="V115" s="40" t="s">
        <v>686</v>
      </c>
      <c r="W115" s="34">
        <v>29913</v>
      </c>
      <c r="X115" s="32">
        <v>42915</v>
      </c>
      <c r="Y115" s="41" t="s">
        <v>778</v>
      </c>
      <c r="AD115" s="31" t="s">
        <v>77</v>
      </c>
      <c r="AE115" s="34">
        <v>42915</v>
      </c>
      <c r="AH115" s="34">
        <v>42923</v>
      </c>
      <c r="AJ115" s="31" t="s">
        <v>687</v>
      </c>
    </row>
    <row r="116" spans="1:37">
      <c r="A116" s="30">
        <v>115</v>
      </c>
      <c r="B116" s="31" t="s">
        <v>438</v>
      </c>
      <c r="C116" s="32">
        <v>42923</v>
      </c>
      <c r="D116" s="31" t="s">
        <v>844</v>
      </c>
      <c r="E116" s="31" t="s">
        <v>845</v>
      </c>
      <c r="F116" s="31" t="s">
        <v>846</v>
      </c>
      <c r="G116" s="40" t="s">
        <v>221</v>
      </c>
      <c r="H116" s="31" t="s">
        <v>34</v>
      </c>
      <c r="K116" s="31" t="s">
        <v>844</v>
      </c>
      <c r="L116" s="34">
        <v>42947</v>
      </c>
      <c r="M116" s="31" t="s">
        <v>35</v>
      </c>
      <c r="N116" s="35" t="s">
        <v>759</v>
      </c>
      <c r="O116" s="36">
        <v>41.32</v>
      </c>
      <c r="P116" s="30">
        <v>1</v>
      </c>
      <c r="Q116" s="37">
        <v>0.21</v>
      </c>
      <c r="R116" s="38">
        <v>0</v>
      </c>
      <c r="S116" s="31" t="s">
        <v>36</v>
      </c>
      <c r="T116" s="39">
        <f t="shared" si="7"/>
        <v>49.997199999999999</v>
      </c>
      <c r="U116" s="31" t="s">
        <v>758</v>
      </c>
      <c r="W116" s="34"/>
      <c r="X116" s="32">
        <v>42923</v>
      </c>
      <c r="Y116" s="41" t="s">
        <v>151</v>
      </c>
      <c r="AE116" s="34"/>
      <c r="AH116" s="34"/>
    </row>
    <row r="117" spans="1:37">
      <c r="A117" s="30">
        <v>116</v>
      </c>
      <c r="B117" s="31" t="s">
        <v>438</v>
      </c>
      <c r="C117" s="32">
        <v>42923</v>
      </c>
      <c r="D117" s="31" t="s">
        <v>844</v>
      </c>
      <c r="E117" s="31" t="s">
        <v>845</v>
      </c>
      <c r="F117" s="31" t="s">
        <v>846</v>
      </c>
      <c r="G117" s="40" t="s">
        <v>221</v>
      </c>
      <c r="H117" s="31" t="s">
        <v>34</v>
      </c>
      <c r="K117" s="31" t="s">
        <v>844</v>
      </c>
      <c r="L117" s="34">
        <v>42947</v>
      </c>
      <c r="M117" s="31" t="s">
        <v>35</v>
      </c>
      <c r="N117" s="35" t="s">
        <v>760</v>
      </c>
      <c r="O117" s="36">
        <v>41.32</v>
      </c>
      <c r="P117" s="30">
        <v>1</v>
      </c>
      <c r="Q117" s="37">
        <v>0.21</v>
      </c>
      <c r="R117" s="38">
        <v>0</v>
      </c>
      <c r="S117" s="31" t="s">
        <v>36</v>
      </c>
      <c r="T117" s="39">
        <f>(O117*P117)*Q117+O117*P117</f>
        <v>49.997199999999999</v>
      </c>
      <c r="U117" s="31" t="s">
        <v>761</v>
      </c>
      <c r="W117" s="34"/>
      <c r="X117" s="32">
        <v>42923</v>
      </c>
      <c r="Y117" s="41" t="s">
        <v>151</v>
      </c>
      <c r="AE117" s="34"/>
      <c r="AH117" s="34"/>
    </row>
    <row r="118" spans="1:37">
      <c r="A118" s="30">
        <v>117</v>
      </c>
      <c r="B118" s="31" t="s">
        <v>438</v>
      </c>
      <c r="C118" s="32">
        <v>42923</v>
      </c>
      <c r="D118" s="31" t="s">
        <v>176</v>
      </c>
      <c r="E118" s="31" t="s">
        <v>55</v>
      </c>
      <c r="F118" s="31" t="s">
        <v>56</v>
      </c>
      <c r="G118" s="40" t="s">
        <v>230</v>
      </c>
      <c r="H118" s="31" t="s">
        <v>183</v>
      </c>
      <c r="K118" s="31" t="s">
        <v>176</v>
      </c>
      <c r="L118" s="34">
        <v>42947</v>
      </c>
      <c r="M118" s="31" t="s">
        <v>35</v>
      </c>
      <c r="N118" s="35" t="s">
        <v>762</v>
      </c>
      <c r="O118" s="36">
        <v>41.32</v>
      </c>
      <c r="P118" s="30">
        <v>1</v>
      </c>
      <c r="Q118" s="37">
        <v>0.21</v>
      </c>
      <c r="R118" s="38">
        <v>0</v>
      </c>
      <c r="S118" s="31" t="s">
        <v>36</v>
      </c>
      <c r="T118" s="39">
        <f>(O118*P118)*Q118+O118*P118</f>
        <v>49.997199999999999</v>
      </c>
      <c r="U118" s="31" t="s">
        <v>763</v>
      </c>
      <c r="W118" s="34"/>
      <c r="X118" s="32">
        <v>42923</v>
      </c>
      <c r="Y118" s="41" t="s">
        <v>151</v>
      </c>
      <c r="AE118" s="34"/>
      <c r="AH118" s="34"/>
    </row>
    <row r="119" spans="1:37">
      <c r="A119" s="30">
        <v>118</v>
      </c>
      <c r="B119" s="31" t="s">
        <v>438</v>
      </c>
      <c r="C119" s="32">
        <v>42929</v>
      </c>
      <c r="D119" s="31" t="s">
        <v>42</v>
      </c>
      <c r="E119" s="31" t="s">
        <v>43</v>
      </c>
      <c r="F119" s="31" t="s">
        <v>44</v>
      </c>
      <c r="G119" s="40" t="s">
        <v>230</v>
      </c>
      <c r="H119" s="31" t="s">
        <v>183</v>
      </c>
      <c r="K119" s="31" t="s">
        <v>42</v>
      </c>
      <c r="L119" s="34">
        <v>42947</v>
      </c>
      <c r="M119" s="31" t="s">
        <v>35</v>
      </c>
      <c r="N119" s="35" t="s">
        <v>696</v>
      </c>
      <c r="O119" s="36">
        <v>60</v>
      </c>
      <c r="P119" s="30">
        <v>1</v>
      </c>
      <c r="Q119" s="37">
        <v>0.21</v>
      </c>
      <c r="R119" s="38">
        <v>0</v>
      </c>
      <c r="S119" s="31" t="s">
        <v>36</v>
      </c>
      <c r="T119" s="39">
        <f t="shared" si="7"/>
        <v>72.599999999999994</v>
      </c>
      <c r="U119" s="31" t="s">
        <v>697</v>
      </c>
      <c r="V119" s="40" t="s">
        <v>698</v>
      </c>
      <c r="W119" s="34">
        <v>33942</v>
      </c>
      <c r="X119" s="32">
        <v>42929</v>
      </c>
      <c r="Y119" s="41" t="s">
        <v>826</v>
      </c>
    </row>
    <row r="120" spans="1:37">
      <c r="A120" s="30">
        <v>119</v>
      </c>
      <c r="B120" s="31" t="s">
        <v>52</v>
      </c>
      <c r="C120" s="32">
        <v>42933</v>
      </c>
      <c r="D120" s="31" t="s">
        <v>458</v>
      </c>
      <c r="E120" s="31" t="s">
        <v>84</v>
      </c>
      <c r="F120" s="31" t="s">
        <v>138</v>
      </c>
      <c r="G120" s="40" t="s">
        <v>227</v>
      </c>
      <c r="H120" s="31" t="s">
        <v>203</v>
      </c>
      <c r="I120" s="31">
        <v>602179184</v>
      </c>
      <c r="K120" s="31" t="s">
        <v>53</v>
      </c>
      <c r="L120" s="34">
        <v>42947</v>
      </c>
      <c r="M120" s="31" t="s">
        <v>35</v>
      </c>
      <c r="N120" s="35" t="s">
        <v>707</v>
      </c>
      <c r="O120" s="38">
        <v>60</v>
      </c>
      <c r="P120" s="30">
        <v>1</v>
      </c>
      <c r="Q120" s="37">
        <v>0.21</v>
      </c>
      <c r="R120" s="38">
        <v>0</v>
      </c>
      <c r="S120" s="31" t="s">
        <v>36</v>
      </c>
      <c r="T120" s="39">
        <f t="shared" si="7"/>
        <v>72.599999999999994</v>
      </c>
      <c r="U120" t="s">
        <v>708</v>
      </c>
      <c r="V120" s="40" t="s">
        <v>709</v>
      </c>
      <c r="W120" s="34">
        <v>33007</v>
      </c>
      <c r="X120" s="32">
        <v>42921</v>
      </c>
      <c r="Y120" s="43" t="s">
        <v>789</v>
      </c>
      <c r="Z120" s="34">
        <v>42999</v>
      </c>
      <c r="AE120" s="34"/>
      <c r="AH120" s="34"/>
    </row>
    <row r="121" spans="1:37">
      <c r="A121" s="30">
        <v>120</v>
      </c>
      <c r="B121" s="31" t="s">
        <v>59</v>
      </c>
      <c r="C121" s="32">
        <v>42937</v>
      </c>
      <c r="D121" s="31" t="s">
        <v>700</v>
      </c>
      <c r="E121" s="31" t="s">
        <v>699</v>
      </c>
      <c r="F121" s="31" t="s">
        <v>701</v>
      </c>
      <c r="G121" s="40" t="s">
        <v>702</v>
      </c>
      <c r="H121" s="31" t="s">
        <v>49</v>
      </c>
      <c r="K121" s="31" t="s">
        <v>700</v>
      </c>
      <c r="L121" s="34">
        <v>42947</v>
      </c>
      <c r="M121" s="31" t="s">
        <v>35</v>
      </c>
      <c r="N121" s="35" t="s">
        <v>703</v>
      </c>
      <c r="O121" s="36">
        <v>60</v>
      </c>
      <c r="P121" s="30">
        <v>1</v>
      </c>
      <c r="Q121" s="37">
        <v>0.21</v>
      </c>
      <c r="R121" s="38">
        <v>0</v>
      </c>
      <c r="S121" s="31" t="s">
        <v>36</v>
      </c>
      <c r="T121" s="39">
        <f t="shared" si="7"/>
        <v>72.599999999999994</v>
      </c>
      <c r="U121" t="s">
        <v>704</v>
      </c>
      <c r="V121" s="40" t="s">
        <v>705</v>
      </c>
      <c r="W121" s="34">
        <v>36820</v>
      </c>
      <c r="X121" s="32">
        <v>42937</v>
      </c>
      <c r="Y121" s="11" t="s">
        <v>948</v>
      </c>
      <c r="AD121" s="31" t="s">
        <v>706</v>
      </c>
      <c r="AE121" s="34">
        <v>42937</v>
      </c>
    </row>
    <row r="122" spans="1:37">
      <c r="A122" s="30">
        <v>121</v>
      </c>
      <c r="B122" s="31" t="s">
        <v>37</v>
      </c>
      <c r="C122" s="32">
        <v>42943</v>
      </c>
      <c r="D122" s="31" t="s">
        <v>429</v>
      </c>
      <c r="E122" s="31" t="s">
        <v>430</v>
      </c>
      <c r="F122" s="31" t="s">
        <v>431</v>
      </c>
      <c r="G122" s="40" t="s">
        <v>432</v>
      </c>
      <c r="H122" s="31" t="s">
        <v>49</v>
      </c>
      <c r="I122" s="31">
        <v>622787272</v>
      </c>
      <c r="K122" s="31" t="s">
        <v>429</v>
      </c>
      <c r="L122" s="34">
        <v>42947</v>
      </c>
      <c r="M122" s="31" t="s">
        <v>35</v>
      </c>
      <c r="N122" s="35" t="s">
        <v>433</v>
      </c>
      <c r="O122" s="38">
        <v>0</v>
      </c>
      <c r="P122" s="30">
        <v>1</v>
      </c>
      <c r="Q122" s="37">
        <v>0.21</v>
      </c>
      <c r="R122" s="38">
        <v>0</v>
      </c>
      <c r="S122" s="31" t="s">
        <v>36</v>
      </c>
      <c r="T122" s="39">
        <f t="shared" si="7"/>
        <v>0</v>
      </c>
      <c r="U122" t="s">
        <v>429</v>
      </c>
      <c r="V122" s="40" t="s">
        <v>764</v>
      </c>
      <c r="W122" s="34">
        <v>23179</v>
      </c>
      <c r="X122" s="32">
        <v>42943</v>
      </c>
      <c r="AD122" s="31" t="s">
        <v>77</v>
      </c>
      <c r="AE122" s="34">
        <v>42942</v>
      </c>
      <c r="AH122" s="34">
        <v>42949</v>
      </c>
    </row>
    <row r="123" spans="1:37">
      <c r="A123" s="30">
        <v>122</v>
      </c>
      <c r="B123" s="31" t="s">
        <v>40</v>
      </c>
      <c r="C123" s="32">
        <v>42947</v>
      </c>
      <c r="D123" s="31" t="s">
        <v>184</v>
      </c>
      <c r="E123" s="31" t="s">
        <v>185</v>
      </c>
      <c r="F123" s="31" t="s">
        <v>783</v>
      </c>
      <c r="G123" s="40" t="s">
        <v>230</v>
      </c>
      <c r="H123" s="31" t="s">
        <v>183</v>
      </c>
      <c r="I123" s="31" t="s">
        <v>784</v>
      </c>
      <c r="K123" s="31" t="s">
        <v>184</v>
      </c>
      <c r="L123" s="34">
        <v>42978</v>
      </c>
      <c r="M123" s="31" t="s">
        <v>35</v>
      </c>
      <c r="N123" s="35" t="s">
        <v>785</v>
      </c>
      <c r="O123" s="38">
        <v>60</v>
      </c>
      <c r="P123" s="30">
        <v>1</v>
      </c>
      <c r="Q123" s="37">
        <v>0.21</v>
      </c>
      <c r="R123" s="38">
        <v>0</v>
      </c>
      <c r="S123" s="31" t="s">
        <v>36</v>
      </c>
      <c r="T123" s="39">
        <f t="shared" si="7"/>
        <v>72.599999999999994</v>
      </c>
      <c r="U123" s="31" t="s">
        <v>786</v>
      </c>
      <c r="V123" s="40" t="s">
        <v>787</v>
      </c>
      <c r="W123" s="34">
        <v>35468</v>
      </c>
      <c r="X123" s="32">
        <v>42947</v>
      </c>
      <c r="Y123" s="41" t="s">
        <v>827</v>
      </c>
      <c r="AD123" s="31" t="s">
        <v>676</v>
      </c>
      <c r="AE123" s="34">
        <v>42947</v>
      </c>
      <c r="AH123" s="34">
        <v>42957</v>
      </c>
    </row>
    <row r="124" spans="1:37">
      <c r="A124" s="30">
        <v>123</v>
      </c>
      <c r="B124" s="31" t="s">
        <v>59</v>
      </c>
      <c r="C124" s="32">
        <v>42949</v>
      </c>
      <c r="D124" s="31" t="s">
        <v>169</v>
      </c>
      <c r="E124" s="31" t="s">
        <v>170</v>
      </c>
      <c r="F124" s="31" t="s">
        <v>766</v>
      </c>
      <c r="G124" s="40" t="s">
        <v>259</v>
      </c>
      <c r="H124" s="31" t="s">
        <v>767</v>
      </c>
      <c r="I124" s="31" t="s">
        <v>768</v>
      </c>
      <c r="K124" s="31" t="s">
        <v>169</v>
      </c>
      <c r="L124" s="34">
        <v>42978</v>
      </c>
      <c r="M124" s="31" t="s">
        <v>35</v>
      </c>
      <c r="N124" s="14" t="s">
        <v>769</v>
      </c>
      <c r="O124" s="36">
        <v>60</v>
      </c>
      <c r="P124" s="30">
        <v>1</v>
      </c>
      <c r="Q124" s="37">
        <v>0.21</v>
      </c>
      <c r="R124" s="38">
        <v>0</v>
      </c>
      <c r="S124" s="31" t="s">
        <v>36</v>
      </c>
      <c r="T124" s="39">
        <f t="shared" si="7"/>
        <v>72.599999999999994</v>
      </c>
      <c r="U124" t="s">
        <v>770</v>
      </c>
      <c r="V124" s="40" t="s">
        <v>771</v>
      </c>
      <c r="W124" s="34">
        <v>30379</v>
      </c>
      <c r="X124" s="32">
        <v>42949</v>
      </c>
      <c r="Y124" s="43" t="s">
        <v>896</v>
      </c>
    </row>
    <row r="125" spans="1:37">
      <c r="A125" s="30">
        <v>124</v>
      </c>
      <c r="B125" s="31" t="s">
        <v>82</v>
      </c>
      <c r="C125" s="32">
        <v>42950</v>
      </c>
      <c r="D125" s="31" t="s">
        <v>772</v>
      </c>
      <c r="E125" s="31" t="s">
        <v>773</v>
      </c>
      <c r="F125" s="31" t="s">
        <v>774</v>
      </c>
      <c r="G125" s="40" t="s">
        <v>239</v>
      </c>
      <c r="H125" s="31" t="s">
        <v>108</v>
      </c>
      <c r="I125" s="31">
        <v>632279069</v>
      </c>
      <c r="K125" s="31" t="s">
        <v>772</v>
      </c>
      <c r="L125" s="34">
        <v>42978</v>
      </c>
      <c r="M125" s="31" t="s">
        <v>35</v>
      </c>
      <c r="N125" s="35" t="s">
        <v>775</v>
      </c>
      <c r="O125" s="36">
        <v>60</v>
      </c>
      <c r="P125" s="30">
        <v>1</v>
      </c>
      <c r="Q125" s="37">
        <v>0.21</v>
      </c>
      <c r="R125" s="38">
        <v>0</v>
      </c>
      <c r="S125" s="31" t="s">
        <v>36</v>
      </c>
      <c r="T125" s="39">
        <f t="shared" si="7"/>
        <v>72.599999999999994</v>
      </c>
      <c r="U125" s="31" t="s">
        <v>776</v>
      </c>
      <c r="V125" s="40" t="s">
        <v>777</v>
      </c>
      <c r="W125" s="34">
        <v>27030</v>
      </c>
      <c r="X125" s="32">
        <v>42950</v>
      </c>
      <c r="Y125" s="41" t="s">
        <v>817</v>
      </c>
      <c r="AJ125" s="31" t="s">
        <v>818</v>
      </c>
    </row>
    <row r="126" spans="1:37">
      <c r="A126" s="30">
        <v>125</v>
      </c>
      <c r="B126" s="31" t="s">
        <v>37</v>
      </c>
      <c r="C126" s="32">
        <v>42975</v>
      </c>
      <c r="D126" s="31" t="s">
        <v>112</v>
      </c>
      <c r="E126" s="31" t="s">
        <v>791</v>
      </c>
      <c r="F126" s="31" t="s">
        <v>792</v>
      </c>
      <c r="G126" s="40" t="s">
        <v>219</v>
      </c>
      <c r="H126" s="31" t="s">
        <v>38</v>
      </c>
      <c r="I126" s="31">
        <v>648772251</v>
      </c>
      <c r="K126" s="31" t="s">
        <v>112</v>
      </c>
      <c r="L126" s="34">
        <v>42978</v>
      </c>
      <c r="M126" s="31" t="s">
        <v>35</v>
      </c>
      <c r="N126" s="35" t="s">
        <v>793</v>
      </c>
      <c r="O126" s="36">
        <v>30</v>
      </c>
      <c r="P126" s="30">
        <v>1</v>
      </c>
      <c r="Q126" s="37">
        <v>0.21</v>
      </c>
      <c r="R126" s="38">
        <v>0</v>
      </c>
      <c r="S126" s="31" t="s">
        <v>36</v>
      </c>
      <c r="T126" s="39">
        <f t="shared" ref="T126:T132" si="8">(O126*P126)*Q126+O126*P126</f>
        <v>36.299999999999997</v>
      </c>
      <c r="U126" s="31" t="s">
        <v>112</v>
      </c>
      <c r="W126" s="34">
        <v>27759</v>
      </c>
      <c r="X126" s="32">
        <v>42975</v>
      </c>
      <c r="Y126" s="41" t="s">
        <v>875</v>
      </c>
    </row>
    <row r="127" spans="1:37">
      <c r="A127" s="30">
        <v>126</v>
      </c>
      <c r="B127" s="31" t="s">
        <v>45</v>
      </c>
      <c r="C127" s="32">
        <v>42977</v>
      </c>
      <c r="D127" s="31" t="s">
        <v>794</v>
      </c>
      <c r="E127" s="31" t="s">
        <v>795</v>
      </c>
      <c r="F127" s="31" t="s">
        <v>796</v>
      </c>
      <c r="G127" s="40" t="s">
        <v>241</v>
      </c>
      <c r="H127" s="31" t="s">
        <v>60</v>
      </c>
      <c r="K127" s="31" t="s">
        <v>794</v>
      </c>
      <c r="L127" s="34">
        <v>42978</v>
      </c>
      <c r="M127" s="31" t="s">
        <v>35</v>
      </c>
      <c r="N127" s="35" t="s">
        <v>148</v>
      </c>
      <c r="O127" s="38">
        <v>60</v>
      </c>
      <c r="P127" s="30">
        <v>1</v>
      </c>
      <c r="Q127" s="37">
        <v>0.21</v>
      </c>
      <c r="R127" s="38">
        <v>0</v>
      </c>
      <c r="S127" s="31" t="s">
        <v>36</v>
      </c>
      <c r="T127" s="39">
        <f t="shared" si="8"/>
        <v>72.599999999999994</v>
      </c>
      <c r="U127" t="s">
        <v>147</v>
      </c>
      <c r="V127" s="40" t="s">
        <v>797</v>
      </c>
      <c r="W127" s="34">
        <v>31057</v>
      </c>
      <c r="X127" s="32">
        <v>42977</v>
      </c>
      <c r="Y127" s="11" t="s">
        <v>977</v>
      </c>
      <c r="AD127" s="31" t="s">
        <v>77</v>
      </c>
      <c r="AE127" s="34">
        <v>42978</v>
      </c>
      <c r="AH127" s="34">
        <v>42985</v>
      </c>
      <c r="AK127" t="s">
        <v>912</v>
      </c>
    </row>
    <row r="128" spans="1:37">
      <c r="A128" s="30">
        <v>127</v>
      </c>
      <c r="B128" s="31" t="s">
        <v>247</v>
      </c>
      <c r="C128" s="32">
        <v>42979</v>
      </c>
      <c r="D128" s="31" t="s">
        <v>105</v>
      </c>
      <c r="E128" s="31" t="s">
        <v>132</v>
      </c>
      <c r="F128" s="31" t="s">
        <v>799</v>
      </c>
      <c r="G128" s="40" t="s">
        <v>239</v>
      </c>
      <c r="H128" s="31" t="s">
        <v>86</v>
      </c>
      <c r="I128" s="31">
        <v>632706637</v>
      </c>
      <c r="K128" s="31" t="s">
        <v>105</v>
      </c>
      <c r="L128" s="34">
        <v>43008</v>
      </c>
      <c r="M128" s="31" t="s">
        <v>35</v>
      </c>
      <c r="N128" s="14" t="s">
        <v>133</v>
      </c>
      <c r="O128" s="38">
        <v>30</v>
      </c>
      <c r="P128" s="30">
        <v>1</v>
      </c>
      <c r="Q128" s="37">
        <v>0.21</v>
      </c>
      <c r="R128" s="38">
        <v>0</v>
      </c>
      <c r="S128" s="31" t="s">
        <v>36</v>
      </c>
      <c r="T128" s="39">
        <f t="shared" si="8"/>
        <v>36.299999999999997</v>
      </c>
      <c r="U128" s="31" t="s">
        <v>105</v>
      </c>
      <c r="W128" s="34">
        <v>30095</v>
      </c>
      <c r="X128" s="32">
        <v>42979</v>
      </c>
      <c r="Y128" s="41" t="s">
        <v>875</v>
      </c>
    </row>
    <row r="129" spans="1:34">
      <c r="A129" s="30">
        <v>128</v>
      </c>
      <c r="B129" s="31" t="s">
        <v>33</v>
      </c>
      <c r="C129" s="32">
        <v>42979</v>
      </c>
      <c r="D129" s="31" t="s">
        <v>803</v>
      </c>
      <c r="E129" s="31" t="s">
        <v>804</v>
      </c>
      <c r="F129" s="31" t="s">
        <v>805</v>
      </c>
      <c r="G129" s="40" t="s">
        <v>236</v>
      </c>
      <c r="H129" s="31" t="s">
        <v>68</v>
      </c>
      <c r="K129" s="31" t="s">
        <v>803</v>
      </c>
      <c r="L129" s="34">
        <v>43008</v>
      </c>
      <c r="M129" s="31" t="s">
        <v>35</v>
      </c>
      <c r="N129" s="35" t="s">
        <v>806</v>
      </c>
      <c r="O129" s="38">
        <v>30</v>
      </c>
      <c r="P129" s="30">
        <v>1</v>
      </c>
      <c r="Q129" s="37">
        <v>0.21</v>
      </c>
      <c r="R129" s="38">
        <v>0</v>
      </c>
      <c r="S129" s="31" t="s">
        <v>36</v>
      </c>
      <c r="T129" s="39">
        <f t="shared" si="8"/>
        <v>36.299999999999997</v>
      </c>
      <c r="U129" t="s">
        <v>807</v>
      </c>
      <c r="V129" s="40" t="s">
        <v>808</v>
      </c>
      <c r="W129" s="34">
        <v>33604</v>
      </c>
      <c r="X129" s="32">
        <v>42976</v>
      </c>
      <c r="Y129" s="11" t="s">
        <v>948</v>
      </c>
      <c r="AD129" s="31" t="s">
        <v>809</v>
      </c>
      <c r="AE129" s="34">
        <v>42976</v>
      </c>
      <c r="AH129" s="34">
        <v>42979</v>
      </c>
    </row>
    <row r="130" spans="1:34">
      <c r="A130" s="30">
        <v>129</v>
      </c>
      <c r="B130" s="31" t="s">
        <v>37</v>
      </c>
      <c r="C130" s="32">
        <v>42979</v>
      </c>
      <c r="D130" s="31" t="s">
        <v>810</v>
      </c>
      <c r="E130" s="31" t="s">
        <v>811</v>
      </c>
      <c r="F130" s="31" t="s">
        <v>812</v>
      </c>
      <c r="G130" s="40" t="s">
        <v>221</v>
      </c>
      <c r="H130" s="31" t="s">
        <v>34</v>
      </c>
      <c r="I130" s="31">
        <v>632237742</v>
      </c>
      <c r="K130" s="31" t="s">
        <v>810</v>
      </c>
      <c r="L130" s="34">
        <v>43008</v>
      </c>
      <c r="M130" s="31" t="s">
        <v>35</v>
      </c>
      <c r="N130" s="35" t="s">
        <v>813</v>
      </c>
      <c r="O130" s="38">
        <v>60</v>
      </c>
      <c r="P130" s="30">
        <v>1</v>
      </c>
      <c r="Q130" s="37">
        <v>0.21</v>
      </c>
      <c r="R130" s="38">
        <v>0</v>
      </c>
      <c r="S130" s="31" t="s">
        <v>36</v>
      </c>
      <c r="T130" s="39">
        <f t="shared" si="8"/>
        <v>72.599999999999994</v>
      </c>
      <c r="U130" s="31" t="s">
        <v>810</v>
      </c>
      <c r="V130" s="40" t="s">
        <v>814</v>
      </c>
      <c r="W130" s="34">
        <v>29221</v>
      </c>
      <c r="X130" s="32">
        <v>42979</v>
      </c>
      <c r="Y130" s="41" t="s">
        <v>892</v>
      </c>
      <c r="AD130" s="31" t="s">
        <v>828</v>
      </c>
      <c r="AE130" s="34">
        <v>42979</v>
      </c>
      <c r="AH130" s="34">
        <v>42993</v>
      </c>
    </row>
    <row r="131" spans="1:34">
      <c r="A131" s="30">
        <v>130</v>
      </c>
      <c r="B131" s="31" t="s">
        <v>247</v>
      </c>
      <c r="C131" s="32">
        <v>42982</v>
      </c>
      <c r="D131" s="31" t="s">
        <v>104</v>
      </c>
      <c r="E131" s="31" t="s">
        <v>134</v>
      </c>
      <c r="F131" s="31" t="s">
        <v>799</v>
      </c>
      <c r="G131" s="40" t="s">
        <v>250</v>
      </c>
      <c r="H131" s="31" t="s">
        <v>86</v>
      </c>
      <c r="I131" s="31">
        <v>643369057</v>
      </c>
      <c r="K131" s="31" t="s">
        <v>104</v>
      </c>
      <c r="L131" s="34">
        <v>43008</v>
      </c>
      <c r="M131" s="31" t="s">
        <v>35</v>
      </c>
      <c r="N131" s="35" t="s">
        <v>135</v>
      </c>
      <c r="O131" s="38">
        <v>30</v>
      </c>
      <c r="P131" s="30">
        <v>1</v>
      </c>
      <c r="Q131" s="37">
        <v>0.21</v>
      </c>
      <c r="R131" s="38">
        <v>0</v>
      </c>
      <c r="S131" s="31" t="s">
        <v>36</v>
      </c>
      <c r="T131" s="39">
        <f t="shared" si="8"/>
        <v>36.299999999999997</v>
      </c>
      <c r="U131" s="31" t="s">
        <v>104</v>
      </c>
      <c r="W131" s="34">
        <v>27657</v>
      </c>
      <c r="X131" s="32">
        <v>42982</v>
      </c>
      <c r="Y131" s="41" t="s">
        <v>861</v>
      </c>
    </row>
    <row r="132" spans="1:34">
      <c r="A132" s="30">
        <v>131</v>
      </c>
      <c r="B132" s="31" t="s">
        <v>247</v>
      </c>
      <c r="C132" s="32">
        <v>42982</v>
      </c>
      <c r="D132" s="31" t="s">
        <v>800</v>
      </c>
      <c r="E132" s="31" t="s">
        <v>801</v>
      </c>
      <c r="F132" s="31" t="s">
        <v>799</v>
      </c>
      <c r="G132" s="40" t="s">
        <v>250</v>
      </c>
      <c r="H132" s="31" t="s">
        <v>86</v>
      </c>
      <c r="I132" s="31">
        <v>643369057</v>
      </c>
      <c r="K132" s="31" t="s">
        <v>800</v>
      </c>
      <c r="L132" s="34">
        <v>43008</v>
      </c>
      <c r="M132" s="31" t="s">
        <v>35</v>
      </c>
      <c r="N132" s="35" t="s">
        <v>802</v>
      </c>
      <c r="O132" s="50">
        <v>24.79</v>
      </c>
      <c r="P132" s="51">
        <v>1</v>
      </c>
      <c r="Q132" s="52">
        <v>0.21</v>
      </c>
      <c r="R132" s="50">
        <v>0</v>
      </c>
      <c r="S132" s="35" t="s">
        <v>36</v>
      </c>
      <c r="T132" s="39">
        <f t="shared" si="8"/>
        <v>29.995899999999999</v>
      </c>
      <c r="U132" s="35" t="s">
        <v>800</v>
      </c>
      <c r="V132" s="53"/>
      <c r="W132" s="34">
        <v>29178</v>
      </c>
      <c r="X132" s="32">
        <v>42982</v>
      </c>
      <c r="Y132" s="41" t="s">
        <v>861</v>
      </c>
    </row>
    <row r="133" spans="1:34">
      <c r="A133" s="30">
        <v>132</v>
      </c>
      <c r="B133" s="31" t="s">
        <v>37</v>
      </c>
      <c r="C133" s="32">
        <v>42984</v>
      </c>
      <c r="D133" s="31" t="s">
        <v>106</v>
      </c>
      <c r="E133" s="31" t="s">
        <v>107</v>
      </c>
      <c r="F133" s="31" t="s">
        <v>815</v>
      </c>
      <c r="G133" s="40" t="s">
        <v>221</v>
      </c>
      <c r="H133" s="31" t="s">
        <v>34</v>
      </c>
      <c r="I133" s="31">
        <v>632668360</v>
      </c>
      <c r="K133" s="31" t="s">
        <v>106</v>
      </c>
      <c r="L133" s="34">
        <v>43008</v>
      </c>
      <c r="M133" s="31" t="s">
        <v>35</v>
      </c>
      <c r="N133" s="35" t="s">
        <v>816</v>
      </c>
      <c r="O133" s="38">
        <v>30</v>
      </c>
      <c r="P133" s="30">
        <v>1</v>
      </c>
      <c r="Q133" s="37">
        <v>0.21</v>
      </c>
      <c r="R133" s="38">
        <v>0</v>
      </c>
      <c r="S133" s="31" t="s">
        <v>36</v>
      </c>
      <c r="T133" s="39">
        <f t="shared" ref="T133:T141" si="9">(O133*P133)*Q133+O133*P133</f>
        <v>36.299999999999997</v>
      </c>
      <c r="U133" s="31" t="s">
        <v>106</v>
      </c>
      <c r="W133" s="34">
        <v>28699</v>
      </c>
      <c r="X133" s="32">
        <v>42984</v>
      </c>
      <c r="Y133" s="41" t="s">
        <v>861</v>
      </c>
    </row>
    <row r="134" spans="1:34">
      <c r="A134" s="30">
        <v>133</v>
      </c>
      <c r="B134" s="31" t="s">
        <v>37</v>
      </c>
      <c r="C134" s="32">
        <v>42986</v>
      </c>
      <c r="D134" s="31" t="s">
        <v>306</v>
      </c>
      <c r="E134" s="31" t="s">
        <v>307</v>
      </c>
      <c r="F134" s="31" t="s">
        <v>876</v>
      </c>
      <c r="G134" s="40" t="s">
        <v>239</v>
      </c>
      <c r="H134" s="31" t="s">
        <v>86</v>
      </c>
      <c r="I134" s="31">
        <v>347107523</v>
      </c>
      <c r="K134" s="31" t="s">
        <v>306</v>
      </c>
      <c r="L134" s="34">
        <v>43008</v>
      </c>
      <c r="M134" s="31" t="s">
        <v>35</v>
      </c>
      <c r="N134" s="35" t="s">
        <v>877</v>
      </c>
      <c r="O134" s="38">
        <v>30</v>
      </c>
      <c r="P134" s="30">
        <v>1</v>
      </c>
      <c r="Q134" s="37">
        <v>0.21</v>
      </c>
      <c r="R134" s="38">
        <v>0</v>
      </c>
      <c r="S134" s="31" t="s">
        <v>36</v>
      </c>
      <c r="T134" s="39">
        <f t="shared" si="9"/>
        <v>36.299999999999997</v>
      </c>
      <c r="U134" t="s">
        <v>306</v>
      </c>
      <c r="W134" s="34">
        <v>34081</v>
      </c>
      <c r="X134" s="32">
        <v>42985</v>
      </c>
      <c r="Y134" s="11" t="s">
        <v>949</v>
      </c>
    </row>
    <row r="135" spans="1:34">
      <c r="A135" s="30">
        <v>134</v>
      </c>
      <c r="B135" s="31" t="s">
        <v>438</v>
      </c>
      <c r="C135" s="32">
        <v>42989</v>
      </c>
      <c r="D135" s="31" t="s">
        <v>819</v>
      </c>
      <c r="E135" s="31" t="s">
        <v>820</v>
      </c>
      <c r="F135" s="31" t="s">
        <v>821</v>
      </c>
      <c r="G135" s="40" t="s">
        <v>221</v>
      </c>
      <c r="H135" s="31" t="s">
        <v>34</v>
      </c>
      <c r="I135" s="31">
        <v>609031290</v>
      </c>
      <c r="K135" s="31" t="s">
        <v>819</v>
      </c>
      <c r="L135" s="34">
        <v>43008</v>
      </c>
      <c r="M135" s="31" t="s">
        <v>35</v>
      </c>
      <c r="N135" s="35" t="s">
        <v>822</v>
      </c>
      <c r="O135" s="38">
        <v>60</v>
      </c>
      <c r="P135" s="30">
        <v>1</v>
      </c>
      <c r="Q135" s="37">
        <v>0.21</v>
      </c>
      <c r="R135" s="38">
        <v>0</v>
      </c>
      <c r="S135" s="31" t="s">
        <v>36</v>
      </c>
      <c r="T135" s="39">
        <f t="shared" si="9"/>
        <v>72.599999999999994</v>
      </c>
      <c r="U135" s="31" t="s">
        <v>823</v>
      </c>
      <c r="V135" s="40" t="s">
        <v>824</v>
      </c>
      <c r="W135" s="34">
        <v>29952</v>
      </c>
      <c r="X135" s="32">
        <v>42989</v>
      </c>
      <c r="Y135" s="41" t="s">
        <v>894</v>
      </c>
    </row>
    <row r="136" spans="1:34">
      <c r="A136" s="30">
        <v>135</v>
      </c>
      <c r="B136" s="31" t="s">
        <v>52</v>
      </c>
      <c r="C136" s="32">
        <v>42993</v>
      </c>
      <c r="D136" s="31" t="s">
        <v>256</v>
      </c>
      <c r="E136" s="31" t="s">
        <v>155</v>
      </c>
      <c r="F136" s="31" t="s">
        <v>138</v>
      </c>
      <c r="G136" s="33" t="s">
        <v>227</v>
      </c>
      <c r="H136" s="31" t="s">
        <v>203</v>
      </c>
      <c r="K136" s="31" t="s">
        <v>53</v>
      </c>
      <c r="L136" s="34">
        <v>43008</v>
      </c>
      <c r="M136" s="31" t="s">
        <v>35</v>
      </c>
      <c r="N136" s="35" t="s">
        <v>829</v>
      </c>
      <c r="O136" s="38">
        <v>41.32</v>
      </c>
      <c r="P136" s="30">
        <v>1</v>
      </c>
      <c r="Q136" s="37">
        <v>0.21</v>
      </c>
      <c r="R136" s="38">
        <v>0</v>
      </c>
      <c r="S136" s="31" t="s">
        <v>36</v>
      </c>
      <c r="T136" s="39">
        <f t="shared" si="9"/>
        <v>49.997199999999999</v>
      </c>
      <c r="W136" s="34">
        <v>29100</v>
      </c>
      <c r="X136" s="32">
        <v>42993</v>
      </c>
      <c r="Y136" s="41" t="s">
        <v>151</v>
      </c>
      <c r="Z136" s="30"/>
      <c r="AE136" s="42"/>
      <c r="AH136" s="34"/>
    </row>
    <row r="137" spans="1:34">
      <c r="A137" s="30">
        <v>136</v>
      </c>
      <c r="B137" s="31" t="s">
        <v>52</v>
      </c>
      <c r="C137" s="32">
        <v>42993</v>
      </c>
      <c r="D137" s="31" t="s">
        <v>256</v>
      </c>
      <c r="E137" s="31" t="s">
        <v>155</v>
      </c>
      <c r="F137" s="31" t="s">
        <v>138</v>
      </c>
      <c r="G137" s="33" t="s">
        <v>227</v>
      </c>
      <c r="H137" s="31" t="s">
        <v>203</v>
      </c>
      <c r="K137" s="31" t="s">
        <v>53</v>
      </c>
      <c r="L137" s="34">
        <v>43008</v>
      </c>
      <c r="M137" s="31" t="s">
        <v>35</v>
      </c>
      <c r="N137" s="35" t="s">
        <v>830</v>
      </c>
      <c r="O137" s="38">
        <v>41.32</v>
      </c>
      <c r="P137" s="30">
        <v>1</v>
      </c>
      <c r="Q137" s="37">
        <v>0.21</v>
      </c>
      <c r="R137" s="38">
        <v>0</v>
      </c>
      <c r="S137" s="31" t="s">
        <v>36</v>
      </c>
      <c r="T137" s="39">
        <f t="shared" si="9"/>
        <v>49.997199999999999</v>
      </c>
      <c r="W137" s="34">
        <v>34867</v>
      </c>
      <c r="X137" s="32">
        <v>42993</v>
      </c>
      <c r="Y137" s="41" t="s">
        <v>151</v>
      </c>
      <c r="Z137" s="30"/>
      <c r="AE137" s="42"/>
      <c r="AH137" s="34"/>
    </row>
    <row r="138" spans="1:34">
      <c r="A138" s="30">
        <v>137</v>
      </c>
      <c r="B138" s="31" t="s">
        <v>52</v>
      </c>
      <c r="C138" s="32">
        <v>42993</v>
      </c>
      <c r="D138" s="31" t="s">
        <v>418</v>
      </c>
      <c r="E138" s="31" t="s">
        <v>182</v>
      </c>
      <c r="F138" s="31" t="s">
        <v>843</v>
      </c>
      <c r="G138" s="33" t="s">
        <v>227</v>
      </c>
      <c r="H138" s="31" t="s">
        <v>203</v>
      </c>
      <c r="K138" s="31" t="s">
        <v>53</v>
      </c>
      <c r="L138" s="34">
        <v>43008</v>
      </c>
      <c r="M138" s="31" t="s">
        <v>35</v>
      </c>
      <c r="N138" s="35" t="s">
        <v>831</v>
      </c>
      <c r="O138" s="38">
        <v>41.32</v>
      </c>
      <c r="P138" s="30">
        <v>1</v>
      </c>
      <c r="Q138" s="37">
        <v>0.21</v>
      </c>
      <c r="R138" s="38">
        <v>0</v>
      </c>
      <c r="S138" s="31" t="s">
        <v>36</v>
      </c>
      <c r="T138" s="39">
        <f t="shared" si="9"/>
        <v>49.997199999999999</v>
      </c>
      <c r="W138" s="34">
        <v>25810</v>
      </c>
      <c r="X138" s="32">
        <v>42993</v>
      </c>
      <c r="Y138" s="41" t="s">
        <v>151</v>
      </c>
    </row>
    <row r="139" spans="1:34">
      <c r="A139" s="30">
        <v>138</v>
      </c>
      <c r="B139" s="31" t="s">
        <v>52</v>
      </c>
      <c r="C139" s="32">
        <v>42993</v>
      </c>
      <c r="D139" s="31" t="s">
        <v>256</v>
      </c>
      <c r="E139" s="31" t="s">
        <v>155</v>
      </c>
      <c r="F139" s="31" t="s">
        <v>138</v>
      </c>
      <c r="G139" s="33" t="s">
        <v>227</v>
      </c>
      <c r="H139" s="31" t="s">
        <v>203</v>
      </c>
      <c r="K139" s="31" t="s">
        <v>53</v>
      </c>
      <c r="L139" s="34">
        <v>43008</v>
      </c>
      <c r="M139" s="31" t="s">
        <v>35</v>
      </c>
      <c r="N139" s="35" t="s">
        <v>832</v>
      </c>
      <c r="O139" s="38">
        <v>41.32</v>
      </c>
      <c r="P139" s="30">
        <v>1</v>
      </c>
      <c r="Q139" s="37">
        <v>0.21</v>
      </c>
      <c r="R139" s="38">
        <v>0</v>
      </c>
      <c r="S139" s="31" t="s">
        <v>36</v>
      </c>
      <c r="T139" s="39">
        <f t="shared" si="9"/>
        <v>49.997199999999999</v>
      </c>
      <c r="W139" s="34">
        <v>28781</v>
      </c>
      <c r="X139" s="32">
        <v>42993</v>
      </c>
      <c r="Y139" s="41" t="s">
        <v>151</v>
      </c>
      <c r="Z139" s="30"/>
      <c r="AE139" s="42"/>
      <c r="AH139" s="34"/>
    </row>
    <row r="140" spans="1:34">
      <c r="A140" s="30">
        <v>139</v>
      </c>
      <c r="B140" s="31" t="s">
        <v>52</v>
      </c>
      <c r="C140" s="32">
        <v>42993</v>
      </c>
      <c r="D140" s="31" t="s">
        <v>256</v>
      </c>
      <c r="E140" s="31" t="s">
        <v>155</v>
      </c>
      <c r="F140" s="31" t="s">
        <v>138</v>
      </c>
      <c r="G140" s="33" t="s">
        <v>227</v>
      </c>
      <c r="H140" s="31" t="s">
        <v>203</v>
      </c>
      <c r="K140" s="31" t="s">
        <v>53</v>
      </c>
      <c r="L140" s="34">
        <v>43008</v>
      </c>
      <c r="M140" s="31" t="s">
        <v>35</v>
      </c>
      <c r="N140" s="35" t="s">
        <v>833</v>
      </c>
      <c r="O140" s="38">
        <v>41.32</v>
      </c>
      <c r="P140" s="30">
        <v>1</v>
      </c>
      <c r="Q140" s="37">
        <v>0.21</v>
      </c>
      <c r="R140" s="38">
        <v>0</v>
      </c>
      <c r="S140" s="31" t="s">
        <v>36</v>
      </c>
      <c r="T140" s="39">
        <f t="shared" si="9"/>
        <v>49.997199999999999</v>
      </c>
      <c r="W140" s="34">
        <v>32411</v>
      </c>
      <c r="X140" s="32">
        <v>42993</v>
      </c>
      <c r="Y140" s="41" t="s">
        <v>151</v>
      </c>
      <c r="Z140" s="30"/>
      <c r="AE140" s="42"/>
      <c r="AH140" s="34"/>
    </row>
    <row r="141" spans="1:34">
      <c r="A141" s="30">
        <v>140</v>
      </c>
      <c r="B141" s="31" t="s">
        <v>52</v>
      </c>
      <c r="C141" s="32">
        <v>42993</v>
      </c>
      <c r="D141" s="31" t="s">
        <v>256</v>
      </c>
      <c r="E141" s="31" t="s">
        <v>155</v>
      </c>
      <c r="F141" s="31" t="s">
        <v>138</v>
      </c>
      <c r="G141" s="33" t="s">
        <v>227</v>
      </c>
      <c r="H141" s="31" t="s">
        <v>203</v>
      </c>
      <c r="K141" s="31" t="s">
        <v>53</v>
      </c>
      <c r="L141" s="34">
        <v>43008</v>
      </c>
      <c r="M141" s="31" t="s">
        <v>35</v>
      </c>
      <c r="N141" s="35" t="s">
        <v>834</v>
      </c>
      <c r="O141" s="38">
        <v>41.32</v>
      </c>
      <c r="P141" s="30">
        <v>1</v>
      </c>
      <c r="Q141" s="37">
        <v>0.21</v>
      </c>
      <c r="R141" s="38">
        <v>0</v>
      </c>
      <c r="S141" s="31" t="s">
        <v>36</v>
      </c>
      <c r="T141" s="39">
        <f t="shared" si="9"/>
        <v>49.997199999999999</v>
      </c>
      <c r="W141" s="34">
        <v>25948</v>
      </c>
      <c r="X141" s="32">
        <v>42993</v>
      </c>
      <c r="Y141" s="41" t="s">
        <v>151</v>
      </c>
      <c r="Z141" s="30"/>
      <c r="AE141" s="42"/>
      <c r="AH141" s="34"/>
    </row>
    <row r="142" spans="1:34">
      <c r="A142" s="30">
        <v>141</v>
      </c>
      <c r="B142" s="31" t="s">
        <v>37</v>
      </c>
      <c r="C142" s="32">
        <v>42997</v>
      </c>
      <c r="D142" s="31" t="s">
        <v>835</v>
      </c>
      <c r="E142" s="31" t="s">
        <v>836</v>
      </c>
      <c r="F142" s="31" t="s">
        <v>240</v>
      </c>
      <c r="G142" s="40" t="s">
        <v>241</v>
      </c>
      <c r="H142" s="31" t="s">
        <v>60</v>
      </c>
      <c r="I142" s="31" t="s">
        <v>837</v>
      </c>
      <c r="K142" s="31" t="s">
        <v>835</v>
      </c>
      <c r="L142" s="34">
        <v>43008</v>
      </c>
      <c r="M142" s="31" t="s">
        <v>35</v>
      </c>
      <c r="N142" s="35" t="s">
        <v>838</v>
      </c>
      <c r="O142" s="38">
        <v>60</v>
      </c>
      <c r="P142" s="30">
        <v>1</v>
      </c>
      <c r="Q142" s="37">
        <v>0.21</v>
      </c>
      <c r="R142" s="38">
        <v>0</v>
      </c>
      <c r="S142" s="31" t="s">
        <v>36</v>
      </c>
      <c r="T142" s="39">
        <f t="shared" ref="T142:T151" si="10">(O142*P142)*Q142+O142*P142</f>
        <v>72.599999999999994</v>
      </c>
      <c r="U142" t="s">
        <v>835</v>
      </c>
      <c r="V142" s="40" t="s">
        <v>839</v>
      </c>
      <c r="W142" s="34">
        <v>32660</v>
      </c>
      <c r="X142" s="32">
        <v>42997</v>
      </c>
      <c r="Y142" s="11" t="s">
        <v>976</v>
      </c>
      <c r="AA142" s="31" t="s">
        <v>340</v>
      </c>
      <c r="AD142" s="31" t="s">
        <v>77</v>
      </c>
      <c r="AE142" s="34">
        <v>42997</v>
      </c>
      <c r="AH142" s="34">
        <v>42997</v>
      </c>
    </row>
    <row r="143" spans="1:34">
      <c r="A143" s="30">
        <v>142</v>
      </c>
      <c r="B143" s="31" t="s">
        <v>40</v>
      </c>
      <c r="C143" s="32">
        <v>42997</v>
      </c>
      <c r="D143" s="31" t="s">
        <v>186</v>
      </c>
      <c r="E143" s="31" t="s">
        <v>64</v>
      </c>
      <c r="F143" s="31" t="s">
        <v>187</v>
      </c>
      <c r="G143" s="40" t="s">
        <v>221</v>
      </c>
      <c r="H143" s="31" t="s">
        <v>34</v>
      </c>
      <c r="I143" s="31">
        <v>667685283</v>
      </c>
      <c r="K143" s="31" t="s">
        <v>186</v>
      </c>
      <c r="L143" s="34">
        <v>43008</v>
      </c>
      <c r="M143" s="31" t="s">
        <v>35</v>
      </c>
      <c r="N143" s="35" t="s">
        <v>840</v>
      </c>
      <c r="O143" s="38">
        <v>60</v>
      </c>
      <c r="P143" s="30">
        <v>1</v>
      </c>
      <c r="Q143" s="37">
        <v>0.21</v>
      </c>
      <c r="R143" s="38">
        <v>0</v>
      </c>
      <c r="S143" s="31" t="s">
        <v>36</v>
      </c>
      <c r="T143" s="39">
        <f t="shared" si="10"/>
        <v>72.599999999999994</v>
      </c>
      <c r="U143" t="s">
        <v>841</v>
      </c>
      <c r="V143" s="40" t="s">
        <v>842</v>
      </c>
      <c r="W143" s="34">
        <v>35311</v>
      </c>
      <c r="X143" s="32">
        <v>42997</v>
      </c>
      <c r="Y143" t="s">
        <v>978</v>
      </c>
      <c r="AA143" s="31" t="s">
        <v>244</v>
      </c>
      <c r="AD143" s="31" t="s">
        <v>77</v>
      </c>
      <c r="AE143" s="34">
        <v>42997</v>
      </c>
      <c r="AH143" s="34">
        <v>42997</v>
      </c>
    </row>
    <row r="144" spans="1:34">
      <c r="A144" s="30">
        <v>143</v>
      </c>
      <c r="B144" s="31" t="s">
        <v>847</v>
      </c>
      <c r="C144" s="32">
        <v>42999</v>
      </c>
      <c r="D144" s="31" t="s">
        <v>156</v>
      </c>
      <c r="E144" s="31" t="s">
        <v>848</v>
      </c>
      <c r="F144" s="31" t="s">
        <v>268</v>
      </c>
      <c r="G144" s="40" t="s">
        <v>304</v>
      </c>
      <c r="H144" s="31" t="s">
        <v>198</v>
      </c>
      <c r="I144" s="31">
        <v>622956857</v>
      </c>
      <c r="K144" s="31" t="s">
        <v>156</v>
      </c>
      <c r="L144" s="34">
        <v>43008</v>
      </c>
      <c r="M144" s="31" t="s">
        <v>35</v>
      </c>
      <c r="N144" s="35" t="s">
        <v>849</v>
      </c>
      <c r="O144" s="38">
        <v>30</v>
      </c>
      <c r="P144" s="30">
        <v>1</v>
      </c>
      <c r="Q144" s="37">
        <v>0.21</v>
      </c>
      <c r="R144" s="38">
        <v>0</v>
      </c>
      <c r="S144" s="31" t="s">
        <v>36</v>
      </c>
      <c r="T144" s="39">
        <f t="shared" si="10"/>
        <v>36.299999999999997</v>
      </c>
      <c r="U144" t="s">
        <v>156</v>
      </c>
      <c r="W144" s="34">
        <v>26539</v>
      </c>
      <c r="X144" s="32">
        <v>42999</v>
      </c>
      <c r="Y144" s="11" t="s">
        <v>979</v>
      </c>
    </row>
    <row r="145" spans="1:34">
      <c r="A145" s="30">
        <v>144</v>
      </c>
      <c r="B145" s="31" t="s">
        <v>67</v>
      </c>
      <c r="C145" s="32">
        <v>42999</v>
      </c>
      <c r="D145" s="31" t="s">
        <v>311</v>
      </c>
      <c r="E145" s="31" t="s">
        <v>312</v>
      </c>
      <c r="F145" s="31" t="s">
        <v>313</v>
      </c>
      <c r="G145" s="33" t="s">
        <v>314</v>
      </c>
      <c r="H145" s="31" t="s">
        <v>86</v>
      </c>
      <c r="K145" s="31" t="s">
        <v>311</v>
      </c>
      <c r="L145" s="34">
        <v>43008</v>
      </c>
      <c r="M145" s="31" t="s">
        <v>35</v>
      </c>
      <c r="N145" s="31" t="s">
        <v>315</v>
      </c>
      <c r="O145" s="36">
        <v>60</v>
      </c>
      <c r="P145" s="30">
        <v>1</v>
      </c>
      <c r="Q145" s="37">
        <v>0.21</v>
      </c>
      <c r="R145" s="38">
        <v>0</v>
      </c>
      <c r="S145" s="31" t="s">
        <v>36</v>
      </c>
      <c r="T145" s="39">
        <f t="shared" si="10"/>
        <v>72.599999999999994</v>
      </c>
      <c r="U145" t="s">
        <v>316</v>
      </c>
      <c r="V145" s="40" t="s">
        <v>853</v>
      </c>
      <c r="W145" s="34">
        <v>27519</v>
      </c>
      <c r="X145" s="32">
        <v>42999</v>
      </c>
      <c r="Y145" s="11" t="s">
        <v>980</v>
      </c>
      <c r="Z145" s="30"/>
      <c r="AD145" s="31" t="s">
        <v>87</v>
      </c>
      <c r="AE145" s="42">
        <v>42999</v>
      </c>
      <c r="AH145" s="34">
        <v>43013</v>
      </c>
    </row>
    <row r="146" spans="1:34">
      <c r="A146" s="30">
        <v>145</v>
      </c>
      <c r="B146" s="31" t="s">
        <v>67</v>
      </c>
      <c r="C146" s="32">
        <v>42999</v>
      </c>
      <c r="D146" s="31" t="s">
        <v>311</v>
      </c>
      <c r="E146" s="31" t="s">
        <v>312</v>
      </c>
      <c r="F146" s="31" t="s">
        <v>313</v>
      </c>
      <c r="G146" s="33" t="s">
        <v>314</v>
      </c>
      <c r="H146" s="31" t="s">
        <v>86</v>
      </c>
      <c r="K146" s="31" t="s">
        <v>311</v>
      </c>
      <c r="L146" s="34">
        <v>43008</v>
      </c>
      <c r="M146" s="31" t="s">
        <v>35</v>
      </c>
      <c r="N146" s="31" t="s">
        <v>317</v>
      </c>
      <c r="O146" s="36">
        <v>60</v>
      </c>
      <c r="P146" s="30">
        <v>1</v>
      </c>
      <c r="Q146" s="37">
        <v>0.21</v>
      </c>
      <c r="R146" s="38">
        <v>0</v>
      </c>
      <c r="S146" s="31" t="s">
        <v>36</v>
      </c>
      <c r="T146" s="39">
        <f t="shared" si="10"/>
        <v>72.599999999999994</v>
      </c>
      <c r="U146" s="31" t="s">
        <v>318</v>
      </c>
      <c r="V146" s="40" t="s">
        <v>857</v>
      </c>
      <c r="W146" s="34">
        <v>28391</v>
      </c>
      <c r="X146" s="32">
        <v>42999</v>
      </c>
      <c r="Y146" s="11" t="s">
        <v>980</v>
      </c>
      <c r="Z146" s="32"/>
      <c r="AD146" s="31" t="s">
        <v>87</v>
      </c>
      <c r="AE146" s="42">
        <v>42999</v>
      </c>
      <c r="AH146" s="34">
        <v>43013</v>
      </c>
    </row>
    <row r="147" spans="1:34">
      <c r="A147" s="30">
        <v>146</v>
      </c>
      <c r="B147" s="31" t="s">
        <v>67</v>
      </c>
      <c r="C147" s="32">
        <v>42999</v>
      </c>
      <c r="D147" s="31" t="s">
        <v>311</v>
      </c>
      <c r="E147" s="31" t="s">
        <v>312</v>
      </c>
      <c r="F147" s="31" t="s">
        <v>313</v>
      </c>
      <c r="G147" s="33" t="s">
        <v>314</v>
      </c>
      <c r="H147" s="31" t="s">
        <v>86</v>
      </c>
      <c r="K147" s="31" t="s">
        <v>311</v>
      </c>
      <c r="L147" s="34">
        <v>43008</v>
      </c>
      <c r="M147" s="31" t="s">
        <v>35</v>
      </c>
      <c r="N147" s="31" t="s">
        <v>319</v>
      </c>
      <c r="O147" s="36">
        <v>60</v>
      </c>
      <c r="P147" s="30">
        <v>1</v>
      </c>
      <c r="Q147" s="37">
        <v>0.21</v>
      </c>
      <c r="R147" s="38">
        <v>0</v>
      </c>
      <c r="S147" s="31" t="s">
        <v>36</v>
      </c>
      <c r="T147" s="39">
        <f t="shared" si="10"/>
        <v>72.599999999999994</v>
      </c>
      <c r="U147" s="31" t="s">
        <v>320</v>
      </c>
      <c r="V147" s="40" t="s">
        <v>856</v>
      </c>
      <c r="W147" s="34">
        <v>26939</v>
      </c>
      <c r="X147" s="32">
        <v>42999</v>
      </c>
      <c r="Y147" s="11" t="s">
        <v>980</v>
      </c>
      <c r="Z147" s="32"/>
      <c r="AD147" s="31" t="s">
        <v>87</v>
      </c>
      <c r="AE147" s="42">
        <v>42999</v>
      </c>
      <c r="AH147" s="34">
        <v>43013</v>
      </c>
    </row>
    <row r="148" spans="1:34">
      <c r="A148" s="30">
        <v>147</v>
      </c>
      <c r="B148" s="31" t="s">
        <v>67</v>
      </c>
      <c r="C148" s="32">
        <v>42999</v>
      </c>
      <c r="D148" s="31" t="s">
        <v>311</v>
      </c>
      <c r="E148" s="31" t="s">
        <v>312</v>
      </c>
      <c r="F148" s="31" t="s">
        <v>313</v>
      </c>
      <c r="G148" s="33" t="s">
        <v>314</v>
      </c>
      <c r="H148" s="31" t="s">
        <v>86</v>
      </c>
      <c r="K148" s="31" t="s">
        <v>311</v>
      </c>
      <c r="L148" s="34">
        <v>43008</v>
      </c>
      <c r="M148" s="31" t="s">
        <v>35</v>
      </c>
      <c r="N148" s="31" t="s">
        <v>321</v>
      </c>
      <c r="O148" s="36">
        <v>60</v>
      </c>
      <c r="P148" s="30">
        <v>1</v>
      </c>
      <c r="Q148" s="37">
        <v>0.21</v>
      </c>
      <c r="R148" s="38">
        <v>0</v>
      </c>
      <c r="S148" s="31" t="s">
        <v>36</v>
      </c>
      <c r="T148" s="39">
        <f t="shared" si="10"/>
        <v>72.599999999999994</v>
      </c>
      <c r="U148" s="31" t="s">
        <v>322</v>
      </c>
      <c r="V148" s="40" t="s">
        <v>852</v>
      </c>
      <c r="W148" s="34">
        <v>27256</v>
      </c>
      <c r="X148" s="32">
        <v>42999</v>
      </c>
      <c r="Y148" s="11" t="s">
        <v>980</v>
      </c>
      <c r="Z148" s="32"/>
      <c r="AD148" s="31" t="s">
        <v>87</v>
      </c>
      <c r="AE148" s="42">
        <v>42999</v>
      </c>
      <c r="AH148" s="34">
        <v>43013</v>
      </c>
    </row>
    <row r="149" spans="1:34">
      <c r="A149" s="30">
        <v>148</v>
      </c>
      <c r="B149" s="31" t="s">
        <v>67</v>
      </c>
      <c r="C149" s="32">
        <v>42999</v>
      </c>
      <c r="D149" s="31" t="s">
        <v>311</v>
      </c>
      <c r="E149" s="31" t="s">
        <v>312</v>
      </c>
      <c r="F149" s="31" t="s">
        <v>313</v>
      </c>
      <c r="G149" s="33" t="s">
        <v>314</v>
      </c>
      <c r="H149" s="31" t="s">
        <v>86</v>
      </c>
      <c r="K149" s="31" t="s">
        <v>311</v>
      </c>
      <c r="L149" s="34">
        <v>43008</v>
      </c>
      <c r="M149" s="31" t="s">
        <v>35</v>
      </c>
      <c r="N149" s="31" t="s">
        <v>850</v>
      </c>
      <c r="O149" s="36">
        <v>60</v>
      </c>
      <c r="P149" s="30">
        <v>1</v>
      </c>
      <c r="Q149" s="37">
        <v>0.21</v>
      </c>
      <c r="R149" s="38">
        <v>0</v>
      </c>
      <c r="S149" s="31" t="s">
        <v>36</v>
      </c>
      <c r="T149" s="39">
        <f t="shared" si="10"/>
        <v>72.599999999999994</v>
      </c>
      <c r="U149" s="31" t="s">
        <v>157</v>
      </c>
      <c r="V149" s="40" t="s">
        <v>851</v>
      </c>
      <c r="W149" s="34">
        <v>27948</v>
      </c>
      <c r="X149" s="32">
        <v>42999</v>
      </c>
      <c r="Y149" s="11" t="s">
        <v>980</v>
      </c>
      <c r="Z149" s="32"/>
      <c r="AD149" s="31" t="s">
        <v>87</v>
      </c>
      <c r="AE149" s="42">
        <v>42999</v>
      </c>
      <c r="AH149" s="34">
        <v>43013</v>
      </c>
    </row>
    <row r="150" spans="1:34">
      <c r="A150" s="30">
        <v>149</v>
      </c>
      <c r="B150" s="31" t="s">
        <v>67</v>
      </c>
      <c r="C150" s="32">
        <v>42999</v>
      </c>
      <c r="D150" s="31" t="s">
        <v>311</v>
      </c>
      <c r="E150" s="31" t="s">
        <v>312</v>
      </c>
      <c r="F150" s="31" t="s">
        <v>313</v>
      </c>
      <c r="G150" s="33" t="s">
        <v>314</v>
      </c>
      <c r="H150" s="31" t="s">
        <v>86</v>
      </c>
      <c r="K150" s="31" t="s">
        <v>311</v>
      </c>
      <c r="L150" s="34">
        <v>43008</v>
      </c>
      <c r="M150" s="31" t="s">
        <v>35</v>
      </c>
      <c r="N150" s="31" t="s">
        <v>854</v>
      </c>
      <c r="O150" s="36">
        <v>60</v>
      </c>
      <c r="P150" s="30">
        <v>1</v>
      </c>
      <c r="Q150" s="37">
        <v>0.21</v>
      </c>
      <c r="R150" s="38">
        <v>0</v>
      </c>
      <c r="S150" s="31" t="s">
        <v>36</v>
      </c>
      <c r="T150" s="39">
        <f t="shared" si="10"/>
        <v>72.599999999999994</v>
      </c>
      <c r="U150" s="31" t="s">
        <v>858</v>
      </c>
      <c r="V150" s="40" t="s">
        <v>855</v>
      </c>
      <c r="W150" s="34">
        <v>26964</v>
      </c>
      <c r="X150" s="32">
        <v>42999</v>
      </c>
      <c r="Y150" s="11" t="s">
        <v>980</v>
      </c>
      <c r="Z150" s="32"/>
      <c r="AD150" s="31" t="s">
        <v>87</v>
      </c>
      <c r="AE150" s="42">
        <v>42999</v>
      </c>
      <c r="AH150" s="34">
        <v>43013</v>
      </c>
    </row>
    <row r="151" spans="1:34">
      <c r="A151" s="30">
        <v>150</v>
      </c>
      <c r="B151" s="31" t="s">
        <v>52</v>
      </c>
      <c r="C151" s="32">
        <v>42999</v>
      </c>
      <c r="D151" s="31" t="s">
        <v>418</v>
      </c>
      <c r="E151" s="31" t="s">
        <v>182</v>
      </c>
      <c r="F151" s="31" t="s">
        <v>843</v>
      </c>
      <c r="G151" s="33" t="s">
        <v>227</v>
      </c>
      <c r="H151" s="31" t="s">
        <v>203</v>
      </c>
      <c r="K151" s="31" t="s">
        <v>53</v>
      </c>
      <c r="L151" s="34">
        <v>43008</v>
      </c>
      <c r="M151" s="31" t="s">
        <v>35</v>
      </c>
      <c r="N151" s="35" t="s">
        <v>859</v>
      </c>
      <c r="O151" s="38">
        <v>41.32</v>
      </c>
      <c r="P151" s="30">
        <v>1</v>
      </c>
      <c r="Q151" s="37">
        <v>0.21</v>
      </c>
      <c r="R151" s="38">
        <v>0</v>
      </c>
      <c r="S151" s="31" t="s">
        <v>36</v>
      </c>
      <c r="T151" s="39">
        <f t="shared" si="10"/>
        <v>49.997199999999999</v>
      </c>
      <c r="U151" s="31" t="s">
        <v>860</v>
      </c>
      <c r="W151" s="34"/>
      <c r="X151" s="32">
        <v>42999</v>
      </c>
      <c r="Y151" s="41" t="s">
        <v>151</v>
      </c>
    </row>
    <row r="152" spans="1:34">
      <c r="A152" s="30">
        <v>151</v>
      </c>
      <c r="B152" s="31" t="s">
        <v>37</v>
      </c>
      <c r="C152" s="32">
        <v>43005</v>
      </c>
      <c r="D152" s="31" t="s">
        <v>158</v>
      </c>
      <c r="E152" s="31" t="s">
        <v>159</v>
      </c>
      <c r="F152" s="31" t="s">
        <v>160</v>
      </c>
      <c r="G152" s="40" t="s">
        <v>245</v>
      </c>
      <c r="H152" s="31" t="s">
        <v>54</v>
      </c>
      <c r="I152" s="31">
        <v>631189936</v>
      </c>
      <c r="K152" s="31" t="s">
        <v>158</v>
      </c>
      <c r="L152" s="34">
        <v>43008</v>
      </c>
      <c r="M152" s="31" t="s">
        <v>35</v>
      </c>
      <c r="N152" s="35" t="s">
        <v>202</v>
      </c>
      <c r="O152" s="36">
        <v>30</v>
      </c>
      <c r="P152" s="30">
        <v>1</v>
      </c>
      <c r="Q152" s="37">
        <v>0.21</v>
      </c>
      <c r="R152" s="38">
        <v>0</v>
      </c>
      <c r="S152" s="31" t="s">
        <v>36</v>
      </c>
      <c r="T152" s="39">
        <f t="shared" ref="T152:T162" si="11">(O152*P152)*Q152+O152*P152</f>
        <v>36.299999999999997</v>
      </c>
      <c r="U152" t="s">
        <v>158</v>
      </c>
      <c r="W152" s="34">
        <v>31122</v>
      </c>
      <c r="X152" s="32">
        <v>43005</v>
      </c>
      <c r="Y152" s="11" t="s">
        <v>1104</v>
      </c>
    </row>
    <row r="153" spans="1:34">
      <c r="A153" s="30">
        <v>152</v>
      </c>
      <c r="B153" s="31" t="s">
        <v>423</v>
      </c>
      <c r="C153" s="32">
        <v>43006</v>
      </c>
      <c r="D153" s="31" t="s">
        <v>862</v>
      </c>
      <c r="E153" s="31" t="s">
        <v>863</v>
      </c>
      <c r="F153" s="31" t="s">
        <v>864</v>
      </c>
      <c r="G153" s="40" t="s">
        <v>221</v>
      </c>
      <c r="H153" s="31" t="s">
        <v>34</v>
      </c>
      <c r="I153" s="31">
        <v>680376254</v>
      </c>
      <c r="K153" s="31" t="s">
        <v>862</v>
      </c>
      <c r="L153" s="34">
        <v>43008</v>
      </c>
      <c r="M153" s="31" t="s">
        <v>35</v>
      </c>
      <c r="N153" s="35" t="s">
        <v>865</v>
      </c>
      <c r="O153" s="36">
        <v>60</v>
      </c>
      <c r="P153" s="30">
        <v>1</v>
      </c>
      <c r="Q153" s="37">
        <v>0.21</v>
      </c>
      <c r="R153" s="38">
        <v>0</v>
      </c>
      <c r="S153" s="31" t="s">
        <v>36</v>
      </c>
      <c r="T153" s="39">
        <f t="shared" si="11"/>
        <v>72.599999999999994</v>
      </c>
      <c r="U153" t="s">
        <v>269</v>
      </c>
      <c r="V153" s="40" t="s">
        <v>866</v>
      </c>
      <c r="W153" s="34">
        <v>35398</v>
      </c>
      <c r="X153" s="32">
        <v>43006</v>
      </c>
      <c r="Y153" s="11" t="s">
        <v>981</v>
      </c>
      <c r="AA153" s="31" t="s">
        <v>244</v>
      </c>
      <c r="AD153" s="31" t="s">
        <v>867</v>
      </c>
      <c r="AE153" s="34">
        <v>43006</v>
      </c>
      <c r="AH153" s="34">
        <v>43013</v>
      </c>
    </row>
    <row r="154" spans="1:34">
      <c r="A154" s="30">
        <v>153</v>
      </c>
      <c r="B154" s="31" t="s">
        <v>37</v>
      </c>
      <c r="C154" s="32">
        <v>43006</v>
      </c>
      <c r="D154" s="31" t="s">
        <v>868</v>
      </c>
      <c r="E154" s="31" t="s">
        <v>869</v>
      </c>
      <c r="F154" s="31" t="s">
        <v>870</v>
      </c>
      <c r="G154" s="40" t="s">
        <v>219</v>
      </c>
      <c r="H154" s="31" t="s">
        <v>38</v>
      </c>
      <c r="K154" s="31" t="s">
        <v>868</v>
      </c>
      <c r="L154" s="34">
        <v>43008</v>
      </c>
      <c r="M154" s="31" t="s">
        <v>35</v>
      </c>
      <c r="N154" s="35" t="s">
        <v>871</v>
      </c>
      <c r="O154" s="36">
        <v>60</v>
      </c>
      <c r="P154" s="30">
        <v>1</v>
      </c>
      <c r="Q154" s="37">
        <v>0.21</v>
      </c>
      <c r="R154" s="38">
        <v>0</v>
      </c>
      <c r="S154" s="31" t="s">
        <v>36</v>
      </c>
      <c r="T154" s="39">
        <f t="shared" si="11"/>
        <v>72.599999999999994</v>
      </c>
      <c r="U154" t="s">
        <v>872</v>
      </c>
      <c r="V154" s="40" t="s">
        <v>873</v>
      </c>
      <c r="W154" s="34">
        <v>33239</v>
      </c>
      <c r="X154" s="32">
        <v>43006</v>
      </c>
      <c r="Y154" s="11" t="s">
        <v>982</v>
      </c>
      <c r="AA154" s="31" t="s">
        <v>244</v>
      </c>
      <c r="AD154" s="31" t="s">
        <v>73</v>
      </c>
      <c r="AE154" s="34">
        <v>43006</v>
      </c>
      <c r="AH154" s="34">
        <v>43013</v>
      </c>
    </row>
    <row r="155" spans="1:34">
      <c r="A155" s="30">
        <v>154</v>
      </c>
      <c r="B155" s="31" t="s">
        <v>82</v>
      </c>
      <c r="C155" s="32">
        <v>43013</v>
      </c>
      <c r="D155" s="31" t="s">
        <v>171</v>
      </c>
      <c r="E155" s="31" t="s">
        <v>168</v>
      </c>
      <c r="F155" s="31" t="s">
        <v>878</v>
      </c>
      <c r="G155" s="40" t="s">
        <v>239</v>
      </c>
      <c r="H155" s="31" t="s">
        <v>108</v>
      </c>
      <c r="K155" s="31" t="s">
        <v>167</v>
      </c>
      <c r="L155" s="34">
        <v>43039</v>
      </c>
      <c r="M155" s="31" t="s">
        <v>35</v>
      </c>
      <c r="N155" s="35" t="s">
        <v>879</v>
      </c>
      <c r="O155" s="54">
        <v>41.32</v>
      </c>
      <c r="P155" s="54">
        <v>1</v>
      </c>
      <c r="Q155" s="55">
        <v>0.21</v>
      </c>
      <c r="R155" s="56">
        <v>0</v>
      </c>
      <c r="S155" s="57" t="s">
        <v>36</v>
      </c>
      <c r="T155" s="46">
        <f t="shared" si="11"/>
        <v>49.997199999999999</v>
      </c>
      <c r="X155" s="32">
        <v>43013</v>
      </c>
      <c r="Y155" s="41" t="s">
        <v>151</v>
      </c>
    </row>
    <row r="156" spans="1:34">
      <c r="A156" s="30">
        <v>155</v>
      </c>
      <c r="B156" s="31" t="s">
        <v>45</v>
      </c>
      <c r="C156" s="32">
        <v>43013</v>
      </c>
      <c r="D156" s="31" t="s">
        <v>46</v>
      </c>
      <c r="E156" s="31" t="s">
        <v>47</v>
      </c>
      <c r="F156" s="31" t="s">
        <v>161</v>
      </c>
      <c r="G156" s="40" t="s">
        <v>220</v>
      </c>
      <c r="H156" s="31" t="s">
        <v>39</v>
      </c>
      <c r="K156" s="31" t="s">
        <v>162</v>
      </c>
      <c r="L156" s="34">
        <v>43039</v>
      </c>
      <c r="M156" s="31" t="s">
        <v>35</v>
      </c>
      <c r="N156" s="35" t="s">
        <v>880</v>
      </c>
      <c r="O156" s="38">
        <v>41.32</v>
      </c>
      <c r="P156" s="30">
        <v>1</v>
      </c>
      <c r="Q156" s="37">
        <v>0.21</v>
      </c>
      <c r="R156" s="38">
        <v>0</v>
      </c>
      <c r="S156" s="31" t="s">
        <v>36</v>
      </c>
      <c r="T156" s="39">
        <f t="shared" si="11"/>
        <v>49.997199999999999</v>
      </c>
      <c r="X156" s="32">
        <v>43013</v>
      </c>
      <c r="Y156" s="41" t="s">
        <v>151</v>
      </c>
    </row>
    <row r="157" spans="1:34">
      <c r="A157" s="30">
        <v>156</v>
      </c>
      <c r="B157" s="31" t="s">
        <v>45</v>
      </c>
      <c r="C157" s="32">
        <v>43013</v>
      </c>
      <c r="D157" s="31" t="s">
        <v>46</v>
      </c>
      <c r="E157" s="31" t="s">
        <v>47</v>
      </c>
      <c r="F157" s="31" t="s">
        <v>161</v>
      </c>
      <c r="G157" s="40" t="s">
        <v>220</v>
      </c>
      <c r="H157" s="31" t="s">
        <v>39</v>
      </c>
      <c r="K157" s="31" t="s">
        <v>162</v>
      </c>
      <c r="L157" s="34">
        <v>43039</v>
      </c>
      <c r="M157" s="31" t="s">
        <v>35</v>
      </c>
      <c r="N157" s="35" t="s">
        <v>881</v>
      </c>
      <c r="O157" s="38">
        <v>41.32</v>
      </c>
      <c r="P157" s="30">
        <v>1</v>
      </c>
      <c r="Q157" s="37">
        <v>0.21</v>
      </c>
      <c r="R157" s="38">
        <v>0</v>
      </c>
      <c r="S157" s="31" t="s">
        <v>36</v>
      </c>
      <c r="T157" s="39">
        <f t="shared" si="11"/>
        <v>49.997199999999999</v>
      </c>
      <c r="X157" s="32">
        <v>43013</v>
      </c>
      <c r="Y157" s="41" t="s">
        <v>151</v>
      </c>
    </row>
    <row r="158" spans="1:34">
      <c r="A158" s="30">
        <v>157</v>
      </c>
      <c r="B158" s="31" t="s">
        <v>45</v>
      </c>
      <c r="C158" s="32">
        <v>43013</v>
      </c>
      <c r="D158" s="31" t="s">
        <v>46</v>
      </c>
      <c r="E158" s="31" t="s">
        <v>47</v>
      </c>
      <c r="F158" s="31" t="s">
        <v>161</v>
      </c>
      <c r="G158" s="40" t="s">
        <v>220</v>
      </c>
      <c r="H158" s="31" t="s">
        <v>39</v>
      </c>
      <c r="K158" s="31" t="s">
        <v>162</v>
      </c>
      <c r="L158" s="34">
        <v>43039</v>
      </c>
      <c r="M158" s="31" t="s">
        <v>35</v>
      </c>
      <c r="N158" s="35" t="s">
        <v>882</v>
      </c>
      <c r="O158" s="38">
        <v>41.32</v>
      </c>
      <c r="P158" s="30">
        <v>1</v>
      </c>
      <c r="Q158" s="37">
        <v>0.21</v>
      </c>
      <c r="R158" s="38">
        <v>0</v>
      </c>
      <c r="S158" s="31" t="s">
        <v>36</v>
      </c>
      <c r="T158" s="39">
        <f t="shared" si="11"/>
        <v>49.997199999999999</v>
      </c>
      <c r="X158" s="32">
        <v>43013</v>
      </c>
      <c r="Y158" s="41" t="s">
        <v>151</v>
      </c>
    </row>
    <row r="159" spans="1:34">
      <c r="A159" s="30">
        <v>158</v>
      </c>
      <c r="B159" s="31" t="s">
        <v>52</v>
      </c>
      <c r="C159" s="32">
        <v>43013</v>
      </c>
      <c r="D159" s="31" t="s">
        <v>70</v>
      </c>
      <c r="E159" s="31" t="s">
        <v>71</v>
      </c>
      <c r="F159" s="31" t="s">
        <v>72</v>
      </c>
      <c r="G159" s="40" t="s">
        <v>221</v>
      </c>
      <c r="H159" s="31" t="s">
        <v>34</v>
      </c>
      <c r="K159" s="31" t="s">
        <v>53</v>
      </c>
      <c r="L159" s="34">
        <v>43039</v>
      </c>
      <c r="M159" s="31" t="s">
        <v>35</v>
      </c>
      <c r="N159" s="35" t="s">
        <v>883</v>
      </c>
      <c r="O159" s="36">
        <v>60</v>
      </c>
      <c r="P159" s="30">
        <v>1</v>
      </c>
      <c r="Q159" s="37">
        <v>0.21</v>
      </c>
      <c r="R159" s="38">
        <v>0</v>
      </c>
      <c r="S159" s="31" t="s">
        <v>36</v>
      </c>
      <c r="T159" s="39">
        <f t="shared" si="11"/>
        <v>72.599999999999994</v>
      </c>
      <c r="U159" t="s">
        <v>884</v>
      </c>
      <c r="V159" s="40" t="s">
        <v>885</v>
      </c>
      <c r="W159" s="34">
        <v>35159</v>
      </c>
      <c r="X159" s="32">
        <v>43013</v>
      </c>
      <c r="Y159" s="11" t="s">
        <v>982</v>
      </c>
      <c r="AD159" s="31" t="s">
        <v>77</v>
      </c>
      <c r="AE159" s="34">
        <v>43013</v>
      </c>
      <c r="AH159" s="34">
        <v>43019</v>
      </c>
    </row>
    <row r="160" spans="1:34">
      <c r="A160" s="30">
        <v>159</v>
      </c>
      <c r="B160" s="31" t="s">
        <v>438</v>
      </c>
      <c r="C160" s="32">
        <v>43013</v>
      </c>
      <c r="D160" s="31" t="s">
        <v>42</v>
      </c>
      <c r="E160" s="31" t="s">
        <v>43</v>
      </c>
      <c r="F160" s="31" t="s">
        <v>44</v>
      </c>
      <c r="G160" s="40" t="s">
        <v>230</v>
      </c>
      <c r="H160" s="31" t="s">
        <v>183</v>
      </c>
      <c r="K160" s="31" t="s">
        <v>42</v>
      </c>
      <c r="L160" s="34">
        <v>43039</v>
      </c>
      <c r="M160" s="31" t="s">
        <v>35</v>
      </c>
      <c r="N160" s="35" t="s">
        <v>886</v>
      </c>
      <c r="O160" s="36">
        <v>60</v>
      </c>
      <c r="P160" s="30">
        <v>1</v>
      </c>
      <c r="Q160" s="37">
        <v>0.21</v>
      </c>
      <c r="R160" s="38">
        <v>0</v>
      </c>
      <c r="S160" s="31" t="s">
        <v>36</v>
      </c>
      <c r="T160" s="39">
        <f t="shared" si="11"/>
        <v>72.599999999999994</v>
      </c>
      <c r="U160" t="s">
        <v>887</v>
      </c>
      <c r="V160" s="40" t="s">
        <v>888</v>
      </c>
      <c r="W160" s="34">
        <v>36169</v>
      </c>
      <c r="X160" s="32">
        <v>43013</v>
      </c>
      <c r="Y160" s="11" t="s">
        <v>982</v>
      </c>
      <c r="AD160" s="31" t="s">
        <v>77</v>
      </c>
      <c r="AE160" s="34">
        <v>43013</v>
      </c>
      <c r="AH160" s="34">
        <v>43035</v>
      </c>
    </row>
    <row r="161" spans="1:36">
      <c r="A161" s="30">
        <v>160</v>
      </c>
      <c r="B161" s="31" t="s">
        <v>137</v>
      </c>
      <c r="C161" s="32">
        <v>43013</v>
      </c>
      <c r="D161" s="31" t="s">
        <v>207</v>
      </c>
      <c r="E161" s="31" t="s">
        <v>208</v>
      </c>
      <c r="F161" s="31" t="s">
        <v>209</v>
      </c>
      <c r="G161" s="40" t="s">
        <v>221</v>
      </c>
      <c r="H161" s="31" t="s">
        <v>34</v>
      </c>
      <c r="K161" s="31" t="s">
        <v>207</v>
      </c>
      <c r="L161" s="34">
        <v>43039</v>
      </c>
      <c r="M161" s="31" t="s">
        <v>35</v>
      </c>
      <c r="N161" s="35" t="s">
        <v>889</v>
      </c>
      <c r="O161" s="36">
        <v>60</v>
      </c>
      <c r="P161" s="30">
        <v>1</v>
      </c>
      <c r="Q161" s="37">
        <v>0.21</v>
      </c>
      <c r="R161" s="38">
        <v>0</v>
      </c>
      <c r="S161" s="31" t="s">
        <v>36</v>
      </c>
      <c r="T161" s="39">
        <f t="shared" si="11"/>
        <v>72.599999999999994</v>
      </c>
      <c r="U161" t="s">
        <v>890</v>
      </c>
      <c r="V161" s="40" t="s">
        <v>891</v>
      </c>
      <c r="W161" s="34">
        <v>32674</v>
      </c>
      <c r="X161" s="32">
        <v>43013</v>
      </c>
      <c r="Y161" s="11" t="s">
        <v>982</v>
      </c>
    </row>
    <row r="162" spans="1:36">
      <c r="A162" s="30">
        <v>161</v>
      </c>
      <c r="B162" t="s">
        <v>438</v>
      </c>
      <c r="C162" s="32">
        <v>43028</v>
      </c>
      <c r="D162" s="31" t="s">
        <v>844</v>
      </c>
      <c r="E162" t="s">
        <v>845</v>
      </c>
      <c r="F162" s="31" t="s">
        <v>846</v>
      </c>
      <c r="G162" s="5" t="s">
        <v>221</v>
      </c>
      <c r="H162" t="s">
        <v>34</v>
      </c>
      <c r="K162" s="31" t="s">
        <v>844</v>
      </c>
      <c r="L162" s="34">
        <v>43039</v>
      </c>
      <c r="M162" t="s">
        <v>35</v>
      </c>
      <c r="N162" s="14" t="s">
        <v>898</v>
      </c>
      <c r="O162" s="30">
        <v>41.32</v>
      </c>
      <c r="P162" s="1">
        <v>1</v>
      </c>
      <c r="Q162" s="37">
        <v>0.21</v>
      </c>
      <c r="R162" s="38">
        <v>0</v>
      </c>
      <c r="S162" t="s">
        <v>36</v>
      </c>
      <c r="T162" s="4">
        <f t="shared" si="11"/>
        <v>49.997199999999999</v>
      </c>
      <c r="U162" t="s">
        <v>899</v>
      </c>
      <c r="W162" s="34">
        <v>35846</v>
      </c>
      <c r="X162" s="32">
        <v>43028</v>
      </c>
      <c r="Y162" s="11" t="s">
        <v>151</v>
      </c>
    </row>
    <row r="163" spans="1:36">
      <c r="A163" s="30">
        <v>162</v>
      </c>
      <c r="B163" t="s">
        <v>40</v>
      </c>
      <c r="C163" s="2">
        <v>43028</v>
      </c>
      <c r="D163" s="31" t="s">
        <v>900</v>
      </c>
      <c r="E163" t="s">
        <v>901</v>
      </c>
      <c r="F163" s="31" t="s">
        <v>902</v>
      </c>
      <c r="G163" s="5" t="s">
        <v>236</v>
      </c>
      <c r="H163" t="s">
        <v>110</v>
      </c>
      <c r="K163" s="31" t="s">
        <v>900</v>
      </c>
      <c r="L163" s="34">
        <v>43039</v>
      </c>
      <c r="M163" t="s">
        <v>35</v>
      </c>
      <c r="N163" s="14" t="s">
        <v>903</v>
      </c>
      <c r="O163" s="36">
        <v>60</v>
      </c>
      <c r="P163" s="30">
        <v>1</v>
      </c>
      <c r="Q163" s="37">
        <v>0.21</v>
      </c>
      <c r="R163" s="38">
        <v>0</v>
      </c>
      <c r="S163" s="31" t="s">
        <v>36</v>
      </c>
      <c r="T163" s="39">
        <f>(O163*P163)*Q163+O163*P163</f>
        <v>72.599999999999994</v>
      </c>
      <c r="U163" t="s">
        <v>904</v>
      </c>
      <c r="V163" s="5" t="s">
        <v>905</v>
      </c>
      <c r="W163" s="34">
        <v>34739</v>
      </c>
      <c r="X163" s="32">
        <v>43028</v>
      </c>
      <c r="Y163" t="s">
        <v>1105</v>
      </c>
    </row>
    <row r="164" spans="1:36">
      <c r="A164" s="30">
        <v>163</v>
      </c>
      <c r="B164" t="s">
        <v>61</v>
      </c>
      <c r="C164" s="32">
        <v>43035</v>
      </c>
      <c r="D164" t="s">
        <v>906</v>
      </c>
      <c r="E164" t="s">
        <v>907</v>
      </c>
      <c r="F164" t="s">
        <v>908</v>
      </c>
      <c r="G164" s="5" t="s">
        <v>221</v>
      </c>
      <c r="H164" t="s">
        <v>34</v>
      </c>
      <c r="K164" t="s">
        <v>906</v>
      </c>
      <c r="L164" s="34">
        <v>43039</v>
      </c>
      <c r="M164" t="s">
        <v>35</v>
      </c>
      <c r="N164" s="14" t="s">
        <v>909</v>
      </c>
      <c r="O164" s="36">
        <v>0</v>
      </c>
      <c r="P164" s="30">
        <v>1</v>
      </c>
      <c r="Q164" s="37">
        <v>0.21</v>
      </c>
      <c r="R164" s="38">
        <v>0</v>
      </c>
      <c r="S164" s="31" t="s">
        <v>36</v>
      </c>
      <c r="T164" s="39">
        <f t="shared" ref="T164:T169" si="12">(O164*P164)*Q164+O164*P164</f>
        <v>0</v>
      </c>
      <c r="U164" t="s">
        <v>910</v>
      </c>
      <c r="V164" s="5" t="s">
        <v>911</v>
      </c>
    </row>
    <row r="165" spans="1:36">
      <c r="A165" s="30">
        <v>164</v>
      </c>
      <c r="B165" t="s">
        <v>52</v>
      </c>
      <c r="C165" s="32">
        <v>43035</v>
      </c>
      <c r="D165" t="s">
        <v>913</v>
      </c>
      <c r="E165" t="s">
        <v>914</v>
      </c>
      <c r="F165" t="s">
        <v>915</v>
      </c>
      <c r="G165" s="5" t="s">
        <v>221</v>
      </c>
      <c r="H165" t="s">
        <v>34</v>
      </c>
      <c r="I165" s="31">
        <v>631780610</v>
      </c>
      <c r="K165" s="31" t="s">
        <v>53</v>
      </c>
      <c r="L165" s="34">
        <v>43039</v>
      </c>
      <c r="M165" t="s">
        <v>35</v>
      </c>
      <c r="N165" s="14" t="s">
        <v>916</v>
      </c>
      <c r="O165" s="36">
        <v>60</v>
      </c>
      <c r="P165" s="30">
        <v>1</v>
      </c>
      <c r="Q165" s="37">
        <v>0.21</v>
      </c>
      <c r="R165" s="38">
        <v>0</v>
      </c>
      <c r="S165" s="31" t="s">
        <v>36</v>
      </c>
      <c r="T165" s="39">
        <f t="shared" si="12"/>
        <v>72.599999999999994</v>
      </c>
      <c r="U165" t="s">
        <v>917</v>
      </c>
      <c r="V165" s="5" t="s">
        <v>918</v>
      </c>
      <c r="W165" s="34">
        <v>33302</v>
      </c>
      <c r="X165" s="32">
        <v>43035</v>
      </c>
      <c r="Y165" s="11" t="s">
        <v>1106</v>
      </c>
      <c r="AA165" t="s">
        <v>366</v>
      </c>
    </row>
    <row r="166" spans="1:36">
      <c r="A166" s="30">
        <v>165</v>
      </c>
      <c r="B166" t="s">
        <v>52</v>
      </c>
      <c r="C166" s="32">
        <v>43035</v>
      </c>
      <c r="D166" t="s">
        <v>919</v>
      </c>
      <c r="E166" t="s">
        <v>139</v>
      </c>
      <c r="F166" t="s">
        <v>920</v>
      </c>
      <c r="G166" s="5" t="s">
        <v>221</v>
      </c>
      <c r="H166" t="s">
        <v>34</v>
      </c>
      <c r="I166" s="31">
        <v>631226013</v>
      </c>
      <c r="K166" s="31" t="s">
        <v>53</v>
      </c>
      <c r="L166" s="34">
        <v>43039</v>
      </c>
      <c r="M166" t="s">
        <v>35</v>
      </c>
      <c r="N166" s="14" t="s">
        <v>921</v>
      </c>
      <c r="O166" s="36">
        <v>60</v>
      </c>
      <c r="P166" s="1">
        <v>1</v>
      </c>
      <c r="Q166" s="37">
        <v>0.21</v>
      </c>
      <c r="R166" s="38">
        <v>0</v>
      </c>
      <c r="S166" t="s">
        <v>36</v>
      </c>
      <c r="T166" s="4">
        <f t="shared" si="12"/>
        <v>72.599999999999994</v>
      </c>
      <c r="U166" t="s">
        <v>922</v>
      </c>
      <c r="V166" s="5" t="s">
        <v>923</v>
      </c>
      <c r="W166" s="34">
        <v>30682</v>
      </c>
      <c r="X166" s="32">
        <v>43035</v>
      </c>
      <c r="Y166" s="11" t="s">
        <v>1107</v>
      </c>
      <c r="AA166" t="s">
        <v>924</v>
      </c>
      <c r="AD166" t="s">
        <v>123</v>
      </c>
      <c r="AE166" s="34">
        <v>43035</v>
      </c>
      <c r="AH166" s="34">
        <v>43048</v>
      </c>
    </row>
    <row r="167" spans="1:36">
      <c r="A167" s="30">
        <v>166</v>
      </c>
      <c r="B167" t="s">
        <v>59</v>
      </c>
      <c r="C167" s="32">
        <v>43035</v>
      </c>
      <c r="D167" t="s">
        <v>925</v>
      </c>
      <c r="E167" t="s">
        <v>926</v>
      </c>
      <c r="F167" t="s">
        <v>927</v>
      </c>
      <c r="G167" s="5" t="s">
        <v>928</v>
      </c>
      <c r="H167" t="s">
        <v>49</v>
      </c>
      <c r="I167" s="31">
        <v>679181511</v>
      </c>
      <c r="K167" t="s">
        <v>925</v>
      </c>
      <c r="L167" s="34">
        <v>43039</v>
      </c>
      <c r="M167" t="s">
        <v>35</v>
      </c>
      <c r="N167" s="14" t="s">
        <v>929</v>
      </c>
      <c r="O167" s="36">
        <v>60</v>
      </c>
      <c r="P167" s="30">
        <v>1</v>
      </c>
      <c r="Q167" s="37">
        <v>0.21</v>
      </c>
      <c r="R167" s="38">
        <v>0</v>
      </c>
      <c r="S167" s="31" t="s">
        <v>36</v>
      </c>
      <c r="T167" s="39">
        <f t="shared" si="12"/>
        <v>72.599999999999994</v>
      </c>
      <c r="U167" t="s">
        <v>930</v>
      </c>
      <c r="V167" s="5" t="s">
        <v>931</v>
      </c>
      <c r="W167" s="3">
        <v>36980</v>
      </c>
      <c r="X167" s="32">
        <v>43035</v>
      </c>
      <c r="Y167" t="s">
        <v>1108</v>
      </c>
      <c r="AA167" t="s">
        <v>244</v>
      </c>
      <c r="AD167" t="s">
        <v>932</v>
      </c>
      <c r="AE167" s="34">
        <v>43035</v>
      </c>
      <c r="AH167" s="34">
        <v>43048</v>
      </c>
      <c r="AJ167" t="s">
        <v>990</v>
      </c>
    </row>
    <row r="168" spans="1:36">
      <c r="A168" s="30">
        <v>167</v>
      </c>
      <c r="B168" t="s">
        <v>423</v>
      </c>
      <c r="C168" s="32">
        <v>43035</v>
      </c>
      <c r="D168" t="s">
        <v>424</v>
      </c>
      <c r="E168" t="s">
        <v>91</v>
      </c>
      <c r="F168" t="s">
        <v>933</v>
      </c>
      <c r="G168" s="5" t="s">
        <v>219</v>
      </c>
      <c r="H168" t="s">
        <v>38</v>
      </c>
      <c r="K168" t="s">
        <v>424</v>
      </c>
      <c r="L168" s="34">
        <v>43039</v>
      </c>
      <c r="M168" t="s">
        <v>35</v>
      </c>
      <c r="N168" s="14" t="s">
        <v>959</v>
      </c>
      <c r="O168" s="36">
        <v>60</v>
      </c>
      <c r="P168" s="30">
        <v>1</v>
      </c>
      <c r="Q168" s="37">
        <v>0.21</v>
      </c>
      <c r="R168" s="38">
        <v>0</v>
      </c>
      <c r="S168" s="31" t="s">
        <v>36</v>
      </c>
      <c r="T168" s="39">
        <f t="shared" si="12"/>
        <v>72.599999999999994</v>
      </c>
      <c r="U168" t="s">
        <v>934</v>
      </c>
      <c r="V168" s="5" t="s">
        <v>935</v>
      </c>
      <c r="W168" s="34">
        <v>34510</v>
      </c>
      <c r="X168" s="32">
        <v>43035</v>
      </c>
      <c r="Y168" s="11" t="s">
        <v>1106</v>
      </c>
      <c r="AA168" t="s">
        <v>244</v>
      </c>
      <c r="AB168" s="34">
        <v>43139</v>
      </c>
      <c r="AD168" t="s">
        <v>936</v>
      </c>
      <c r="AE168" s="34">
        <v>43035</v>
      </c>
      <c r="AH168" s="34">
        <v>43048</v>
      </c>
      <c r="AJ168" t="s">
        <v>1038</v>
      </c>
    </row>
    <row r="169" spans="1:36">
      <c r="A169" s="30">
        <v>168</v>
      </c>
      <c r="B169" t="s">
        <v>423</v>
      </c>
      <c r="C169" s="32">
        <v>43035</v>
      </c>
      <c r="D169" t="s">
        <v>424</v>
      </c>
      <c r="E169" t="s">
        <v>91</v>
      </c>
      <c r="F169" t="s">
        <v>425</v>
      </c>
      <c r="G169" s="5" t="s">
        <v>219</v>
      </c>
      <c r="H169" t="s">
        <v>38</v>
      </c>
      <c r="K169" t="s">
        <v>424</v>
      </c>
      <c r="L169" s="34">
        <v>43039</v>
      </c>
      <c r="M169" t="s">
        <v>35</v>
      </c>
      <c r="N169" s="14" t="s">
        <v>937</v>
      </c>
      <c r="O169" s="36">
        <v>60</v>
      </c>
      <c r="P169" s="30">
        <v>1</v>
      </c>
      <c r="Q169" s="37">
        <v>0.21</v>
      </c>
      <c r="R169" s="38">
        <v>0</v>
      </c>
      <c r="S169" s="31" t="s">
        <v>36</v>
      </c>
      <c r="T169" s="39">
        <f t="shared" si="12"/>
        <v>72.599999999999994</v>
      </c>
      <c r="U169" t="s">
        <v>938</v>
      </c>
      <c r="V169" s="5" t="s">
        <v>939</v>
      </c>
      <c r="W169" s="34">
        <v>34523</v>
      </c>
      <c r="X169" s="32">
        <v>43035</v>
      </c>
      <c r="Y169" s="13" t="s">
        <v>1109</v>
      </c>
      <c r="AA169" t="s">
        <v>244</v>
      </c>
      <c r="AD169" t="s">
        <v>940</v>
      </c>
      <c r="AE169" s="34">
        <v>43035</v>
      </c>
      <c r="AH169" s="34">
        <v>43048</v>
      </c>
    </row>
    <row r="170" spans="1:36">
      <c r="A170" s="30">
        <v>169</v>
      </c>
      <c r="B170" t="s">
        <v>423</v>
      </c>
      <c r="C170" s="32">
        <v>43035</v>
      </c>
      <c r="D170" t="s">
        <v>424</v>
      </c>
      <c r="E170" t="s">
        <v>91</v>
      </c>
      <c r="F170" t="s">
        <v>425</v>
      </c>
      <c r="G170" s="5" t="s">
        <v>219</v>
      </c>
      <c r="H170" t="s">
        <v>38</v>
      </c>
      <c r="K170" t="s">
        <v>424</v>
      </c>
      <c r="L170" s="34">
        <v>43039</v>
      </c>
      <c r="M170" t="s">
        <v>35</v>
      </c>
      <c r="N170" s="14" t="s">
        <v>941</v>
      </c>
      <c r="O170" s="36">
        <v>60</v>
      </c>
      <c r="P170" s="30">
        <v>1</v>
      </c>
      <c r="Q170" s="37">
        <v>0.21</v>
      </c>
      <c r="R170" s="38">
        <v>0</v>
      </c>
      <c r="S170" s="31" t="s">
        <v>36</v>
      </c>
      <c r="T170" s="39">
        <f t="shared" ref="T170:T178" si="13">(O170*P170)*Q170+O170*P170</f>
        <v>72.599999999999994</v>
      </c>
      <c r="U170" t="s">
        <v>942</v>
      </c>
      <c r="V170" s="5" t="s">
        <v>943</v>
      </c>
      <c r="W170" s="34">
        <v>35165</v>
      </c>
      <c r="X170" s="32">
        <v>43035</v>
      </c>
      <c r="Y170" s="13" t="s">
        <v>1109</v>
      </c>
      <c r="AA170" t="s">
        <v>244</v>
      </c>
      <c r="AD170" t="s">
        <v>940</v>
      </c>
      <c r="AE170" s="34">
        <v>43035</v>
      </c>
      <c r="AH170" s="34">
        <v>43048</v>
      </c>
    </row>
    <row r="171" spans="1:36">
      <c r="A171" s="30">
        <v>170</v>
      </c>
      <c r="B171" t="s">
        <v>83</v>
      </c>
      <c r="C171" s="32">
        <v>43035</v>
      </c>
      <c r="D171" t="s">
        <v>152</v>
      </c>
      <c r="E171" t="s">
        <v>234</v>
      </c>
      <c r="F171" t="s">
        <v>944</v>
      </c>
      <c r="G171" s="5" t="s">
        <v>219</v>
      </c>
      <c r="H171" t="s">
        <v>38</v>
      </c>
      <c r="I171" s="31">
        <v>655241363</v>
      </c>
      <c r="K171" t="s">
        <v>152</v>
      </c>
      <c r="L171" s="34">
        <v>43039</v>
      </c>
      <c r="M171" t="s">
        <v>35</v>
      </c>
      <c r="N171" s="14" t="s">
        <v>945</v>
      </c>
      <c r="O171" s="36">
        <v>30</v>
      </c>
      <c r="P171" s="30">
        <v>1</v>
      </c>
      <c r="Q171" s="37">
        <v>0.21</v>
      </c>
      <c r="R171" s="38">
        <v>0</v>
      </c>
      <c r="S171" s="31" t="s">
        <v>36</v>
      </c>
      <c r="T171" s="39">
        <f t="shared" si="13"/>
        <v>36.299999999999997</v>
      </c>
      <c r="U171" t="s">
        <v>152</v>
      </c>
      <c r="W171" s="34">
        <v>28696</v>
      </c>
      <c r="X171" s="32">
        <v>43035</v>
      </c>
      <c r="Y171" s="11" t="s">
        <v>1185</v>
      </c>
      <c r="AA171" t="s">
        <v>366</v>
      </c>
    </row>
    <row r="172" spans="1:36">
      <c r="A172" s="30">
        <v>171</v>
      </c>
      <c r="B172" t="s">
        <v>83</v>
      </c>
      <c r="C172" s="32">
        <v>43039</v>
      </c>
      <c r="D172" t="s">
        <v>152</v>
      </c>
      <c r="E172" t="s">
        <v>234</v>
      </c>
      <c r="F172" t="s">
        <v>944</v>
      </c>
      <c r="G172" s="5" t="s">
        <v>219</v>
      </c>
      <c r="H172" t="s">
        <v>38</v>
      </c>
      <c r="I172" s="31">
        <v>655241363</v>
      </c>
      <c r="K172" t="s">
        <v>152</v>
      </c>
      <c r="L172" s="34">
        <v>43039</v>
      </c>
      <c r="M172" t="s">
        <v>35</v>
      </c>
      <c r="N172" s="14" t="s">
        <v>946</v>
      </c>
      <c r="O172" s="36">
        <v>30</v>
      </c>
      <c r="P172" s="30">
        <v>1</v>
      </c>
      <c r="Q172" s="37">
        <v>0.21</v>
      </c>
      <c r="R172" s="38">
        <v>0</v>
      </c>
      <c r="S172" s="31" t="s">
        <v>36</v>
      </c>
      <c r="T172" s="39">
        <f t="shared" si="13"/>
        <v>36.299999999999997</v>
      </c>
      <c r="U172" t="s">
        <v>235</v>
      </c>
      <c r="W172" s="34">
        <v>36358</v>
      </c>
      <c r="X172" s="32">
        <v>43039</v>
      </c>
      <c r="Y172" s="11" t="s">
        <v>1186</v>
      </c>
      <c r="AA172" t="s">
        <v>366</v>
      </c>
    </row>
    <row r="173" spans="1:36">
      <c r="A173" s="30">
        <v>172</v>
      </c>
      <c r="B173" t="s">
        <v>37</v>
      </c>
      <c r="C173" s="32">
        <v>43039</v>
      </c>
      <c r="D173" t="s">
        <v>212</v>
      </c>
      <c r="E173" t="s">
        <v>213</v>
      </c>
      <c r="F173" t="s">
        <v>535</v>
      </c>
      <c r="G173" s="5" t="s">
        <v>238</v>
      </c>
      <c r="H173" t="s">
        <v>38</v>
      </c>
      <c r="I173" s="31">
        <v>632559602</v>
      </c>
      <c r="K173" t="s">
        <v>212</v>
      </c>
      <c r="L173" s="34">
        <v>43039</v>
      </c>
      <c r="M173" t="s">
        <v>35</v>
      </c>
      <c r="N173" s="14" t="s">
        <v>947</v>
      </c>
      <c r="O173" s="12">
        <v>24.79</v>
      </c>
      <c r="P173" s="54">
        <v>1</v>
      </c>
      <c r="Q173" s="55">
        <v>0.21</v>
      </c>
      <c r="R173" s="56">
        <v>0</v>
      </c>
      <c r="S173" s="57" t="s">
        <v>36</v>
      </c>
      <c r="T173" s="46">
        <f t="shared" si="13"/>
        <v>29.995899999999999</v>
      </c>
      <c r="U173" t="s">
        <v>212</v>
      </c>
      <c r="W173" s="34">
        <v>28354</v>
      </c>
      <c r="X173" s="32">
        <v>43039</v>
      </c>
      <c r="Y173" s="11" t="s">
        <v>1050</v>
      </c>
    </row>
    <row r="174" spans="1:36">
      <c r="A174" s="30">
        <v>173</v>
      </c>
      <c r="B174" s="31" t="s">
        <v>52</v>
      </c>
      <c r="C174" s="32">
        <v>43041</v>
      </c>
      <c r="D174" s="31" t="s">
        <v>458</v>
      </c>
      <c r="E174" s="31" t="s">
        <v>84</v>
      </c>
      <c r="F174" s="31" t="s">
        <v>138</v>
      </c>
      <c r="G174" s="40" t="s">
        <v>227</v>
      </c>
      <c r="H174" s="31" t="s">
        <v>203</v>
      </c>
      <c r="K174" s="31" t="s">
        <v>53</v>
      </c>
      <c r="L174" s="34">
        <v>43069</v>
      </c>
      <c r="M174" s="31" t="s">
        <v>35</v>
      </c>
      <c r="N174" s="14" t="s">
        <v>950</v>
      </c>
      <c r="O174" s="38">
        <v>41.32</v>
      </c>
      <c r="P174" s="30">
        <v>1</v>
      </c>
      <c r="Q174" s="37">
        <v>0.21</v>
      </c>
      <c r="R174" s="38">
        <v>0</v>
      </c>
      <c r="S174" s="31" t="s">
        <v>36</v>
      </c>
      <c r="T174" s="39">
        <f t="shared" si="13"/>
        <v>49.997199999999999</v>
      </c>
      <c r="W174" s="34"/>
      <c r="X174" s="32">
        <v>43041</v>
      </c>
      <c r="Y174" s="41" t="s">
        <v>151</v>
      </c>
      <c r="Z174" s="34"/>
      <c r="AE174" s="34"/>
      <c r="AH174" s="34"/>
    </row>
    <row r="175" spans="1:36">
      <c r="A175" s="30">
        <v>174</v>
      </c>
      <c r="B175" s="31" t="s">
        <v>52</v>
      </c>
      <c r="C175" s="32">
        <v>43041</v>
      </c>
      <c r="D175" s="31" t="s">
        <v>256</v>
      </c>
      <c r="E175" s="31" t="s">
        <v>155</v>
      </c>
      <c r="F175" s="31" t="s">
        <v>138</v>
      </c>
      <c r="G175" s="33" t="s">
        <v>227</v>
      </c>
      <c r="H175" s="31" t="s">
        <v>203</v>
      </c>
      <c r="K175" s="31" t="s">
        <v>53</v>
      </c>
      <c r="L175" s="34">
        <v>43069</v>
      </c>
      <c r="M175" s="31" t="s">
        <v>35</v>
      </c>
      <c r="N175" s="14" t="s">
        <v>951</v>
      </c>
      <c r="O175" s="38">
        <v>41.32</v>
      </c>
      <c r="P175" s="30">
        <v>1</v>
      </c>
      <c r="Q175" s="37">
        <v>0.21</v>
      </c>
      <c r="R175" s="38">
        <v>0</v>
      </c>
      <c r="S175" s="31" t="s">
        <v>36</v>
      </c>
      <c r="T175" s="39">
        <f t="shared" si="13"/>
        <v>49.997199999999999</v>
      </c>
      <c r="W175" s="34"/>
      <c r="X175" s="32">
        <v>43041</v>
      </c>
      <c r="Y175" s="41" t="s">
        <v>151</v>
      </c>
      <c r="Z175" s="30"/>
      <c r="AE175" s="42"/>
      <c r="AH175" s="34"/>
    </row>
    <row r="176" spans="1:36" customFormat="1">
      <c r="A176" s="8">
        <v>175</v>
      </c>
      <c r="B176" t="s">
        <v>61</v>
      </c>
      <c r="C176" s="2">
        <v>43041</v>
      </c>
      <c r="D176" t="s">
        <v>62</v>
      </c>
      <c r="E176" t="s">
        <v>63</v>
      </c>
      <c r="F176" t="s">
        <v>214</v>
      </c>
      <c r="G176" s="6" t="s">
        <v>219</v>
      </c>
      <c r="H176" t="s">
        <v>38</v>
      </c>
      <c r="K176" t="s">
        <v>62</v>
      </c>
      <c r="L176" s="3">
        <v>43069</v>
      </c>
      <c r="M176" t="s">
        <v>35</v>
      </c>
      <c r="N176" t="s">
        <v>952</v>
      </c>
      <c r="O176" s="7">
        <v>60</v>
      </c>
      <c r="P176" s="1">
        <v>1</v>
      </c>
      <c r="Q176" s="58">
        <v>0.21</v>
      </c>
      <c r="R176" s="7">
        <v>0</v>
      </c>
      <c r="S176" t="s">
        <v>36</v>
      </c>
      <c r="T176" s="4">
        <f t="shared" si="13"/>
        <v>72.599999999999994</v>
      </c>
      <c r="U176" t="s">
        <v>953</v>
      </c>
      <c r="V176" s="5" t="s">
        <v>954</v>
      </c>
      <c r="W176" s="3">
        <v>37038</v>
      </c>
      <c r="X176" s="2">
        <v>43041</v>
      </c>
      <c r="Y176" s="11" t="s">
        <v>1110</v>
      </c>
      <c r="Z176" s="1"/>
      <c r="AD176" s="3"/>
      <c r="AE176" s="10"/>
      <c r="AF176" s="3"/>
      <c r="AG176" s="3"/>
    </row>
    <row r="177" spans="1:34" customFormat="1">
      <c r="A177" s="8">
        <v>176</v>
      </c>
      <c r="B177" t="s">
        <v>61</v>
      </c>
      <c r="C177" s="2">
        <v>43041</v>
      </c>
      <c r="D177" t="s">
        <v>62</v>
      </c>
      <c r="E177" t="s">
        <v>63</v>
      </c>
      <c r="F177" t="s">
        <v>214</v>
      </c>
      <c r="G177" s="6" t="s">
        <v>219</v>
      </c>
      <c r="H177" t="s">
        <v>38</v>
      </c>
      <c r="K177" t="s">
        <v>62</v>
      </c>
      <c r="L177" s="3">
        <v>43069</v>
      </c>
      <c r="M177" t="s">
        <v>35</v>
      </c>
      <c r="N177" t="s">
        <v>955</v>
      </c>
      <c r="O177" s="7">
        <v>60</v>
      </c>
      <c r="P177" s="1">
        <v>1</v>
      </c>
      <c r="Q177" s="58">
        <v>0.21</v>
      </c>
      <c r="R177" s="7">
        <v>0</v>
      </c>
      <c r="S177" t="s">
        <v>36</v>
      </c>
      <c r="T177" s="4">
        <f t="shared" si="13"/>
        <v>72.599999999999994</v>
      </c>
      <c r="U177" t="s">
        <v>956</v>
      </c>
      <c r="V177" s="5" t="s">
        <v>957</v>
      </c>
      <c r="W177" s="3">
        <v>35851</v>
      </c>
      <c r="X177" s="2">
        <v>43041</v>
      </c>
      <c r="Y177" s="11" t="s">
        <v>1111</v>
      </c>
      <c r="Z177" s="1"/>
      <c r="AD177" s="3"/>
      <c r="AE177" s="10"/>
      <c r="AF177" s="3"/>
      <c r="AG177" s="3"/>
    </row>
    <row r="178" spans="1:34" customFormat="1">
      <c r="A178" s="30">
        <v>177</v>
      </c>
      <c r="B178" t="s">
        <v>438</v>
      </c>
      <c r="C178" s="2">
        <v>43041</v>
      </c>
      <c r="D178" t="s">
        <v>113</v>
      </c>
      <c r="E178" t="s">
        <v>99</v>
      </c>
      <c r="F178" t="s">
        <v>114</v>
      </c>
      <c r="G178" s="6" t="s">
        <v>221</v>
      </c>
      <c r="H178" t="s">
        <v>34</v>
      </c>
      <c r="K178" t="s">
        <v>113</v>
      </c>
      <c r="L178" s="3">
        <v>43069</v>
      </c>
      <c r="M178" t="s">
        <v>35</v>
      </c>
      <c r="N178" s="14" t="s">
        <v>975</v>
      </c>
      <c r="O178" s="7">
        <v>24.79</v>
      </c>
      <c r="P178" s="1">
        <v>1</v>
      </c>
      <c r="Q178" s="58">
        <v>0.21</v>
      </c>
      <c r="R178" s="7">
        <v>0</v>
      </c>
      <c r="S178" t="s">
        <v>36</v>
      </c>
      <c r="T178" s="4">
        <f t="shared" si="13"/>
        <v>29.995899999999999</v>
      </c>
      <c r="U178" t="s">
        <v>973</v>
      </c>
      <c r="V178" s="5" t="s">
        <v>974</v>
      </c>
      <c r="W178" s="3"/>
      <c r="X178" s="2">
        <v>43031</v>
      </c>
      <c r="Z178" s="1"/>
      <c r="AD178" s="3" t="s">
        <v>1135</v>
      </c>
      <c r="AE178" s="10"/>
      <c r="AF178" s="3"/>
      <c r="AG178" s="3"/>
      <c r="AH178" s="3">
        <v>43091</v>
      </c>
    </row>
    <row r="179" spans="1:34">
      <c r="A179" s="30">
        <v>178</v>
      </c>
      <c r="B179" t="s">
        <v>960</v>
      </c>
      <c r="C179" s="32">
        <v>43048</v>
      </c>
      <c r="D179" t="s">
        <v>961</v>
      </c>
      <c r="E179" t="s">
        <v>962</v>
      </c>
      <c r="F179" t="s">
        <v>963</v>
      </c>
      <c r="G179" s="5" t="s">
        <v>964</v>
      </c>
      <c r="H179" t="s">
        <v>180</v>
      </c>
      <c r="K179" t="s">
        <v>961</v>
      </c>
      <c r="L179" s="34">
        <v>43069</v>
      </c>
      <c r="M179" t="s">
        <v>35</v>
      </c>
      <c r="N179" s="14" t="s">
        <v>965</v>
      </c>
      <c r="O179" s="7">
        <v>0</v>
      </c>
      <c r="P179" s="1">
        <v>1</v>
      </c>
      <c r="Q179" s="58">
        <v>0.21</v>
      </c>
      <c r="R179" s="7">
        <v>0</v>
      </c>
      <c r="S179" t="s">
        <v>36</v>
      </c>
      <c r="T179" s="4">
        <f t="shared" ref="T179:T186" si="14">(O179*P179)*Q179+O179*P179</f>
        <v>0</v>
      </c>
      <c r="U179" t="s">
        <v>966</v>
      </c>
      <c r="V179" s="5" t="s">
        <v>967</v>
      </c>
      <c r="W179" s="34">
        <v>30719</v>
      </c>
      <c r="X179" s="32">
        <v>43048</v>
      </c>
      <c r="Y179" t="s">
        <v>1112</v>
      </c>
      <c r="AA179" t="s">
        <v>244</v>
      </c>
      <c r="AD179" t="s">
        <v>73</v>
      </c>
      <c r="AE179" s="34">
        <v>43048</v>
      </c>
      <c r="AH179" s="34">
        <v>43056</v>
      </c>
    </row>
    <row r="180" spans="1:34">
      <c r="A180" s="30">
        <v>179</v>
      </c>
      <c r="B180" t="s">
        <v>111</v>
      </c>
      <c r="C180" s="2">
        <v>43048</v>
      </c>
      <c r="D180" s="31" t="s">
        <v>968</v>
      </c>
      <c r="E180" t="s">
        <v>222</v>
      </c>
      <c r="F180" s="31" t="s">
        <v>969</v>
      </c>
      <c r="G180" s="5" t="s">
        <v>220</v>
      </c>
      <c r="H180" t="s">
        <v>39</v>
      </c>
      <c r="I180" s="31">
        <v>679529127</v>
      </c>
      <c r="K180" s="31" t="s">
        <v>968</v>
      </c>
      <c r="L180" s="34">
        <v>43069</v>
      </c>
      <c r="M180" t="s">
        <v>35</v>
      </c>
      <c r="N180" s="14" t="s">
        <v>970</v>
      </c>
      <c r="O180" s="7">
        <v>60</v>
      </c>
      <c r="P180" s="1">
        <v>1</v>
      </c>
      <c r="Q180" s="58">
        <v>0.21</v>
      </c>
      <c r="R180" s="7">
        <v>0</v>
      </c>
      <c r="S180" t="s">
        <v>36</v>
      </c>
      <c r="T180" s="4">
        <f t="shared" si="14"/>
        <v>72.599999999999994</v>
      </c>
      <c r="U180" t="s">
        <v>971</v>
      </c>
      <c r="V180" s="5" t="s">
        <v>972</v>
      </c>
      <c r="W180" s="34">
        <v>34436</v>
      </c>
      <c r="X180" s="32">
        <v>43048</v>
      </c>
      <c r="AA180" t="s">
        <v>244</v>
      </c>
    </row>
    <row r="181" spans="1:34" customFormat="1">
      <c r="A181" s="1">
        <v>180</v>
      </c>
      <c r="B181" t="s">
        <v>323</v>
      </c>
      <c r="C181" s="2">
        <v>43054</v>
      </c>
      <c r="D181" t="s">
        <v>324</v>
      </c>
      <c r="E181" t="s">
        <v>79</v>
      </c>
      <c r="F181" t="s">
        <v>325</v>
      </c>
      <c r="G181" s="6" t="s">
        <v>221</v>
      </c>
      <c r="H181" t="s">
        <v>34</v>
      </c>
      <c r="K181" t="s">
        <v>324</v>
      </c>
      <c r="L181" s="3">
        <v>43069</v>
      </c>
      <c r="M181" t="s">
        <v>35</v>
      </c>
      <c r="N181" t="s">
        <v>983</v>
      </c>
      <c r="O181" s="9">
        <v>0</v>
      </c>
      <c r="P181" s="1">
        <v>1</v>
      </c>
      <c r="Q181" s="58">
        <v>0.21</v>
      </c>
      <c r="R181" s="7">
        <v>0</v>
      </c>
      <c r="S181" t="s">
        <v>36</v>
      </c>
      <c r="T181" s="4">
        <f t="shared" si="14"/>
        <v>0</v>
      </c>
      <c r="U181" t="s">
        <v>326</v>
      </c>
      <c r="V181" s="5"/>
      <c r="W181" s="3">
        <v>31546</v>
      </c>
      <c r="X181" s="2">
        <v>43054</v>
      </c>
      <c r="Y181" s="11" t="s">
        <v>1327</v>
      </c>
      <c r="Z181" s="1"/>
      <c r="AE181" s="10"/>
    </row>
    <row r="182" spans="1:34">
      <c r="A182" s="30">
        <v>181</v>
      </c>
      <c r="B182" t="s">
        <v>143</v>
      </c>
      <c r="C182" s="32">
        <v>43056</v>
      </c>
      <c r="D182" t="s">
        <v>984</v>
      </c>
      <c r="E182" t="s">
        <v>985</v>
      </c>
      <c r="F182" t="s">
        <v>986</v>
      </c>
      <c r="G182" s="5" t="s">
        <v>221</v>
      </c>
      <c r="H182" t="s">
        <v>34</v>
      </c>
      <c r="K182" t="s">
        <v>984</v>
      </c>
      <c r="L182" s="34">
        <v>43069</v>
      </c>
      <c r="M182" t="s">
        <v>35</v>
      </c>
      <c r="N182" s="14" t="s">
        <v>987</v>
      </c>
      <c r="O182" s="7">
        <v>24.79</v>
      </c>
      <c r="P182" s="1">
        <v>1</v>
      </c>
      <c r="Q182" s="58">
        <v>0.21</v>
      </c>
      <c r="R182" s="7">
        <v>0</v>
      </c>
      <c r="S182" t="s">
        <v>36</v>
      </c>
      <c r="T182" s="4">
        <f t="shared" si="14"/>
        <v>29.995899999999999</v>
      </c>
      <c r="U182" t="s">
        <v>988</v>
      </c>
      <c r="V182" s="5" t="s">
        <v>989</v>
      </c>
      <c r="W182" s="34">
        <v>31734</v>
      </c>
      <c r="X182" s="32">
        <v>43055</v>
      </c>
      <c r="Y182" s="11" t="s">
        <v>1328</v>
      </c>
    </row>
    <row r="183" spans="1:34">
      <c r="A183" s="30">
        <v>182</v>
      </c>
      <c r="B183" t="s">
        <v>45</v>
      </c>
      <c r="C183" s="32">
        <v>43056</v>
      </c>
      <c r="D183" t="s">
        <v>991</v>
      </c>
      <c r="E183" t="s">
        <v>992</v>
      </c>
      <c r="F183" t="s">
        <v>993</v>
      </c>
      <c r="G183" s="5" t="s">
        <v>220</v>
      </c>
      <c r="H183" t="s">
        <v>39</v>
      </c>
      <c r="I183" s="31">
        <v>628473991</v>
      </c>
      <c r="K183" t="s">
        <v>991</v>
      </c>
      <c r="L183" s="3">
        <v>43069</v>
      </c>
      <c r="M183" t="s">
        <v>35</v>
      </c>
      <c r="N183" s="59" t="s">
        <v>328</v>
      </c>
      <c r="O183" s="7">
        <v>60</v>
      </c>
      <c r="P183" s="1">
        <v>1</v>
      </c>
      <c r="Q183" s="58">
        <v>0.21</v>
      </c>
      <c r="R183" s="7">
        <v>0</v>
      </c>
      <c r="S183" t="s">
        <v>36</v>
      </c>
      <c r="T183" s="4">
        <f t="shared" si="14"/>
        <v>72.599999999999994</v>
      </c>
      <c r="U183" t="s">
        <v>994</v>
      </c>
      <c r="V183" s="60" t="s">
        <v>995</v>
      </c>
      <c r="W183" s="34">
        <v>35669</v>
      </c>
      <c r="X183" s="32">
        <v>43056</v>
      </c>
      <c r="Y183" s="11" t="s">
        <v>1113</v>
      </c>
      <c r="AA183" t="s">
        <v>1158</v>
      </c>
    </row>
    <row r="184" spans="1:34">
      <c r="A184" s="30">
        <v>183</v>
      </c>
      <c r="B184" t="s">
        <v>1002</v>
      </c>
      <c r="C184" s="32">
        <v>43056</v>
      </c>
      <c r="D184" t="s">
        <v>1003</v>
      </c>
      <c r="E184" t="s">
        <v>1004</v>
      </c>
      <c r="F184" t="s">
        <v>1005</v>
      </c>
      <c r="G184" s="5" t="s">
        <v>221</v>
      </c>
      <c r="H184" t="s">
        <v>34</v>
      </c>
      <c r="K184" s="31" t="s">
        <v>1006</v>
      </c>
      <c r="L184" s="34">
        <v>43069</v>
      </c>
      <c r="M184" t="s">
        <v>35</v>
      </c>
      <c r="N184" s="59" t="s">
        <v>1007</v>
      </c>
      <c r="O184" s="9">
        <v>60</v>
      </c>
      <c r="P184" s="1">
        <v>1</v>
      </c>
      <c r="Q184" s="58">
        <v>0.21</v>
      </c>
      <c r="R184" s="7">
        <v>0</v>
      </c>
      <c r="S184" t="s">
        <v>36</v>
      </c>
      <c r="T184" s="4">
        <f t="shared" si="14"/>
        <v>72.599999999999994</v>
      </c>
      <c r="U184" t="s">
        <v>1008</v>
      </c>
      <c r="V184" s="60" t="s">
        <v>1009</v>
      </c>
      <c r="W184" s="34">
        <v>35509</v>
      </c>
      <c r="X184" s="32">
        <v>43056</v>
      </c>
      <c r="Y184" s="11" t="s">
        <v>1113</v>
      </c>
      <c r="AA184" t="s">
        <v>1158</v>
      </c>
    </row>
    <row r="185" spans="1:34">
      <c r="A185" s="30">
        <v>184</v>
      </c>
      <c r="B185" t="s">
        <v>438</v>
      </c>
      <c r="C185" s="32">
        <v>43056</v>
      </c>
      <c r="D185" s="31" t="s">
        <v>996</v>
      </c>
      <c r="E185" t="s">
        <v>997</v>
      </c>
      <c r="F185" s="31" t="s">
        <v>998</v>
      </c>
      <c r="G185" s="5" t="s">
        <v>230</v>
      </c>
      <c r="H185" t="s">
        <v>183</v>
      </c>
      <c r="K185" s="31" t="s">
        <v>996</v>
      </c>
      <c r="L185" s="34">
        <v>43069</v>
      </c>
      <c r="M185" t="s">
        <v>35</v>
      </c>
      <c r="N185" s="14" t="s">
        <v>999</v>
      </c>
      <c r="O185" s="7">
        <v>41.32</v>
      </c>
      <c r="P185" s="1">
        <v>1</v>
      </c>
      <c r="Q185" s="58">
        <v>0.21</v>
      </c>
      <c r="R185" s="7">
        <v>0</v>
      </c>
      <c r="S185" t="s">
        <v>36</v>
      </c>
      <c r="T185" s="4">
        <f t="shared" si="14"/>
        <v>49.997199999999999</v>
      </c>
      <c r="X185" s="32">
        <v>43056</v>
      </c>
      <c r="Y185" s="11" t="s">
        <v>151</v>
      </c>
    </row>
    <row r="186" spans="1:34">
      <c r="A186" s="30">
        <v>185</v>
      </c>
      <c r="B186" t="s">
        <v>417</v>
      </c>
      <c r="C186" s="32">
        <v>43056</v>
      </c>
      <c r="D186" s="31" t="s">
        <v>418</v>
      </c>
      <c r="E186" s="31" t="s">
        <v>182</v>
      </c>
      <c r="F186" s="31" t="s">
        <v>540</v>
      </c>
      <c r="G186" s="33" t="s">
        <v>227</v>
      </c>
      <c r="H186" s="31" t="s">
        <v>203</v>
      </c>
      <c r="K186" s="31" t="s">
        <v>418</v>
      </c>
      <c r="L186" s="34">
        <v>43069</v>
      </c>
      <c r="M186" s="31" t="s">
        <v>35</v>
      </c>
      <c r="N186" s="14" t="s">
        <v>1000</v>
      </c>
      <c r="O186" s="38">
        <v>41.32</v>
      </c>
      <c r="P186" s="30">
        <v>1</v>
      </c>
      <c r="Q186" s="37">
        <v>0.21</v>
      </c>
      <c r="R186" s="38">
        <v>0</v>
      </c>
      <c r="S186" s="31" t="s">
        <v>36</v>
      </c>
      <c r="T186" s="39">
        <f t="shared" si="14"/>
        <v>49.997199999999999</v>
      </c>
      <c r="U186" t="s">
        <v>1001</v>
      </c>
      <c r="W186" s="34">
        <v>27250</v>
      </c>
      <c r="X186" s="32">
        <v>43056</v>
      </c>
      <c r="Y186" s="11" t="s">
        <v>1039</v>
      </c>
    </row>
    <row r="187" spans="1:34">
      <c r="A187" s="30">
        <v>186</v>
      </c>
      <c r="B187" t="s">
        <v>37</v>
      </c>
      <c r="C187" s="32">
        <v>43062</v>
      </c>
      <c r="D187" t="s">
        <v>1010</v>
      </c>
      <c r="E187" t="s">
        <v>1011</v>
      </c>
      <c r="F187" t="s">
        <v>1012</v>
      </c>
      <c r="G187" s="5" t="s">
        <v>221</v>
      </c>
      <c r="H187" t="s">
        <v>34</v>
      </c>
      <c r="I187" s="31">
        <v>631351350</v>
      </c>
      <c r="K187" t="s">
        <v>1010</v>
      </c>
      <c r="L187" s="34">
        <v>43069</v>
      </c>
      <c r="M187" t="s">
        <v>35</v>
      </c>
      <c r="N187" s="14" t="s">
        <v>1013</v>
      </c>
      <c r="O187" s="7">
        <v>60</v>
      </c>
      <c r="P187" s="1">
        <v>1</v>
      </c>
      <c r="Q187" s="58">
        <v>0.21</v>
      </c>
      <c r="R187" s="7">
        <v>0</v>
      </c>
      <c r="S187" t="s">
        <v>36</v>
      </c>
      <c r="T187" s="4">
        <f t="shared" ref="T187:T193" si="15">(O187*P187)*Q187+O187*P187</f>
        <v>72.599999999999994</v>
      </c>
      <c r="U187" t="s">
        <v>1010</v>
      </c>
      <c r="V187" s="5" t="s">
        <v>1014</v>
      </c>
      <c r="W187" s="34">
        <v>31200</v>
      </c>
      <c r="X187" s="32">
        <v>43062</v>
      </c>
      <c r="Y187" s="11" t="s">
        <v>1237</v>
      </c>
      <c r="AA187" t="s">
        <v>305</v>
      </c>
      <c r="AD187" t="s">
        <v>77</v>
      </c>
      <c r="AE187" s="34">
        <v>43062</v>
      </c>
      <c r="AH187" s="34">
        <v>43067</v>
      </c>
    </row>
    <row r="188" spans="1:34">
      <c r="A188" s="30">
        <v>187</v>
      </c>
      <c r="B188" t="s">
        <v>33</v>
      </c>
      <c r="C188" s="32">
        <v>43062</v>
      </c>
      <c r="D188" t="s">
        <v>163</v>
      </c>
      <c r="E188" t="s">
        <v>164</v>
      </c>
      <c r="F188" t="s">
        <v>165</v>
      </c>
      <c r="G188" s="5" t="s">
        <v>304</v>
      </c>
      <c r="H188" t="s">
        <v>68</v>
      </c>
      <c r="I188" s="31">
        <v>615727399</v>
      </c>
      <c r="K188" s="31" t="s">
        <v>237</v>
      </c>
      <c r="L188" s="34">
        <v>43069</v>
      </c>
      <c r="M188" t="s">
        <v>35</v>
      </c>
      <c r="N188" s="14" t="s">
        <v>1015</v>
      </c>
      <c r="O188" s="9">
        <v>60</v>
      </c>
      <c r="P188" s="1">
        <v>1</v>
      </c>
      <c r="Q188" s="58">
        <v>0.21</v>
      </c>
      <c r="R188" s="7">
        <v>0</v>
      </c>
      <c r="S188" t="s">
        <v>36</v>
      </c>
      <c r="T188" s="4">
        <f t="shared" si="15"/>
        <v>72.599999999999994</v>
      </c>
      <c r="U188" t="s">
        <v>1016</v>
      </c>
      <c r="V188" s="5" t="s">
        <v>1017</v>
      </c>
      <c r="W188" s="34">
        <v>35041</v>
      </c>
      <c r="X188" s="32">
        <v>43062</v>
      </c>
      <c r="Y188" s="11" t="s">
        <v>1318</v>
      </c>
      <c r="AA188" t="s">
        <v>244</v>
      </c>
      <c r="AD188" t="s">
        <v>77</v>
      </c>
      <c r="AE188" s="34">
        <v>43062</v>
      </c>
      <c r="AH188" s="34">
        <v>43067</v>
      </c>
    </row>
    <row r="189" spans="1:34">
      <c r="A189" s="30">
        <v>188</v>
      </c>
      <c r="B189" t="s">
        <v>40</v>
      </c>
      <c r="C189" s="32">
        <v>43062</v>
      </c>
      <c r="D189" t="s">
        <v>57</v>
      </c>
      <c r="E189" t="s">
        <v>58</v>
      </c>
      <c r="F189" t="s">
        <v>358</v>
      </c>
      <c r="G189" s="5" t="s">
        <v>221</v>
      </c>
      <c r="H189" t="s">
        <v>34</v>
      </c>
      <c r="K189" t="s">
        <v>57</v>
      </c>
      <c r="L189" s="34">
        <v>43069</v>
      </c>
      <c r="M189" t="s">
        <v>35</v>
      </c>
      <c r="N189" s="14" t="s">
        <v>1018</v>
      </c>
      <c r="O189" s="7">
        <v>60</v>
      </c>
      <c r="P189" s="1">
        <v>1</v>
      </c>
      <c r="Q189" s="58">
        <v>0.21</v>
      </c>
      <c r="R189" s="7">
        <v>0</v>
      </c>
      <c r="S189" t="s">
        <v>36</v>
      </c>
      <c r="T189" s="4">
        <f t="shared" si="15"/>
        <v>72.599999999999994</v>
      </c>
      <c r="U189" t="s">
        <v>1019</v>
      </c>
      <c r="V189" s="5" t="s">
        <v>1020</v>
      </c>
      <c r="W189" s="34">
        <v>33926</v>
      </c>
      <c r="X189" s="32">
        <v>43062</v>
      </c>
      <c r="Y189" s="11" t="s">
        <v>1344</v>
      </c>
      <c r="Z189" s="34">
        <v>43146</v>
      </c>
      <c r="AA189" t="s">
        <v>244</v>
      </c>
      <c r="AD189" t="s">
        <v>77</v>
      </c>
      <c r="AE189" s="34">
        <v>43062</v>
      </c>
      <c r="AH189" s="34">
        <v>43067</v>
      </c>
    </row>
    <row r="190" spans="1:34">
      <c r="A190" s="30">
        <v>189</v>
      </c>
      <c r="B190" t="s">
        <v>40</v>
      </c>
      <c r="C190" s="32">
        <v>43062</v>
      </c>
      <c r="D190" t="s">
        <v>485</v>
      </c>
      <c r="E190" t="s">
        <v>486</v>
      </c>
      <c r="F190" t="s">
        <v>1021</v>
      </c>
      <c r="G190" s="5" t="s">
        <v>221</v>
      </c>
      <c r="H190" t="s">
        <v>34</v>
      </c>
      <c r="K190" t="s">
        <v>485</v>
      </c>
      <c r="L190" s="34">
        <v>43069</v>
      </c>
      <c r="M190" t="s">
        <v>35</v>
      </c>
      <c r="N190" s="14" t="s">
        <v>1022</v>
      </c>
      <c r="O190" s="7">
        <v>60</v>
      </c>
      <c r="P190" s="1">
        <v>1</v>
      </c>
      <c r="Q190" s="58">
        <v>0.21</v>
      </c>
      <c r="R190" s="7">
        <v>0</v>
      </c>
      <c r="S190" t="s">
        <v>36</v>
      </c>
      <c r="T190" s="4">
        <f t="shared" si="15"/>
        <v>72.599999999999994</v>
      </c>
      <c r="U190" t="s">
        <v>1023</v>
      </c>
      <c r="V190" s="5" t="s">
        <v>1024</v>
      </c>
      <c r="W190" s="34">
        <v>36499</v>
      </c>
      <c r="X190" s="32">
        <v>43062</v>
      </c>
      <c r="Y190" s="11" t="s">
        <v>1187</v>
      </c>
      <c r="AA190" t="s">
        <v>244</v>
      </c>
    </row>
    <row r="191" spans="1:34">
      <c r="A191" s="30">
        <v>190</v>
      </c>
      <c r="B191" t="s">
        <v>52</v>
      </c>
      <c r="C191" s="32">
        <v>43062</v>
      </c>
      <c r="D191" t="s">
        <v>66</v>
      </c>
      <c r="E191" t="s">
        <v>65</v>
      </c>
      <c r="F191" t="s">
        <v>122</v>
      </c>
      <c r="G191" s="5" t="s">
        <v>230</v>
      </c>
      <c r="H191" t="s">
        <v>34</v>
      </c>
      <c r="K191" s="31" t="s">
        <v>53</v>
      </c>
      <c r="L191" s="3">
        <v>43069</v>
      </c>
      <c r="M191" t="s">
        <v>35</v>
      </c>
      <c r="N191" s="14" t="s">
        <v>1025</v>
      </c>
      <c r="O191" s="9">
        <v>60</v>
      </c>
      <c r="P191" s="1">
        <v>1</v>
      </c>
      <c r="Q191" s="58">
        <v>0.21</v>
      </c>
      <c r="R191" s="7">
        <v>0</v>
      </c>
      <c r="S191" t="s">
        <v>36</v>
      </c>
      <c r="T191" s="4">
        <f t="shared" si="15"/>
        <v>72.599999999999994</v>
      </c>
      <c r="U191" t="s">
        <v>1026</v>
      </c>
      <c r="V191" s="5" t="s">
        <v>1027</v>
      </c>
      <c r="W191" s="34">
        <v>29952</v>
      </c>
      <c r="X191" s="32">
        <v>43062</v>
      </c>
      <c r="Y191" s="11" t="s">
        <v>1237</v>
      </c>
      <c r="AA191" t="s">
        <v>305</v>
      </c>
      <c r="AD191" t="s">
        <v>1028</v>
      </c>
      <c r="AE191" s="34">
        <v>43062</v>
      </c>
      <c r="AH191" s="34">
        <v>43070</v>
      </c>
    </row>
    <row r="192" spans="1:34">
      <c r="A192" s="30">
        <v>191</v>
      </c>
      <c r="B192" t="s">
        <v>52</v>
      </c>
      <c r="C192" s="32">
        <v>43062</v>
      </c>
      <c r="D192" t="s">
        <v>654</v>
      </c>
      <c r="E192" t="s">
        <v>655</v>
      </c>
      <c r="F192" t="s">
        <v>1029</v>
      </c>
      <c r="G192" s="5" t="s">
        <v>221</v>
      </c>
      <c r="H192" t="s">
        <v>34</v>
      </c>
      <c r="I192" s="31">
        <v>661973918</v>
      </c>
      <c r="K192" s="31" t="s">
        <v>53</v>
      </c>
      <c r="L192" s="34">
        <v>43069</v>
      </c>
      <c r="M192" t="s">
        <v>35</v>
      </c>
      <c r="N192" s="14" t="s">
        <v>1030</v>
      </c>
      <c r="O192" s="7">
        <v>60</v>
      </c>
      <c r="P192" s="1">
        <v>1</v>
      </c>
      <c r="Q192" s="58">
        <v>0.21</v>
      </c>
      <c r="R192" s="7">
        <v>0</v>
      </c>
      <c r="S192" t="s">
        <v>36</v>
      </c>
      <c r="T192" s="4">
        <f t="shared" si="15"/>
        <v>72.599999999999994</v>
      </c>
      <c r="U192" t="s">
        <v>1031</v>
      </c>
      <c r="V192" s="5" t="s">
        <v>1032</v>
      </c>
      <c r="W192" s="34">
        <v>34618</v>
      </c>
      <c r="X192" s="32">
        <v>43062</v>
      </c>
      <c r="Y192" s="11" t="s">
        <v>1187</v>
      </c>
      <c r="AA192" t="s">
        <v>244</v>
      </c>
    </row>
    <row r="193" spans="1:34">
      <c r="A193" s="30">
        <v>192</v>
      </c>
      <c r="B193" t="s">
        <v>119</v>
      </c>
      <c r="C193" s="32">
        <v>43062</v>
      </c>
      <c r="D193" t="s">
        <v>1033</v>
      </c>
      <c r="E193" t="s">
        <v>1034</v>
      </c>
      <c r="F193" t="s">
        <v>1035</v>
      </c>
      <c r="G193" s="5" t="s">
        <v>242</v>
      </c>
      <c r="H193" t="s">
        <v>401</v>
      </c>
      <c r="I193" s="31">
        <v>632117405</v>
      </c>
      <c r="K193" s="31" t="s">
        <v>174</v>
      </c>
      <c r="L193" s="34">
        <v>43069</v>
      </c>
      <c r="M193" t="s">
        <v>35</v>
      </c>
      <c r="N193" s="14" t="s">
        <v>1040</v>
      </c>
      <c r="O193" s="7">
        <v>60</v>
      </c>
      <c r="P193" s="1">
        <v>1</v>
      </c>
      <c r="Q193" s="58">
        <v>0.21</v>
      </c>
      <c r="R193" s="7">
        <v>0</v>
      </c>
      <c r="S193" t="s">
        <v>36</v>
      </c>
      <c r="T193" s="4">
        <f t="shared" si="15"/>
        <v>72.599999999999994</v>
      </c>
      <c r="U193" t="s">
        <v>1036</v>
      </c>
      <c r="V193" s="5" t="s">
        <v>1037</v>
      </c>
      <c r="W193" s="34">
        <v>33655</v>
      </c>
      <c r="X193" s="32">
        <v>43062</v>
      </c>
      <c r="Y193" s="11" t="s">
        <v>1344</v>
      </c>
      <c r="AA193" t="s">
        <v>305</v>
      </c>
    </row>
    <row r="194" spans="1:34">
      <c r="A194" s="30">
        <v>193</v>
      </c>
      <c r="B194" t="s">
        <v>37</v>
      </c>
      <c r="C194" s="32">
        <v>43067</v>
      </c>
      <c r="D194" s="31" t="s">
        <v>1041</v>
      </c>
      <c r="E194" t="s">
        <v>266</v>
      </c>
      <c r="F194" t="s">
        <v>535</v>
      </c>
      <c r="G194" s="5" t="s">
        <v>238</v>
      </c>
      <c r="H194" t="s">
        <v>48</v>
      </c>
      <c r="I194" s="31">
        <v>657219070</v>
      </c>
      <c r="K194" s="31" t="s">
        <v>1041</v>
      </c>
      <c r="L194" s="34">
        <v>43069</v>
      </c>
      <c r="M194" t="s">
        <v>35</v>
      </c>
      <c r="N194" s="14" t="s">
        <v>1042</v>
      </c>
      <c r="O194" s="7">
        <v>30</v>
      </c>
      <c r="P194" s="1">
        <v>1</v>
      </c>
      <c r="Q194" s="58">
        <v>0.21</v>
      </c>
      <c r="R194" s="7">
        <v>0</v>
      </c>
      <c r="S194" t="s">
        <v>36</v>
      </c>
      <c r="T194" s="4">
        <f t="shared" ref="T194:T202" si="16">(O194*P194)*Q194+O194*P194</f>
        <v>36.299999999999997</v>
      </c>
      <c r="U194" t="s">
        <v>265</v>
      </c>
      <c r="V194" s="5" t="s">
        <v>1144</v>
      </c>
      <c r="W194" s="34">
        <v>31111</v>
      </c>
      <c r="X194" s="32">
        <v>43067</v>
      </c>
      <c r="Y194" s="11" t="s">
        <v>1269</v>
      </c>
    </row>
    <row r="195" spans="1:34">
      <c r="A195" s="30">
        <v>194</v>
      </c>
      <c r="B195" t="s">
        <v>37</v>
      </c>
      <c r="C195" s="32">
        <v>43067</v>
      </c>
      <c r="D195" t="s">
        <v>1043</v>
      </c>
      <c r="E195" t="s">
        <v>1044</v>
      </c>
      <c r="F195" t="s">
        <v>1045</v>
      </c>
      <c r="G195" s="5" t="s">
        <v>1046</v>
      </c>
      <c r="H195" t="s">
        <v>1047</v>
      </c>
      <c r="I195">
        <v>602883500</v>
      </c>
      <c r="K195" t="s">
        <v>1043</v>
      </c>
      <c r="L195" s="34">
        <v>43069</v>
      </c>
      <c r="M195" t="s">
        <v>35</v>
      </c>
      <c r="N195" s="14" t="s">
        <v>1048</v>
      </c>
      <c r="O195" s="9">
        <v>60</v>
      </c>
      <c r="P195" s="1">
        <v>1</v>
      </c>
      <c r="Q195" s="58">
        <v>0.21</v>
      </c>
      <c r="R195" s="7">
        <v>0</v>
      </c>
      <c r="S195" t="s">
        <v>36</v>
      </c>
      <c r="T195" s="4">
        <f t="shared" si="16"/>
        <v>72.599999999999994</v>
      </c>
      <c r="U195" t="s">
        <v>1043</v>
      </c>
      <c r="V195" s="5" t="s">
        <v>1049</v>
      </c>
      <c r="W195" s="34">
        <v>25933</v>
      </c>
      <c r="X195" s="32">
        <v>43067</v>
      </c>
      <c r="Y195" s="11" t="s">
        <v>1269</v>
      </c>
    </row>
    <row r="196" spans="1:34">
      <c r="A196" s="30">
        <v>195</v>
      </c>
      <c r="B196" s="31" t="s">
        <v>52</v>
      </c>
      <c r="C196" s="32">
        <v>43070</v>
      </c>
      <c r="D196" s="31" t="s">
        <v>458</v>
      </c>
      <c r="E196" s="31" t="s">
        <v>84</v>
      </c>
      <c r="F196" s="31" t="s">
        <v>138</v>
      </c>
      <c r="G196" s="40" t="s">
        <v>221</v>
      </c>
      <c r="H196" s="31" t="s">
        <v>34</v>
      </c>
      <c r="K196" s="31" t="s">
        <v>53</v>
      </c>
      <c r="L196" s="34">
        <v>43100</v>
      </c>
      <c r="M196" s="31" t="s">
        <v>35</v>
      </c>
      <c r="N196" s="14" t="s">
        <v>1051</v>
      </c>
      <c r="O196" s="38">
        <v>41.32</v>
      </c>
      <c r="P196" s="30">
        <v>1</v>
      </c>
      <c r="Q196" s="37">
        <v>0.21</v>
      </c>
      <c r="R196" s="38">
        <v>0</v>
      </c>
      <c r="S196" s="31" t="s">
        <v>36</v>
      </c>
      <c r="T196" s="39">
        <f t="shared" si="16"/>
        <v>49.997199999999999</v>
      </c>
      <c r="U196" t="s">
        <v>1052</v>
      </c>
      <c r="W196" s="34"/>
      <c r="X196" s="32">
        <v>43070</v>
      </c>
      <c r="Y196" s="11" t="s">
        <v>151</v>
      </c>
      <c r="AE196" s="34"/>
      <c r="AH196" s="34"/>
    </row>
    <row r="197" spans="1:34">
      <c r="A197" s="30">
        <v>196</v>
      </c>
      <c r="B197" t="s">
        <v>40</v>
      </c>
      <c r="C197" s="32">
        <v>43070</v>
      </c>
      <c r="D197" t="s">
        <v>1053</v>
      </c>
      <c r="E197" t="s">
        <v>1054</v>
      </c>
      <c r="F197" s="31" t="s">
        <v>1055</v>
      </c>
      <c r="G197" s="5" t="s">
        <v>230</v>
      </c>
      <c r="H197" t="s">
        <v>183</v>
      </c>
      <c r="I197">
        <v>631833453</v>
      </c>
      <c r="K197" t="s">
        <v>1053</v>
      </c>
      <c r="L197" s="34">
        <v>43100</v>
      </c>
      <c r="M197" t="s">
        <v>35</v>
      </c>
      <c r="N197" s="14" t="s">
        <v>1056</v>
      </c>
      <c r="O197" s="7">
        <v>60</v>
      </c>
      <c r="P197" s="1">
        <v>1</v>
      </c>
      <c r="Q197" s="58">
        <v>0.21</v>
      </c>
      <c r="R197" s="7">
        <v>0</v>
      </c>
      <c r="S197" t="s">
        <v>36</v>
      </c>
      <c r="T197" s="4">
        <f t="shared" si="16"/>
        <v>72.599999999999994</v>
      </c>
      <c r="U197" t="s">
        <v>1057</v>
      </c>
      <c r="V197" s="5" t="s">
        <v>1058</v>
      </c>
      <c r="W197" s="34">
        <v>32509</v>
      </c>
      <c r="X197" s="32">
        <v>43070</v>
      </c>
      <c r="Y197" s="11" t="s">
        <v>1237</v>
      </c>
    </row>
    <row r="198" spans="1:34">
      <c r="A198" s="30">
        <v>197</v>
      </c>
      <c r="B198" t="s">
        <v>59</v>
      </c>
      <c r="C198" s="32">
        <v>43070</v>
      </c>
      <c r="D198" t="s">
        <v>1059</v>
      </c>
      <c r="E198" t="s">
        <v>1060</v>
      </c>
      <c r="F198" t="s">
        <v>1061</v>
      </c>
      <c r="G198" s="5" t="s">
        <v>1062</v>
      </c>
      <c r="H198" t="s">
        <v>1063</v>
      </c>
      <c r="I198">
        <v>649920292</v>
      </c>
      <c r="K198" t="s">
        <v>1059</v>
      </c>
      <c r="L198" s="34">
        <v>43100</v>
      </c>
      <c r="M198" t="s">
        <v>35</v>
      </c>
      <c r="N198" s="14" t="s">
        <v>1064</v>
      </c>
      <c r="O198" s="7">
        <v>60</v>
      </c>
      <c r="P198" s="1">
        <v>1</v>
      </c>
      <c r="Q198" s="58">
        <v>0.21</v>
      </c>
      <c r="R198" s="7">
        <v>0</v>
      </c>
      <c r="S198" t="s">
        <v>36</v>
      </c>
      <c r="T198" s="4">
        <f t="shared" si="16"/>
        <v>72.599999999999994</v>
      </c>
      <c r="U198" t="s">
        <v>1065</v>
      </c>
      <c r="V198" s="5" t="s">
        <v>1066</v>
      </c>
      <c r="W198" s="34">
        <v>30331</v>
      </c>
      <c r="X198" s="32">
        <v>43070</v>
      </c>
      <c r="Y198" s="11" t="s">
        <v>1329</v>
      </c>
    </row>
    <row r="199" spans="1:34">
      <c r="A199" s="30">
        <v>198</v>
      </c>
      <c r="B199" s="31" t="s">
        <v>52</v>
      </c>
      <c r="C199" s="32">
        <v>43083</v>
      </c>
      <c r="D199" s="31" t="s">
        <v>256</v>
      </c>
      <c r="E199" s="31" t="s">
        <v>155</v>
      </c>
      <c r="F199" s="31" t="s">
        <v>138</v>
      </c>
      <c r="G199" s="33" t="s">
        <v>227</v>
      </c>
      <c r="H199" s="31" t="s">
        <v>203</v>
      </c>
      <c r="K199" s="31" t="s">
        <v>53</v>
      </c>
      <c r="L199" s="34">
        <v>43100</v>
      </c>
      <c r="M199" s="31" t="s">
        <v>35</v>
      </c>
      <c r="N199" s="14" t="s">
        <v>1067</v>
      </c>
      <c r="O199" s="38">
        <v>41.32</v>
      </c>
      <c r="P199" s="30">
        <v>1</v>
      </c>
      <c r="Q199" s="37">
        <v>0.21</v>
      </c>
      <c r="R199" s="38">
        <v>0</v>
      </c>
      <c r="S199" s="31" t="s">
        <v>36</v>
      </c>
      <c r="T199" s="39">
        <f t="shared" si="16"/>
        <v>49.997199999999999</v>
      </c>
      <c r="W199" s="34">
        <v>32897</v>
      </c>
      <c r="X199" s="32">
        <v>43083</v>
      </c>
      <c r="Y199" s="41" t="s">
        <v>151</v>
      </c>
      <c r="Z199" s="30"/>
      <c r="AE199" s="42"/>
      <c r="AH199" s="34"/>
    </row>
    <row r="200" spans="1:34">
      <c r="A200" s="30">
        <v>199</v>
      </c>
      <c r="B200" s="31" t="s">
        <v>52</v>
      </c>
      <c r="C200" s="32">
        <v>43083</v>
      </c>
      <c r="D200" s="31" t="s">
        <v>458</v>
      </c>
      <c r="E200" s="31" t="s">
        <v>84</v>
      </c>
      <c r="F200" s="31" t="s">
        <v>138</v>
      </c>
      <c r="G200" s="40" t="s">
        <v>227</v>
      </c>
      <c r="H200" s="31" t="s">
        <v>203</v>
      </c>
      <c r="K200" s="31" t="s">
        <v>53</v>
      </c>
      <c r="L200" s="34">
        <v>43100</v>
      </c>
      <c r="M200" s="31" t="s">
        <v>35</v>
      </c>
      <c r="N200" s="14" t="s">
        <v>1068</v>
      </c>
      <c r="O200" s="38">
        <v>41.32</v>
      </c>
      <c r="P200" s="30">
        <v>1</v>
      </c>
      <c r="Q200" s="37">
        <v>0.21</v>
      </c>
      <c r="R200" s="38">
        <v>0</v>
      </c>
      <c r="S200" s="31" t="s">
        <v>36</v>
      </c>
      <c r="T200" s="39">
        <f t="shared" si="16"/>
        <v>49.997199999999999</v>
      </c>
      <c r="W200" s="34">
        <v>30613</v>
      </c>
      <c r="X200" s="32">
        <v>43083</v>
      </c>
      <c r="Y200" s="41" t="s">
        <v>151</v>
      </c>
      <c r="Z200" s="34"/>
      <c r="AE200" s="34"/>
      <c r="AH200" s="34"/>
    </row>
    <row r="201" spans="1:34">
      <c r="A201" s="30">
        <v>200</v>
      </c>
      <c r="B201" s="31" t="s">
        <v>52</v>
      </c>
      <c r="C201" s="32">
        <v>43083</v>
      </c>
      <c r="D201" s="31" t="s">
        <v>256</v>
      </c>
      <c r="E201" s="31" t="s">
        <v>155</v>
      </c>
      <c r="F201" s="31" t="s">
        <v>138</v>
      </c>
      <c r="G201" s="33" t="s">
        <v>227</v>
      </c>
      <c r="H201" s="31" t="s">
        <v>203</v>
      </c>
      <c r="K201" s="31" t="s">
        <v>53</v>
      </c>
      <c r="L201" s="34">
        <v>43100</v>
      </c>
      <c r="M201" s="31" t="s">
        <v>35</v>
      </c>
      <c r="N201" s="14" t="s">
        <v>1069</v>
      </c>
      <c r="O201" s="38">
        <v>41.32</v>
      </c>
      <c r="P201" s="30">
        <v>1</v>
      </c>
      <c r="Q201" s="37">
        <v>0.21</v>
      </c>
      <c r="R201" s="38">
        <v>0</v>
      </c>
      <c r="S201" s="31" t="s">
        <v>36</v>
      </c>
      <c r="T201" s="39">
        <f t="shared" si="16"/>
        <v>49.997199999999999</v>
      </c>
      <c r="W201" s="34">
        <v>27530</v>
      </c>
      <c r="X201" s="32">
        <v>43083</v>
      </c>
      <c r="Y201" s="41" t="s">
        <v>151</v>
      </c>
      <c r="Z201" s="30"/>
      <c r="AE201" s="42"/>
      <c r="AH201" s="34"/>
    </row>
    <row r="202" spans="1:34">
      <c r="A202" s="30">
        <v>201</v>
      </c>
      <c r="B202" t="s">
        <v>52</v>
      </c>
      <c r="C202" s="32">
        <v>43083</v>
      </c>
      <c r="E202" t="s">
        <v>1070</v>
      </c>
      <c r="K202" t="s">
        <v>53</v>
      </c>
      <c r="L202" s="34">
        <v>43100</v>
      </c>
      <c r="M202" t="s">
        <v>35</v>
      </c>
      <c r="N202" s="14" t="s">
        <v>1071</v>
      </c>
      <c r="O202" s="30">
        <v>41.32</v>
      </c>
      <c r="P202" s="1">
        <v>1</v>
      </c>
      <c r="Q202" s="58">
        <v>0.21</v>
      </c>
      <c r="R202" s="7">
        <v>0</v>
      </c>
      <c r="S202" t="s">
        <v>36</v>
      </c>
      <c r="T202" s="4">
        <f t="shared" si="16"/>
        <v>49.997199999999999</v>
      </c>
      <c r="W202" s="34">
        <v>28837</v>
      </c>
      <c r="X202" s="32">
        <v>43083</v>
      </c>
      <c r="Y202" t="s">
        <v>1072</v>
      </c>
    </row>
    <row r="203" spans="1:34">
      <c r="A203" s="30">
        <v>202</v>
      </c>
      <c r="B203" t="s">
        <v>59</v>
      </c>
      <c r="C203" s="32">
        <v>43083</v>
      </c>
      <c r="D203" t="s">
        <v>1073</v>
      </c>
      <c r="E203" t="s">
        <v>81</v>
      </c>
      <c r="F203" t="s">
        <v>589</v>
      </c>
      <c r="G203" s="5" t="s">
        <v>294</v>
      </c>
      <c r="H203" t="s">
        <v>103</v>
      </c>
      <c r="I203" s="31">
        <v>663506314</v>
      </c>
      <c r="K203" t="s">
        <v>1073</v>
      </c>
      <c r="L203" s="34">
        <v>43100</v>
      </c>
      <c r="M203" t="s">
        <v>35</v>
      </c>
      <c r="N203" s="14" t="s">
        <v>1074</v>
      </c>
      <c r="O203" s="38">
        <v>60</v>
      </c>
      <c r="P203" s="30">
        <v>1</v>
      </c>
      <c r="Q203" s="37">
        <v>0.21</v>
      </c>
      <c r="R203" s="38">
        <v>0</v>
      </c>
      <c r="S203" s="31" t="s">
        <v>36</v>
      </c>
      <c r="T203" s="39">
        <f t="shared" ref="T203:T210" si="17">(O203*P203)*Q203+O203*P203</f>
        <v>72.599999999999994</v>
      </c>
      <c r="U203" t="s">
        <v>1075</v>
      </c>
      <c r="V203" s="5" t="s">
        <v>1076</v>
      </c>
      <c r="W203" s="34">
        <v>31031</v>
      </c>
      <c r="X203" s="32">
        <v>43083</v>
      </c>
      <c r="Y203" s="11" t="s">
        <v>1293</v>
      </c>
      <c r="AD203" t="s">
        <v>77</v>
      </c>
      <c r="AE203" s="34">
        <v>43083</v>
      </c>
    </row>
    <row r="204" spans="1:34">
      <c r="A204" s="30">
        <v>203</v>
      </c>
      <c r="B204" t="s">
        <v>438</v>
      </c>
      <c r="C204" s="32">
        <v>43083</v>
      </c>
      <c r="D204" s="31" t="s">
        <v>1077</v>
      </c>
      <c r="E204" t="s">
        <v>41</v>
      </c>
      <c r="F204" t="s">
        <v>1078</v>
      </c>
      <c r="G204" s="5" t="s">
        <v>221</v>
      </c>
      <c r="H204" t="s">
        <v>34</v>
      </c>
      <c r="I204" s="31">
        <v>631481152</v>
      </c>
      <c r="K204" t="s">
        <v>1079</v>
      </c>
      <c r="L204" s="34">
        <v>43100</v>
      </c>
      <c r="M204" t="s">
        <v>35</v>
      </c>
      <c r="N204" s="14" t="s">
        <v>1080</v>
      </c>
      <c r="O204" s="38">
        <v>60</v>
      </c>
      <c r="P204" s="1">
        <v>1</v>
      </c>
      <c r="Q204" s="58">
        <v>0.21</v>
      </c>
      <c r="R204" s="7">
        <v>0</v>
      </c>
      <c r="S204" t="s">
        <v>36</v>
      </c>
      <c r="T204" s="4">
        <f t="shared" si="17"/>
        <v>72.599999999999994</v>
      </c>
      <c r="U204" t="s">
        <v>1081</v>
      </c>
      <c r="V204" s="5" t="s">
        <v>1082</v>
      </c>
      <c r="W204" s="34">
        <v>30317</v>
      </c>
      <c r="X204" s="32">
        <v>43083</v>
      </c>
      <c r="Y204" s="11" t="s">
        <v>1635</v>
      </c>
      <c r="Z204" s="34">
        <v>43223</v>
      </c>
      <c r="AD204" t="s">
        <v>77</v>
      </c>
      <c r="AE204" s="34">
        <v>43083</v>
      </c>
      <c r="AH204" s="34">
        <v>43090</v>
      </c>
    </row>
    <row r="205" spans="1:34">
      <c r="A205" s="30">
        <v>204</v>
      </c>
      <c r="B205" t="s">
        <v>119</v>
      </c>
      <c r="C205" s="32">
        <v>43083</v>
      </c>
      <c r="D205" t="s">
        <v>1083</v>
      </c>
      <c r="E205" t="s">
        <v>1084</v>
      </c>
      <c r="F205" t="s">
        <v>1085</v>
      </c>
      <c r="G205" s="5" t="s">
        <v>242</v>
      </c>
      <c r="H205" t="s">
        <v>401</v>
      </c>
      <c r="I205" s="31">
        <v>673335456</v>
      </c>
      <c r="K205" s="31" t="s">
        <v>174</v>
      </c>
      <c r="L205" s="34">
        <v>43100</v>
      </c>
      <c r="M205" t="s">
        <v>35</v>
      </c>
      <c r="N205" s="14" t="s">
        <v>1086</v>
      </c>
      <c r="O205" s="38">
        <v>60</v>
      </c>
      <c r="P205" s="30">
        <v>1</v>
      </c>
      <c r="Q205" s="37">
        <v>0.21</v>
      </c>
      <c r="R205" s="38">
        <v>0</v>
      </c>
      <c r="S205" s="31" t="s">
        <v>36</v>
      </c>
      <c r="T205" s="39">
        <f t="shared" si="17"/>
        <v>72.599999999999994</v>
      </c>
      <c r="U205" t="s">
        <v>1087</v>
      </c>
      <c r="V205" s="5" t="s">
        <v>1088</v>
      </c>
      <c r="W205" s="34">
        <v>35619</v>
      </c>
      <c r="X205" s="32">
        <v>43083</v>
      </c>
      <c r="Y205" s="11" t="s">
        <v>1233</v>
      </c>
    </row>
    <row r="206" spans="1:34" customFormat="1">
      <c r="A206" s="8">
        <v>205</v>
      </c>
      <c r="B206" t="s">
        <v>61</v>
      </c>
      <c r="C206" s="2">
        <v>43083</v>
      </c>
      <c r="D206" t="s">
        <v>62</v>
      </c>
      <c r="E206" t="s">
        <v>63</v>
      </c>
      <c r="F206" t="s">
        <v>214</v>
      </c>
      <c r="G206" s="6" t="s">
        <v>219</v>
      </c>
      <c r="H206" t="s">
        <v>38</v>
      </c>
      <c r="K206" t="s">
        <v>62</v>
      </c>
      <c r="L206" s="3">
        <v>43100</v>
      </c>
      <c r="M206" t="s">
        <v>35</v>
      </c>
      <c r="N206" t="s">
        <v>1089</v>
      </c>
      <c r="O206" s="7">
        <v>60</v>
      </c>
      <c r="P206" s="1">
        <v>1</v>
      </c>
      <c r="Q206" s="58">
        <v>0.21</v>
      </c>
      <c r="R206" s="7">
        <v>0</v>
      </c>
      <c r="S206" t="s">
        <v>36</v>
      </c>
      <c r="T206" s="4">
        <f t="shared" si="17"/>
        <v>72.599999999999994</v>
      </c>
      <c r="U206" t="s">
        <v>1090</v>
      </c>
      <c r="V206" s="5" t="s">
        <v>1091</v>
      </c>
      <c r="W206" s="3">
        <v>36297</v>
      </c>
      <c r="X206" s="2">
        <v>43083</v>
      </c>
      <c r="Y206" s="11" t="s">
        <v>1233</v>
      </c>
      <c r="Z206" s="1"/>
      <c r="AD206" s="3"/>
      <c r="AE206" s="10"/>
      <c r="AF206" s="3"/>
      <c r="AG206" s="3"/>
    </row>
    <row r="207" spans="1:34">
      <c r="A207" s="30">
        <v>206</v>
      </c>
      <c r="B207" s="31" t="s">
        <v>61</v>
      </c>
      <c r="C207" s="32">
        <v>43083</v>
      </c>
      <c r="D207" s="31" t="s">
        <v>564</v>
      </c>
      <c r="E207" s="31" t="s">
        <v>172</v>
      </c>
      <c r="F207" s="31" t="s">
        <v>565</v>
      </c>
      <c r="G207" s="40" t="s">
        <v>241</v>
      </c>
      <c r="H207" s="31" t="s">
        <v>60</v>
      </c>
      <c r="K207" s="31" t="s">
        <v>564</v>
      </c>
      <c r="L207" s="34">
        <v>43100</v>
      </c>
      <c r="M207" s="31" t="s">
        <v>35</v>
      </c>
      <c r="N207" s="14" t="s">
        <v>1092</v>
      </c>
      <c r="O207" s="36">
        <v>60</v>
      </c>
      <c r="P207" s="30">
        <v>1</v>
      </c>
      <c r="Q207" s="37">
        <v>0.21</v>
      </c>
      <c r="R207" s="38">
        <v>0</v>
      </c>
      <c r="S207" s="31" t="s">
        <v>36</v>
      </c>
      <c r="T207" s="39">
        <f t="shared" si="17"/>
        <v>72.599999999999994</v>
      </c>
      <c r="U207" t="s">
        <v>1093</v>
      </c>
      <c r="V207" s="5" t="s">
        <v>1094</v>
      </c>
      <c r="W207" s="34">
        <v>32143</v>
      </c>
      <c r="X207" s="32">
        <v>43083</v>
      </c>
      <c r="Y207" s="11" t="s">
        <v>1293</v>
      </c>
      <c r="AD207" s="31" t="s">
        <v>87</v>
      </c>
      <c r="AE207" s="34">
        <v>43083</v>
      </c>
      <c r="AH207" s="34">
        <v>43090</v>
      </c>
    </row>
    <row r="208" spans="1:34">
      <c r="A208" s="30">
        <v>207</v>
      </c>
      <c r="B208" t="s">
        <v>1002</v>
      </c>
      <c r="C208" s="32">
        <v>43083</v>
      </c>
      <c r="D208" t="s">
        <v>1095</v>
      </c>
      <c r="E208" t="s">
        <v>1096</v>
      </c>
      <c r="F208" t="s">
        <v>1097</v>
      </c>
      <c r="G208" s="5" t="s">
        <v>227</v>
      </c>
      <c r="H208" t="s">
        <v>203</v>
      </c>
      <c r="K208" s="31" t="s">
        <v>1006</v>
      </c>
      <c r="L208" s="34">
        <v>43100</v>
      </c>
      <c r="M208" t="s">
        <v>35</v>
      </c>
      <c r="N208" s="14" t="s">
        <v>1098</v>
      </c>
      <c r="O208" s="9">
        <v>60</v>
      </c>
      <c r="P208" s="1">
        <v>1</v>
      </c>
      <c r="Q208" s="58">
        <v>0.21</v>
      </c>
      <c r="R208" s="7">
        <v>0</v>
      </c>
      <c r="S208" t="s">
        <v>36</v>
      </c>
      <c r="T208" s="4">
        <f t="shared" si="17"/>
        <v>72.599999999999994</v>
      </c>
      <c r="U208" t="s">
        <v>1099</v>
      </c>
      <c r="V208" s="5" t="s">
        <v>1100</v>
      </c>
      <c r="W208" s="34">
        <v>33620</v>
      </c>
      <c r="X208" s="32">
        <v>43083</v>
      </c>
      <c r="Y208" s="11" t="s">
        <v>1233</v>
      </c>
    </row>
    <row r="209" spans="1:34">
      <c r="A209" s="30">
        <v>208</v>
      </c>
      <c r="B209" t="s">
        <v>131</v>
      </c>
      <c r="C209" s="32">
        <v>43087</v>
      </c>
      <c r="D209" t="s">
        <v>292</v>
      </c>
      <c r="E209" t="s">
        <v>1101</v>
      </c>
      <c r="F209" t="s">
        <v>1102</v>
      </c>
      <c r="G209" s="5" t="s">
        <v>702</v>
      </c>
      <c r="H209" t="s">
        <v>49</v>
      </c>
      <c r="I209" s="31">
        <v>631522609</v>
      </c>
      <c r="K209" t="s">
        <v>292</v>
      </c>
      <c r="L209" s="34">
        <v>43100</v>
      </c>
      <c r="M209" t="s">
        <v>35</v>
      </c>
      <c r="N209" s="14" t="s">
        <v>1103</v>
      </c>
      <c r="O209" s="38">
        <v>30</v>
      </c>
      <c r="P209" s="30">
        <v>1</v>
      </c>
      <c r="Q209" s="37">
        <v>0.21</v>
      </c>
      <c r="R209" s="38">
        <v>0</v>
      </c>
      <c r="S209" t="s">
        <v>36</v>
      </c>
      <c r="T209" s="39">
        <f t="shared" si="17"/>
        <v>36.299999999999997</v>
      </c>
      <c r="U209" t="s">
        <v>292</v>
      </c>
      <c r="W209" s="34">
        <v>33239</v>
      </c>
      <c r="X209" s="32">
        <v>43087</v>
      </c>
      <c r="Y209" s="62" t="s">
        <v>1292</v>
      </c>
    </row>
    <row r="210" spans="1:34">
      <c r="A210" s="30">
        <v>209</v>
      </c>
      <c r="B210" s="31" t="s">
        <v>52</v>
      </c>
      <c r="C210" s="32">
        <v>43090</v>
      </c>
      <c r="D210" s="31" t="s">
        <v>256</v>
      </c>
      <c r="E210" s="31" t="s">
        <v>155</v>
      </c>
      <c r="F210" s="31" t="s">
        <v>138</v>
      </c>
      <c r="G210" s="33" t="s">
        <v>227</v>
      </c>
      <c r="H210" s="31" t="s">
        <v>203</v>
      </c>
      <c r="K210" s="31" t="s">
        <v>53</v>
      </c>
      <c r="L210" s="34">
        <v>43100</v>
      </c>
      <c r="M210" s="31" t="s">
        <v>35</v>
      </c>
      <c r="N210" s="14" t="s">
        <v>1114</v>
      </c>
      <c r="O210" s="38">
        <v>41.32</v>
      </c>
      <c r="P210" s="30">
        <v>1</v>
      </c>
      <c r="Q210" s="37">
        <v>0.21</v>
      </c>
      <c r="R210" s="38">
        <v>0</v>
      </c>
      <c r="S210" s="31" t="s">
        <v>36</v>
      </c>
      <c r="T210" s="39">
        <f t="shared" si="17"/>
        <v>49.997199999999999</v>
      </c>
      <c r="W210" s="34">
        <v>35954</v>
      </c>
      <c r="X210" s="32">
        <v>43090</v>
      </c>
      <c r="Y210" s="41" t="s">
        <v>151</v>
      </c>
      <c r="Z210" s="30"/>
      <c r="AE210" s="42"/>
      <c r="AH210" s="34"/>
    </row>
    <row r="211" spans="1:34">
      <c r="A211" s="30">
        <v>210</v>
      </c>
      <c r="B211" t="s">
        <v>33</v>
      </c>
      <c r="C211" s="32">
        <v>43090</v>
      </c>
      <c r="D211" t="s">
        <v>308</v>
      </c>
      <c r="E211" t="s">
        <v>309</v>
      </c>
      <c r="F211" t="s">
        <v>1115</v>
      </c>
      <c r="G211" s="5" t="s">
        <v>221</v>
      </c>
      <c r="H211" t="s">
        <v>34</v>
      </c>
      <c r="K211" s="31" t="s">
        <v>237</v>
      </c>
      <c r="L211" s="34">
        <v>43100</v>
      </c>
      <c r="M211" t="s">
        <v>35</v>
      </c>
      <c r="N211" s="14" t="s">
        <v>1116</v>
      </c>
      <c r="O211" s="9">
        <v>60</v>
      </c>
      <c r="P211" s="1">
        <v>1</v>
      </c>
      <c r="Q211" s="58">
        <v>0.21</v>
      </c>
      <c r="R211" s="7">
        <v>0</v>
      </c>
      <c r="S211" t="s">
        <v>36</v>
      </c>
      <c r="T211" s="4">
        <f t="shared" ref="T211:T218" si="18">(O211*P211)*Q211+O211*P211</f>
        <v>72.599999999999994</v>
      </c>
      <c r="U211" t="s">
        <v>1117</v>
      </c>
      <c r="V211" s="5" t="s">
        <v>1118</v>
      </c>
      <c r="W211" s="34">
        <v>36204</v>
      </c>
      <c r="X211" s="32">
        <v>43090</v>
      </c>
      <c r="Y211" s="11" t="s">
        <v>1343</v>
      </c>
      <c r="Z211" s="34">
        <v>43167</v>
      </c>
      <c r="AD211" t="s">
        <v>867</v>
      </c>
      <c r="AE211" s="34">
        <v>43090</v>
      </c>
      <c r="AH211" s="34">
        <v>43104</v>
      </c>
    </row>
    <row r="212" spans="1:34">
      <c r="A212" s="30">
        <v>211</v>
      </c>
      <c r="B212" t="s">
        <v>40</v>
      </c>
      <c r="C212" s="32">
        <v>43090</v>
      </c>
      <c r="D212" t="s">
        <v>1119</v>
      </c>
      <c r="E212" t="s">
        <v>1120</v>
      </c>
      <c r="F212" t="s">
        <v>1121</v>
      </c>
      <c r="G212" s="5" t="s">
        <v>233</v>
      </c>
      <c r="H212" t="s">
        <v>74</v>
      </c>
      <c r="K212" t="s">
        <v>1119</v>
      </c>
      <c r="L212" s="34">
        <v>43100</v>
      </c>
      <c r="M212" t="s">
        <v>35</v>
      </c>
      <c r="N212" s="14" t="s">
        <v>1122</v>
      </c>
      <c r="O212" s="9">
        <v>60</v>
      </c>
      <c r="P212" s="1">
        <v>1</v>
      </c>
      <c r="Q212" s="58">
        <v>0.21</v>
      </c>
      <c r="R212" s="7">
        <v>0</v>
      </c>
      <c r="S212" t="s">
        <v>36</v>
      </c>
      <c r="T212" s="4">
        <f t="shared" si="18"/>
        <v>72.599999999999994</v>
      </c>
      <c r="U212" t="s">
        <v>1123</v>
      </c>
      <c r="V212" s="5" t="s">
        <v>1124</v>
      </c>
      <c r="W212" s="34">
        <v>35988</v>
      </c>
      <c r="X212" s="32">
        <v>43090</v>
      </c>
      <c r="Y212" s="11" t="s">
        <v>1344</v>
      </c>
      <c r="Z212" s="34">
        <v>43153</v>
      </c>
    </row>
    <row r="213" spans="1:34">
      <c r="A213" s="30">
        <v>212</v>
      </c>
      <c r="B213" t="s">
        <v>131</v>
      </c>
      <c r="C213" s="32">
        <v>43090</v>
      </c>
      <c r="D213" t="s">
        <v>204</v>
      </c>
      <c r="E213" t="s">
        <v>205</v>
      </c>
      <c r="F213" t="s">
        <v>206</v>
      </c>
      <c r="G213" s="5" t="s">
        <v>242</v>
      </c>
      <c r="H213" t="s">
        <v>154</v>
      </c>
      <c r="K213" s="31" t="s">
        <v>50</v>
      </c>
      <c r="L213" s="34">
        <v>43100</v>
      </c>
      <c r="M213" t="s">
        <v>35</v>
      </c>
      <c r="N213" s="14" t="s">
        <v>1125</v>
      </c>
      <c r="O213" s="38">
        <v>60</v>
      </c>
      <c r="P213" s="30">
        <v>1</v>
      </c>
      <c r="Q213" s="37">
        <v>0.21</v>
      </c>
      <c r="R213" s="38">
        <v>0</v>
      </c>
      <c r="S213" t="s">
        <v>36</v>
      </c>
      <c r="T213" s="39">
        <f t="shared" si="18"/>
        <v>72.599999999999994</v>
      </c>
      <c r="U213" t="s">
        <v>1126</v>
      </c>
      <c r="V213" s="5" t="s">
        <v>1127</v>
      </c>
      <c r="W213" s="34">
        <v>32398</v>
      </c>
      <c r="X213" s="32">
        <v>43090</v>
      </c>
      <c r="Y213" s="11" t="s">
        <v>1233</v>
      </c>
      <c r="AD213" t="s">
        <v>1128</v>
      </c>
      <c r="AE213" s="34">
        <v>43090</v>
      </c>
      <c r="AH213" s="34">
        <v>43104</v>
      </c>
    </row>
    <row r="214" spans="1:34">
      <c r="A214" s="30">
        <v>213</v>
      </c>
      <c r="B214" t="s">
        <v>119</v>
      </c>
      <c r="C214" s="32">
        <v>43090</v>
      </c>
      <c r="D214" s="31" t="s">
        <v>197</v>
      </c>
      <c r="E214" t="s">
        <v>145</v>
      </c>
      <c r="F214" t="s">
        <v>146</v>
      </c>
      <c r="G214" s="5" t="s">
        <v>239</v>
      </c>
      <c r="H214" t="s">
        <v>108</v>
      </c>
      <c r="I214" s="31">
        <v>617227516</v>
      </c>
      <c r="K214" s="31" t="s">
        <v>174</v>
      </c>
      <c r="L214" s="34">
        <v>43100</v>
      </c>
      <c r="M214" t="s">
        <v>35</v>
      </c>
      <c r="N214" s="14" t="s">
        <v>1129</v>
      </c>
      <c r="O214" s="9">
        <v>60</v>
      </c>
      <c r="P214" s="1">
        <v>1</v>
      </c>
      <c r="Q214" s="58">
        <v>0.21</v>
      </c>
      <c r="R214" s="7">
        <v>0</v>
      </c>
      <c r="S214" t="s">
        <v>36</v>
      </c>
      <c r="T214" s="4">
        <f t="shared" si="18"/>
        <v>72.599999999999994</v>
      </c>
      <c r="U214" t="s">
        <v>1130</v>
      </c>
      <c r="V214" s="5" t="s">
        <v>1131</v>
      </c>
      <c r="W214" s="34">
        <v>30378</v>
      </c>
      <c r="X214" s="32">
        <v>43090</v>
      </c>
    </row>
    <row r="215" spans="1:34">
      <c r="A215" s="30">
        <v>214</v>
      </c>
      <c r="B215" t="s">
        <v>119</v>
      </c>
      <c r="C215" s="32">
        <v>43090</v>
      </c>
      <c r="D215" t="s">
        <v>197</v>
      </c>
      <c r="E215" t="s">
        <v>145</v>
      </c>
      <c r="F215" t="s">
        <v>146</v>
      </c>
      <c r="G215" s="5" t="s">
        <v>239</v>
      </c>
      <c r="H215" t="s">
        <v>108</v>
      </c>
      <c r="I215" s="31">
        <v>631871176</v>
      </c>
      <c r="K215" t="s">
        <v>174</v>
      </c>
      <c r="L215" s="34">
        <v>43100</v>
      </c>
      <c r="M215" t="s">
        <v>35</v>
      </c>
      <c r="N215" s="14" t="s">
        <v>1132</v>
      </c>
      <c r="O215" s="9">
        <v>60</v>
      </c>
      <c r="P215" s="1">
        <v>1</v>
      </c>
      <c r="Q215" s="58">
        <v>0.21</v>
      </c>
      <c r="R215" s="7">
        <v>0</v>
      </c>
      <c r="S215" t="s">
        <v>36</v>
      </c>
      <c r="T215" s="4">
        <f t="shared" si="18"/>
        <v>72.599999999999994</v>
      </c>
      <c r="U215" t="s">
        <v>1133</v>
      </c>
      <c r="V215" s="5" t="s">
        <v>1134</v>
      </c>
      <c r="W215" s="34">
        <v>31048</v>
      </c>
      <c r="X215" s="32">
        <v>43090</v>
      </c>
      <c r="Y215" s="11" t="s">
        <v>1318</v>
      </c>
    </row>
    <row r="216" spans="1:34">
      <c r="A216" s="30">
        <v>212</v>
      </c>
      <c r="B216" t="s">
        <v>131</v>
      </c>
      <c r="C216" s="32">
        <v>43090</v>
      </c>
      <c r="D216" t="s">
        <v>204</v>
      </c>
      <c r="E216" t="s">
        <v>205</v>
      </c>
      <c r="F216" t="s">
        <v>206</v>
      </c>
      <c r="G216" s="5" t="s">
        <v>242</v>
      </c>
      <c r="H216" t="s">
        <v>154</v>
      </c>
      <c r="K216" s="31" t="s">
        <v>50</v>
      </c>
      <c r="L216" s="34">
        <v>43100</v>
      </c>
      <c r="M216" t="s">
        <v>35</v>
      </c>
      <c r="N216" s="14" t="s">
        <v>1149</v>
      </c>
      <c r="O216" s="38">
        <v>60</v>
      </c>
      <c r="P216" s="30">
        <v>1</v>
      </c>
      <c r="Q216" s="37">
        <v>0.21</v>
      </c>
      <c r="R216" s="38">
        <v>0</v>
      </c>
      <c r="S216" t="s">
        <v>36</v>
      </c>
      <c r="T216" s="39">
        <f>(O216*P216)*Q216+O216*P216</f>
        <v>72.599999999999994</v>
      </c>
      <c r="U216" t="s">
        <v>1150</v>
      </c>
      <c r="V216" s="5" t="s">
        <v>1151</v>
      </c>
      <c r="W216" s="34">
        <v>32751</v>
      </c>
      <c r="X216" s="32">
        <v>43090</v>
      </c>
      <c r="Y216" t="s">
        <v>1348</v>
      </c>
      <c r="AD216"/>
      <c r="AE216" s="34"/>
      <c r="AH216" s="34"/>
    </row>
    <row r="217" spans="1:34">
      <c r="A217" s="30">
        <v>216</v>
      </c>
      <c r="B217" t="s">
        <v>131</v>
      </c>
      <c r="C217" s="32">
        <v>43091</v>
      </c>
      <c r="D217" s="31" t="s">
        <v>1136</v>
      </c>
      <c r="E217" t="s">
        <v>100</v>
      </c>
      <c r="F217" s="31" t="s">
        <v>1137</v>
      </c>
      <c r="G217" s="5" t="s">
        <v>293</v>
      </c>
      <c r="H217" t="s">
        <v>1138</v>
      </c>
      <c r="K217" s="31" t="s">
        <v>50</v>
      </c>
      <c r="L217" s="34">
        <v>43100</v>
      </c>
      <c r="M217" t="s">
        <v>35</v>
      </c>
      <c r="N217" s="14" t="s">
        <v>142</v>
      </c>
      <c r="O217" s="38">
        <v>30</v>
      </c>
      <c r="P217" s="30">
        <v>1</v>
      </c>
      <c r="Q217" s="37">
        <v>0.21</v>
      </c>
      <c r="R217" s="38">
        <v>0</v>
      </c>
      <c r="S217" t="s">
        <v>36</v>
      </c>
      <c r="T217" s="39">
        <f t="shared" si="18"/>
        <v>36.299999999999997</v>
      </c>
      <c r="U217" t="s">
        <v>102</v>
      </c>
      <c r="W217" s="34">
        <v>27760</v>
      </c>
      <c r="X217" s="32">
        <v>43091</v>
      </c>
      <c r="Y217" s="11" t="s">
        <v>1188</v>
      </c>
    </row>
    <row r="218" spans="1:34">
      <c r="A218" s="30">
        <v>217</v>
      </c>
      <c r="B218" t="s">
        <v>131</v>
      </c>
      <c r="C218" s="32">
        <v>43091</v>
      </c>
      <c r="D218" s="31" t="s">
        <v>1136</v>
      </c>
      <c r="E218" t="s">
        <v>100</v>
      </c>
      <c r="F218" s="31" t="s">
        <v>1137</v>
      </c>
      <c r="G218" s="5" t="s">
        <v>293</v>
      </c>
      <c r="H218" t="s">
        <v>1138</v>
      </c>
      <c r="K218" s="31" t="s">
        <v>50</v>
      </c>
      <c r="L218" s="34">
        <v>43100</v>
      </c>
      <c r="M218" t="s">
        <v>35</v>
      </c>
      <c r="N218" s="14" t="s">
        <v>1139</v>
      </c>
      <c r="O218" s="38">
        <v>30</v>
      </c>
      <c r="P218" s="30">
        <v>1</v>
      </c>
      <c r="Q218" s="37">
        <v>0.21</v>
      </c>
      <c r="R218" s="38">
        <v>0</v>
      </c>
      <c r="S218" t="s">
        <v>36</v>
      </c>
      <c r="T218" s="39">
        <f t="shared" si="18"/>
        <v>36.299999999999997</v>
      </c>
      <c r="U218" t="s">
        <v>101</v>
      </c>
      <c r="W218" s="34">
        <v>27760</v>
      </c>
      <c r="X218" s="32">
        <v>43091</v>
      </c>
      <c r="Y218" s="11" t="s">
        <v>1188</v>
      </c>
    </row>
  </sheetData>
  <autoFilter ref="A1:AK218" xr:uid="{00000000-0009-0000-0000-000000000000}"/>
  <pageMargins left="0.7" right="0.7" top="0.75" bottom="0.75" header="0.3" footer="0.3"/>
  <pageSetup paperSize="9" scale="1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AM227"/>
  <sheetViews>
    <sheetView zoomScale="85" zoomScaleNormal="85" workbookViewId="0">
      <pane ySplit="1" topLeftCell="A20" activePane="bottomLeft" state="frozen"/>
      <selection activeCell="Q1" sqref="Q1"/>
      <selection pane="bottomLeft" activeCell="N40" sqref="N40"/>
    </sheetView>
  </sheetViews>
  <sheetFormatPr baseColWidth="10" defaultRowHeight="15"/>
  <cols>
    <col min="1" max="1" width="4" style="1" bestFit="1" customWidth="1"/>
    <col min="2" max="2" width="24.28515625" bestFit="1" customWidth="1"/>
    <col min="3" max="3" width="10.7109375" style="1" bestFit="1" customWidth="1"/>
    <col min="4" max="4" width="11.7109375" customWidth="1"/>
    <col min="5" max="5" width="37.5703125" bestFit="1" customWidth="1"/>
    <col min="6" max="6" width="25.140625" bestFit="1" customWidth="1"/>
    <col min="7" max="7" width="10.42578125" style="6" bestFit="1" customWidth="1"/>
    <col min="8" max="8" width="19.140625" bestFit="1" customWidth="1"/>
    <col min="9" max="9" width="10" bestFit="1" customWidth="1"/>
    <col min="10" max="10" width="6.28515625" bestFit="1" customWidth="1"/>
    <col min="11" max="11" width="11.42578125" bestFit="1" customWidth="1"/>
    <col min="12" max="12" width="10.5703125" bestFit="1" customWidth="1"/>
    <col min="13" max="13" width="28.28515625" bestFit="1" customWidth="1"/>
    <col min="14" max="14" width="65.28515625" bestFit="1" customWidth="1"/>
    <col min="15" max="15" width="7.85546875" customWidth="1"/>
    <col min="16" max="16" width="8.5703125" bestFit="1" customWidth="1"/>
    <col min="17" max="17" width="7.42578125" bestFit="1" customWidth="1"/>
    <col min="18" max="18" width="9.85546875" bestFit="1" customWidth="1"/>
    <col min="19" max="19" width="15.85546875" bestFit="1" customWidth="1"/>
    <col min="20" max="20" width="5.42578125" bestFit="1" customWidth="1"/>
    <col min="21" max="21" width="10" bestFit="1" customWidth="1"/>
    <col min="22" max="22" width="16.140625" style="5" bestFit="1" customWidth="1"/>
    <col min="23" max="23" width="10.5703125" bestFit="1" customWidth="1"/>
    <col min="24" max="24" width="10.7109375" bestFit="1" customWidth="1"/>
    <col min="25" max="25" width="25.28515625" customWidth="1"/>
    <col min="26" max="26" width="11.28515625" style="1" customWidth="1"/>
    <col min="27" max="27" width="17.42578125" style="1" customWidth="1"/>
    <col min="28" max="28" width="10.5703125" bestFit="1" customWidth="1"/>
    <col min="29" max="29" width="10.7109375" bestFit="1" customWidth="1"/>
    <col min="30" max="30" width="9" customWidth="1"/>
    <col min="31" max="31" width="10.7109375" bestFit="1" customWidth="1"/>
    <col min="32" max="33" width="10.5703125" bestFit="1" customWidth="1"/>
    <col min="34" max="34" width="7.28515625" bestFit="1" customWidth="1"/>
    <col min="35" max="35" width="10.42578125" bestFit="1" customWidth="1"/>
    <col min="36" max="36" width="10.5703125" bestFit="1" customWidth="1"/>
    <col min="37" max="37" width="9.28515625" bestFit="1" customWidth="1"/>
    <col min="38" max="38" width="44.7109375" bestFit="1" customWidth="1"/>
    <col min="39" max="39" width="10.7109375" bestFit="1" customWidth="1"/>
  </cols>
  <sheetData>
    <row r="1" spans="1:39" s="29" customFormat="1" ht="45">
      <c r="A1" s="65"/>
      <c r="B1" s="16" t="s">
        <v>0</v>
      </c>
      <c r="C1" s="17" t="s">
        <v>1</v>
      </c>
      <c r="D1" s="18" t="s">
        <v>2</v>
      </c>
      <c r="E1" s="18" t="s">
        <v>3</v>
      </c>
      <c r="F1" s="18" t="s">
        <v>4</v>
      </c>
      <c r="G1" s="19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20" t="s">
        <v>10</v>
      </c>
      <c r="M1" s="18" t="s">
        <v>11</v>
      </c>
      <c r="N1" s="21" t="s">
        <v>12</v>
      </c>
      <c r="O1" s="22" t="s">
        <v>13</v>
      </c>
      <c r="P1" s="18" t="s">
        <v>14</v>
      </c>
      <c r="Q1" s="23" t="s">
        <v>15</v>
      </c>
      <c r="R1" s="24" t="s">
        <v>16</v>
      </c>
      <c r="S1" s="18" t="s">
        <v>17</v>
      </c>
      <c r="T1" s="25" t="s">
        <v>18</v>
      </c>
      <c r="U1" s="25" t="s">
        <v>19</v>
      </c>
      <c r="V1" s="26" t="s">
        <v>20</v>
      </c>
      <c r="W1" s="27" t="s">
        <v>21</v>
      </c>
      <c r="X1" s="17" t="s">
        <v>1</v>
      </c>
      <c r="Y1" s="25" t="s">
        <v>22</v>
      </c>
      <c r="Z1" s="25" t="s">
        <v>1338</v>
      </c>
      <c r="AA1" s="25" t="s">
        <v>1490</v>
      </c>
      <c r="AB1" s="25" t="s">
        <v>153</v>
      </c>
      <c r="AC1" s="25" t="s">
        <v>218</v>
      </c>
      <c r="AD1" s="25" t="s">
        <v>1359</v>
      </c>
      <c r="AE1" s="25" t="s">
        <v>24</v>
      </c>
      <c r="AF1" s="25" t="s">
        <v>25</v>
      </c>
      <c r="AG1" s="27" t="s">
        <v>26</v>
      </c>
      <c r="AH1" s="27" t="s">
        <v>27</v>
      </c>
      <c r="AI1" s="27" t="s">
        <v>28</v>
      </c>
      <c r="AJ1" s="27" t="s">
        <v>29</v>
      </c>
      <c r="AK1" s="25" t="s">
        <v>30</v>
      </c>
      <c r="AL1" s="28" t="s">
        <v>31</v>
      </c>
      <c r="AM1" s="25" t="s">
        <v>32</v>
      </c>
    </row>
    <row r="2" spans="1:39" s="31" customFormat="1">
      <c r="A2" s="30">
        <v>1</v>
      </c>
      <c r="B2" t="s">
        <v>33</v>
      </c>
      <c r="C2" s="32">
        <v>43104</v>
      </c>
      <c r="D2" t="s">
        <v>308</v>
      </c>
      <c r="E2" t="s">
        <v>309</v>
      </c>
      <c r="F2" t="s">
        <v>1115</v>
      </c>
      <c r="G2" s="6" t="s">
        <v>221</v>
      </c>
      <c r="H2" t="s">
        <v>34</v>
      </c>
      <c r="K2" s="31" t="s">
        <v>237</v>
      </c>
      <c r="L2" s="34">
        <v>43131</v>
      </c>
      <c r="M2" t="s">
        <v>35</v>
      </c>
      <c r="N2" s="14" t="s">
        <v>693</v>
      </c>
      <c r="O2" s="9">
        <v>60</v>
      </c>
      <c r="P2" s="1">
        <v>1</v>
      </c>
      <c r="Q2" s="58">
        <v>0.21</v>
      </c>
      <c r="R2" s="7">
        <v>0</v>
      </c>
      <c r="S2" t="s">
        <v>36</v>
      </c>
      <c r="T2" s="4">
        <f t="shared" ref="T2:T9" si="0">(O2*P2)*Q2+O2*P2</f>
        <v>72.599999999999994</v>
      </c>
      <c r="U2" t="s">
        <v>533</v>
      </c>
      <c r="V2" s="5" t="s">
        <v>1140</v>
      </c>
      <c r="W2" s="34">
        <v>34714</v>
      </c>
      <c r="X2" s="32">
        <v>43104</v>
      </c>
      <c r="Y2" s="11" t="s">
        <v>1343</v>
      </c>
      <c r="Z2" s="2" t="s">
        <v>1339</v>
      </c>
      <c r="AA2" s="2"/>
      <c r="AB2" s="34">
        <v>43167</v>
      </c>
      <c r="AF2"/>
      <c r="AG2" s="34"/>
      <c r="AJ2" s="34"/>
      <c r="AL2" t="s">
        <v>1141</v>
      </c>
    </row>
    <row r="3" spans="1:39" s="31" customFormat="1">
      <c r="A3" s="30">
        <v>2</v>
      </c>
      <c r="B3" t="s">
        <v>52</v>
      </c>
      <c r="C3" s="32">
        <v>43105</v>
      </c>
      <c r="D3" s="31" t="s">
        <v>458</v>
      </c>
      <c r="E3" s="31" t="s">
        <v>84</v>
      </c>
      <c r="F3" s="31" t="s">
        <v>138</v>
      </c>
      <c r="G3" s="33" t="s">
        <v>227</v>
      </c>
      <c r="H3" s="31" t="s">
        <v>203</v>
      </c>
      <c r="K3" s="31" t="s">
        <v>53</v>
      </c>
      <c r="L3" s="34">
        <v>43131</v>
      </c>
      <c r="M3" s="31" t="s">
        <v>35</v>
      </c>
      <c r="N3" s="14" t="s">
        <v>1142</v>
      </c>
      <c r="O3" s="38">
        <v>30</v>
      </c>
      <c r="P3" s="30">
        <v>1</v>
      </c>
      <c r="Q3" s="37">
        <v>0.21</v>
      </c>
      <c r="R3" s="38">
        <v>0</v>
      </c>
      <c r="S3" s="31" t="s">
        <v>36</v>
      </c>
      <c r="T3" s="39">
        <f t="shared" si="0"/>
        <v>36.299999999999997</v>
      </c>
      <c r="U3" t="s">
        <v>708</v>
      </c>
      <c r="V3" s="5" t="s">
        <v>1143</v>
      </c>
      <c r="W3" s="34">
        <v>33007</v>
      </c>
      <c r="X3" s="32">
        <v>43088</v>
      </c>
      <c r="Y3" s="11" t="s">
        <v>1330</v>
      </c>
      <c r="Z3" s="1"/>
      <c r="AA3" s="1"/>
      <c r="AG3" s="34"/>
      <c r="AJ3" s="34"/>
    </row>
    <row r="4" spans="1:39">
      <c r="A4" s="1">
        <v>3</v>
      </c>
      <c r="B4" t="s">
        <v>37</v>
      </c>
      <c r="C4" s="2">
        <v>43111</v>
      </c>
      <c r="D4" t="s">
        <v>1145</v>
      </c>
      <c r="E4" t="s">
        <v>1146</v>
      </c>
      <c r="F4" t="s">
        <v>1147</v>
      </c>
      <c r="G4" s="6" t="s">
        <v>245</v>
      </c>
      <c r="H4" t="s">
        <v>54</v>
      </c>
      <c r="K4" t="s">
        <v>1145</v>
      </c>
      <c r="L4" s="3">
        <v>43131</v>
      </c>
      <c r="M4" t="s">
        <v>35</v>
      </c>
      <c r="N4" t="s">
        <v>1148</v>
      </c>
      <c r="O4" s="50">
        <v>24.79</v>
      </c>
      <c r="P4" s="1">
        <v>1</v>
      </c>
      <c r="Q4" s="58">
        <v>0.21</v>
      </c>
      <c r="R4" s="7">
        <v>0</v>
      </c>
      <c r="S4" t="s">
        <v>36</v>
      </c>
      <c r="T4" s="46">
        <f t="shared" si="0"/>
        <v>29.995899999999999</v>
      </c>
      <c r="U4" t="s">
        <v>1145</v>
      </c>
      <c r="W4" s="3">
        <v>28924</v>
      </c>
      <c r="X4" s="3">
        <v>43111</v>
      </c>
      <c r="Y4" s="11" t="s">
        <v>1342</v>
      </c>
    </row>
    <row r="5" spans="1:39">
      <c r="A5" s="1">
        <v>4</v>
      </c>
      <c r="B5" t="s">
        <v>52</v>
      </c>
      <c r="C5" s="2">
        <v>43111</v>
      </c>
      <c r="D5" t="s">
        <v>1152</v>
      </c>
      <c r="E5" t="s">
        <v>655</v>
      </c>
      <c r="F5" t="s">
        <v>1153</v>
      </c>
      <c r="G5" s="6" t="s">
        <v>221</v>
      </c>
      <c r="H5" t="s">
        <v>34</v>
      </c>
      <c r="K5" s="31" t="s">
        <v>53</v>
      </c>
      <c r="L5" s="3">
        <v>43131</v>
      </c>
      <c r="M5" t="s">
        <v>35</v>
      </c>
      <c r="N5" t="s">
        <v>1154</v>
      </c>
      <c r="O5" s="9">
        <v>60</v>
      </c>
      <c r="P5" s="1">
        <v>1</v>
      </c>
      <c r="Q5" s="58">
        <v>0.21</v>
      </c>
      <c r="R5" s="7">
        <v>0</v>
      </c>
      <c r="S5" t="s">
        <v>36</v>
      </c>
      <c r="T5" s="4">
        <f t="shared" si="0"/>
        <v>72.599999999999994</v>
      </c>
      <c r="U5" t="s">
        <v>1155</v>
      </c>
      <c r="V5" s="5" t="s">
        <v>1156</v>
      </c>
      <c r="W5" s="3">
        <v>35987</v>
      </c>
      <c r="X5" s="3">
        <v>43111</v>
      </c>
      <c r="Y5" s="11" t="s">
        <v>1268</v>
      </c>
      <c r="Z5" s="1" t="s">
        <v>1339</v>
      </c>
      <c r="AC5" t="s">
        <v>1158</v>
      </c>
    </row>
    <row r="6" spans="1:39" s="31" customFormat="1">
      <c r="A6" s="30">
        <v>5</v>
      </c>
      <c r="B6" s="31" t="s">
        <v>37</v>
      </c>
      <c r="C6" s="32">
        <v>43111</v>
      </c>
      <c r="D6" s="31" t="s">
        <v>606</v>
      </c>
      <c r="E6" s="31" t="s">
        <v>607</v>
      </c>
      <c r="F6" s="31" t="s">
        <v>608</v>
      </c>
      <c r="G6" s="33" t="s">
        <v>245</v>
      </c>
      <c r="H6" s="31" t="s">
        <v>54</v>
      </c>
      <c r="I6" s="31">
        <v>671994365</v>
      </c>
      <c r="K6" s="31" t="s">
        <v>609</v>
      </c>
      <c r="L6" s="34">
        <v>43131</v>
      </c>
      <c r="M6" s="31" t="s">
        <v>35</v>
      </c>
      <c r="N6" s="35" t="s">
        <v>610</v>
      </c>
      <c r="O6" s="36">
        <v>60</v>
      </c>
      <c r="P6" s="30">
        <v>1</v>
      </c>
      <c r="Q6" s="37">
        <v>0.21</v>
      </c>
      <c r="R6" s="38">
        <v>0</v>
      </c>
      <c r="S6" s="31" t="s">
        <v>36</v>
      </c>
      <c r="T6" s="39">
        <f t="shared" si="0"/>
        <v>72.599999999999994</v>
      </c>
      <c r="U6" t="s">
        <v>606</v>
      </c>
      <c r="V6" s="5" t="s">
        <v>1157</v>
      </c>
      <c r="W6" s="34">
        <v>22584</v>
      </c>
      <c r="X6" s="32">
        <v>43111</v>
      </c>
      <c r="Y6" s="11" t="s">
        <v>1510</v>
      </c>
      <c r="Z6" s="1" t="s">
        <v>1339</v>
      </c>
      <c r="AA6" s="61" t="s">
        <v>1492</v>
      </c>
      <c r="AB6" s="34">
        <v>43231</v>
      </c>
      <c r="AC6" t="s">
        <v>366</v>
      </c>
      <c r="AF6" t="s">
        <v>1159</v>
      </c>
      <c r="AG6" s="34">
        <v>43111</v>
      </c>
    </row>
    <row r="7" spans="1:39">
      <c r="A7" s="1">
        <v>6</v>
      </c>
      <c r="B7" t="s">
        <v>33</v>
      </c>
      <c r="C7" s="2">
        <v>43111</v>
      </c>
      <c r="D7" t="s">
        <v>1160</v>
      </c>
      <c r="E7" t="s">
        <v>1161</v>
      </c>
      <c r="F7" t="s">
        <v>1162</v>
      </c>
      <c r="G7" s="6" t="s">
        <v>219</v>
      </c>
      <c r="H7" t="s">
        <v>38</v>
      </c>
      <c r="K7" s="31" t="s">
        <v>237</v>
      </c>
      <c r="L7" s="3">
        <v>43131</v>
      </c>
      <c r="M7" t="s">
        <v>35</v>
      </c>
      <c r="N7" s="14" t="s">
        <v>1163</v>
      </c>
      <c r="O7" s="50">
        <v>60</v>
      </c>
      <c r="P7" s="1">
        <v>1</v>
      </c>
      <c r="Q7" s="58">
        <v>0.21</v>
      </c>
      <c r="R7" s="7">
        <v>0</v>
      </c>
      <c r="S7" t="s">
        <v>36</v>
      </c>
      <c r="T7" s="4">
        <f t="shared" si="0"/>
        <v>72.599999999999994</v>
      </c>
      <c r="U7" t="s">
        <v>1164</v>
      </c>
      <c r="V7" s="5" t="s">
        <v>1165</v>
      </c>
      <c r="W7" s="3">
        <v>33386</v>
      </c>
      <c r="X7" s="3">
        <v>43111</v>
      </c>
      <c r="Y7" s="11" t="s">
        <v>1268</v>
      </c>
      <c r="Z7" s="2">
        <v>43171</v>
      </c>
      <c r="AA7" s="2"/>
      <c r="AC7" t="s">
        <v>1158</v>
      </c>
    </row>
    <row r="8" spans="1:39">
      <c r="A8" s="30">
        <v>7</v>
      </c>
      <c r="B8" t="s">
        <v>52</v>
      </c>
      <c r="C8" s="2">
        <v>43112</v>
      </c>
      <c r="D8" s="31" t="s">
        <v>256</v>
      </c>
      <c r="E8" t="s">
        <v>155</v>
      </c>
      <c r="F8" s="31" t="s">
        <v>138</v>
      </c>
      <c r="G8" s="33" t="s">
        <v>227</v>
      </c>
      <c r="H8" s="31" t="s">
        <v>203</v>
      </c>
      <c r="I8" s="31"/>
      <c r="J8" s="31"/>
      <c r="K8" s="31" t="s">
        <v>53</v>
      </c>
      <c r="L8" s="34">
        <v>43131</v>
      </c>
      <c r="M8" s="31" t="s">
        <v>35</v>
      </c>
      <c r="N8" s="14" t="s">
        <v>1290</v>
      </c>
      <c r="O8" s="50">
        <v>30</v>
      </c>
      <c r="P8" s="1">
        <v>1</v>
      </c>
      <c r="Q8" s="58">
        <v>0.21</v>
      </c>
      <c r="R8" s="7">
        <v>0</v>
      </c>
      <c r="S8" t="s">
        <v>36</v>
      </c>
      <c r="T8" s="4">
        <f t="shared" si="0"/>
        <v>36.299999999999997</v>
      </c>
      <c r="U8" t="s">
        <v>1189</v>
      </c>
      <c r="V8" s="5" t="s">
        <v>1190</v>
      </c>
      <c r="W8" s="3">
        <v>39760</v>
      </c>
      <c r="X8" s="3">
        <v>43062</v>
      </c>
      <c r="Y8" t="s">
        <v>1325</v>
      </c>
      <c r="AF8" t="s">
        <v>1291</v>
      </c>
      <c r="AJ8" s="3">
        <v>43146</v>
      </c>
    </row>
    <row r="9" spans="1:39">
      <c r="A9" s="30">
        <v>8</v>
      </c>
      <c r="B9" t="s">
        <v>52</v>
      </c>
      <c r="C9" s="2">
        <v>43112</v>
      </c>
      <c r="D9" s="31" t="s">
        <v>256</v>
      </c>
      <c r="E9" s="31" t="s">
        <v>155</v>
      </c>
      <c r="F9" s="31" t="s">
        <v>138</v>
      </c>
      <c r="G9" s="33" t="s">
        <v>227</v>
      </c>
      <c r="H9" s="31" t="s">
        <v>203</v>
      </c>
      <c r="I9" s="31"/>
      <c r="J9" s="31"/>
      <c r="K9" s="31" t="s">
        <v>53</v>
      </c>
      <c r="L9" s="34">
        <v>43131</v>
      </c>
      <c r="M9" s="31" t="s">
        <v>35</v>
      </c>
      <c r="N9" s="14" t="s">
        <v>1289</v>
      </c>
      <c r="O9" s="50">
        <v>30</v>
      </c>
      <c r="P9" s="1">
        <v>1</v>
      </c>
      <c r="Q9" s="58">
        <v>0.21</v>
      </c>
      <c r="R9" s="7">
        <v>0</v>
      </c>
      <c r="S9" t="s">
        <v>36</v>
      </c>
      <c r="T9" s="4">
        <f t="shared" si="0"/>
        <v>36.299999999999997</v>
      </c>
      <c r="U9" t="s">
        <v>1191</v>
      </c>
      <c r="V9" s="5" t="s">
        <v>1192</v>
      </c>
      <c r="W9" s="3"/>
      <c r="X9" s="3">
        <v>43062</v>
      </c>
      <c r="Y9" t="s">
        <v>1325</v>
      </c>
      <c r="AF9" t="s">
        <v>1291</v>
      </c>
      <c r="AJ9" s="3">
        <v>43146</v>
      </c>
    </row>
    <row r="10" spans="1:39">
      <c r="A10" s="1">
        <v>9</v>
      </c>
      <c r="B10" t="s">
        <v>37</v>
      </c>
      <c r="C10" s="2">
        <v>43117</v>
      </c>
      <c r="D10" t="s">
        <v>199</v>
      </c>
      <c r="E10" t="s">
        <v>200</v>
      </c>
      <c r="F10" t="s">
        <v>341</v>
      </c>
      <c r="G10" s="6" t="s">
        <v>245</v>
      </c>
      <c r="H10" t="s">
        <v>54</v>
      </c>
      <c r="I10">
        <v>631169572</v>
      </c>
      <c r="K10" t="s">
        <v>199</v>
      </c>
      <c r="L10" s="3">
        <v>43131</v>
      </c>
      <c r="M10" t="s">
        <v>35</v>
      </c>
      <c r="N10" s="14" t="s">
        <v>1166</v>
      </c>
      <c r="O10" s="9">
        <v>30</v>
      </c>
      <c r="P10" s="1">
        <v>1</v>
      </c>
      <c r="Q10" s="58">
        <v>0.21</v>
      </c>
      <c r="R10" s="7">
        <v>0</v>
      </c>
      <c r="S10" t="s">
        <v>36</v>
      </c>
      <c r="T10" s="4">
        <f t="shared" ref="T10:T23" si="1">(O10*P10)*Q10+O10*P10</f>
        <v>36.299999999999997</v>
      </c>
      <c r="U10" t="s">
        <v>199</v>
      </c>
      <c r="W10" s="3">
        <v>29227</v>
      </c>
      <c r="X10" s="3">
        <v>43117</v>
      </c>
      <c r="Y10" s="11" t="s">
        <v>1342</v>
      </c>
      <c r="AC10" t="s">
        <v>366</v>
      </c>
    </row>
    <row r="11" spans="1:39" s="31" customFormat="1">
      <c r="A11" s="1">
        <v>10</v>
      </c>
      <c r="B11" t="s">
        <v>52</v>
      </c>
      <c r="C11" s="32">
        <v>43118</v>
      </c>
      <c r="D11" s="31" t="s">
        <v>458</v>
      </c>
      <c r="E11" s="31" t="s">
        <v>84</v>
      </c>
      <c r="F11" s="31" t="s">
        <v>138</v>
      </c>
      <c r="G11" s="33" t="s">
        <v>227</v>
      </c>
      <c r="H11" s="31" t="s">
        <v>203</v>
      </c>
      <c r="K11" s="31" t="s">
        <v>53</v>
      </c>
      <c r="L11" s="34">
        <v>43131</v>
      </c>
      <c r="M11" s="31" t="s">
        <v>35</v>
      </c>
      <c r="N11" s="14" t="s">
        <v>1167</v>
      </c>
      <c r="O11" s="7">
        <v>60</v>
      </c>
      <c r="P11" s="30">
        <v>1</v>
      </c>
      <c r="Q11" s="37">
        <v>0.21</v>
      </c>
      <c r="R11" s="38">
        <v>0</v>
      </c>
      <c r="S11" s="31" t="s">
        <v>36</v>
      </c>
      <c r="T11" s="39">
        <f t="shared" si="1"/>
        <v>72.599999999999994</v>
      </c>
      <c r="U11" t="s">
        <v>1168</v>
      </c>
      <c r="V11" s="5" t="s">
        <v>1169</v>
      </c>
      <c r="W11" s="34">
        <v>29208</v>
      </c>
      <c r="X11" s="32">
        <v>43118</v>
      </c>
      <c r="Y11" s="11" t="s">
        <v>1340</v>
      </c>
      <c r="Z11" s="1" t="s">
        <v>1339</v>
      </c>
      <c r="AA11" s="1"/>
      <c r="AC11" t="s">
        <v>1158</v>
      </c>
      <c r="AG11" s="34"/>
      <c r="AJ11" s="34"/>
      <c r="AL11" t="s">
        <v>1883</v>
      </c>
    </row>
    <row r="12" spans="1:39" s="31" customFormat="1">
      <c r="A12" s="30">
        <v>11</v>
      </c>
      <c r="B12" s="31" t="s">
        <v>52</v>
      </c>
      <c r="C12" s="32">
        <v>43118</v>
      </c>
      <c r="D12" s="31" t="s">
        <v>256</v>
      </c>
      <c r="E12" s="31" t="s">
        <v>155</v>
      </c>
      <c r="F12" s="31" t="s">
        <v>138</v>
      </c>
      <c r="G12" s="33" t="s">
        <v>227</v>
      </c>
      <c r="H12" s="31" t="s">
        <v>203</v>
      </c>
      <c r="K12" s="31" t="s">
        <v>53</v>
      </c>
      <c r="L12" s="34">
        <v>43131</v>
      </c>
      <c r="M12" s="31" t="s">
        <v>35</v>
      </c>
      <c r="N12" s="14" t="s">
        <v>1170</v>
      </c>
      <c r="O12" s="38">
        <v>60</v>
      </c>
      <c r="P12" s="30">
        <v>1</v>
      </c>
      <c r="Q12" s="37">
        <v>0.21</v>
      </c>
      <c r="R12" s="38">
        <v>0</v>
      </c>
      <c r="S12" s="31" t="s">
        <v>36</v>
      </c>
      <c r="T12" s="39">
        <f t="shared" si="1"/>
        <v>72.599999999999994</v>
      </c>
      <c r="U12" t="s">
        <v>1171</v>
      </c>
      <c r="V12" s="5" t="s">
        <v>1172</v>
      </c>
      <c r="W12" s="34">
        <v>31413</v>
      </c>
      <c r="X12" s="32">
        <v>43118</v>
      </c>
      <c r="Y12" s="11" t="s">
        <v>1376</v>
      </c>
      <c r="Z12" s="32">
        <v>43199</v>
      </c>
      <c r="AA12" s="32"/>
      <c r="AB12" s="30"/>
      <c r="AC12" t="s">
        <v>924</v>
      </c>
      <c r="AF12" t="s">
        <v>77</v>
      </c>
      <c r="AG12" s="42">
        <v>43118</v>
      </c>
      <c r="AJ12" s="34">
        <v>43125</v>
      </c>
    </row>
    <row r="13" spans="1:39" s="31" customFormat="1">
      <c r="A13" s="1">
        <v>12</v>
      </c>
      <c r="B13" s="31" t="s">
        <v>52</v>
      </c>
      <c r="C13" s="32">
        <v>43118</v>
      </c>
      <c r="D13" s="31" t="s">
        <v>256</v>
      </c>
      <c r="E13" s="31" t="s">
        <v>155</v>
      </c>
      <c r="F13" s="31" t="s">
        <v>138</v>
      </c>
      <c r="G13" s="33" t="s">
        <v>227</v>
      </c>
      <c r="H13" s="31" t="s">
        <v>203</v>
      </c>
      <c r="K13" s="31" t="s">
        <v>53</v>
      </c>
      <c r="L13" s="34">
        <v>43131</v>
      </c>
      <c r="M13" s="31" t="s">
        <v>35</v>
      </c>
      <c r="N13" s="14" t="s">
        <v>1177</v>
      </c>
      <c r="O13" s="38">
        <v>60</v>
      </c>
      <c r="P13" s="30">
        <v>1</v>
      </c>
      <c r="Q13" s="37">
        <v>0.21</v>
      </c>
      <c r="R13" s="38">
        <v>0</v>
      </c>
      <c r="S13" s="31" t="s">
        <v>36</v>
      </c>
      <c r="T13" s="39">
        <f t="shared" si="1"/>
        <v>72.599999999999994</v>
      </c>
      <c r="U13" t="s">
        <v>1175</v>
      </c>
      <c r="V13" s="5" t="s">
        <v>1176</v>
      </c>
      <c r="W13" s="34">
        <v>33239</v>
      </c>
      <c r="X13" s="32">
        <v>43118</v>
      </c>
      <c r="Y13" s="11" t="s">
        <v>1340</v>
      </c>
      <c r="Z13" s="1" t="s">
        <v>1339</v>
      </c>
      <c r="AA13" s="1"/>
      <c r="AB13" s="30"/>
      <c r="AC13" t="s">
        <v>1158</v>
      </c>
      <c r="AG13" s="42"/>
      <c r="AJ13" s="34"/>
    </row>
    <row r="14" spans="1:39">
      <c r="A14" s="30">
        <v>13</v>
      </c>
      <c r="B14" t="s">
        <v>33</v>
      </c>
      <c r="C14" s="2">
        <v>43118</v>
      </c>
      <c r="E14" t="s">
        <v>1178</v>
      </c>
      <c r="K14" t="s">
        <v>1179</v>
      </c>
      <c r="L14" s="3">
        <v>43131</v>
      </c>
      <c r="M14" t="s">
        <v>35</v>
      </c>
      <c r="N14" s="14" t="s">
        <v>1180</v>
      </c>
      <c r="O14" s="7">
        <v>41.32</v>
      </c>
      <c r="P14" s="1">
        <v>1</v>
      </c>
      <c r="Q14" s="58">
        <v>0.21</v>
      </c>
      <c r="R14" s="7">
        <v>0</v>
      </c>
      <c r="S14" t="s">
        <v>36</v>
      </c>
      <c r="T14" s="4">
        <f t="shared" si="1"/>
        <v>49.997199999999999</v>
      </c>
      <c r="X14" s="3">
        <v>43118</v>
      </c>
      <c r="Y14" s="11" t="s">
        <v>151</v>
      </c>
      <c r="Z14" s="1" t="s">
        <v>1339</v>
      </c>
    </row>
    <row r="15" spans="1:39">
      <c r="A15" s="30">
        <v>14</v>
      </c>
      <c r="B15" t="s">
        <v>131</v>
      </c>
      <c r="C15" s="2">
        <v>43118</v>
      </c>
      <c r="D15" t="s">
        <v>1181</v>
      </c>
      <c r="E15" t="s">
        <v>1182</v>
      </c>
      <c r="F15" t="s">
        <v>1183</v>
      </c>
      <c r="G15" s="6" t="s">
        <v>239</v>
      </c>
      <c r="H15" t="s">
        <v>86</v>
      </c>
      <c r="K15" t="s">
        <v>1181</v>
      </c>
      <c r="L15" s="3">
        <v>43131</v>
      </c>
      <c r="M15" t="s">
        <v>35</v>
      </c>
      <c r="N15" s="14" t="s">
        <v>1184</v>
      </c>
      <c r="O15" s="7">
        <v>60</v>
      </c>
      <c r="P15" s="1">
        <v>1</v>
      </c>
      <c r="Q15" s="58">
        <v>0.21</v>
      </c>
      <c r="R15" s="7">
        <v>0</v>
      </c>
      <c r="S15" t="s">
        <v>36</v>
      </c>
      <c r="T15" s="4">
        <f t="shared" si="1"/>
        <v>72.599999999999994</v>
      </c>
      <c r="U15" t="s">
        <v>1173</v>
      </c>
      <c r="V15" s="5" t="s">
        <v>1174</v>
      </c>
      <c r="W15" s="3">
        <v>27528</v>
      </c>
      <c r="X15" s="3">
        <v>43118</v>
      </c>
      <c r="Y15" t="s">
        <v>1349</v>
      </c>
      <c r="Z15" s="2">
        <v>43181</v>
      </c>
      <c r="AA15" s="2"/>
      <c r="AC15" t="s">
        <v>1158</v>
      </c>
    </row>
    <row r="16" spans="1:39">
      <c r="A16" s="1">
        <v>15</v>
      </c>
      <c r="B16" t="s">
        <v>40</v>
      </c>
      <c r="C16" s="2">
        <v>43125</v>
      </c>
      <c r="D16" t="s">
        <v>1193</v>
      </c>
      <c r="E16" t="s">
        <v>1194</v>
      </c>
      <c r="F16" t="s">
        <v>1195</v>
      </c>
      <c r="G16" s="6" t="s">
        <v>227</v>
      </c>
      <c r="H16" t="s">
        <v>203</v>
      </c>
      <c r="I16">
        <v>631749390</v>
      </c>
      <c r="K16" t="s">
        <v>1193</v>
      </c>
      <c r="L16" s="3">
        <v>43131</v>
      </c>
      <c r="M16" t="s">
        <v>35</v>
      </c>
      <c r="N16" s="14" t="s">
        <v>1196</v>
      </c>
      <c r="O16" s="7">
        <v>60</v>
      </c>
      <c r="P16" s="1">
        <v>1</v>
      </c>
      <c r="Q16" s="58">
        <v>0.21</v>
      </c>
      <c r="R16" s="7">
        <v>0</v>
      </c>
      <c r="S16" t="s">
        <v>36</v>
      </c>
      <c r="T16" s="4">
        <f t="shared" si="1"/>
        <v>72.599999999999994</v>
      </c>
      <c r="U16" t="s">
        <v>1197</v>
      </c>
      <c r="V16" s="5" t="s">
        <v>1198</v>
      </c>
      <c r="W16" s="3">
        <v>32143</v>
      </c>
      <c r="X16" s="3">
        <v>43125</v>
      </c>
      <c r="Y16" s="11" t="s">
        <v>1383</v>
      </c>
      <c r="Z16" s="2">
        <v>43195</v>
      </c>
      <c r="AA16" s="2"/>
      <c r="AC16" t="s">
        <v>1158</v>
      </c>
      <c r="AF16" t="s">
        <v>1199</v>
      </c>
      <c r="AG16" s="3">
        <v>43125</v>
      </c>
      <c r="AJ16" s="3">
        <v>43132</v>
      </c>
      <c r="AL16" t="s">
        <v>1352</v>
      </c>
    </row>
    <row r="17" spans="1:38">
      <c r="A17" s="1">
        <v>16</v>
      </c>
      <c r="B17" t="s">
        <v>82</v>
      </c>
      <c r="C17" s="2">
        <v>43125</v>
      </c>
      <c r="D17" t="s">
        <v>263</v>
      </c>
      <c r="E17" t="s">
        <v>264</v>
      </c>
      <c r="F17" t="s">
        <v>1200</v>
      </c>
      <c r="G17" s="6" t="s">
        <v>250</v>
      </c>
      <c r="H17" t="s">
        <v>86</v>
      </c>
      <c r="K17" t="s">
        <v>263</v>
      </c>
      <c r="L17" s="3">
        <v>43131</v>
      </c>
      <c r="M17" t="s">
        <v>35</v>
      </c>
      <c r="N17" s="14" t="s">
        <v>1201</v>
      </c>
      <c r="O17" s="7">
        <v>60</v>
      </c>
      <c r="P17" s="1">
        <v>1</v>
      </c>
      <c r="Q17" s="58">
        <v>0.21</v>
      </c>
      <c r="R17" s="7">
        <v>0</v>
      </c>
      <c r="S17" t="s">
        <v>36</v>
      </c>
      <c r="T17" s="46">
        <f t="shared" si="1"/>
        <v>72.599999999999994</v>
      </c>
      <c r="U17" t="s">
        <v>1202</v>
      </c>
      <c r="V17" s="5" t="s">
        <v>1203</v>
      </c>
      <c r="W17" s="3">
        <v>34193</v>
      </c>
      <c r="X17" s="3">
        <v>43125</v>
      </c>
      <c r="Y17" s="11" t="s">
        <v>1323</v>
      </c>
      <c r="Z17" s="1" t="s">
        <v>1339</v>
      </c>
      <c r="AC17" t="s">
        <v>1158</v>
      </c>
    </row>
    <row r="18" spans="1:38">
      <c r="A18" s="1">
        <v>17</v>
      </c>
      <c r="B18" t="s">
        <v>82</v>
      </c>
      <c r="C18" s="2">
        <v>43125</v>
      </c>
      <c r="D18" t="s">
        <v>1204</v>
      </c>
      <c r="E18" t="s">
        <v>1205</v>
      </c>
      <c r="F18" t="s">
        <v>1206</v>
      </c>
      <c r="G18" s="6" t="s">
        <v>239</v>
      </c>
      <c r="H18" t="s">
        <v>108</v>
      </c>
      <c r="I18">
        <v>693745341</v>
      </c>
      <c r="K18" t="s">
        <v>1204</v>
      </c>
      <c r="L18" s="3">
        <v>43131</v>
      </c>
      <c r="M18" t="s">
        <v>35</v>
      </c>
      <c r="N18" s="14" t="s">
        <v>1207</v>
      </c>
      <c r="O18" s="7">
        <v>60</v>
      </c>
      <c r="P18" s="1">
        <v>1</v>
      </c>
      <c r="Q18" s="58">
        <v>0.21</v>
      </c>
      <c r="R18" s="7">
        <v>0</v>
      </c>
      <c r="S18" t="s">
        <v>36</v>
      </c>
      <c r="T18" s="46">
        <f t="shared" si="1"/>
        <v>72.599999999999994</v>
      </c>
      <c r="U18" t="s">
        <v>1208</v>
      </c>
      <c r="V18" s="5" t="s">
        <v>1209</v>
      </c>
      <c r="W18" s="3">
        <v>35850</v>
      </c>
      <c r="X18" s="3">
        <v>43125</v>
      </c>
      <c r="Y18" s="11" t="s">
        <v>1324</v>
      </c>
      <c r="Z18" s="1" t="s">
        <v>1339</v>
      </c>
      <c r="AC18" t="s">
        <v>1158</v>
      </c>
    </row>
    <row r="19" spans="1:38">
      <c r="A19" s="1">
        <v>18</v>
      </c>
      <c r="B19" t="s">
        <v>131</v>
      </c>
      <c r="C19" s="2">
        <v>43125</v>
      </c>
      <c r="D19" t="s">
        <v>1210</v>
      </c>
      <c r="E19" t="s">
        <v>1211</v>
      </c>
      <c r="F19" t="s">
        <v>1212</v>
      </c>
      <c r="G19" s="6" t="s">
        <v>242</v>
      </c>
      <c r="H19" t="s">
        <v>154</v>
      </c>
      <c r="I19">
        <v>664415528</v>
      </c>
      <c r="K19" t="s">
        <v>1213</v>
      </c>
      <c r="L19" s="3">
        <v>43131</v>
      </c>
      <c r="M19" t="s">
        <v>35</v>
      </c>
      <c r="N19" s="14" t="s">
        <v>1214</v>
      </c>
      <c r="O19" s="7">
        <v>60</v>
      </c>
      <c r="P19" s="1">
        <v>1</v>
      </c>
      <c r="Q19" s="58">
        <v>0.21</v>
      </c>
      <c r="R19" s="7">
        <v>0</v>
      </c>
      <c r="S19" t="s">
        <v>36</v>
      </c>
      <c r="T19" s="4">
        <f t="shared" si="1"/>
        <v>72.599999999999994</v>
      </c>
      <c r="U19" t="s">
        <v>1215</v>
      </c>
      <c r="V19" s="5" t="s">
        <v>1216</v>
      </c>
      <c r="W19" s="3">
        <v>31503</v>
      </c>
      <c r="X19" s="3">
        <v>43125</v>
      </c>
      <c r="Y19" t="s">
        <v>1325</v>
      </c>
      <c r="Z19" s="1" t="s">
        <v>1339</v>
      </c>
      <c r="AB19" s="3">
        <v>43187</v>
      </c>
      <c r="AC19" t="s">
        <v>1158</v>
      </c>
    </row>
    <row r="20" spans="1:38">
      <c r="A20" s="1">
        <v>19</v>
      </c>
      <c r="B20" t="s">
        <v>131</v>
      </c>
      <c r="C20" s="2">
        <v>43125</v>
      </c>
      <c r="D20" t="s">
        <v>204</v>
      </c>
      <c r="E20" t="s">
        <v>205</v>
      </c>
      <c r="F20" t="s">
        <v>1212</v>
      </c>
      <c r="G20" s="6" t="s">
        <v>242</v>
      </c>
      <c r="H20" t="s">
        <v>154</v>
      </c>
      <c r="K20" t="s">
        <v>204</v>
      </c>
      <c r="L20" s="3">
        <v>43131</v>
      </c>
      <c r="M20" t="s">
        <v>35</v>
      </c>
      <c r="N20" s="14" t="s">
        <v>1217</v>
      </c>
      <c r="O20" s="7">
        <v>60</v>
      </c>
      <c r="P20" s="1">
        <v>1</v>
      </c>
      <c r="Q20" s="58">
        <v>0.21</v>
      </c>
      <c r="R20" s="7">
        <v>0</v>
      </c>
      <c r="S20" t="s">
        <v>36</v>
      </c>
      <c r="T20" s="4">
        <f t="shared" si="1"/>
        <v>72.599999999999994</v>
      </c>
      <c r="U20" t="s">
        <v>337</v>
      </c>
      <c r="V20" s="5" t="s">
        <v>1218</v>
      </c>
      <c r="W20" s="3">
        <v>33848</v>
      </c>
      <c r="X20" s="3">
        <v>43125</v>
      </c>
      <c r="Y20" s="11" t="s">
        <v>1323</v>
      </c>
      <c r="Z20" s="1" t="s">
        <v>1339</v>
      </c>
      <c r="AC20" t="s">
        <v>1158</v>
      </c>
    </row>
    <row r="21" spans="1:38">
      <c r="A21" s="1">
        <v>20</v>
      </c>
      <c r="B21" t="s">
        <v>37</v>
      </c>
      <c r="C21" s="2">
        <v>43125</v>
      </c>
      <c r="D21" t="s">
        <v>1219</v>
      </c>
      <c r="E21" t="s">
        <v>1220</v>
      </c>
      <c r="F21" t="s">
        <v>1221</v>
      </c>
      <c r="G21" s="6" t="s">
        <v>1222</v>
      </c>
      <c r="H21" t="s">
        <v>1223</v>
      </c>
      <c r="I21">
        <v>634673038</v>
      </c>
      <c r="K21" t="s">
        <v>1219</v>
      </c>
      <c r="L21" s="3">
        <v>43131</v>
      </c>
      <c r="M21" t="s">
        <v>35</v>
      </c>
      <c r="N21" s="14" t="s">
        <v>1224</v>
      </c>
      <c r="O21" s="7">
        <v>60</v>
      </c>
      <c r="P21" s="1">
        <v>1</v>
      </c>
      <c r="Q21" s="58">
        <v>0.21</v>
      </c>
      <c r="R21" s="7">
        <v>0</v>
      </c>
      <c r="S21" t="s">
        <v>36</v>
      </c>
      <c r="T21" s="4">
        <f t="shared" si="1"/>
        <v>72.599999999999994</v>
      </c>
      <c r="U21" t="s">
        <v>1219</v>
      </c>
      <c r="V21" s="5" t="s">
        <v>1225</v>
      </c>
      <c r="W21" s="3">
        <v>29234</v>
      </c>
      <c r="X21" s="3">
        <v>43125</v>
      </c>
      <c r="Y21" t="s">
        <v>1350</v>
      </c>
      <c r="Z21" s="2">
        <v>43186</v>
      </c>
      <c r="AA21" s="2"/>
      <c r="AC21" t="s">
        <v>1158</v>
      </c>
      <c r="AF21" t="s">
        <v>867</v>
      </c>
      <c r="AG21" s="3">
        <v>43125</v>
      </c>
      <c r="AJ21" s="3">
        <v>43132</v>
      </c>
    </row>
    <row r="22" spans="1:38">
      <c r="A22" s="1">
        <v>21</v>
      </c>
      <c r="B22" t="s">
        <v>143</v>
      </c>
      <c r="C22" s="2">
        <v>43126</v>
      </c>
      <c r="D22" t="s">
        <v>1226</v>
      </c>
      <c r="E22" t="s">
        <v>1227</v>
      </c>
      <c r="F22" t="s">
        <v>1228</v>
      </c>
      <c r="G22" s="6" t="s">
        <v>1229</v>
      </c>
      <c r="H22" t="s">
        <v>38</v>
      </c>
      <c r="K22" t="s">
        <v>1226</v>
      </c>
      <c r="L22" s="3">
        <v>43131</v>
      </c>
      <c r="M22" t="s">
        <v>35</v>
      </c>
      <c r="N22" s="14" t="s">
        <v>1230</v>
      </c>
      <c r="O22" s="7">
        <v>30</v>
      </c>
      <c r="P22" s="1">
        <v>1</v>
      </c>
      <c r="Q22" s="58">
        <v>0.21</v>
      </c>
      <c r="R22" s="7">
        <v>0</v>
      </c>
      <c r="S22" t="s">
        <v>36</v>
      </c>
      <c r="T22" s="4">
        <f t="shared" si="1"/>
        <v>36.299999999999997</v>
      </c>
      <c r="U22" t="s">
        <v>1231</v>
      </c>
      <c r="V22" s="5" t="s">
        <v>1232</v>
      </c>
      <c r="W22" s="3">
        <v>26839</v>
      </c>
      <c r="X22" s="3">
        <v>43119</v>
      </c>
      <c r="Y22" t="s">
        <v>1574</v>
      </c>
    </row>
    <row r="23" spans="1:38">
      <c r="A23" s="1">
        <v>22</v>
      </c>
      <c r="B23" t="s">
        <v>40</v>
      </c>
      <c r="C23" s="2">
        <v>43132</v>
      </c>
      <c r="D23" t="s">
        <v>1259</v>
      </c>
      <c r="E23" t="s">
        <v>1260</v>
      </c>
      <c r="F23" t="s">
        <v>1261</v>
      </c>
      <c r="G23" s="6" t="s">
        <v>230</v>
      </c>
      <c r="H23" t="s">
        <v>1262</v>
      </c>
      <c r="K23" t="s">
        <v>1259</v>
      </c>
      <c r="L23" s="3">
        <v>43159</v>
      </c>
      <c r="M23" t="s">
        <v>35</v>
      </c>
      <c r="N23" s="14" t="s">
        <v>1234</v>
      </c>
      <c r="O23" s="7">
        <v>60</v>
      </c>
      <c r="P23" s="1">
        <v>1</v>
      </c>
      <c r="Q23" s="58">
        <v>0.21</v>
      </c>
      <c r="R23" s="7">
        <v>0</v>
      </c>
      <c r="S23" t="s">
        <v>36</v>
      </c>
      <c r="T23" s="4">
        <f t="shared" si="1"/>
        <v>72.599999999999994</v>
      </c>
      <c r="U23" t="s">
        <v>1235</v>
      </c>
      <c r="V23" s="5" t="s">
        <v>1236</v>
      </c>
      <c r="W23" s="3">
        <v>29891</v>
      </c>
      <c r="X23" s="3">
        <v>43132</v>
      </c>
      <c r="Y23" s="11" t="s">
        <v>1376</v>
      </c>
      <c r="Z23" s="2">
        <v>43186</v>
      </c>
      <c r="AA23" s="2"/>
      <c r="AC23" t="s">
        <v>1158</v>
      </c>
    </row>
    <row r="24" spans="1:38" s="31" customFormat="1">
      <c r="A24" s="30">
        <v>23</v>
      </c>
      <c r="B24" t="s">
        <v>417</v>
      </c>
      <c r="C24" s="32">
        <v>43132</v>
      </c>
      <c r="D24" s="31" t="s">
        <v>418</v>
      </c>
      <c r="E24" s="31" t="s">
        <v>182</v>
      </c>
      <c r="F24" t="s">
        <v>843</v>
      </c>
      <c r="G24" s="33" t="s">
        <v>227</v>
      </c>
      <c r="H24" s="31" t="s">
        <v>203</v>
      </c>
      <c r="K24" s="31" t="s">
        <v>418</v>
      </c>
      <c r="L24" s="34">
        <v>43159</v>
      </c>
      <c r="M24" s="31" t="s">
        <v>35</v>
      </c>
      <c r="N24" s="14" t="s">
        <v>1286</v>
      </c>
      <c r="O24" s="38">
        <v>41.32</v>
      </c>
      <c r="P24" s="30">
        <v>1</v>
      </c>
      <c r="Q24" s="37">
        <v>0.21</v>
      </c>
      <c r="R24" s="38">
        <v>0</v>
      </c>
      <c r="S24" s="31" t="s">
        <v>36</v>
      </c>
      <c r="T24" s="39">
        <f t="shared" ref="T24:T35" si="2">(O24*P24)*Q24+O24*P24</f>
        <v>49.997199999999999</v>
      </c>
      <c r="U24"/>
      <c r="V24" s="40"/>
      <c r="W24" s="34">
        <v>33583</v>
      </c>
      <c r="X24" s="32">
        <v>43132</v>
      </c>
      <c r="Y24" s="11" t="s">
        <v>151</v>
      </c>
      <c r="Z24" s="1"/>
      <c r="AA24" s="1"/>
    </row>
    <row r="25" spans="1:38" s="31" customFormat="1">
      <c r="A25" s="1">
        <v>24</v>
      </c>
      <c r="B25" t="s">
        <v>1242</v>
      </c>
      <c r="C25" s="32">
        <v>43133</v>
      </c>
      <c r="D25" t="s">
        <v>344</v>
      </c>
      <c r="E25" t="s">
        <v>345</v>
      </c>
      <c r="F25" t="s">
        <v>1249</v>
      </c>
      <c r="G25" s="6" t="s">
        <v>221</v>
      </c>
      <c r="H25" t="s">
        <v>34</v>
      </c>
      <c r="I25" s="31">
        <v>612453625</v>
      </c>
      <c r="K25" s="31" t="s">
        <v>1250</v>
      </c>
      <c r="L25" s="34">
        <v>43159</v>
      </c>
      <c r="M25" t="s">
        <v>35</v>
      </c>
      <c r="N25" s="14" t="s">
        <v>1251</v>
      </c>
      <c r="O25" s="38">
        <v>60</v>
      </c>
      <c r="P25" s="30">
        <v>1</v>
      </c>
      <c r="Q25" s="37">
        <v>0.21</v>
      </c>
      <c r="R25" s="38">
        <v>0</v>
      </c>
      <c r="S25" t="s">
        <v>36</v>
      </c>
      <c r="T25" s="39">
        <f t="shared" si="2"/>
        <v>72.599999999999994</v>
      </c>
      <c r="U25" t="s">
        <v>1252</v>
      </c>
      <c r="V25" s="5" t="s">
        <v>1253</v>
      </c>
      <c r="W25" s="34">
        <v>34701</v>
      </c>
      <c r="X25" s="32">
        <v>43133</v>
      </c>
      <c r="Y25" s="11" t="s">
        <v>1383</v>
      </c>
      <c r="Z25" s="2">
        <v>43195</v>
      </c>
      <c r="AA25" s="2"/>
      <c r="AC25" t="s">
        <v>1158</v>
      </c>
    </row>
    <row r="26" spans="1:38">
      <c r="A26" s="1">
        <v>25</v>
      </c>
      <c r="B26" t="s">
        <v>37</v>
      </c>
      <c r="C26" s="2">
        <v>43136</v>
      </c>
      <c r="D26" t="s">
        <v>1238</v>
      </c>
      <c r="E26" t="s">
        <v>1239</v>
      </c>
      <c r="F26" t="s">
        <v>1240</v>
      </c>
      <c r="G26" s="6" t="s">
        <v>221</v>
      </c>
      <c r="H26" t="s">
        <v>34</v>
      </c>
      <c r="I26">
        <v>633181737</v>
      </c>
      <c r="K26" t="s">
        <v>1238</v>
      </c>
      <c r="L26" s="3">
        <v>43159</v>
      </c>
      <c r="M26" t="s">
        <v>35</v>
      </c>
      <c r="N26" s="14" t="s">
        <v>1241</v>
      </c>
      <c r="O26" s="7">
        <v>0</v>
      </c>
      <c r="P26" s="1">
        <v>1</v>
      </c>
      <c r="Q26" s="58">
        <v>0.21</v>
      </c>
      <c r="R26" s="7">
        <v>0</v>
      </c>
      <c r="S26" t="s">
        <v>36</v>
      </c>
      <c r="T26" s="4">
        <f t="shared" si="2"/>
        <v>0</v>
      </c>
      <c r="U26" t="s">
        <v>1238</v>
      </c>
      <c r="W26" s="3">
        <v>26428</v>
      </c>
      <c r="X26" s="3">
        <v>43136</v>
      </c>
      <c r="Y26" s="11" t="s">
        <v>1384</v>
      </c>
    </row>
    <row r="27" spans="1:38">
      <c r="A27" s="1">
        <v>26</v>
      </c>
      <c r="B27" t="s">
        <v>1242</v>
      </c>
      <c r="C27" s="2">
        <v>43137</v>
      </c>
      <c r="D27" s="61" t="s">
        <v>1243</v>
      </c>
      <c r="E27" t="s">
        <v>1244</v>
      </c>
      <c r="F27" t="s">
        <v>1245</v>
      </c>
      <c r="G27" s="6" t="s">
        <v>227</v>
      </c>
      <c r="H27" t="s">
        <v>34</v>
      </c>
      <c r="I27">
        <v>632341539</v>
      </c>
      <c r="K27" t="s">
        <v>1250</v>
      </c>
      <c r="L27" s="3">
        <v>43159</v>
      </c>
      <c r="M27" t="s">
        <v>35</v>
      </c>
      <c r="N27" s="14" t="s">
        <v>1246</v>
      </c>
      <c r="O27" s="7">
        <v>60</v>
      </c>
      <c r="P27" s="1">
        <v>1</v>
      </c>
      <c r="Q27" s="58">
        <v>0.21</v>
      </c>
      <c r="R27" s="7">
        <v>0</v>
      </c>
      <c r="S27" t="s">
        <v>36</v>
      </c>
      <c r="T27" s="4">
        <f t="shared" si="2"/>
        <v>72.599999999999994</v>
      </c>
      <c r="U27" t="s">
        <v>1247</v>
      </c>
      <c r="V27" s="5" t="s">
        <v>1248</v>
      </c>
      <c r="W27" s="3">
        <v>31413</v>
      </c>
      <c r="X27" s="3">
        <v>43137</v>
      </c>
      <c r="Y27" t="s">
        <v>1576</v>
      </c>
      <c r="Z27" s="64">
        <v>43259</v>
      </c>
      <c r="AA27" s="61" t="s">
        <v>1450</v>
      </c>
      <c r="AB27" s="61" t="s">
        <v>1486</v>
      </c>
      <c r="AC27" t="s">
        <v>1158</v>
      </c>
      <c r="AF27" s="3">
        <v>43217</v>
      </c>
      <c r="AG27" t="s">
        <v>1450</v>
      </c>
      <c r="AJ27" s="3">
        <v>43223</v>
      </c>
    </row>
    <row r="28" spans="1:38">
      <c r="A28" s="1">
        <v>27</v>
      </c>
      <c r="B28" t="s">
        <v>37</v>
      </c>
      <c r="C28" s="2">
        <v>43137</v>
      </c>
      <c r="D28" t="s">
        <v>1254</v>
      </c>
      <c r="E28" t="s">
        <v>1255</v>
      </c>
      <c r="F28" t="s">
        <v>1256</v>
      </c>
      <c r="G28" s="6" t="s">
        <v>245</v>
      </c>
      <c r="H28" t="s">
        <v>54</v>
      </c>
      <c r="I28">
        <v>631479610</v>
      </c>
      <c r="K28" t="s">
        <v>1254</v>
      </c>
      <c r="L28" s="3">
        <v>43159</v>
      </c>
      <c r="M28" t="s">
        <v>35</v>
      </c>
      <c r="N28" s="14" t="s">
        <v>1258</v>
      </c>
      <c r="O28" s="7">
        <v>24.79</v>
      </c>
      <c r="P28" s="1">
        <v>1</v>
      </c>
      <c r="Q28" s="58">
        <v>0.21</v>
      </c>
      <c r="R28" s="7">
        <v>0</v>
      </c>
      <c r="S28" t="s">
        <v>36</v>
      </c>
      <c r="T28" s="46">
        <f t="shared" si="2"/>
        <v>29.995899999999999</v>
      </c>
      <c r="U28" t="s">
        <v>1254</v>
      </c>
      <c r="W28" s="3">
        <v>29260</v>
      </c>
      <c r="X28" s="3">
        <v>43137</v>
      </c>
      <c r="Y28" s="11" t="s">
        <v>1305</v>
      </c>
      <c r="AC28" t="s">
        <v>366</v>
      </c>
    </row>
    <row r="29" spans="1:38">
      <c r="A29" s="1">
        <v>28</v>
      </c>
      <c r="B29" t="s">
        <v>37</v>
      </c>
      <c r="C29" s="2">
        <v>43138</v>
      </c>
      <c r="D29" t="s">
        <v>1263</v>
      </c>
      <c r="E29" t="s">
        <v>1264</v>
      </c>
      <c r="F29" t="s">
        <v>1265</v>
      </c>
      <c r="G29" s="6" t="s">
        <v>1257</v>
      </c>
      <c r="H29" t="s">
        <v>1266</v>
      </c>
      <c r="I29">
        <v>631184224</v>
      </c>
      <c r="K29" t="s">
        <v>1263</v>
      </c>
      <c r="L29" s="3">
        <v>43159</v>
      </c>
      <c r="M29" t="s">
        <v>35</v>
      </c>
      <c r="N29" s="14" t="s">
        <v>1267</v>
      </c>
      <c r="O29" s="7">
        <v>30</v>
      </c>
      <c r="P29" s="1">
        <v>1</v>
      </c>
      <c r="Q29" s="58">
        <v>0.21</v>
      </c>
      <c r="R29" s="7">
        <v>0</v>
      </c>
      <c r="S29" t="s">
        <v>36</v>
      </c>
      <c r="T29" s="4">
        <f t="shared" si="2"/>
        <v>36.299999999999997</v>
      </c>
      <c r="U29" t="s">
        <v>1263</v>
      </c>
      <c r="W29" s="3">
        <v>27171</v>
      </c>
      <c r="X29" s="3">
        <v>43138</v>
      </c>
      <c r="Y29" s="11" t="s">
        <v>1384</v>
      </c>
    </row>
    <row r="30" spans="1:38">
      <c r="A30" s="1">
        <v>29</v>
      </c>
      <c r="B30" t="s">
        <v>37</v>
      </c>
      <c r="C30" s="2">
        <v>43144</v>
      </c>
      <c r="D30" t="s">
        <v>1270</v>
      </c>
      <c r="E30" t="s">
        <v>1271</v>
      </c>
      <c r="F30" t="s">
        <v>1272</v>
      </c>
      <c r="G30" s="6" t="s">
        <v>239</v>
      </c>
      <c r="H30" t="s">
        <v>86</v>
      </c>
      <c r="I30">
        <v>632293747</v>
      </c>
      <c r="K30" t="s">
        <v>1270</v>
      </c>
      <c r="L30" s="3">
        <v>43159</v>
      </c>
      <c r="M30" t="s">
        <v>35</v>
      </c>
      <c r="N30" s="14" t="s">
        <v>1273</v>
      </c>
      <c r="O30" s="7">
        <v>30</v>
      </c>
      <c r="P30" s="1">
        <v>1</v>
      </c>
      <c r="Q30" s="58">
        <v>0.21</v>
      </c>
      <c r="R30" s="7">
        <v>0</v>
      </c>
      <c r="S30" t="s">
        <v>36</v>
      </c>
      <c r="T30" s="4">
        <f t="shared" si="2"/>
        <v>36.299999999999997</v>
      </c>
      <c r="U30" t="s">
        <v>1270</v>
      </c>
      <c r="W30" s="3">
        <v>27400</v>
      </c>
      <c r="X30" s="3">
        <v>43144</v>
      </c>
      <c r="Y30" s="11" t="s">
        <v>1415</v>
      </c>
    </row>
    <row r="31" spans="1:38">
      <c r="A31" s="1">
        <v>30</v>
      </c>
      <c r="B31" t="s">
        <v>40</v>
      </c>
      <c r="C31" s="2">
        <v>43146</v>
      </c>
      <c r="D31" t="s">
        <v>1277</v>
      </c>
      <c r="E31" t="s">
        <v>1278</v>
      </c>
      <c r="F31" t="s">
        <v>1279</v>
      </c>
      <c r="G31" s="6" t="s">
        <v>221</v>
      </c>
      <c r="H31" t="s">
        <v>34</v>
      </c>
      <c r="I31">
        <v>696904143</v>
      </c>
      <c r="K31" t="s">
        <v>1277</v>
      </c>
      <c r="L31" s="3">
        <v>43159</v>
      </c>
      <c r="M31" t="s">
        <v>35</v>
      </c>
      <c r="N31" s="14" t="s">
        <v>1280</v>
      </c>
      <c r="O31" s="7">
        <v>60</v>
      </c>
      <c r="P31" s="1">
        <v>1</v>
      </c>
      <c r="Q31" s="58">
        <v>0.21</v>
      </c>
      <c r="R31" s="7">
        <v>0</v>
      </c>
      <c r="S31" t="s">
        <v>36</v>
      </c>
      <c r="T31" s="4">
        <f t="shared" si="2"/>
        <v>72.599999999999994</v>
      </c>
      <c r="U31" t="s">
        <v>1281</v>
      </c>
      <c r="V31" s="5" t="s">
        <v>1282</v>
      </c>
      <c r="W31" s="3">
        <v>29952</v>
      </c>
      <c r="X31" s="3">
        <v>43146</v>
      </c>
      <c r="Y31" s="11" t="s">
        <v>1341</v>
      </c>
      <c r="Z31" s="1" t="s">
        <v>1339</v>
      </c>
      <c r="AC31" t="s">
        <v>1158</v>
      </c>
    </row>
    <row r="32" spans="1:38" s="31" customFormat="1">
      <c r="A32" s="30">
        <v>31</v>
      </c>
      <c r="B32" t="s">
        <v>33</v>
      </c>
      <c r="C32" s="32">
        <v>43146</v>
      </c>
      <c r="D32" t="s">
        <v>308</v>
      </c>
      <c r="E32" t="s">
        <v>309</v>
      </c>
      <c r="F32" t="s">
        <v>1115</v>
      </c>
      <c r="G32" s="6" t="s">
        <v>221</v>
      </c>
      <c r="H32" t="s">
        <v>34</v>
      </c>
      <c r="K32" s="31" t="s">
        <v>237</v>
      </c>
      <c r="L32" s="34">
        <v>43159</v>
      </c>
      <c r="M32" t="s">
        <v>35</v>
      </c>
      <c r="N32" s="14" t="s">
        <v>1283</v>
      </c>
      <c r="O32" s="9">
        <v>41.32</v>
      </c>
      <c r="P32" s="1">
        <v>1</v>
      </c>
      <c r="Q32" s="58">
        <v>0.21</v>
      </c>
      <c r="R32" s="7">
        <v>0</v>
      </c>
      <c r="S32" t="s">
        <v>36</v>
      </c>
      <c r="T32" s="4">
        <f t="shared" si="2"/>
        <v>49.997199999999999</v>
      </c>
      <c r="U32" t="s">
        <v>1284</v>
      </c>
      <c r="V32" s="5"/>
      <c r="W32" s="34">
        <v>29949</v>
      </c>
      <c r="X32" s="32">
        <v>43146</v>
      </c>
      <c r="Y32" s="11" t="s">
        <v>1285</v>
      </c>
      <c r="Z32" s="1"/>
      <c r="AA32" s="1"/>
      <c r="AF32"/>
      <c r="AG32" s="34"/>
      <c r="AJ32" s="34"/>
      <c r="AL32"/>
    </row>
    <row r="33" spans="1:36" s="31" customFormat="1">
      <c r="A33" s="30">
        <v>32</v>
      </c>
      <c r="B33" t="s">
        <v>52</v>
      </c>
      <c r="C33" s="32">
        <v>43146</v>
      </c>
      <c r="D33" s="31" t="s">
        <v>458</v>
      </c>
      <c r="E33" s="31" t="s">
        <v>84</v>
      </c>
      <c r="F33" s="31" t="s">
        <v>138</v>
      </c>
      <c r="G33" s="33" t="s">
        <v>227</v>
      </c>
      <c r="H33" s="31" t="s">
        <v>203</v>
      </c>
      <c r="K33" s="31" t="s">
        <v>53</v>
      </c>
      <c r="L33" s="34">
        <v>43159</v>
      </c>
      <c r="M33" s="31" t="s">
        <v>35</v>
      </c>
      <c r="N33" s="14" t="s">
        <v>1287</v>
      </c>
      <c r="O33" s="38">
        <v>41.32</v>
      </c>
      <c r="P33" s="30">
        <v>1</v>
      </c>
      <c r="Q33" s="37">
        <v>0.21</v>
      </c>
      <c r="R33" s="38">
        <v>0</v>
      </c>
      <c r="S33" s="31" t="s">
        <v>36</v>
      </c>
      <c r="T33" s="39">
        <f t="shared" si="2"/>
        <v>49.997199999999999</v>
      </c>
      <c r="U33" t="s">
        <v>1288</v>
      </c>
      <c r="V33" s="5"/>
      <c r="W33" s="34">
        <v>26104</v>
      </c>
      <c r="X33" s="32">
        <v>43146</v>
      </c>
      <c r="Y33" s="11" t="s">
        <v>151</v>
      </c>
      <c r="Z33" s="1"/>
      <c r="AA33" s="1"/>
      <c r="AG33" s="34"/>
      <c r="AJ33" s="34"/>
    </row>
    <row r="34" spans="1:36">
      <c r="A34" s="1">
        <v>33</v>
      </c>
      <c r="B34" t="s">
        <v>37</v>
      </c>
      <c r="C34" s="2">
        <v>43147</v>
      </c>
      <c r="D34" t="s">
        <v>1274</v>
      </c>
      <c r="E34" t="s">
        <v>78</v>
      </c>
      <c r="F34" t="s">
        <v>1275</v>
      </c>
      <c r="G34" s="6" t="s">
        <v>238</v>
      </c>
      <c r="H34" t="s">
        <v>48</v>
      </c>
      <c r="I34">
        <v>653306936</v>
      </c>
      <c r="K34" t="s">
        <v>1274</v>
      </c>
      <c r="L34" s="3">
        <v>43159</v>
      </c>
      <c r="M34" t="s">
        <v>35</v>
      </c>
      <c r="N34" s="14" t="s">
        <v>1276</v>
      </c>
      <c r="O34" s="7">
        <v>30</v>
      </c>
      <c r="P34" s="1">
        <v>1</v>
      </c>
      <c r="Q34" s="58">
        <v>0.21</v>
      </c>
      <c r="R34" s="7">
        <v>0</v>
      </c>
      <c r="S34" t="s">
        <v>36</v>
      </c>
      <c r="T34" s="4">
        <f t="shared" si="2"/>
        <v>36.299999999999997</v>
      </c>
      <c r="U34" t="s">
        <v>1274</v>
      </c>
      <c r="W34" s="3">
        <v>28600</v>
      </c>
      <c r="X34" s="3">
        <v>43147</v>
      </c>
      <c r="Y34" s="11" t="s">
        <v>1343</v>
      </c>
      <c r="AC34" t="s">
        <v>366</v>
      </c>
    </row>
    <row r="35" spans="1:36" s="31" customFormat="1">
      <c r="A35" s="1">
        <v>34</v>
      </c>
      <c r="B35" s="31" t="s">
        <v>52</v>
      </c>
      <c r="C35" s="32">
        <v>43153</v>
      </c>
      <c r="D35" s="31" t="s">
        <v>256</v>
      </c>
      <c r="E35" s="31" t="s">
        <v>155</v>
      </c>
      <c r="F35" s="31" t="s">
        <v>138</v>
      </c>
      <c r="G35" s="33" t="s">
        <v>227</v>
      </c>
      <c r="H35" s="31" t="s">
        <v>203</v>
      </c>
      <c r="K35" s="31" t="s">
        <v>53</v>
      </c>
      <c r="L35" s="34">
        <v>43159</v>
      </c>
      <c r="M35" s="31" t="s">
        <v>35</v>
      </c>
      <c r="N35" s="14" t="s">
        <v>1294</v>
      </c>
      <c r="O35" s="38">
        <v>41.32</v>
      </c>
      <c r="P35" s="30">
        <v>1</v>
      </c>
      <c r="Q35" s="37">
        <v>0.21</v>
      </c>
      <c r="R35" s="38">
        <v>0</v>
      </c>
      <c r="S35" s="31" t="s">
        <v>36</v>
      </c>
      <c r="T35" s="39">
        <f t="shared" si="2"/>
        <v>49.997199999999999</v>
      </c>
      <c r="U35"/>
      <c r="V35" s="5"/>
      <c r="W35" s="34"/>
      <c r="X35" s="32">
        <v>43153</v>
      </c>
      <c r="Y35" s="11" t="s">
        <v>151</v>
      </c>
      <c r="Z35" s="1"/>
      <c r="AA35" s="1"/>
      <c r="AB35" s="30"/>
      <c r="AC35"/>
      <c r="AG35" s="42"/>
      <c r="AJ35" s="34"/>
    </row>
    <row r="36" spans="1:36" s="31" customFormat="1">
      <c r="A36" s="30">
        <v>35</v>
      </c>
      <c r="B36" t="s">
        <v>52</v>
      </c>
      <c r="C36" s="32">
        <v>43153</v>
      </c>
      <c r="D36" s="31" t="s">
        <v>458</v>
      </c>
      <c r="E36" s="31" t="s">
        <v>84</v>
      </c>
      <c r="F36" s="31" t="s">
        <v>138</v>
      </c>
      <c r="G36" s="33" t="s">
        <v>227</v>
      </c>
      <c r="H36" s="31" t="s">
        <v>203</v>
      </c>
      <c r="K36" s="31" t="s">
        <v>53</v>
      </c>
      <c r="L36" s="34">
        <v>43159</v>
      </c>
      <c r="M36" s="31" t="s">
        <v>35</v>
      </c>
      <c r="N36" s="14" t="s">
        <v>1295</v>
      </c>
      <c r="O36" s="38">
        <v>60</v>
      </c>
      <c r="P36" s="30">
        <v>1</v>
      </c>
      <c r="Q36" s="37">
        <v>0.21</v>
      </c>
      <c r="R36" s="38">
        <v>0</v>
      </c>
      <c r="S36" s="31" t="s">
        <v>36</v>
      </c>
      <c r="T36" s="39">
        <f t="shared" ref="T36:T61" si="3">(O36*P36)*Q36+O36*P36</f>
        <v>72.599999999999994</v>
      </c>
      <c r="U36" t="s">
        <v>1296</v>
      </c>
      <c r="V36" s="5" t="s">
        <v>1297</v>
      </c>
      <c r="W36" s="34">
        <v>29255</v>
      </c>
      <c r="X36" s="32">
        <v>43153</v>
      </c>
      <c r="Y36" s="11" t="s">
        <v>1416</v>
      </c>
      <c r="Z36" s="1"/>
      <c r="AA36" s="1"/>
      <c r="AC36" t="s">
        <v>1298</v>
      </c>
      <c r="AG36" s="34"/>
      <c r="AJ36" s="34"/>
    </row>
    <row r="37" spans="1:36">
      <c r="A37" s="1">
        <v>36</v>
      </c>
      <c r="B37" t="s">
        <v>438</v>
      </c>
      <c r="C37" s="2">
        <v>43153</v>
      </c>
      <c r="D37" t="s">
        <v>1299</v>
      </c>
      <c r="E37" t="s">
        <v>1300</v>
      </c>
      <c r="F37" t="s">
        <v>1301</v>
      </c>
      <c r="G37" s="6" t="s">
        <v>221</v>
      </c>
      <c r="H37" t="s">
        <v>34</v>
      </c>
      <c r="K37" t="s">
        <v>1299</v>
      </c>
      <c r="L37" s="3">
        <v>43159</v>
      </c>
      <c r="M37" t="s">
        <v>35</v>
      </c>
      <c r="N37" s="14" t="s">
        <v>1302</v>
      </c>
      <c r="O37" s="7">
        <v>60</v>
      </c>
      <c r="P37" s="1">
        <v>1</v>
      </c>
      <c r="Q37" s="58">
        <v>0.21</v>
      </c>
      <c r="R37" s="7">
        <v>0</v>
      </c>
      <c r="S37" t="s">
        <v>36</v>
      </c>
      <c r="T37" s="4">
        <f t="shared" si="3"/>
        <v>72.599999999999994</v>
      </c>
      <c r="U37" t="s">
        <v>443</v>
      </c>
      <c r="V37" s="5" t="s">
        <v>1303</v>
      </c>
      <c r="W37" s="3">
        <v>34048</v>
      </c>
      <c r="X37" s="3">
        <v>43153</v>
      </c>
      <c r="Y37" t="s">
        <v>1350</v>
      </c>
      <c r="Z37" s="2">
        <v>43186</v>
      </c>
      <c r="AA37" s="2"/>
      <c r="AC37" t="s">
        <v>1298</v>
      </c>
    </row>
    <row r="38" spans="1:36">
      <c r="A38" s="1">
        <v>37</v>
      </c>
      <c r="B38" t="s">
        <v>37</v>
      </c>
      <c r="C38" s="2">
        <v>43157</v>
      </c>
      <c r="D38" t="s">
        <v>402</v>
      </c>
      <c r="E38" t="s">
        <v>403</v>
      </c>
      <c r="F38" t="s">
        <v>1256</v>
      </c>
      <c r="G38" s="6" t="s">
        <v>245</v>
      </c>
      <c r="H38" t="s">
        <v>54</v>
      </c>
      <c r="I38">
        <v>632290678</v>
      </c>
      <c r="K38" t="s">
        <v>402</v>
      </c>
      <c r="L38" s="3">
        <v>43159</v>
      </c>
      <c r="M38" t="s">
        <v>35</v>
      </c>
      <c r="N38" s="14" t="s">
        <v>1304</v>
      </c>
      <c r="O38" s="7">
        <v>30</v>
      </c>
      <c r="P38" s="1">
        <v>1</v>
      </c>
      <c r="Q38" s="58">
        <v>0.21</v>
      </c>
      <c r="R38" s="7">
        <v>0</v>
      </c>
      <c r="S38" t="s">
        <v>36</v>
      </c>
      <c r="T38" s="4">
        <f t="shared" si="3"/>
        <v>36.299999999999997</v>
      </c>
      <c r="U38" t="s">
        <v>402</v>
      </c>
      <c r="W38" s="3">
        <v>27458</v>
      </c>
      <c r="X38" s="3">
        <v>43157</v>
      </c>
      <c r="Y38" s="11" t="s">
        <v>1575</v>
      </c>
    </row>
    <row r="39" spans="1:36">
      <c r="A39" s="1">
        <v>38</v>
      </c>
      <c r="B39" t="s">
        <v>40</v>
      </c>
      <c r="C39" s="3">
        <v>43160</v>
      </c>
      <c r="D39" t="s">
        <v>1306</v>
      </c>
      <c r="E39" t="s">
        <v>1307</v>
      </c>
      <c r="F39" t="s">
        <v>1308</v>
      </c>
      <c r="G39" s="6" t="s">
        <v>221</v>
      </c>
      <c r="H39" t="s">
        <v>34</v>
      </c>
      <c r="I39">
        <v>615984130</v>
      </c>
      <c r="K39" t="s">
        <v>1306</v>
      </c>
      <c r="L39" s="3">
        <v>43190</v>
      </c>
      <c r="M39" t="s">
        <v>35</v>
      </c>
      <c r="N39" s="14" t="s">
        <v>1309</v>
      </c>
      <c r="O39" s="7">
        <v>60</v>
      </c>
      <c r="P39" s="1">
        <v>1</v>
      </c>
      <c r="Q39" s="58">
        <v>0.21</v>
      </c>
      <c r="R39" s="7">
        <v>0</v>
      </c>
      <c r="S39" t="s">
        <v>36</v>
      </c>
      <c r="T39" s="4">
        <f t="shared" si="3"/>
        <v>72.599999999999994</v>
      </c>
      <c r="U39" t="s">
        <v>1310</v>
      </c>
      <c r="V39" s="5" t="s">
        <v>1317</v>
      </c>
      <c r="W39" s="3">
        <v>35140</v>
      </c>
      <c r="X39" s="3">
        <v>43160</v>
      </c>
      <c r="Y39" s="11" t="s">
        <v>1377</v>
      </c>
      <c r="Z39" s="2">
        <v>43186</v>
      </c>
      <c r="AA39" s="2"/>
      <c r="AC39" t="s">
        <v>1158</v>
      </c>
    </row>
    <row r="40" spans="1:36">
      <c r="A40" s="1">
        <v>39</v>
      </c>
      <c r="B40" t="s">
        <v>40</v>
      </c>
      <c r="C40" s="2">
        <v>43160</v>
      </c>
      <c r="D40" t="s">
        <v>1311</v>
      </c>
      <c r="E40" t="s">
        <v>1312</v>
      </c>
      <c r="F40" t="s">
        <v>1313</v>
      </c>
      <c r="G40" s="6" t="s">
        <v>221</v>
      </c>
      <c r="H40" t="s">
        <v>34</v>
      </c>
      <c r="I40">
        <v>610559540</v>
      </c>
      <c r="K40" t="s">
        <v>1311</v>
      </c>
      <c r="L40" s="3">
        <v>43190</v>
      </c>
      <c r="M40" t="s">
        <v>35</v>
      </c>
      <c r="N40" s="14" t="s">
        <v>1314</v>
      </c>
      <c r="O40" s="7">
        <v>60</v>
      </c>
      <c r="P40" s="1">
        <v>1</v>
      </c>
      <c r="Q40" s="58">
        <v>0.21</v>
      </c>
      <c r="R40" s="7">
        <v>0</v>
      </c>
      <c r="S40" t="s">
        <v>36</v>
      </c>
      <c r="T40" s="4">
        <f t="shared" si="3"/>
        <v>72.599999999999994</v>
      </c>
      <c r="U40" t="s">
        <v>1315</v>
      </c>
      <c r="V40" s="5" t="s">
        <v>1316</v>
      </c>
      <c r="W40" s="3">
        <v>35826</v>
      </c>
      <c r="X40" s="3">
        <v>43160</v>
      </c>
      <c r="Y40" s="11" t="s">
        <v>1377</v>
      </c>
      <c r="Z40" s="2">
        <v>43186</v>
      </c>
      <c r="AA40" s="2"/>
      <c r="AC40" t="s">
        <v>1158</v>
      </c>
    </row>
    <row r="41" spans="1:36">
      <c r="A41" s="1">
        <v>40</v>
      </c>
      <c r="B41" t="s">
        <v>37</v>
      </c>
      <c r="C41" s="2">
        <v>43165</v>
      </c>
      <c r="D41" t="s">
        <v>1319</v>
      </c>
      <c r="E41" t="s">
        <v>1320</v>
      </c>
      <c r="F41" t="s">
        <v>1321</v>
      </c>
      <c r="G41" s="6" t="s">
        <v>220</v>
      </c>
      <c r="H41" t="s">
        <v>39</v>
      </c>
      <c r="I41">
        <v>631146490</v>
      </c>
      <c r="K41" t="s">
        <v>1319</v>
      </c>
      <c r="L41" s="3">
        <v>43190</v>
      </c>
      <c r="M41" t="s">
        <v>35</v>
      </c>
      <c r="N41" s="14" t="s">
        <v>1322</v>
      </c>
      <c r="O41" s="7">
        <v>30</v>
      </c>
      <c r="P41" s="1">
        <v>1</v>
      </c>
      <c r="Q41" s="58">
        <v>0.21</v>
      </c>
      <c r="R41" s="7">
        <v>0</v>
      </c>
      <c r="S41" t="s">
        <v>36</v>
      </c>
      <c r="T41" s="4">
        <f t="shared" si="3"/>
        <v>36.299999999999997</v>
      </c>
      <c r="U41" t="s">
        <v>1319</v>
      </c>
      <c r="W41" s="3">
        <v>31944</v>
      </c>
      <c r="X41" s="3">
        <v>43165</v>
      </c>
      <c r="Y41" s="11" t="s">
        <v>1387</v>
      </c>
    </row>
    <row r="42" spans="1:36">
      <c r="A42" s="1">
        <v>41</v>
      </c>
      <c r="B42" t="s">
        <v>37</v>
      </c>
      <c r="C42" s="2">
        <v>43167</v>
      </c>
      <c r="D42" t="s">
        <v>1331</v>
      </c>
      <c r="E42" t="s">
        <v>1332</v>
      </c>
      <c r="F42" t="s">
        <v>1333</v>
      </c>
      <c r="G42" s="6" t="s">
        <v>219</v>
      </c>
      <c r="H42" t="s">
        <v>38</v>
      </c>
      <c r="I42">
        <v>631626751</v>
      </c>
      <c r="K42" t="s">
        <v>1331</v>
      </c>
      <c r="L42" s="3">
        <v>43190</v>
      </c>
      <c r="M42" t="s">
        <v>35</v>
      </c>
      <c r="N42" s="14" t="s">
        <v>1334</v>
      </c>
      <c r="O42" s="7">
        <v>30</v>
      </c>
      <c r="P42" s="1">
        <v>1</v>
      </c>
      <c r="Q42" s="58">
        <v>0.21</v>
      </c>
      <c r="R42" s="7">
        <v>0</v>
      </c>
      <c r="S42" t="s">
        <v>36</v>
      </c>
      <c r="T42" s="4">
        <f t="shared" si="3"/>
        <v>36.299999999999997</v>
      </c>
      <c r="U42" t="s">
        <v>1331</v>
      </c>
      <c r="W42" s="3">
        <v>29569</v>
      </c>
      <c r="X42" s="3">
        <v>43167</v>
      </c>
      <c r="Y42" s="11" t="s">
        <v>1378</v>
      </c>
    </row>
    <row r="43" spans="1:36" s="31" customFormat="1">
      <c r="A43" s="30">
        <v>42</v>
      </c>
      <c r="B43" t="s">
        <v>417</v>
      </c>
      <c r="C43" s="32">
        <v>43167</v>
      </c>
      <c r="D43" s="31" t="s">
        <v>418</v>
      </c>
      <c r="E43" s="31" t="s">
        <v>182</v>
      </c>
      <c r="F43" t="s">
        <v>843</v>
      </c>
      <c r="G43" s="33" t="s">
        <v>227</v>
      </c>
      <c r="H43" s="31" t="s">
        <v>203</v>
      </c>
      <c r="K43" s="31" t="s">
        <v>418</v>
      </c>
      <c r="L43" s="34">
        <v>43190</v>
      </c>
      <c r="M43" s="31" t="s">
        <v>35</v>
      </c>
      <c r="N43" s="14" t="s">
        <v>1335</v>
      </c>
      <c r="O43" s="38">
        <v>41.32</v>
      </c>
      <c r="P43" s="30">
        <v>1</v>
      </c>
      <c r="Q43" s="37">
        <v>0.21</v>
      </c>
      <c r="R43" s="38">
        <v>0</v>
      </c>
      <c r="S43" s="31" t="s">
        <v>36</v>
      </c>
      <c r="T43" s="39">
        <f t="shared" si="3"/>
        <v>49.997199999999999</v>
      </c>
      <c r="U43" t="s">
        <v>1336</v>
      </c>
      <c r="V43" s="40"/>
      <c r="W43" s="34">
        <v>36052</v>
      </c>
      <c r="X43" s="32">
        <v>43167</v>
      </c>
      <c r="Y43" s="11" t="s">
        <v>151</v>
      </c>
      <c r="Z43" s="1"/>
      <c r="AA43" s="1"/>
    </row>
    <row r="44" spans="1:36" s="31" customFormat="1">
      <c r="A44" s="30">
        <v>43</v>
      </c>
      <c r="B44" s="31" t="s">
        <v>37</v>
      </c>
      <c r="C44" s="32">
        <v>43167</v>
      </c>
      <c r="D44" s="31" t="s">
        <v>868</v>
      </c>
      <c r="E44" t="s">
        <v>869</v>
      </c>
      <c r="F44" s="31" t="s">
        <v>870</v>
      </c>
      <c r="G44" s="63" t="s">
        <v>219</v>
      </c>
      <c r="H44" s="31" t="s">
        <v>38</v>
      </c>
      <c r="K44" s="31" t="s">
        <v>868</v>
      </c>
      <c r="L44" s="34">
        <v>43190</v>
      </c>
      <c r="M44" s="31" t="s">
        <v>35</v>
      </c>
      <c r="N44" s="14" t="s">
        <v>871</v>
      </c>
      <c r="O44" s="36">
        <v>60</v>
      </c>
      <c r="P44" s="30">
        <v>1</v>
      </c>
      <c r="Q44" s="37">
        <v>0.21</v>
      </c>
      <c r="R44" s="38">
        <v>0</v>
      </c>
      <c r="S44" s="31" t="s">
        <v>36</v>
      </c>
      <c r="T44" s="39">
        <f t="shared" si="3"/>
        <v>72.599999999999994</v>
      </c>
      <c r="U44" t="s">
        <v>872</v>
      </c>
      <c r="V44" s="5" t="s">
        <v>1337</v>
      </c>
      <c r="W44" s="34">
        <v>33239</v>
      </c>
      <c r="X44" s="32">
        <v>43167</v>
      </c>
      <c r="Y44" s="11" t="s">
        <v>1416</v>
      </c>
      <c r="Z44" s="2">
        <v>43210</v>
      </c>
      <c r="AA44" s="2"/>
      <c r="AC44" t="s">
        <v>1158</v>
      </c>
      <c r="AG44" s="34"/>
      <c r="AJ44" s="34"/>
    </row>
    <row r="45" spans="1:36">
      <c r="A45" s="1">
        <v>44</v>
      </c>
      <c r="B45" t="s">
        <v>37</v>
      </c>
      <c r="C45" s="2">
        <v>43179</v>
      </c>
      <c r="D45" t="s">
        <v>1345</v>
      </c>
      <c r="E45" t="s">
        <v>1507</v>
      </c>
      <c r="F45" t="s">
        <v>1346</v>
      </c>
      <c r="G45" s="6" t="s">
        <v>219</v>
      </c>
      <c r="H45" t="s">
        <v>38</v>
      </c>
      <c r="I45">
        <v>632138115</v>
      </c>
      <c r="K45" t="s">
        <v>1345</v>
      </c>
      <c r="L45" s="3">
        <v>43190</v>
      </c>
      <c r="M45" t="s">
        <v>35</v>
      </c>
      <c r="N45" s="14" t="s">
        <v>1347</v>
      </c>
      <c r="O45" s="7">
        <v>30</v>
      </c>
      <c r="P45" s="1">
        <v>1</v>
      </c>
      <c r="Q45" s="58">
        <v>0.21</v>
      </c>
      <c r="R45" s="7">
        <v>0</v>
      </c>
      <c r="S45" t="s">
        <v>36</v>
      </c>
      <c r="T45" s="46">
        <f t="shared" si="3"/>
        <v>36.299999999999997</v>
      </c>
      <c r="U45" t="s">
        <v>1345</v>
      </c>
      <c r="W45" s="3">
        <v>29402</v>
      </c>
      <c r="X45" s="3">
        <v>43179</v>
      </c>
      <c r="Y45" s="11" t="s">
        <v>1508</v>
      </c>
    </row>
    <row r="46" spans="1:36">
      <c r="A46" s="30">
        <v>45</v>
      </c>
      <c r="B46" t="s">
        <v>52</v>
      </c>
      <c r="C46" s="2">
        <v>43182</v>
      </c>
      <c r="D46" s="31" t="s">
        <v>256</v>
      </c>
      <c r="E46" s="31" t="s">
        <v>155</v>
      </c>
      <c r="F46" s="31" t="s">
        <v>138</v>
      </c>
      <c r="G46" s="33" t="s">
        <v>227</v>
      </c>
      <c r="H46" s="31" t="s">
        <v>203</v>
      </c>
      <c r="I46" s="31"/>
      <c r="J46" s="31"/>
      <c r="K46" s="31" t="s">
        <v>53</v>
      </c>
      <c r="L46" s="34">
        <v>43190</v>
      </c>
      <c r="M46" s="31" t="s">
        <v>35</v>
      </c>
      <c r="N46" s="14" t="s">
        <v>1351</v>
      </c>
      <c r="O46" s="50">
        <v>41.32</v>
      </c>
      <c r="P46" s="1">
        <v>1</v>
      </c>
      <c r="Q46" s="58">
        <v>0.21</v>
      </c>
      <c r="R46" s="7">
        <v>0</v>
      </c>
      <c r="S46" t="s">
        <v>36</v>
      </c>
      <c r="T46" s="4">
        <f t="shared" si="3"/>
        <v>49.997199999999999</v>
      </c>
      <c r="W46" s="3">
        <v>30757</v>
      </c>
      <c r="X46" s="3">
        <v>43182</v>
      </c>
      <c r="Y46" s="11" t="s">
        <v>151</v>
      </c>
      <c r="AJ46" s="3"/>
    </row>
    <row r="47" spans="1:36">
      <c r="A47" s="1">
        <v>46</v>
      </c>
      <c r="B47" t="s">
        <v>80</v>
      </c>
      <c r="C47" s="2">
        <v>43182</v>
      </c>
      <c r="D47" t="s">
        <v>1353</v>
      </c>
      <c r="E47" t="s">
        <v>1354</v>
      </c>
      <c r="F47" t="s">
        <v>1355</v>
      </c>
      <c r="G47" s="6" t="s">
        <v>294</v>
      </c>
      <c r="H47" t="s">
        <v>103</v>
      </c>
      <c r="K47" t="s">
        <v>1353</v>
      </c>
      <c r="L47" s="3">
        <v>43190</v>
      </c>
      <c r="M47" t="s">
        <v>35</v>
      </c>
      <c r="N47" s="14" t="s">
        <v>1356</v>
      </c>
      <c r="O47" s="7">
        <v>60</v>
      </c>
      <c r="P47" s="1">
        <v>1</v>
      </c>
      <c r="Q47" s="58">
        <v>0.21</v>
      </c>
      <c r="R47" s="7">
        <v>0</v>
      </c>
      <c r="S47" t="s">
        <v>36</v>
      </c>
      <c r="T47" s="4">
        <f t="shared" si="3"/>
        <v>72.599999999999994</v>
      </c>
      <c r="U47" t="s">
        <v>1357</v>
      </c>
      <c r="V47" s="5" t="s">
        <v>1358</v>
      </c>
      <c r="W47" s="3">
        <v>25913</v>
      </c>
      <c r="X47" s="3">
        <v>43182</v>
      </c>
      <c r="Y47" s="11" t="s">
        <v>1485</v>
      </c>
      <c r="Z47" s="2">
        <v>43227</v>
      </c>
      <c r="AA47" s="2"/>
      <c r="AC47" t="s">
        <v>1158</v>
      </c>
      <c r="AD47" t="s">
        <v>1360</v>
      </c>
      <c r="AF47" t="s">
        <v>1417</v>
      </c>
      <c r="AG47" s="3">
        <v>43214</v>
      </c>
      <c r="AJ47" s="3">
        <v>43223</v>
      </c>
    </row>
    <row r="48" spans="1:36">
      <c r="A48" s="1">
        <v>47</v>
      </c>
      <c r="B48" t="s">
        <v>80</v>
      </c>
      <c r="C48" s="2">
        <v>43182</v>
      </c>
      <c r="D48" t="s">
        <v>1353</v>
      </c>
      <c r="E48" t="s">
        <v>1354</v>
      </c>
      <c r="F48" t="s">
        <v>1355</v>
      </c>
      <c r="G48" s="6" t="s">
        <v>294</v>
      </c>
      <c r="H48" t="s">
        <v>103</v>
      </c>
      <c r="K48" t="s">
        <v>1353</v>
      </c>
      <c r="L48" s="3">
        <v>43190</v>
      </c>
      <c r="M48" t="s">
        <v>35</v>
      </c>
      <c r="N48" s="14" t="s">
        <v>1361</v>
      </c>
      <c r="O48" s="7">
        <v>60</v>
      </c>
      <c r="P48" s="1">
        <v>1</v>
      </c>
      <c r="Q48" s="58">
        <v>0.21</v>
      </c>
      <c r="R48" s="7">
        <v>0</v>
      </c>
      <c r="S48" t="s">
        <v>36</v>
      </c>
      <c r="T48" s="4">
        <f t="shared" si="3"/>
        <v>72.599999999999994</v>
      </c>
      <c r="U48" t="s">
        <v>1362</v>
      </c>
      <c r="V48" s="5" t="s">
        <v>1363</v>
      </c>
      <c r="W48" s="3">
        <v>29818</v>
      </c>
      <c r="X48" s="3">
        <v>43182</v>
      </c>
      <c r="Y48" s="11" t="s">
        <v>1485</v>
      </c>
      <c r="Z48" s="2">
        <v>43227</v>
      </c>
      <c r="AA48" s="2"/>
      <c r="AC48" t="s">
        <v>1158</v>
      </c>
      <c r="AD48" t="s">
        <v>1360</v>
      </c>
      <c r="AF48" t="s">
        <v>1417</v>
      </c>
      <c r="AG48" s="3">
        <v>43214</v>
      </c>
      <c r="AJ48" s="3">
        <v>43223</v>
      </c>
    </row>
    <row r="49" spans="1:38">
      <c r="A49" s="1">
        <v>48</v>
      </c>
      <c r="B49" t="s">
        <v>40</v>
      </c>
      <c r="C49" s="2">
        <v>43182</v>
      </c>
      <c r="D49" t="s">
        <v>1364</v>
      </c>
      <c r="E49" t="s">
        <v>1365</v>
      </c>
      <c r="F49" t="s">
        <v>1021</v>
      </c>
      <c r="G49" s="6" t="s">
        <v>964</v>
      </c>
      <c r="H49" t="s">
        <v>1366</v>
      </c>
      <c r="I49">
        <v>602000274</v>
      </c>
      <c r="K49" t="s">
        <v>1364</v>
      </c>
      <c r="L49" s="3">
        <v>43190</v>
      </c>
      <c r="M49" t="s">
        <v>35</v>
      </c>
      <c r="N49" s="14" t="s">
        <v>1367</v>
      </c>
      <c r="O49" s="7">
        <v>60</v>
      </c>
      <c r="P49" s="1">
        <v>1</v>
      </c>
      <c r="Q49" s="58">
        <v>0.21</v>
      </c>
      <c r="R49" s="7">
        <v>0</v>
      </c>
      <c r="S49" t="s">
        <v>36</v>
      </c>
      <c r="T49" s="4">
        <f t="shared" si="3"/>
        <v>72.599999999999994</v>
      </c>
      <c r="U49" t="s">
        <v>1368</v>
      </c>
      <c r="V49" s="5" t="s">
        <v>1369</v>
      </c>
      <c r="W49" s="3">
        <v>32857</v>
      </c>
      <c r="X49" s="3">
        <v>43182</v>
      </c>
      <c r="Y49" t="s">
        <v>1489</v>
      </c>
      <c r="Z49" s="2">
        <v>43237</v>
      </c>
      <c r="AA49" s="64" t="s">
        <v>1491</v>
      </c>
      <c r="AC49" t="s">
        <v>1158</v>
      </c>
    </row>
    <row r="50" spans="1:38">
      <c r="A50" s="1">
        <v>49</v>
      </c>
      <c r="B50" t="s">
        <v>33</v>
      </c>
      <c r="C50" s="2">
        <v>43182</v>
      </c>
      <c r="D50" t="s">
        <v>1370</v>
      </c>
      <c r="E50" t="s">
        <v>1371</v>
      </c>
      <c r="F50" t="s">
        <v>1372</v>
      </c>
      <c r="G50" s="6" t="s">
        <v>236</v>
      </c>
      <c r="H50" t="s">
        <v>68</v>
      </c>
      <c r="I50">
        <v>631096639</v>
      </c>
      <c r="K50" s="31" t="s">
        <v>237</v>
      </c>
      <c r="L50" s="3">
        <v>43190</v>
      </c>
      <c r="M50" t="s">
        <v>35</v>
      </c>
      <c r="N50" s="14" t="s">
        <v>1373</v>
      </c>
      <c r="O50" s="7">
        <v>60</v>
      </c>
      <c r="P50" s="1">
        <v>1</v>
      </c>
      <c r="Q50" s="58">
        <v>0.21</v>
      </c>
      <c r="R50" s="7">
        <v>0</v>
      </c>
      <c r="S50" t="s">
        <v>36</v>
      </c>
      <c r="T50" s="4">
        <f t="shared" si="3"/>
        <v>72.599999999999994</v>
      </c>
      <c r="U50" t="s">
        <v>1374</v>
      </c>
      <c r="V50" s="5" t="s">
        <v>1375</v>
      </c>
      <c r="W50" s="3">
        <v>25934</v>
      </c>
      <c r="X50" s="3">
        <v>43182</v>
      </c>
      <c r="Y50" s="11" t="s">
        <v>1573</v>
      </c>
      <c r="Z50" s="2">
        <v>43252</v>
      </c>
      <c r="AC50" t="s">
        <v>1158</v>
      </c>
    </row>
    <row r="51" spans="1:38">
      <c r="A51" s="1">
        <v>50</v>
      </c>
      <c r="B51" t="s">
        <v>67</v>
      </c>
      <c r="C51" s="2">
        <v>43187</v>
      </c>
      <c r="D51" t="s">
        <v>311</v>
      </c>
      <c r="E51" t="s">
        <v>312</v>
      </c>
      <c r="F51" t="s">
        <v>1379</v>
      </c>
      <c r="G51" s="6" t="s">
        <v>293</v>
      </c>
      <c r="H51" t="s">
        <v>1380</v>
      </c>
      <c r="K51" t="s">
        <v>311</v>
      </c>
      <c r="L51" s="3">
        <v>43190</v>
      </c>
      <c r="M51" t="s">
        <v>35</v>
      </c>
      <c r="N51" s="14" t="s">
        <v>1381</v>
      </c>
      <c r="O51" s="7">
        <v>60</v>
      </c>
      <c r="P51" s="1">
        <v>1</v>
      </c>
      <c r="Q51" s="58">
        <v>0.21</v>
      </c>
      <c r="R51" s="7">
        <v>0</v>
      </c>
      <c r="S51" t="s">
        <v>36</v>
      </c>
      <c r="T51" s="4">
        <f t="shared" si="3"/>
        <v>72.599999999999994</v>
      </c>
      <c r="U51" t="s">
        <v>157</v>
      </c>
      <c r="V51" s="5" t="s">
        <v>1382</v>
      </c>
      <c r="W51" s="3">
        <v>27948</v>
      </c>
      <c r="X51" s="3">
        <v>43187</v>
      </c>
      <c r="Y51" s="11" t="s">
        <v>1485</v>
      </c>
      <c r="Z51" s="2">
        <v>43227</v>
      </c>
      <c r="AA51" s="2"/>
      <c r="AC51" t="s">
        <v>1158</v>
      </c>
      <c r="AD51" t="s">
        <v>1360</v>
      </c>
    </row>
    <row r="52" spans="1:38">
      <c r="A52" s="1">
        <v>51</v>
      </c>
      <c r="B52" t="s">
        <v>40</v>
      </c>
      <c r="C52" s="2">
        <v>43202</v>
      </c>
      <c r="D52" t="s">
        <v>1364</v>
      </c>
      <c r="E52" t="s">
        <v>1365</v>
      </c>
      <c r="F52" t="s">
        <v>1021</v>
      </c>
      <c r="G52" s="6" t="s">
        <v>964</v>
      </c>
      <c r="H52" t="s">
        <v>1366</v>
      </c>
      <c r="K52" t="s">
        <v>1364</v>
      </c>
      <c r="L52" s="3">
        <v>43220</v>
      </c>
      <c r="M52" t="s">
        <v>35</v>
      </c>
      <c r="N52" s="14" t="s">
        <v>1388</v>
      </c>
      <c r="O52" s="7">
        <v>60</v>
      </c>
      <c r="P52" s="1">
        <v>1</v>
      </c>
      <c r="Q52" s="58">
        <v>0.21</v>
      </c>
      <c r="R52" s="7">
        <v>0</v>
      </c>
      <c r="S52" t="s">
        <v>36</v>
      </c>
      <c r="T52" s="4">
        <f t="shared" si="3"/>
        <v>72.599999999999994</v>
      </c>
      <c r="U52" t="s">
        <v>1385</v>
      </c>
      <c r="V52" s="5" t="s">
        <v>1386</v>
      </c>
      <c r="W52" s="3">
        <v>30682</v>
      </c>
      <c r="X52" s="3">
        <v>43202</v>
      </c>
      <c r="Y52" s="11" t="s">
        <v>1584</v>
      </c>
      <c r="Z52" s="2">
        <v>43259</v>
      </c>
      <c r="AC52" t="s">
        <v>1158</v>
      </c>
      <c r="AF52" t="s">
        <v>123</v>
      </c>
      <c r="AG52" s="3">
        <v>43202</v>
      </c>
      <c r="AJ52" s="3">
        <v>43210</v>
      </c>
    </row>
    <row r="53" spans="1:38" s="31" customFormat="1">
      <c r="A53" s="30">
        <v>52</v>
      </c>
      <c r="B53" t="s">
        <v>40</v>
      </c>
      <c r="C53" s="32">
        <v>43202</v>
      </c>
      <c r="D53" t="s">
        <v>57</v>
      </c>
      <c r="E53" t="s">
        <v>58</v>
      </c>
      <c r="F53" t="s">
        <v>358</v>
      </c>
      <c r="G53" s="6" t="s">
        <v>221</v>
      </c>
      <c r="H53" t="s">
        <v>34</v>
      </c>
      <c r="K53" t="s">
        <v>57</v>
      </c>
      <c r="L53" s="34">
        <v>43220</v>
      </c>
      <c r="M53" t="s">
        <v>35</v>
      </c>
      <c r="N53" s="14" t="s">
        <v>1389</v>
      </c>
      <c r="O53" s="7">
        <v>60</v>
      </c>
      <c r="P53" s="1">
        <v>1</v>
      </c>
      <c r="Q53" s="58">
        <v>0.21</v>
      </c>
      <c r="R53" s="7">
        <v>0</v>
      </c>
      <c r="S53" t="s">
        <v>36</v>
      </c>
      <c r="T53" s="4">
        <f t="shared" si="3"/>
        <v>72.599999999999994</v>
      </c>
      <c r="U53" t="s">
        <v>1390</v>
      </c>
      <c r="V53" s="5" t="s">
        <v>1391</v>
      </c>
      <c r="W53" s="34">
        <v>35611</v>
      </c>
      <c r="X53" s="32">
        <v>43202</v>
      </c>
      <c r="Y53" t="s">
        <v>1487</v>
      </c>
      <c r="Z53" s="34">
        <v>43235</v>
      </c>
      <c r="AA53" s="34"/>
      <c r="AB53"/>
      <c r="AC53" t="s">
        <v>1158</v>
      </c>
      <c r="AD53" t="s">
        <v>1398</v>
      </c>
      <c r="AE53"/>
      <c r="AF53" t="s">
        <v>77</v>
      </c>
      <c r="AG53" s="34">
        <v>43202</v>
      </c>
      <c r="AI53" s="34"/>
      <c r="AJ53" s="34">
        <v>43216</v>
      </c>
    </row>
    <row r="54" spans="1:38">
      <c r="A54" s="1">
        <v>53</v>
      </c>
      <c r="B54" t="s">
        <v>40</v>
      </c>
      <c r="C54" s="2">
        <v>43202</v>
      </c>
      <c r="D54" t="s">
        <v>1392</v>
      </c>
      <c r="E54" t="s">
        <v>1393</v>
      </c>
      <c r="F54" t="s">
        <v>1394</v>
      </c>
      <c r="G54" s="6" t="s">
        <v>221</v>
      </c>
      <c r="H54" t="s">
        <v>34</v>
      </c>
      <c r="K54" t="s">
        <v>1392</v>
      </c>
      <c r="L54" s="3">
        <v>43220</v>
      </c>
      <c r="M54" t="s">
        <v>35</v>
      </c>
      <c r="N54" s="14" t="s">
        <v>1395</v>
      </c>
      <c r="O54" s="7">
        <v>60</v>
      </c>
      <c r="P54" s="1">
        <v>1</v>
      </c>
      <c r="Q54" s="58">
        <v>0.21</v>
      </c>
      <c r="R54" s="7">
        <v>0</v>
      </c>
      <c r="S54" t="s">
        <v>36</v>
      </c>
      <c r="T54" s="4">
        <f t="shared" si="3"/>
        <v>72.599999999999994</v>
      </c>
      <c r="U54" t="s">
        <v>1396</v>
      </c>
      <c r="V54" s="5" t="s">
        <v>1397</v>
      </c>
      <c r="W54" s="3">
        <v>36868</v>
      </c>
      <c r="X54" s="3">
        <v>43202</v>
      </c>
      <c r="Y54" s="11" t="s">
        <v>1564</v>
      </c>
      <c r="Z54" s="2">
        <v>43250</v>
      </c>
      <c r="AC54" t="s">
        <v>1158</v>
      </c>
      <c r="AD54" t="s">
        <v>40</v>
      </c>
      <c r="AF54" t="s">
        <v>1509</v>
      </c>
      <c r="AG54" s="3">
        <v>43229</v>
      </c>
      <c r="AJ54" s="3">
        <v>43242</v>
      </c>
    </row>
    <row r="55" spans="1:38">
      <c r="A55" s="1">
        <v>54</v>
      </c>
      <c r="B55" t="s">
        <v>59</v>
      </c>
      <c r="C55" s="2">
        <v>43202</v>
      </c>
      <c r="D55" t="s">
        <v>1399</v>
      </c>
      <c r="E55" t="s">
        <v>1400</v>
      </c>
      <c r="F55" t="s">
        <v>1401</v>
      </c>
      <c r="G55" s="6" t="s">
        <v>1402</v>
      </c>
      <c r="H55" t="s">
        <v>49</v>
      </c>
      <c r="K55" t="s">
        <v>1399</v>
      </c>
      <c r="L55" s="3">
        <v>43220</v>
      </c>
      <c r="M55" t="s">
        <v>35</v>
      </c>
      <c r="N55" s="14" t="s">
        <v>1403</v>
      </c>
      <c r="O55" s="7">
        <v>60</v>
      </c>
      <c r="P55" s="1">
        <v>1</v>
      </c>
      <c r="Q55" s="58">
        <v>0.21</v>
      </c>
      <c r="R55" s="7">
        <v>0</v>
      </c>
      <c r="S55" t="s">
        <v>36</v>
      </c>
      <c r="T55" s="4">
        <f t="shared" si="3"/>
        <v>72.599999999999994</v>
      </c>
      <c r="U55" t="s">
        <v>1404</v>
      </c>
      <c r="V55" s="5" t="s">
        <v>1405</v>
      </c>
      <c r="W55" s="3">
        <v>35365</v>
      </c>
      <c r="X55" s="3">
        <v>43202</v>
      </c>
      <c r="Y55" s="11" t="s">
        <v>1488</v>
      </c>
      <c r="AC55" t="s">
        <v>1158</v>
      </c>
      <c r="AD55" t="s">
        <v>59</v>
      </c>
      <c r="AF55" t="s">
        <v>1406</v>
      </c>
      <c r="AG55" s="3">
        <v>43202</v>
      </c>
      <c r="AJ55" s="3">
        <v>43210</v>
      </c>
    </row>
    <row r="56" spans="1:38">
      <c r="A56" s="1">
        <v>55</v>
      </c>
      <c r="B56" t="s">
        <v>438</v>
      </c>
      <c r="C56" s="2">
        <v>43202</v>
      </c>
      <c r="D56" t="s">
        <v>1407</v>
      </c>
      <c r="E56" t="s">
        <v>1408</v>
      </c>
      <c r="F56" t="s">
        <v>1409</v>
      </c>
      <c r="G56" s="6" t="s">
        <v>227</v>
      </c>
      <c r="H56" t="s">
        <v>203</v>
      </c>
      <c r="K56" t="s">
        <v>1407</v>
      </c>
      <c r="L56" s="3">
        <v>43220</v>
      </c>
      <c r="M56" t="s">
        <v>35</v>
      </c>
      <c r="N56" s="14" t="s">
        <v>1410</v>
      </c>
      <c r="O56" s="7">
        <v>60</v>
      </c>
      <c r="P56" s="1">
        <v>1</v>
      </c>
      <c r="Q56" s="58">
        <v>0.21</v>
      </c>
      <c r="R56" s="7">
        <v>0</v>
      </c>
      <c r="S56" t="s">
        <v>36</v>
      </c>
      <c r="T56" s="4">
        <f t="shared" si="3"/>
        <v>72.599999999999994</v>
      </c>
      <c r="U56" t="s">
        <v>1411</v>
      </c>
      <c r="V56" s="5" t="s">
        <v>1412</v>
      </c>
      <c r="W56" s="3">
        <v>32980</v>
      </c>
      <c r="X56" s="3">
        <v>43202</v>
      </c>
      <c r="Y56" s="13" t="s">
        <v>1487</v>
      </c>
      <c r="Z56" s="2">
        <v>43235</v>
      </c>
      <c r="AA56" s="2" t="s">
        <v>1450</v>
      </c>
      <c r="AB56" s="3">
        <v>43265</v>
      </c>
      <c r="AC56" t="s">
        <v>1158</v>
      </c>
      <c r="AD56" t="s">
        <v>1414</v>
      </c>
      <c r="AF56" t="s">
        <v>1413</v>
      </c>
      <c r="AG56" s="3">
        <v>43202</v>
      </c>
      <c r="AJ56" s="3">
        <v>43210</v>
      </c>
    </row>
    <row r="57" spans="1:38">
      <c r="A57" s="1">
        <v>56</v>
      </c>
      <c r="B57" t="s">
        <v>52</v>
      </c>
      <c r="C57" s="2">
        <v>43216</v>
      </c>
      <c r="E57" t="s">
        <v>1418</v>
      </c>
      <c r="K57" t="s">
        <v>53</v>
      </c>
      <c r="L57" s="3">
        <v>43220</v>
      </c>
      <c r="M57" t="s">
        <v>35</v>
      </c>
      <c r="N57" s="14" t="s">
        <v>1419</v>
      </c>
      <c r="O57" s="7">
        <v>41.32</v>
      </c>
      <c r="P57" s="1">
        <v>1</v>
      </c>
      <c r="Q57" s="58">
        <v>0.21</v>
      </c>
      <c r="R57" s="7">
        <v>0</v>
      </c>
      <c r="S57" t="s">
        <v>36</v>
      </c>
      <c r="T57" s="4">
        <f t="shared" si="3"/>
        <v>49.997199999999999</v>
      </c>
      <c r="X57" s="3">
        <v>43216</v>
      </c>
      <c r="Y57" s="11" t="s">
        <v>1420</v>
      </c>
    </row>
    <row r="58" spans="1:38">
      <c r="A58" s="1">
        <v>57</v>
      </c>
      <c r="B58" t="s">
        <v>37</v>
      </c>
      <c r="C58" s="2">
        <v>43216</v>
      </c>
      <c r="D58" t="s">
        <v>1421</v>
      </c>
      <c r="E58" t="s">
        <v>1422</v>
      </c>
      <c r="F58" t="s">
        <v>1423</v>
      </c>
      <c r="G58" s="6" t="s">
        <v>1424</v>
      </c>
      <c r="H58" t="s">
        <v>1425</v>
      </c>
      <c r="K58" t="s">
        <v>1421</v>
      </c>
      <c r="L58" s="3">
        <v>43220</v>
      </c>
      <c r="M58" t="s">
        <v>35</v>
      </c>
      <c r="N58" s="14" t="s">
        <v>1426</v>
      </c>
      <c r="O58" s="7">
        <v>60</v>
      </c>
      <c r="P58" s="1">
        <v>1</v>
      </c>
      <c r="Q58" s="58">
        <v>0.21</v>
      </c>
      <c r="R58" s="7">
        <v>0</v>
      </c>
      <c r="S58" t="s">
        <v>36</v>
      </c>
      <c r="T58" s="4">
        <f t="shared" si="3"/>
        <v>72.599999999999994</v>
      </c>
      <c r="U58" t="s">
        <v>1421</v>
      </c>
      <c r="V58" s="5" t="s">
        <v>1427</v>
      </c>
      <c r="W58" s="3">
        <v>29258</v>
      </c>
      <c r="X58" s="3">
        <v>43216</v>
      </c>
      <c r="Y58" t="s">
        <v>1607</v>
      </c>
      <c r="Z58" s="2">
        <v>43264</v>
      </c>
      <c r="AC58" t="s">
        <v>1158</v>
      </c>
      <c r="AF58" t="s">
        <v>1428</v>
      </c>
      <c r="AG58" s="3">
        <v>43216</v>
      </c>
      <c r="AJ58" s="3">
        <v>43231</v>
      </c>
    </row>
    <row r="59" spans="1:38" s="31" customFormat="1">
      <c r="A59" s="30">
        <v>58</v>
      </c>
      <c r="B59" s="31" t="s">
        <v>260</v>
      </c>
      <c r="C59" s="32">
        <v>43216</v>
      </c>
      <c r="D59" s="31" t="s">
        <v>175</v>
      </c>
      <c r="E59" s="31" t="s">
        <v>196</v>
      </c>
      <c r="F59" s="31" t="s">
        <v>188</v>
      </c>
      <c r="G59" s="33" t="s">
        <v>220</v>
      </c>
      <c r="H59" s="31" t="s">
        <v>92</v>
      </c>
      <c r="K59" s="31" t="s">
        <v>175</v>
      </c>
      <c r="L59" s="34">
        <v>43220</v>
      </c>
      <c r="M59" s="31" t="s">
        <v>35</v>
      </c>
      <c r="N59" s="35" t="s">
        <v>479</v>
      </c>
      <c r="O59" s="36">
        <v>60</v>
      </c>
      <c r="P59" s="30">
        <v>1</v>
      </c>
      <c r="Q59" s="37">
        <v>0.21</v>
      </c>
      <c r="R59" s="38">
        <v>0</v>
      </c>
      <c r="S59" s="31" t="s">
        <v>36</v>
      </c>
      <c r="T59" s="39">
        <f t="shared" si="3"/>
        <v>72.599999999999994</v>
      </c>
      <c r="U59" s="31" t="s">
        <v>94</v>
      </c>
      <c r="V59" s="5" t="s">
        <v>1431</v>
      </c>
      <c r="W59" s="34">
        <v>26463</v>
      </c>
      <c r="X59" s="32">
        <v>43216</v>
      </c>
      <c r="Y59" s="11" t="s">
        <v>1573</v>
      </c>
      <c r="AC59" t="s">
        <v>1158</v>
      </c>
      <c r="AF59" s="31" t="s">
        <v>77</v>
      </c>
      <c r="AG59" s="34">
        <v>43216</v>
      </c>
      <c r="AL59" t="s">
        <v>1951</v>
      </c>
    </row>
    <row r="60" spans="1:38" s="31" customFormat="1">
      <c r="A60" s="30">
        <v>59</v>
      </c>
      <c r="B60" s="31" t="s">
        <v>260</v>
      </c>
      <c r="C60" s="32">
        <v>43216</v>
      </c>
      <c r="D60" s="31" t="s">
        <v>175</v>
      </c>
      <c r="E60" s="31" t="s">
        <v>196</v>
      </c>
      <c r="F60" s="31" t="s">
        <v>188</v>
      </c>
      <c r="G60" s="33" t="s">
        <v>220</v>
      </c>
      <c r="H60" s="31" t="s">
        <v>92</v>
      </c>
      <c r="K60" s="31" t="s">
        <v>175</v>
      </c>
      <c r="L60" s="34">
        <v>43220</v>
      </c>
      <c r="M60" s="31" t="s">
        <v>35</v>
      </c>
      <c r="N60" s="35" t="s">
        <v>481</v>
      </c>
      <c r="O60" s="36">
        <v>60</v>
      </c>
      <c r="P60" s="30">
        <v>1</v>
      </c>
      <c r="Q60" s="37">
        <v>0.21</v>
      </c>
      <c r="R60" s="38">
        <v>0</v>
      </c>
      <c r="S60" s="31" t="s">
        <v>36</v>
      </c>
      <c r="T60" s="39">
        <f t="shared" si="3"/>
        <v>72.599999999999994</v>
      </c>
      <c r="U60" s="31" t="s">
        <v>97</v>
      </c>
      <c r="V60" s="5" t="s">
        <v>1429</v>
      </c>
      <c r="W60" s="34">
        <v>29820</v>
      </c>
      <c r="X60" s="3">
        <v>43216</v>
      </c>
      <c r="Y60" s="11" t="s">
        <v>1573</v>
      </c>
      <c r="AC60" t="s">
        <v>1158</v>
      </c>
      <c r="AF60" s="31" t="s">
        <v>77</v>
      </c>
      <c r="AG60" s="34">
        <v>43216</v>
      </c>
      <c r="AL60" t="s">
        <v>1951</v>
      </c>
    </row>
    <row r="61" spans="1:38" s="31" customFormat="1">
      <c r="A61" s="30">
        <v>60</v>
      </c>
      <c r="B61" s="31" t="s">
        <v>260</v>
      </c>
      <c r="C61" s="32">
        <v>43216</v>
      </c>
      <c r="D61" s="31" t="s">
        <v>175</v>
      </c>
      <c r="E61" s="31" t="s">
        <v>196</v>
      </c>
      <c r="F61" s="31" t="s">
        <v>188</v>
      </c>
      <c r="G61" s="33" t="s">
        <v>220</v>
      </c>
      <c r="H61" s="31" t="s">
        <v>92</v>
      </c>
      <c r="K61" s="31" t="s">
        <v>175</v>
      </c>
      <c r="L61" s="3">
        <v>43220</v>
      </c>
      <c r="M61" s="31" t="s">
        <v>35</v>
      </c>
      <c r="N61" s="35" t="s">
        <v>483</v>
      </c>
      <c r="O61" s="36">
        <v>60</v>
      </c>
      <c r="P61" s="30">
        <v>1</v>
      </c>
      <c r="Q61" s="37">
        <v>0.21</v>
      </c>
      <c r="R61" s="38">
        <v>0</v>
      </c>
      <c r="S61" s="31" t="s">
        <v>36</v>
      </c>
      <c r="T61" s="39">
        <f t="shared" si="3"/>
        <v>72.599999999999994</v>
      </c>
      <c r="U61" s="31" t="s">
        <v>136</v>
      </c>
      <c r="V61" s="5" t="s">
        <v>1430</v>
      </c>
      <c r="W61" s="34">
        <v>32204</v>
      </c>
      <c r="X61" s="3">
        <v>43216</v>
      </c>
      <c r="Y61" s="11" t="s">
        <v>1573</v>
      </c>
      <c r="AC61" t="s">
        <v>1158</v>
      </c>
      <c r="AF61" s="31" t="s">
        <v>77</v>
      </c>
      <c r="AG61" s="34">
        <v>43216</v>
      </c>
      <c r="AL61" t="s">
        <v>1951</v>
      </c>
    </row>
    <row r="62" spans="1:38" s="31" customFormat="1">
      <c r="A62" s="30">
        <v>61</v>
      </c>
      <c r="B62" s="31" t="s">
        <v>260</v>
      </c>
      <c r="C62" s="32">
        <v>43216</v>
      </c>
      <c r="D62" s="31" t="s">
        <v>175</v>
      </c>
      <c r="E62" s="31" t="s">
        <v>196</v>
      </c>
      <c r="F62" s="31" t="s">
        <v>188</v>
      </c>
      <c r="G62" s="33" t="s">
        <v>220</v>
      </c>
      <c r="H62" s="31" t="s">
        <v>92</v>
      </c>
      <c r="K62" s="31" t="s">
        <v>175</v>
      </c>
      <c r="L62" s="34">
        <v>43220</v>
      </c>
      <c r="M62" s="31" t="s">
        <v>35</v>
      </c>
      <c r="N62" s="14" t="s">
        <v>1432</v>
      </c>
      <c r="O62" s="36">
        <v>60</v>
      </c>
      <c r="P62" s="30">
        <v>1</v>
      </c>
      <c r="Q62" s="37">
        <v>0.21</v>
      </c>
      <c r="R62" s="38">
        <v>0</v>
      </c>
      <c r="S62" s="31" t="s">
        <v>36</v>
      </c>
      <c r="T62" s="39">
        <f t="shared" ref="T62:T97" si="4">(O62*P62)*Q62+O62*P62</f>
        <v>72.599999999999994</v>
      </c>
      <c r="U62" t="s">
        <v>1433</v>
      </c>
      <c r="V62" s="5" t="s">
        <v>1434</v>
      </c>
      <c r="W62" s="34">
        <v>27916</v>
      </c>
      <c r="X62" s="32">
        <v>43216</v>
      </c>
      <c r="Y62" s="11" t="s">
        <v>1609</v>
      </c>
      <c r="Z62" s="34">
        <v>43262</v>
      </c>
      <c r="AC62" t="s">
        <v>1158</v>
      </c>
      <c r="AF62" s="31" t="s">
        <v>77</v>
      </c>
      <c r="AG62" s="34">
        <v>43216</v>
      </c>
      <c r="AL62" t="s">
        <v>1951</v>
      </c>
    </row>
    <row r="63" spans="1:38" s="31" customFormat="1">
      <c r="A63" s="30">
        <v>62</v>
      </c>
      <c r="B63" s="31" t="s">
        <v>260</v>
      </c>
      <c r="C63" s="32">
        <v>43216</v>
      </c>
      <c r="D63" s="31" t="s">
        <v>175</v>
      </c>
      <c r="E63" s="31" t="s">
        <v>196</v>
      </c>
      <c r="F63" s="31" t="s">
        <v>188</v>
      </c>
      <c r="G63" s="33" t="s">
        <v>220</v>
      </c>
      <c r="H63" s="31" t="s">
        <v>92</v>
      </c>
      <c r="K63" s="31" t="s">
        <v>175</v>
      </c>
      <c r="L63" s="34">
        <v>43220</v>
      </c>
      <c r="M63" s="31" t="s">
        <v>35</v>
      </c>
      <c r="N63" s="14" t="s">
        <v>1435</v>
      </c>
      <c r="O63" s="36">
        <v>60</v>
      </c>
      <c r="P63" s="30">
        <v>1</v>
      </c>
      <c r="Q63" s="37">
        <v>0.21</v>
      </c>
      <c r="R63" s="38">
        <v>0</v>
      </c>
      <c r="S63" s="31" t="s">
        <v>36</v>
      </c>
      <c r="T63" s="39">
        <f t="shared" si="4"/>
        <v>72.599999999999994</v>
      </c>
      <c r="U63" t="s">
        <v>1436</v>
      </c>
      <c r="V63" s="5" t="s">
        <v>1437</v>
      </c>
      <c r="W63" s="34">
        <v>30489</v>
      </c>
      <c r="X63" s="3">
        <v>43216</v>
      </c>
      <c r="Y63" s="11" t="s">
        <v>1609</v>
      </c>
      <c r="Z63" s="34">
        <v>43262</v>
      </c>
      <c r="AC63" t="s">
        <v>1158</v>
      </c>
      <c r="AF63" s="31" t="s">
        <v>77</v>
      </c>
      <c r="AG63" s="34">
        <v>43216</v>
      </c>
      <c r="AL63" t="s">
        <v>1951</v>
      </c>
    </row>
    <row r="64" spans="1:38" s="31" customFormat="1">
      <c r="A64" s="30">
        <v>63</v>
      </c>
      <c r="B64" s="31" t="s">
        <v>260</v>
      </c>
      <c r="C64" s="32">
        <v>43216</v>
      </c>
      <c r="D64" s="31" t="s">
        <v>175</v>
      </c>
      <c r="E64" s="31" t="s">
        <v>196</v>
      </c>
      <c r="F64" s="31" t="s">
        <v>188</v>
      </c>
      <c r="G64" s="33" t="s">
        <v>220</v>
      </c>
      <c r="H64" s="31" t="s">
        <v>92</v>
      </c>
      <c r="K64" s="31" t="s">
        <v>175</v>
      </c>
      <c r="L64" s="3">
        <v>43220</v>
      </c>
      <c r="M64" s="31" t="s">
        <v>35</v>
      </c>
      <c r="N64" s="14" t="s">
        <v>1438</v>
      </c>
      <c r="O64" s="36">
        <v>60</v>
      </c>
      <c r="P64" s="30">
        <v>1</v>
      </c>
      <c r="Q64" s="37">
        <v>0.21</v>
      </c>
      <c r="R64" s="38">
        <v>0</v>
      </c>
      <c r="S64" s="31" t="s">
        <v>36</v>
      </c>
      <c r="T64" s="39">
        <f t="shared" si="4"/>
        <v>72.599999999999994</v>
      </c>
      <c r="U64" t="s">
        <v>1439</v>
      </c>
      <c r="V64" s="5" t="s">
        <v>1440</v>
      </c>
      <c r="W64" s="34">
        <v>29821</v>
      </c>
      <c r="X64" s="3">
        <v>43216</v>
      </c>
      <c r="Y64" s="11" t="s">
        <v>1609</v>
      </c>
      <c r="Z64" s="34">
        <v>43262</v>
      </c>
      <c r="AC64" t="s">
        <v>1158</v>
      </c>
      <c r="AF64" s="31" t="s">
        <v>77</v>
      </c>
      <c r="AG64" s="34">
        <v>43216</v>
      </c>
      <c r="AL64" t="s">
        <v>1951</v>
      </c>
    </row>
    <row r="65" spans="1:38" s="31" customFormat="1">
      <c r="A65" s="30">
        <v>64</v>
      </c>
      <c r="B65" s="31" t="s">
        <v>260</v>
      </c>
      <c r="C65" s="32">
        <v>43216</v>
      </c>
      <c r="D65" s="31" t="s">
        <v>175</v>
      </c>
      <c r="E65" s="31" t="s">
        <v>196</v>
      </c>
      <c r="F65" s="31" t="s">
        <v>188</v>
      </c>
      <c r="G65" s="33" t="s">
        <v>220</v>
      </c>
      <c r="H65" s="31" t="s">
        <v>92</v>
      </c>
      <c r="K65" s="31" t="s">
        <v>175</v>
      </c>
      <c r="L65" s="34">
        <v>43220</v>
      </c>
      <c r="M65" s="31" t="s">
        <v>35</v>
      </c>
      <c r="N65" s="14" t="s">
        <v>1441</v>
      </c>
      <c r="O65" s="36">
        <v>60</v>
      </c>
      <c r="P65" s="30">
        <v>1</v>
      </c>
      <c r="Q65" s="37">
        <v>0.21</v>
      </c>
      <c r="R65" s="38">
        <v>0</v>
      </c>
      <c r="S65" s="31" t="s">
        <v>36</v>
      </c>
      <c r="T65" s="39">
        <f t="shared" si="4"/>
        <v>72.599999999999994</v>
      </c>
      <c r="U65" t="s">
        <v>1442</v>
      </c>
      <c r="V65" s="5" t="s">
        <v>1443</v>
      </c>
      <c r="W65" s="34">
        <v>31073</v>
      </c>
      <c r="X65" s="32">
        <v>43216</v>
      </c>
      <c r="Y65" s="11" t="s">
        <v>1609</v>
      </c>
      <c r="Z65" s="34">
        <v>43262</v>
      </c>
      <c r="AC65" t="s">
        <v>1158</v>
      </c>
      <c r="AF65" s="31" t="s">
        <v>77</v>
      </c>
      <c r="AG65" s="34">
        <v>43216</v>
      </c>
      <c r="AL65" t="s">
        <v>1951</v>
      </c>
    </row>
    <row r="66" spans="1:38" s="31" customFormat="1">
      <c r="A66" s="30">
        <v>65</v>
      </c>
      <c r="B66" s="31" t="s">
        <v>260</v>
      </c>
      <c r="C66" s="32">
        <v>43216</v>
      </c>
      <c r="D66" s="31" t="s">
        <v>175</v>
      </c>
      <c r="E66" s="31" t="s">
        <v>196</v>
      </c>
      <c r="F66" s="31" t="s">
        <v>188</v>
      </c>
      <c r="G66" s="33" t="s">
        <v>220</v>
      </c>
      <c r="H66" s="31" t="s">
        <v>92</v>
      </c>
      <c r="K66" s="31" t="s">
        <v>175</v>
      </c>
      <c r="L66" s="34">
        <v>43220</v>
      </c>
      <c r="M66" s="31" t="s">
        <v>35</v>
      </c>
      <c r="N66" s="14" t="s">
        <v>1444</v>
      </c>
      <c r="O66" s="36">
        <v>60</v>
      </c>
      <c r="P66" s="30">
        <v>1</v>
      </c>
      <c r="Q66" s="37">
        <v>0.21</v>
      </c>
      <c r="R66" s="38">
        <v>0</v>
      </c>
      <c r="S66" s="31" t="s">
        <v>36</v>
      </c>
      <c r="T66" s="39">
        <f t="shared" si="4"/>
        <v>72.599999999999994</v>
      </c>
      <c r="U66" t="s">
        <v>1445</v>
      </c>
      <c r="V66" s="5" t="s">
        <v>1446</v>
      </c>
      <c r="W66" s="3">
        <v>33606</v>
      </c>
      <c r="X66" s="3">
        <v>43216</v>
      </c>
      <c r="Y66" s="11" t="s">
        <v>1609</v>
      </c>
      <c r="Z66" s="34">
        <v>43262</v>
      </c>
      <c r="AC66" t="s">
        <v>1158</v>
      </c>
      <c r="AF66" s="31" t="s">
        <v>77</v>
      </c>
      <c r="AG66" s="34">
        <v>43216</v>
      </c>
      <c r="AL66" t="s">
        <v>1951</v>
      </c>
    </row>
    <row r="67" spans="1:38" s="31" customFormat="1">
      <c r="A67" s="30">
        <v>66</v>
      </c>
      <c r="B67" s="31" t="s">
        <v>260</v>
      </c>
      <c r="C67" s="32">
        <v>43216</v>
      </c>
      <c r="D67" s="31" t="s">
        <v>175</v>
      </c>
      <c r="E67" s="31" t="s">
        <v>196</v>
      </c>
      <c r="F67" s="31" t="s">
        <v>188</v>
      </c>
      <c r="G67" s="33" t="s">
        <v>220</v>
      </c>
      <c r="H67" s="31" t="s">
        <v>92</v>
      </c>
      <c r="K67" s="31" t="s">
        <v>175</v>
      </c>
      <c r="L67" s="3">
        <v>43220</v>
      </c>
      <c r="M67" s="31" t="s">
        <v>35</v>
      </c>
      <c r="N67" s="14" t="s">
        <v>1447</v>
      </c>
      <c r="O67" s="9">
        <v>60</v>
      </c>
      <c r="P67" s="30">
        <v>1</v>
      </c>
      <c r="Q67" s="37">
        <v>0.21</v>
      </c>
      <c r="R67" s="38">
        <v>0</v>
      </c>
      <c r="S67" s="31" t="s">
        <v>36</v>
      </c>
      <c r="T67" s="39">
        <f t="shared" si="4"/>
        <v>72.599999999999994</v>
      </c>
      <c r="U67" t="s">
        <v>1448</v>
      </c>
      <c r="V67" s="5" t="s">
        <v>1449</v>
      </c>
      <c r="W67" s="34">
        <v>30108</v>
      </c>
      <c r="X67" s="3">
        <v>43216</v>
      </c>
      <c r="Y67" s="11" t="s">
        <v>1609</v>
      </c>
      <c r="Z67" s="34">
        <v>43262</v>
      </c>
      <c r="AC67" t="s">
        <v>1158</v>
      </c>
      <c r="AF67" s="31" t="s">
        <v>77</v>
      </c>
      <c r="AG67" s="34">
        <v>43216</v>
      </c>
      <c r="AL67" t="s">
        <v>1951</v>
      </c>
    </row>
    <row r="68" spans="1:38" s="31" customFormat="1">
      <c r="A68" s="1">
        <v>67</v>
      </c>
      <c r="B68" t="s">
        <v>52</v>
      </c>
      <c r="C68" s="32">
        <v>43223</v>
      </c>
      <c r="D68" s="31" t="s">
        <v>458</v>
      </c>
      <c r="E68" s="31" t="s">
        <v>84</v>
      </c>
      <c r="F68" s="31" t="s">
        <v>138</v>
      </c>
      <c r="G68" s="33" t="s">
        <v>227</v>
      </c>
      <c r="H68" s="31" t="s">
        <v>203</v>
      </c>
      <c r="K68" s="31" t="s">
        <v>53</v>
      </c>
      <c r="L68" s="34">
        <v>43251</v>
      </c>
      <c r="M68" s="31" t="s">
        <v>35</v>
      </c>
      <c r="N68" s="14" t="s">
        <v>459</v>
      </c>
      <c r="O68" s="7">
        <v>60</v>
      </c>
      <c r="P68" s="30">
        <v>1</v>
      </c>
      <c r="Q68" s="37">
        <v>0.21</v>
      </c>
      <c r="R68" s="38">
        <v>0</v>
      </c>
      <c r="S68" s="31" t="s">
        <v>36</v>
      </c>
      <c r="T68" s="39">
        <f t="shared" si="4"/>
        <v>72.599999999999994</v>
      </c>
      <c r="U68" t="s">
        <v>1451</v>
      </c>
      <c r="V68" s="5" t="s">
        <v>1452</v>
      </c>
      <c r="W68" s="34">
        <v>31452</v>
      </c>
      <c r="X68" s="32">
        <v>43223</v>
      </c>
      <c r="Y68" s="11" t="s">
        <v>1579</v>
      </c>
      <c r="Z68" s="2">
        <v>43257</v>
      </c>
      <c r="AA68" s="1"/>
      <c r="AC68" t="s">
        <v>1158</v>
      </c>
      <c r="AD68" t="s">
        <v>52</v>
      </c>
      <c r="AF68" t="s">
        <v>77</v>
      </c>
      <c r="AG68" s="34">
        <v>43223</v>
      </c>
      <c r="AJ68" s="34">
        <v>43231</v>
      </c>
    </row>
    <row r="69" spans="1:38">
      <c r="A69" s="1">
        <v>68</v>
      </c>
      <c r="B69" t="s">
        <v>80</v>
      </c>
      <c r="C69" s="2">
        <v>43223</v>
      </c>
      <c r="D69" t="s">
        <v>1453</v>
      </c>
      <c r="E69" t="s">
        <v>1454</v>
      </c>
      <c r="F69" t="s">
        <v>1455</v>
      </c>
      <c r="G69" s="6" t="s">
        <v>232</v>
      </c>
      <c r="H69" t="s">
        <v>144</v>
      </c>
      <c r="I69" t="s">
        <v>1578</v>
      </c>
      <c r="K69" t="s">
        <v>1456</v>
      </c>
      <c r="L69" s="3">
        <v>43251</v>
      </c>
      <c r="M69" t="s">
        <v>35</v>
      </c>
      <c r="N69" s="14" t="s">
        <v>1457</v>
      </c>
      <c r="O69" s="9">
        <v>60</v>
      </c>
      <c r="P69" s="1">
        <v>1</v>
      </c>
      <c r="Q69" s="58">
        <v>0.21</v>
      </c>
      <c r="R69" s="7">
        <v>0</v>
      </c>
      <c r="S69" t="s">
        <v>36</v>
      </c>
      <c r="T69" s="4">
        <f t="shared" si="4"/>
        <v>72.599999999999994</v>
      </c>
      <c r="U69" t="s">
        <v>1458</v>
      </c>
      <c r="V69" s="5" t="s">
        <v>1459</v>
      </c>
      <c r="W69" s="3">
        <v>28290</v>
      </c>
      <c r="X69" s="3">
        <v>43223</v>
      </c>
      <c r="Y69" s="13" t="s">
        <v>1577</v>
      </c>
      <c r="Z69" s="2">
        <v>43257</v>
      </c>
      <c r="AA69" s="61" t="s">
        <v>1605</v>
      </c>
      <c r="AC69" t="s">
        <v>1158</v>
      </c>
    </row>
    <row r="70" spans="1:38">
      <c r="A70" s="1">
        <v>69</v>
      </c>
      <c r="B70" t="s">
        <v>40</v>
      </c>
      <c r="C70" s="2">
        <v>43223</v>
      </c>
      <c r="D70" t="s">
        <v>1460</v>
      </c>
      <c r="E70" t="s">
        <v>1461</v>
      </c>
      <c r="F70" t="s">
        <v>1462</v>
      </c>
      <c r="G70" s="6" t="s">
        <v>221</v>
      </c>
      <c r="H70" t="s">
        <v>34</v>
      </c>
      <c r="K70" t="s">
        <v>1460</v>
      </c>
      <c r="L70" s="3">
        <v>43251</v>
      </c>
      <c r="M70" t="s">
        <v>35</v>
      </c>
      <c r="N70" s="14" t="s">
        <v>1463</v>
      </c>
      <c r="O70" s="9">
        <v>60</v>
      </c>
      <c r="P70" s="1">
        <v>1</v>
      </c>
      <c r="Q70" s="58">
        <v>0.21</v>
      </c>
      <c r="R70" s="7">
        <v>0</v>
      </c>
      <c r="S70" t="s">
        <v>36</v>
      </c>
      <c r="T70" s="4">
        <f t="shared" si="4"/>
        <v>72.599999999999994</v>
      </c>
      <c r="U70" t="s">
        <v>1464</v>
      </c>
      <c r="V70" s="5" t="s">
        <v>1465</v>
      </c>
      <c r="W70" s="3">
        <v>35064</v>
      </c>
      <c r="X70" s="3">
        <v>43223</v>
      </c>
      <c r="Y70" s="11" t="s">
        <v>1604</v>
      </c>
      <c r="Z70" s="2">
        <v>43263</v>
      </c>
      <c r="AC70" t="s">
        <v>1158</v>
      </c>
    </row>
    <row r="71" spans="1:38">
      <c r="A71" s="1">
        <v>70</v>
      </c>
      <c r="B71" t="s">
        <v>82</v>
      </c>
      <c r="C71" s="2">
        <v>43223</v>
      </c>
      <c r="D71" t="s">
        <v>1204</v>
      </c>
      <c r="E71" t="s">
        <v>1205</v>
      </c>
      <c r="F71" t="s">
        <v>1206</v>
      </c>
      <c r="G71" s="6" t="s">
        <v>250</v>
      </c>
      <c r="H71" t="s">
        <v>108</v>
      </c>
      <c r="K71" t="s">
        <v>1204</v>
      </c>
      <c r="L71" s="3">
        <v>43251</v>
      </c>
      <c r="M71" t="s">
        <v>35</v>
      </c>
      <c r="N71" s="14" t="s">
        <v>1466</v>
      </c>
      <c r="O71" s="9">
        <v>60</v>
      </c>
      <c r="P71" s="1">
        <v>1</v>
      </c>
      <c r="Q71" s="58">
        <v>0.21</v>
      </c>
      <c r="R71" s="7">
        <v>0</v>
      </c>
      <c r="S71" t="s">
        <v>36</v>
      </c>
      <c r="T71" s="4">
        <f t="shared" si="4"/>
        <v>72.599999999999994</v>
      </c>
      <c r="U71" t="s">
        <v>1467</v>
      </c>
      <c r="V71" s="5" t="s">
        <v>1468</v>
      </c>
      <c r="W71" s="3">
        <v>33569</v>
      </c>
      <c r="X71" s="3">
        <v>43223</v>
      </c>
      <c r="Y71" s="11" t="s">
        <v>1579</v>
      </c>
      <c r="Z71" s="2">
        <v>43257</v>
      </c>
      <c r="AC71" t="s">
        <v>1158</v>
      </c>
      <c r="AD71" t="s">
        <v>1469</v>
      </c>
      <c r="AF71" t="s">
        <v>1470</v>
      </c>
      <c r="AG71" s="3">
        <v>43223</v>
      </c>
      <c r="AJ71" s="3">
        <v>43224</v>
      </c>
    </row>
    <row r="72" spans="1:38">
      <c r="A72" s="1">
        <v>71</v>
      </c>
      <c r="B72" t="s">
        <v>82</v>
      </c>
      <c r="C72" s="2">
        <v>43224</v>
      </c>
      <c r="D72" t="s">
        <v>1471</v>
      </c>
      <c r="E72" t="s">
        <v>1472</v>
      </c>
      <c r="F72" t="s">
        <v>1473</v>
      </c>
      <c r="G72" s="6" t="s">
        <v>242</v>
      </c>
      <c r="H72" t="s">
        <v>1474</v>
      </c>
      <c r="K72" t="s">
        <v>1471</v>
      </c>
      <c r="L72" s="3">
        <v>43251</v>
      </c>
      <c r="M72" t="s">
        <v>35</v>
      </c>
      <c r="N72" s="14" t="s">
        <v>1516</v>
      </c>
      <c r="O72" s="9">
        <v>60</v>
      </c>
      <c r="P72" s="1">
        <v>1</v>
      </c>
      <c r="Q72" s="58">
        <v>0.21</v>
      </c>
      <c r="R72" s="7">
        <v>0</v>
      </c>
      <c r="S72" t="s">
        <v>36</v>
      </c>
      <c r="T72" s="4">
        <f t="shared" si="4"/>
        <v>72.599999999999994</v>
      </c>
      <c r="U72" t="s">
        <v>1475</v>
      </c>
      <c r="V72" s="5" t="s">
        <v>1476</v>
      </c>
      <c r="W72" s="3">
        <v>33050</v>
      </c>
      <c r="X72" s="3">
        <v>43224</v>
      </c>
      <c r="Y72" s="11" t="s">
        <v>1579</v>
      </c>
      <c r="Z72" s="2">
        <v>43257</v>
      </c>
      <c r="AC72" t="s">
        <v>1158</v>
      </c>
      <c r="AD72" t="s">
        <v>1477</v>
      </c>
    </row>
    <row r="73" spans="1:38">
      <c r="A73" s="1">
        <v>72</v>
      </c>
      <c r="B73" t="s">
        <v>37</v>
      </c>
      <c r="C73" s="2">
        <v>43227</v>
      </c>
      <c r="D73" t="s">
        <v>1478</v>
      </c>
      <c r="E73" t="s">
        <v>1479</v>
      </c>
      <c r="F73" t="s">
        <v>1480</v>
      </c>
      <c r="G73" s="6" t="s">
        <v>242</v>
      </c>
      <c r="H73" t="s">
        <v>1474</v>
      </c>
      <c r="K73" t="s">
        <v>1478</v>
      </c>
      <c r="L73" s="3">
        <v>43251</v>
      </c>
      <c r="M73" t="s">
        <v>35</v>
      </c>
      <c r="N73" s="14" t="s">
        <v>1481</v>
      </c>
      <c r="O73" s="9">
        <v>30</v>
      </c>
      <c r="P73" s="1">
        <v>1</v>
      </c>
      <c r="Q73" s="58">
        <v>0.21</v>
      </c>
      <c r="R73" s="7">
        <v>0</v>
      </c>
      <c r="S73" t="s">
        <v>36</v>
      </c>
      <c r="T73" s="4">
        <f t="shared" si="4"/>
        <v>36.299999999999997</v>
      </c>
      <c r="U73" t="s">
        <v>1478</v>
      </c>
      <c r="W73" s="3">
        <v>29898</v>
      </c>
      <c r="X73" s="3">
        <v>43227</v>
      </c>
      <c r="Y73" s="11" t="s">
        <v>1604</v>
      </c>
      <c r="AC73" t="s">
        <v>366</v>
      </c>
    </row>
    <row r="74" spans="1:38">
      <c r="A74" s="1">
        <v>73</v>
      </c>
      <c r="B74" t="s">
        <v>37</v>
      </c>
      <c r="C74" s="2">
        <v>43227</v>
      </c>
      <c r="D74" t="s">
        <v>800</v>
      </c>
      <c r="E74" t="s">
        <v>801</v>
      </c>
      <c r="F74" t="s">
        <v>799</v>
      </c>
      <c r="G74" s="6" t="s">
        <v>1482</v>
      </c>
      <c r="H74" t="s">
        <v>86</v>
      </c>
      <c r="K74" t="s">
        <v>800</v>
      </c>
      <c r="L74" s="3">
        <v>43251</v>
      </c>
      <c r="M74" t="s">
        <v>35</v>
      </c>
      <c r="N74" s="14" t="s">
        <v>1483</v>
      </c>
      <c r="O74" s="7">
        <v>24.79</v>
      </c>
      <c r="P74" s="1">
        <v>1</v>
      </c>
      <c r="Q74" s="58">
        <v>0.21</v>
      </c>
      <c r="R74" s="7">
        <v>0</v>
      </c>
      <c r="S74" t="s">
        <v>36</v>
      </c>
      <c r="T74" s="46">
        <f t="shared" si="4"/>
        <v>29.995899999999999</v>
      </c>
      <c r="U74" t="s">
        <v>800</v>
      </c>
      <c r="W74" s="3">
        <v>29178</v>
      </c>
      <c r="X74" s="3">
        <v>43227</v>
      </c>
      <c r="Y74" s="11" t="s">
        <v>1634</v>
      </c>
      <c r="Z74" s="2">
        <v>43270</v>
      </c>
      <c r="AC74" t="s">
        <v>1158</v>
      </c>
    </row>
    <row r="75" spans="1:38">
      <c r="A75" s="1">
        <v>74</v>
      </c>
      <c r="B75" t="s">
        <v>37</v>
      </c>
      <c r="C75" s="2">
        <v>43227</v>
      </c>
      <c r="D75" t="s">
        <v>104</v>
      </c>
      <c r="E75" t="s">
        <v>134</v>
      </c>
      <c r="F75" t="s">
        <v>799</v>
      </c>
      <c r="G75" s="6" t="s">
        <v>250</v>
      </c>
      <c r="H75" t="s">
        <v>86</v>
      </c>
      <c r="I75">
        <v>602193294</v>
      </c>
      <c r="K75" t="s">
        <v>104</v>
      </c>
      <c r="L75" s="3">
        <v>43251</v>
      </c>
      <c r="M75" t="s">
        <v>35</v>
      </c>
      <c r="N75" s="14" t="s">
        <v>1484</v>
      </c>
      <c r="O75" s="9">
        <v>30</v>
      </c>
      <c r="P75" s="1">
        <v>1</v>
      </c>
      <c r="Q75" s="58">
        <v>0.21</v>
      </c>
      <c r="R75" s="7">
        <v>0</v>
      </c>
      <c r="S75" t="s">
        <v>36</v>
      </c>
      <c r="T75" s="4">
        <f t="shared" si="4"/>
        <v>36.299999999999997</v>
      </c>
      <c r="U75" t="s">
        <v>104</v>
      </c>
      <c r="W75" s="3">
        <v>27657</v>
      </c>
      <c r="X75" s="3">
        <v>43227</v>
      </c>
      <c r="Y75" s="11" t="s">
        <v>1634</v>
      </c>
      <c r="AC75" t="s">
        <v>1158</v>
      </c>
    </row>
    <row r="76" spans="1:38">
      <c r="A76" s="1">
        <v>75</v>
      </c>
      <c r="B76" t="s">
        <v>52</v>
      </c>
      <c r="C76" s="2">
        <v>43231</v>
      </c>
      <c r="D76" t="s">
        <v>1152</v>
      </c>
      <c r="E76" t="s">
        <v>655</v>
      </c>
      <c r="F76" t="s">
        <v>1153</v>
      </c>
      <c r="G76" s="6" t="s">
        <v>221</v>
      </c>
      <c r="H76" t="s">
        <v>34</v>
      </c>
      <c r="K76" s="31" t="s">
        <v>53</v>
      </c>
      <c r="L76" s="3">
        <v>43251</v>
      </c>
      <c r="M76" t="s">
        <v>35</v>
      </c>
      <c r="N76" t="s">
        <v>1493</v>
      </c>
      <c r="O76" s="9">
        <v>60</v>
      </c>
      <c r="P76" s="1">
        <v>1</v>
      </c>
      <c r="Q76" s="58">
        <v>0.21</v>
      </c>
      <c r="R76" s="7">
        <v>0</v>
      </c>
      <c r="S76" t="s">
        <v>36</v>
      </c>
      <c r="T76" s="4">
        <f t="shared" si="4"/>
        <v>72.599999999999994</v>
      </c>
      <c r="U76" t="s">
        <v>1494</v>
      </c>
      <c r="V76" s="5" t="s">
        <v>1495</v>
      </c>
      <c r="W76" s="3">
        <v>35430</v>
      </c>
      <c r="X76" s="3">
        <v>43231</v>
      </c>
      <c r="Y76" s="11" t="s">
        <v>1633</v>
      </c>
      <c r="Z76" s="2">
        <v>43270</v>
      </c>
      <c r="AC76" t="s">
        <v>1158</v>
      </c>
    </row>
    <row r="77" spans="1:38">
      <c r="A77" s="1">
        <v>76</v>
      </c>
      <c r="B77" t="s">
        <v>1501</v>
      </c>
      <c r="C77" s="2">
        <v>43237</v>
      </c>
      <c r="D77" t="s">
        <v>1496</v>
      </c>
      <c r="E77" t="s">
        <v>1497</v>
      </c>
      <c r="F77" t="s">
        <v>1498</v>
      </c>
      <c r="G77" s="6" t="s">
        <v>219</v>
      </c>
      <c r="H77" t="s">
        <v>38</v>
      </c>
      <c r="I77">
        <v>655388073</v>
      </c>
      <c r="K77" t="s">
        <v>1496</v>
      </c>
      <c r="L77" s="3">
        <v>43251</v>
      </c>
      <c r="M77" t="s">
        <v>35</v>
      </c>
      <c r="N77" s="14" t="s">
        <v>1499</v>
      </c>
      <c r="O77" s="9">
        <v>60</v>
      </c>
      <c r="P77" s="1">
        <v>1</v>
      </c>
      <c r="Q77" s="58">
        <v>0.21</v>
      </c>
      <c r="R77" s="7">
        <v>0</v>
      </c>
      <c r="S77" t="s">
        <v>36</v>
      </c>
      <c r="T77" s="4">
        <f t="shared" si="4"/>
        <v>72.599999999999994</v>
      </c>
      <c r="U77" t="s">
        <v>1496</v>
      </c>
      <c r="V77" s="5" t="s">
        <v>1500</v>
      </c>
      <c r="W77" s="3">
        <v>29332</v>
      </c>
      <c r="X77" s="3">
        <v>43237</v>
      </c>
      <c r="Y77" s="11" t="s">
        <v>1818</v>
      </c>
      <c r="Z77" s="2">
        <v>43325</v>
      </c>
      <c r="AC77" t="s">
        <v>1158</v>
      </c>
    </row>
    <row r="78" spans="1:38">
      <c r="A78" s="1">
        <v>77</v>
      </c>
      <c r="B78" t="s">
        <v>1502</v>
      </c>
      <c r="C78" s="2">
        <v>43237</v>
      </c>
      <c r="D78" t="s">
        <v>1503</v>
      </c>
      <c r="E78" t="s">
        <v>1504</v>
      </c>
      <c r="F78" t="s">
        <v>1240</v>
      </c>
      <c r="G78" s="6" t="s">
        <v>221</v>
      </c>
      <c r="H78" t="s">
        <v>34</v>
      </c>
      <c r="K78" t="s">
        <v>1503</v>
      </c>
      <c r="L78" s="3">
        <v>43251</v>
      </c>
      <c r="M78" t="s">
        <v>35</v>
      </c>
      <c r="N78" s="14" t="s">
        <v>1505</v>
      </c>
      <c r="O78" s="9">
        <v>0</v>
      </c>
      <c r="P78" s="1">
        <v>1</v>
      </c>
      <c r="Q78" s="58">
        <v>0.21</v>
      </c>
      <c r="R78" s="7">
        <v>0</v>
      </c>
      <c r="S78" t="s">
        <v>36</v>
      </c>
      <c r="T78" s="4">
        <f t="shared" si="4"/>
        <v>0</v>
      </c>
      <c r="U78" t="s">
        <v>1503</v>
      </c>
      <c r="V78" s="5" t="s">
        <v>1506</v>
      </c>
      <c r="W78" s="3">
        <v>33513</v>
      </c>
      <c r="X78" s="3">
        <v>43237</v>
      </c>
      <c r="Y78" s="11" t="s">
        <v>1808</v>
      </c>
      <c r="Z78" s="2">
        <v>43322</v>
      </c>
      <c r="AC78" t="s">
        <v>1158</v>
      </c>
    </row>
    <row r="79" spans="1:38">
      <c r="A79" s="1">
        <v>78</v>
      </c>
      <c r="B79" t="s">
        <v>1511</v>
      </c>
      <c r="C79" s="2">
        <v>43244</v>
      </c>
      <c r="D79" t="s">
        <v>1512</v>
      </c>
      <c r="E79" t="s">
        <v>1513</v>
      </c>
      <c r="F79" t="s">
        <v>1514</v>
      </c>
      <c r="G79" s="6" t="s">
        <v>219</v>
      </c>
      <c r="H79" t="s">
        <v>38</v>
      </c>
      <c r="K79" t="s">
        <v>1512</v>
      </c>
      <c r="L79" s="3">
        <v>43251</v>
      </c>
      <c r="M79" t="s">
        <v>35</v>
      </c>
      <c r="N79" s="14" t="s">
        <v>1515</v>
      </c>
      <c r="O79" s="9">
        <v>60</v>
      </c>
      <c r="P79" s="1">
        <v>1</v>
      </c>
      <c r="Q79" s="58">
        <v>0.21</v>
      </c>
      <c r="R79" s="7">
        <v>0</v>
      </c>
      <c r="S79" t="s">
        <v>36</v>
      </c>
      <c r="T79" s="4">
        <f t="shared" si="4"/>
        <v>72.599999999999994</v>
      </c>
      <c r="U79" t="s">
        <v>1517</v>
      </c>
      <c r="V79" s="5" t="s">
        <v>1518</v>
      </c>
      <c r="W79" s="3">
        <v>36220</v>
      </c>
      <c r="X79" s="3">
        <v>43244</v>
      </c>
      <c r="Y79" s="11" t="s">
        <v>1822</v>
      </c>
      <c r="Z79" s="2">
        <v>43339</v>
      </c>
      <c r="AA79" s="61" t="s">
        <v>1823</v>
      </c>
      <c r="AC79" t="s">
        <v>1158</v>
      </c>
      <c r="AD79" t="s">
        <v>1519</v>
      </c>
      <c r="AF79" t="s">
        <v>1520</v>
      </c>
      <c r="AG79" s="3">
        <v>43244</v>
      </c>
    </row>
    <row r="80" spans="1:38">
      <c r="A80" s="1">
        <v>79</v>
      </c>
      <c r="B80" t="s">
        <v>1521</v>
      </c>
      <c r="C80" s="2">
        <v>43244</v>
      </c>
      <c r="D80" t="s">
        <v>1522</v>
      </c>
      <c r="E80" t="s">
        <v>1523</v>
      </c>
      <c r="F80" t="s">
        <v>1524</v>
      </c>
      <c r="G80" s="6" t="s">
        <v>1525</v>
      </c>
      <c r="H80" t="s">
        <v>1526</v>
      </c>
      <c r="K80" t="s">
        <v>1522</v>
      </c>
      <c r="L80" s="3">
        <v>43251</v>
      </c>
      <c r="M80" t="s">
        <v>35</v>
      </c>
      <c r="N80" s="14" t="s">
        <v>1527</v>
      </c>
      <c r="O80" s="9">
        <v>60</v>
      </c>
      <c r="P80" s="1">
        <v>1</v>
      </c>
      <c r="Q80" s="58">
        <v>0.21</v>
      </c>
      <c r="R80" s="7">
        <v>0</v>
      </c>
      <c r="S80" t="s">
        <v>36</v>
      </c>
      <c r="T80" s="4">
        <f t="shared" si="4"/>
        <v>72.599999999999994</v>
      </c>
      <c r="U80" t="s">
        <v>1528</v>
      </c>
      <c r="V80" s="5" t="s">
        <v>1529</v>
      </c>
      <c r="W80" s="3">
        <v>35723</v>
      </c>
      <c r="X80" s="3">
        <v>43244</v>
      </c>
      <c r="Y80" s="11" t="s">
        <v>1646</v>
      </c>
      <c r="Z80" s="2">
        <v>43283</v>
      </c>
      <c r="AC80" t="s">
        <v>1158</v>
      </c>
      <c r="AD80" t="s">
        <v>1530</v>
      </c>
      <c r="AF80" t="s">
        <v>77</v>
      </c>
      <c r="AG80" s="3">
        <v>43244</v>
      </c>
    </row>
    <row r="81" spans="1:38">
      <c r="A81" s="1">
        <v>80</v>
      </c>
      <c r="B81" t="s">
        <v>1521</v>
      </c>
      <c r="C81" s="2">
        <v>43244</v>
      </c>
      <c r="D81" t="s">
        <v>1522</v>
      </c>
      <c r="E81" t="s">
        <v>1523</v>
      </c>
      <c r="F81" t="s">
        <v>1524</v>
      </c>
      <c r="G81" s="6" t="s">
        <v>1525</v>
      </c>
      <c r="H81" t="s">
        <v>1526</v>
      </c>
      <c r="K81" t="s">
        <v>1522</v>
      </c>
      <c r="L81" s="3">
        <v>43251</v>
      </c>
      <c r="M81" t="s">
        <v>35</v>
      </c>
      <c r="N81" s="14" t="s">
        <v>1531</v>
      </c>
      <c r="O81" s="9">
        <v>60</v>
      </c>
      <c r="P81" s="1">
        <v>1</v>
      </c>
      <c r="Q81" s="58">
        <v>0.21</v>
      </c>
      <c r="R81" s="7">
        <v>0</v>
      </c>
      <c r="S81" t="s">
        <v>36</v>
      </c>
      <c r="T81" s="4">
        <f t="shared" si="4"/>
        <v>72.599999999999994</v>
      </c>
      <c r="U81" t="s">
        <v>1532</v>
      </c>
      <c r="V81" s="5" t="s">
        <v>1533</v>
      </c>
      <c r="W81" s="3">
        <v>35194</v>
      </c>
      <c r="X81" s="3">
        <v>43244</v>
      </c>
      <c r="Y81" s="11" t="s">
        <v>1646</v>
      </c>
      <c r="Z81" s="2">
        <v>43283</v>
      </c>
      <c r="AC81" t="s">
        <v>1158</v>
      </c>
      <c r="AD81" t="s">
        <v>1530</v>
      </c>
      <c r="AF81" t="s">
        <v>77</v>
      </c>
      <c r="AG81" s="3">
        <v>43244</v>
      </c>
    </row>
    <row r="82" spans="1:38">
      <c r="A82" s="1">
        <v>81</v>
      </c>
      <c r="B82" t="s">
        <v>1242</v>
      </c>
      <c r="C82" s="2">
        <v>43244</v>
      </c>
      <c r="D82" t="s">
        <v>1534</v>
      </c>
      <c r="E82" t="s">
        <v>1535</v>
      </c>
      <c r="F82" t="s">
        <v>1536</v>
      </c>
      <c r="G82" s="6" t="s">
        <v>221</v>
      </c>
      <c r="H82" t="s">
        <v>34</v>
      </c>
      <c r="K82" s="31" t="s">
        <v>1250</v>
      </c>
      <c r="L82" s="3">
        <v>43251</v>
      </c>
      <c r="M82" t="s">
        <v>35</v>
      </c>
      <c r="N82" s="14" t="s">
        <v>1537</v>
      </c>
      <c r="O82" s="9">
        <v>60</v>
      </c>
      <c r="P82" s="1">
        <v>1</v>
      </c>
      <c r="Q82" s="58">
        <v>0.21</v>
      </c>
      <c r="R82" s="7">
        <v>0</v>
      </c>
      <c r="S82" t="s">
        <v>36</v>
      </c>
      <c r="T82" s="4">
        <f t="shared" si="4"/>
        <v>72.599999999999994</v>
      </c>
      <c r="U82" t="s">
        <v>1538</v>
      </c>
      <c r="V82" s="5" t="s">
        <v>1539</v>
      </c>
      <c r="W82" s="3">
        <v>36587</v>
      </c>
      <c r="X82" s="3">
        <v>43244</v>
      </c>
      <c r="Y82" s="11" t="s">
        <v>1646</v>
      </c>
      <c r="Z82" s="2">
        <v>43283</v>
      </c>
      <c r="AC82" t="s">
        <v>1158</v>
      </c>
      <c r="AD82" t="s">
        <v>1540</v>
      </c>
    </row>
    <row r="83" spans="1:38">
      <c r="A83" s="1">
        <v>82</v>
      </c>
      <c r="B83" t="s">
        <v>1776</v>
      </c>
      <c r="C83" s="2">
        <v>43244</v>
      </c>
      <c r="D83" t="s">
        <v>1541</v>
      </c>
      <c r="E83" t="s">
        <v>1542</v>
      </c>
      <c r="F83" t="s">
        <v>1543</v>
      </c>
      <c r="G83" s="6" t="s">
        <v>242</v>
      </c>
      <c r="H83" t="s">
        <v>1474</v>
      </c>
      <c r="K83" s="31" t="s">
        <v>174</v>
      </c>
      <c r="L83" s="3">
        <v>43251</v>
      </c>
      <c r="M83" t="s">
        <v>35</v>
      </c>
      <c r="N83" s="14" t="s">
        <v>1544</v>
      </c>
      <c r="O83" s="9">
        <v>60</v>
      </c>
      <c r="P83" s="1">
        <v>1</v>
      </c>
      <c r="Q83" s="58">
        <v>0.21</v>
      </c>
      <c r="R83" s="7">
        <v>0</v>
      </c>
      <c r="S83" t="s">
        <v>36</v>
      </c>
      <c r="T83" s="4">
        <f t="shared" si="4"/>
        <v>72.599999999999994</v>
      </c>
      <c r="U83" t="s">
        <v>1545</v>
      </c>
      <c r="V83" s="5" t="s">
        <v>1546</v>
      </c>
      <c r="W83" s="3">
        <v>32509</v>
      </c>
      <c r="X83" s="3">
        <v>43244</v>
      </c>
      <c r="Y83" s="11" t="s">
        <v>1824</v>
      </c>
      <c r="Z83" s="2">
        <v>43342</v>
      </c>
      <c r="AA83" s="1" t="s">
        <v>1825</v>
      </c>
      <c r="AB83" s="3">
        <v>43329</v>
      </c>
      <c r="AC83" t="s">
        <v>1158</v>
      </c>
      <c r="AF83" t="s">
        <v>1547</v>
      </c>
      <c r="AG83" s="3">
        <v>43244</v>
      </c>
      <c r="AJ83" s="3">
        <v>43259</v>
      </c>
      <c r="AL83" t="s">
        <v>1585</v>
      </c>
    </row>
    <row r="84" spans="1:38">
      <c r="A84" s="1">
        <v>83</v>
      </c>
      <c r="B84" t="s">
        <v>1511</v>
      </c>
      <c r="C84" s="2">
        <v>43244</v>
      </c>
      <c r="D84" t="s">
        <v>1548</v>
      </c>
      <c r="E84" t="s">
        <v>1549</v>
      </c>
      <c r="F84" t="s">
        <v>1550</v>
      </c>
      <c r="G84" s="6" t="s">
        <v>270</v>
      </c>
      <c r="H84" t="s">
        <v>49</v>
      </c>
      <c r="K84" t="s">
        <v>1548</v>
      </c>
      <c r="L84" s="3">
        <v>43251</v>
      </c>
      <c r="M84" t="s">
        <v>35</v>
      </c>
      <c r="N84" s="14" t="s">
        <v>1551</v>
      </c>
      <c r="O84" s="9">
        <v>60</v>
      </c>
      <c r="P84" s="1">
        <v>1</v>
      </c>
      <c r="Q84" s="58">
        <v>0.21</v>
      </c>
      <c r="R84" s="7">
        <v>0</v>
      </c>
      <c r="S84" t="s">
        <v>36</v>
      </c>
      <c r="T84" s="4">
        <f t="shared" si="4"/>
        <v>72.599999999999994</v>
      </c>
      <c r="U84" t="s">
        <v>1548</v>
      </c>
      <c r="V84" s="5" t="s">
        <v>1552</v>
      </c>
      <c r="W84" s="3">
        <v>29916</v>
      </c>
      <c r="X84" s="3">
        <v>43244</v>
      </c>
      <c r="Y84" s="11" t="s">
        <v>1822</v>
      </c>
      <c r="Z84" s="2">
        <v>43342</v>
      </c>
      <c r="AA84" s="61" t="s">
        <v>1823</v>
      </c>
      <c r="AB84" s="3">
        <v>43313</v>
      </c>
      <c r="AC84" t="s">
        <v>1158</v>
      </c>
      <c r="AF84" t="s">
        <v>1553</v>
      </c>
      <c r="AG84" s="3">
        <v>43244</v>
      </c>
    </row>
    <row r="85" spans="1:38">
      <c r="A85" s="1">
        <v>84</v>
      </c>
      <c r="B85" t="s">
        <v>82</v>
      </c>
      <c r="C85" s="2">
        <v>43244</v>
      </c>
      <c r="D85" t="s">
        <v>1554</v>
      </c>
      <c r="E85" t="s">
        <v>1555</v>
      </c>
      <c r="F85" t="s">
        <v>1556</v>
      </c>
      <c r="G85" s="6" t="s">
        <v>250</v>
      </c>
      <c r="H85" t="s">
        <v>1557</v>
      </c>
      <c r="K85" t="s">
        <v>1554</v>
      </c>
      <c r="L85" s="3">
        <v>43251</v>
      </c>
      <c r="M85" t="s">
        <v>35</v>
      </c>
      <c r="N85" s="14" t="s">
        <v>1558</v>
      </c>
      <c r="O85" s="9">
        <v>60</v>
      </c>
      <c r="P85" s="1">
        <v>1</v>
      </c>
      <c r="Q85" s="58">
        <v>0.21</v>
      </c>
      <c r="R85" s="7">
        <v>0</v>
      </c>
      <c r="S85" t="s">
        <v>36</v>
      </c>
      <c r="T85" s="4">
        <f t="shared" si="4"/>
        <v>72.599999999999994</v>
      </c>
      <c r="U85" t="s">
        <v>1559</v>
      </c>
      <c r="V85" s="5" t="s">
        <v>1560</v>
      </c>
      <c r="W85" s="3">
        <v>35476</v>
      </c>
      <c r="X85" s="3">
        <v>43244</v>
      </c>
      <c r="Y85" s="11" t="s">
        <v>1646</v>
      </c>
      <c r="Z85" s="2">
        <v>43283</v>
      </c>
      <c r="AC85" t="s">
        <v>1158</v>
      </c>
      <c r="AF85" t="s">
        <v>1199</v>
      </c>
      <c r="AG85" s="3">
        <v>43244</v>
      </c>
      <c r="AJ85" s="3">
        <v>43255</v>
      </c>
    </row>
    <row r="86" spans="1:38">
      <c r="A86" s="1">
        <v>85</v>
      </c>
      <c r="B86" t="s">
        <v>61</v>
      </c>
      <c r="C86" s="2">
        <v>43245</v>
      </c>
      <c r="D86" t="s">
        <v>1563</v>
      </c>
      <c r="E86" t="s">
        <v>1561</v>
      </c>
      <c r="F86" t="s">
        <v>1562</v>
      </c>
      <c r="G86" s="6" t="s">
        <v>220</v>
      </c>
      <c r="H86" t="s">
        <v>39</v>
      </c>
      <c r="K86" t="s">
        <v>1563</v>
      </c>
      <c r="L86" s="3">
        <v>43251</v>
      </c>
      <c r="M86" t="s">
        <v>35</v>
      </c>
      <c r="N86" s="14" t="s">
        <v>1565</v>
      </c>
      <c r="O86" s="9">
        <v>60</v>
      </c>
      <c r="P86" s="1">
        <v>1</v>
      </c>
      <c r="Q86" s="58">
        <v>0.21</v>
      </c>
      <c r="R86" s="7">
        <v>0</v>
      </c>
      <c r="S86" t="s">
        <v>36</v>
      </c>
      <c r="T86" s="4">
        <f t="shared" si="4"/>
        <v>72.599999999999994</v>
      </c>
      <c r="U86" t="s">
        <v>1566</v>
      </c>
      <c r="V86" s="5" t="s">
        <v>1567</v>
      </c>
      <c r="Y86" t="s">
        <v>1568</v>
      </c>
      <c r="AC86" t="s">
        <v>244</v>
      </c>
    </row>
    <row r="87" spans="1:38">
      <c r="A87" s="1">
        <v>86</v>
      </c>
      <c r="B87" t="s">
        <v>37</v>
      </c>
      <c r="C87" s="2">
        <v>43245</v>
      </c>
      <c r="D87" t="s">
        <v>1569</v>
      </c>
      <c r="E87" t="s">
        <v>1570</v>
      </c>
      <c r="F87" t="s">
        <v>1571</v>
      </c>
      <c r="G87" s="6" t="s">
        <v>238</v>
      </c>
      <c r="H87" t="s">
        <v>48</v>
      </c>
      <c r="I87">
        <v>632590590</v>
      </c>
      <c r="K87" t="s">
        <v>1569</v>
      </c>
      <c r="L87" s="3">
        <v>43251</v>
      </c>
      <c r="M87" t="s">
        <v>35</v>
      </c>
      <c r="N87" s="14" t="s">
        <v>1572</v>
      </c>
      <c r="O87" s="9">
        <v>30</v>
      </c>
      <c r="P87" s="1">
        <v>1</v>
      </c>
      <c r="Q87" s="58">
        <v>0.21</v>
      </c>
      <c r="R87" s="7">
        <v>0</v>
      </c>
      <c r="S87" t="s">
        <v>36</v>
      </c>
      <c r="T87" s="4">
        <f t="shared" si="4"/>
        <v>36.299999999999997</v>
      </c>
      <c r="U87" t="s">
        <v>1569</v>
      </c>
      <c r="W87" s="3">
        <v>30184</v>
      </c>
      <c r="X87" s="3">
        <v>43245</v>
      </c>
      <c r="Y87" s="11" t="s">
        <v>1762</v>
      </c>
      <c r="AC87" t="s">
        <v>305</v>
      </c>
    </row>
    <row r="88" spans="1:38">
      <c r="A88" s="1">
        <v>87</v>
      </c>
      <c r="B88" t="s">
        <v>37</v>
      </c>
      <c r="C88" s="2">
        <v>43258</v>
      </c>
      <c r="D88" t="s">
        <v>1580</v>
      </c>
      <c r="E88" t="s">
        <v>1581</v>
      </c>
      <c r="F88" t="s">
        <v>1582</v>
      </c>
      <c r="G88" s="6" t="s">
        <v>219</v>
      </c>
      <c r="H88" t="s">
        <v>38</v>
      </c>
      <c r="I88">
        <v>642153845</v>
      </c>
      <c r="K88" t="s">
        <v>1580</v>
      </c>
      <c r="L88" s="3">
        <v>43281</v>
      </c>
      <c r="M88" t="s">
        <v>35</v>
      </c>
      <c r="N88" s="14" t="s">
        <v>1583</v>
      </c>
      <c r="O88" s="9">
        <v>24.79</v>
      </c>
      <c r="P88" s="1">
        <v>1</v>
      </c>
      <c r="Q88" s="58">
        <v>0.21</v>
      </c>
      <c r="R88" s="7">
        <v>0</v>
      </c>
      <c r="S88" t="s">
        <v>36</v>
      </c>
      <c r="T88" s="46">
        <f t="shared" si="4"/>
        <v>29.995899999999999</v>
      </c>
      <c r="U88" t="s">
        <v>1580</v>
      </c>
      <c r="W88" s="3">
        <v>29631</v>
      </c>
      <c r="X88" s="3">
        <v>43258</v>
      </c>
      <c r="Y88" s="11" t="s">
        <v>1775</v>
      </c>
      <c r="AC88" t="s">
        <v>305</v>
      </c>
    </row>
    <row r="89" spans="1:38">
      <c r="A89" s="1">
        <v>88</v>
      </c>
      <c r="B89" t="s">
        <v>37</v>
      </c>
      <c r="C89" s="2">
        <v>43259</v>
      </c>
      <c r="D89" t="s">
        <v>1586</v>
      </c>
      <c r="E89" t="s">
        <v>1587</v>
      </c>
      <c r="F89" t="s">
        <v>1588</v>
      </c>
      <c r="G89" s="6" t="s">
        <v>242</v>
      </c>
      <c r="H89" t="s">
        <v>1474</v>
      </c>
      <c r="I89">
        <v>676604030</v>
      </c>
      <c r="K89" t="s">
        <v>1586</v>
      </c>
      <c r="L89" s="3">
        <v>43281</v>
      </c>
      <c r="M89" t="s">
        <v>35</v>
      </c>
      <c r="N89" s="14" t="s">
        <v>1589</v>
      </c>
      <c r="O89" s="9">
        <v>60</v>
      </c>
      <c r="P89" s="1">
        <v>1</v>
      </c>
      <c r="Q89" s="58">
        <v>0.21</v>
      </c>
      <c r="R89" s="7">
        <v>0</v>
      </c>
      <c r="S89" t="s">
        <v>36</v>
      </c>
      <c r="T89" s="4">
        <f t="shared" si="4"/>
        <v>72.599999999999994</v>
      </c>
      <c r="U89" t="s">
        <v>1590</v>
      </c>
      <c r="V89" s="5" t="s">
        <v>1591</v>
      </c>
      <c r="W89" s="3">
        <v>43219</v>
      </c>
      <c r="X89" s="3">
        <v>43259</v>
      </c>
      <c r="Y89" s="11" t="s">
        <v>1592</v>
      </c>
    </row>
    <row r="90" spans="1:38">
      <c r="A90" s="1">
        <v>89</v>
      </c>
      <c r="B90" t="s">
        <v>82</v>
      </c>
      <c r="C90" s="2">
        <v>43259</v>
      </c>
      <c r="D90" t="s">
        <v>772</v>
      </c>
      <c r="E90" t="s">
        <v>773</v>
      </c>
      <c r="F90" t="s">
        <v>1593</v>
      </c>
      <c r="G90" s="6" t="s">
        <v>239</v>
      </c>
      <c r="H90" t="s">
        <v>108</v>
      </c>
      <c r="K90" t="s">
        <v>772</v>
      </c>
      <c r="L90" s="3">
        <v>43281</v>
      </c>
      <c r="M90" t="s">
        <v>35</v>
      </c>
      <c r="N90" s="14" t="s">
        <v>1608</v>
      </c>
      <c r="O90" s="9">
        <v>60</v>
      </c>
      <c r="P90" s="1">
        <v>1</v>
      </c>
      <c r="Q90" s="58">
        <v>0.21</v>
      </c>
      <c r="R90" s="7">
        <v>0</v>
      </c>
      <c r="S90" t="s">
        <v>36</v>
      </c>
      <c r="T90" s="4">
        <f t="shared" si="4"/>
        <v>72.599999999999994</v>
      </c>
      <c r="U90" t="s">
        <v>1594</v>
      </c>
      <c r="V90" s="5" t="s">
        <v>1595</v>
      </c>
      <c r="W90" s="3">
        <v>26013</v>
      </c>
      <c r="X90" s="3">
        <v>43259</v>
      </c>
      <c r="Y90" s="11" t="s">
        <v>1826</v>
      </c>
      <c r="Z90" s="2">
        <v>43334</v>
      </c>
      <c r="AC90" t="s">
        <v>1158</v>
      </c>
      <c r="AF90" t="s">
        <v>1596</v>
      </c>
      <c r="AG90" s="3">
        <v>43259</v>
      </c>
      <c r="AJ90" s="3">
        <v>43265</v>
      </c>
      <c r="AL90" t="s">
        <v>1797</v>
      </c>
    </row>
    <row r="91" spans="1:38">
      <c r="A91" s="1">
        <v>90</v>
      </c>
      <c r="B91" t="s">
        <v>80</v>
      </c>
      <c r="C91" s="2">
        <v>43259</v>
      </c>
      <c r="D91" t="s">
        <v>1598</v>
      </c>
      <c r="E91" t="s">
        <v>1636</v>
      </c>
      <c r="F91" t="s">
        <v>1637</v>
      </c>
      <c r="G91" s="6" t="s">
        <v>245</v>
      </c>
      <c r="H91" t="s">
        <v>54</v>
      </c>
      <c r="I91">
        <v>600831194</v>
      </c>
      <c r="K91" t="s">
        <v>1598</v>
      </c>
      <c r="L91" s="3">
        <v>43281</v>
      </c>
      <c r="M91" t="s">
        <v>35</v>
      </c>
      <c r="N91" s="14" t="s">
        <v>1597</v>
      </c>
      <c r="O91" s="9">
        <v>60</v>
      </c>
      <c r="P91" s="1">
        <v>1</v>
      </c>
      <c r="Q91" s="58">
        <v>0.21</v>
      </c>
      <c r="R91" s="7">
        <v>0</v>
      </c>
      <c r="S91" t="s">
        <v>36</v>
      </c>
      <c r="T91" s="4">
        <f t="shared" si="4"/>
        <v>72.599999999999994</v>
      </c>
      <c r="U91" t="s">
        <v>1598</v>
      </c>
      <c r="V91" s="5" t="s">
        <v>1599</v>
      </c>
      <c r="W91" s="3">
        <v>36286</v>
      </c>
      <c r="X91" s="3">
        <v>43259</v>
      </c>
      <c r="Y91" s="11" t="s">
        <v>1819</v>
      </c>
      <c r="Z91" s="2">
        <v>43287</v>
      </c>
      <c r="AC91" t="s">
        <v>1158</v>
      </c>
    </row>
    <row r="92" spans="1:38">
      <c r="A92" s="1">
        <v>91</v>
      </c>
      <c r="B92" t="s">
        <v>61</v>
      </c>
      <c r="C92" s="2">
        <v>43259</v>
      </c>
      <c r="D92" t="s">
        <v>62</v>
      </c>
      <c r="E92" t="s">
        <v>63</v>
      </c>
      <c r="F92" t="s">
        <v>1600</v>
      </c>
      <c r="G92" s="6" t="s">
        <v>219</v>
      </c>
      <c r="H92" t="s">
        <v>38</v>
      </c>
      <c r="K92" t="s">
        <v>62</v>
      </c>
      <c r="L92" s="3">
        <v>43281</v>
      </c>
      <c r="M92" t="s">
        <v>35</v>
      </c>
      <c r="N92" s="14" t="s">
        <v>1601</v>
      </c>
      <c r="O92" s="9">
        <v>60</v>
      </c>
      <c r="P92" s="1">
        <v>1</v>
      </c>
      <c r="Q92" s="58">
        <v>0.21</v>
      </c>
      <c r="R92" s="7">
        <v>0</v>
      </c>
      <c r="S92" t="s">
        <v>36</v>
      </c>
      <c r="T92" s="4">
        <f t="shared" si="4"/>
        <v>72.599999999999994</v>
      </c>
      <c r="U92" t="s">
        <v>1602</v>
      </c>
      <c r="V92" s="5" t="s">
        <v>1603</v>
      </c>
      <c r="W92" s="3">
        <v>35610</v>
      </c>
      <c r="X92" s="3">
        <v>43259</v>
      </c>
      <c r="Y92" s="11" t="s">
        <v>1819</v>
      </c>
      <c r="Z92" s="2">
        <v>43287</v>
      </c>
      <c r="AC92" t="s">
        <v>1158</v>
      </c>
      <c r="AD92" t="s">
        <v>1540</v>
      </c>
    </row>
    <row r="93" spans="1:38">
      <c r="A93" s="1">
        <v>92</v>
      </c>
      <c r="B93" t="s">
        <v>40</v>
      </c>
      <c r="C93" s="2">
        <v>43264</v>
      </c>
      <c r="D93" t="s">
        <v>619</v>
      </c>
      <c r="E93" t="s">
        <v>620</v>
      </c>
      <c r="F93" t="s">
        <v>621</v>
      </c>
      <c r="G93" s="6" t="s">
        <v>221</v>
      </c>
      <c r="H93" t="s">
        <v>34</v>
      </c>
      <c r="I93">
        <v>631835869</v>
      </c>
      <c r="K93" t="s">
        <v>619</v>
      </c>
      <c r="L93" s="3">
        <v>43281</v>
      </c>
      <c r="M93" t="s">
        <v>35</v>
      </c>
      <c r="N93" s="14" t="s">
        <v>1606</v>
      </c>
      <c r="O93" s="9">
        <v>30</v>
      </c>
      <c r="P93" s="1">
        <v>1</v>
      </c>
      <c r="Q93" s="58">
        <v>0.21</v>
      </c>
      <c r="R93" s="7">
        <v>0</v>
      </c>
      <c r="S93" t="s">
        <v>36</v>
      </c>
      <c r="T93" s="4">
        <f t="shared" si="4"/>
        <v>36.299999999999997</v>
      </c>
      <c r="U93" t="s">
        <v>619</v>
      </c>
      <c r="W93" s="3">
        <v>31584</v>
      </c>
      <c r="X93" s="3">
        <v>43264</v>
      </c>
      <c r="Y93" s="11" t="s">
        <v>1820</v>
      </c>
      <c r="AC93" t="s">
        <v>366</v>
      </c>
    </row>
    <row r="94" spans="1:38">
      <c r="A94" s="1">
        <v>93</v>
      </c>
      <c r="B94" t="s">
        <v>1610</v>
      </c>
      <c r="C94" s="2">
        <v>43265</v>
      </c>
      <c r="D94" t="s">
        <v>1617</v>
      </c>
      <c r="E94" t="s">
        <v>1618</v>
      </c>
      <c r="F94" t="s">
        <v>1619</v>
      </c>
      <c r="G94" s="6" t="s">
        <v>304</v>
      </c>
      <c r="H94" t="s">
        <v>68</v>
      </c>
      <c r="I94">
        <v>675656128</v>
      </c>
      <c r="K94" s="31" t="s">
        <v>237</v>
      </c>
      <c r="L94" s="3">
        <v>43281</v>
      </c>
      <c r="M94" t="s">
        <v>35</v>
      </c>
      <c r="N94" s="14" t="s">
        <v>1620</v>
      </c>
      <c r="O94" s="9">
        <v>60</v>
      </c>
      <c r="P94" s="1">
        <v>1</v>
      </c>
      <c r="Q94" s="58">
        <v>0.21</v>
      </c>
      <c r="R94" s="7">
        <v>0</v>
      </c>
      <c r="S94" t="s">
        <v>36</v>
      </c>
      <c r="T94" s="4">
        <f t="shared" si="4"/>
        <v>72.599999999999994</v>
      </c>
      <c r="U94" t="s">
        <v>1621</v>
      </c>
      <c r="V94" s="5" t="s">
        <v>1622</v>
      </c>
      <c r="W94" s="3">
        <v>32019</v>
      </c>
      <c r="X94" s="3">
        <v>43265</v>
      </c>
      <c r="Y94" s="11" t="s">
        <v>1826</v>
      </c>
      <c r="Z94" s="2">
        <v>43334</v>
      </c>
      <c r="AC94" t="s">
        <v>1158</v>
      </c>
      <c r="AF94" t="s">
        <v>1547</v>
      </c>
      <c r="AG94" s="3">
        <v>43265</v>
      </c>
    </row>
    <row r="95" spans="1:38">
      <c r="A95" s="1">
        <v>94</v>
      </c>
      <c r="B95" t="s">
        <v>438</v>
      </c>
      <c r="C95" s="2">
        <v>43265</v>
      </c>
      <c r="D95" t="s">
        <v>1611</v>
      </c>
      <c r="E95" t="s">
        <v>1612</v>
      </c>
      <c r="F95" t="s">
        <v>1613</v>
      </c>
      <c r="G95" s="6" t="s">
        <v>219</v>
      </c>
      <c r="H95" t="s">
        <v>38</v>
      </c>
      <c r="K95" t="s">
        <v>1611</v>
      </c>
      <c r="L95" s="3">
        <v>43281</v>
      </c>
      <c r="M95" t="s">
        <v>35</v>
      </c>
      <c r="N95" s="14" t="s">
        <v>1614</v>
      </c>
      <c r="O95" s="9">
        <v>30</v>
      </c>
      <c r="P95" s="1">
        <v>1</v>
      </c>
      <c r="Q95" s="58">
        <v>0.21</v>
      </c>
      <c r="R95" s="7">
        <v>0</v>
      </c>
      <c r="S95" t="s">
        <v>36</v>
      </c>
      <c r="T95" s="4">
        <f t="shared" si="4"/>
        <v>36.299999999999997</v>
      </c>
      <c r="U95" t="s">
        <v>1615</v>
      </c>
      <c r="V95" s="5" t="s">
        <v>1616</v>
      </c>
      <c r="X95" s="3">
        <v>43259</v>
      </c>
      <c r="Y95" t="s">
        <v>1568</v>
      </c>
    </row>
    <row r="96" spans="1:38">
      <c r="A96" s="1">
        <v>95</v>
      </c>
      <c r="B96" t="s">
        <v>40</v>
      </c>
      <c r="C96" s="2">
        <v>43265</v>
      </c>
      <c r="D96" t="s">
        <v>1630</v>
      </c>
      <c r="E96" t="s">
        <v>1623</v>
      </c>
      <c r="F96" t="s">
        <v>1631</v>
      </c>
      <c r="G96" s="6" t="s">
        <v>221</v>
      </c>
      <c r="H96" t="s">
        <v>34</v>
      </c>
      <c r="I96">
        <v>632593314</v>
      </c>
      <c r="K96" t="s">
        <v>1630</v>
      </c>
      <c r="L96" s="3">
        <v>43281</v>
      </c>
      <c r="M96" t="s">
        <v>35</v>
      </c>
      <c r="N96" s="14" t="s">
        <v>1624</v>
      </c>
      <c r="O96" s="9">
        <v>60</v>
      </c>
      <c r="P96" s="1">
        <v>1</v>
      </c>
      <c r="Q96" s="58">
        <v>0.21</v>
      </c>
      <c r="R96" s="7">
        <v>0</v>
      </c>
      <c r="S96" t="s">
        <v>36</v>
      </c>
      <c r="T96" s="4">
        <f t="shared" si="4"/>
        <v>72.599999999999994</v>
      </c>
      <c r="U96" t="s">
        <v>1625</v>
      </c>
      <c r="V96" s="5" t="s">
        <v>1626</v>
      </c>
      <c r="W96" s="3">
        <v>28126</v>
      </c>
      <c r="X96" s="3">
        <v>43265</v>
      </c>
      <c r="Y96" s="11" t="s">
        <v>1826</v>
      </c>
      <c r="Z96" s="2">
        <v>43334</v>
      </c>
      <c r="AC96" t="s">
        <v>1158</v>
      </c>
      <c r="AF96" t="s">
        <v>77</v>
      </c>
      <c r="AG96" s="3">
        <v>43265</v>
      </c>
    </row>
    <row r="97" spans="1:38">
      <c r="A97" s="1">
        <v>96</v>
      </c>
      <c r="B97" t="s">
        <v>82</v>
      </c>
      <c r="C97" s="2">
        <v>43265</v>
      </c>
      <c r="D97" t="s">
        <v>1628</v>
      </c>
      <c r="E97" t="s">
        <v>1627</v>
      </c>
      <c r="F97" t="s">
        <v>1629</v>
      </c>
      <c r="G97" s="6" t="s">
        <v>250</v>
      </c>
      <c r="H97" t="s">
        <v>86</v>
      </c>
      <c r="I97">
        <v>661074434</v>
      </c>
      <c r="K97" t="s">
        <v>1628</v>
      </c>
      <c r="L97" s="3">
        <v>43281</v>
      </c>
      <c r="M97" t="s">
        <v>35</v>
      </c>
      <c r="N97" s="14" t="s">
        <v>1632</v>
      </c>
      <c r="O97" s="9">
        <v>0</v>
      </c>
      <c r="P97" s="1">
        <v>1</v>
      </c>
      <c r="Q97" s="58">
        <v>0.21</v>
      </c>
      <c r="R97" s="7">
        <v>0</v>
      </c>
      <c r="S97" t="s">
        <v>36</v>
      </c>
      <c r="T97" s="4">
        <f t="shared" si="4"/>
        <v>0</v>
      </c>
      <c r="X97" s="3">
        <v>43265</v>
      </c>
      <c r="Y97" s="11" t="s">
        <v>151</v>
      </c>
    </row>
    <row r="98" spans="1:38">
      <c r="A98" s="1">
        <v>97</v>
      </c>
      <c r="B98" t="s">
        <v>37</v>
      </c>
      <c r="C98" s="2">
        <v>43279</v>
      </c>
      <c r="D98" t="s">
        <v>1638</v>
      </c>
      <c r="E98" t="s">
        <v>1639</v>
      </c>
      <c r="F98" t="s">
        <v>1640</v>
      </c>
      <c r="G98" s="6" t="s">
        <v>238</v>
      </c>
      <c r="H98" t="s">
        <v>48</v>
      </c>
      <c r="I98">
        <v>657198302</v>
      </c>
      <c r="K98" t="s">
        <v>1638</v>
      </c>
      <c r="L98" s="3">
        <v>43281</v>
      </c>
      <c r="M98" t="s">
        <v>35</v>
      </c>
      <c r="N98" s="14" t="s">
        <v>1641</v>
      </c>
      <c r="O98" s="9">
        <v>57.85</v>
      </c>
      <c r="P98" s="1">
        <v>1</v>
      </c>
      <c r="Q98" s="58">
        <v>0.21</v>
      </c>
      <c r="R98" s="7">
        <v>0</v>
      </c>
      <c r="S98" t="s">
        <v>36</v>
      </c>
      <c r="T98" s="4">
        <f>(O98*P98)*Q98+O98*P98</f>
        <v>69.998500000000007</v>
      </c>
      <c r="U98" t="s">
        <v>1638</v>
      </c>
      <c r="V98" s="5" t="s">
        <v>1642</v>
      </c>
      <c r="W98" s="3">
        <v>30354</v>
      </c>
      <c r="X98" s="3">
        <v>43279</v>
      </c>
      <c r="Y98" t="s">
        <v>1821</v>
      </c>
      <c r="Z98" s="2">
        <v>43336</v>
      </c>
      <c r="AA98" s="61" t="s">
        <v>1895</v>
      </c>
      <c r="AB98" s="3">
        <v>43364</v>
      </c>
      <c r="AC98" t="s">
        <v>1158</v>
      </c>
      <c r="AF98" t="s">
        <v>77</v>
      </c>
      <c r="AG98" s="3">
        <v>43279</v>
      </c>
      <c r="AJ98" s="3">
        <v>43283</v>
      </c>
    </row>
    <row r="99" spans="1:38">
      <c r="A99" s="1">
        <v>98</v>
      </c>
      <c r="B99" t="s">
        <v>143</v>
      </c>
      <c r="C99" s="2">
        <v>43279</v>
      </c>
      <c r="D99" t="s">
        <v>1226</v>
      </c>
      <c r="E99" t="s">
        <v>1227</v>
      </c>
      <c r="F99" t="s">
        <v>1228</v>
      </c>
      <c r="G99" s="6" t="s">
        <v>1229</v>
      </c>
      <c r="H99" t="s">
        <v>38</v>
      </c>
      <c r="K99" t="s">
        <v>1226</v>
      </c>
      <c r="L99" s="3">
        <v>43281</v>
      </c>
      <c r="M99" t="s">
        <v>35</v>
      </c>
      <c r="N99" s="14" t="s">
        <v>1643</v>
      </c>
      <c r="O99" s="7">
        <v>30</v>
      </c>
      <c r="P99" s="1">
        <v>1</v>
      </c>
      <c r="Q99" s="58">
        <v>0.21</v>
      </c>
      <c r="R99" s="7">
        <v>0</v>
      </c>
      <c r="S99" t="s">
        <v>36</v>
      </c>
      <c r="T99" s="4">
        <f>(O99*P99)*Q99+O99*P99</f>
        <v>36.299999999999997</v>
      </c>
      <c r="U99" t="s">
        <v>1644</v>
      </c>
      <c r="V99" s="5" t="s">
        <v>1645</v>
      </c>
      <c r="W99" s="3"/>
      <c r="X99" s="3">
        <v>43277</v>
      </c>
    </row>
    <row r="100" spans="1:38" s="31" customFormat="1">
      <c r="A100" s="30">
        <v>99</v>
      </c>
      <c r="B100" s="31" t="s">
        <v>260</v>
      </c>
      <c r="C100" s="32">
        <v>43279</v>
      </c>
      <c r="D100" s="31" t="s">
        <v>175</v>
      </c>
      <c r="E100" s="31" t="s">
        <v>196</v>
      </c>
      <c r="F100" s="31" t="s">
        <v>188</v>
      </c>
      <c r="G100" s="33" t="s">
        <v>220</v>
      </c>
      <c r="H100" s="31" t="s">
        <v>92</v>
      </c>
      <c r="K100" s="31" t="s">
        <v>175</v>
      </c>
      <c r="L100" s="3">
        <v>43281</v>
      </c>
      <c r="M100" s="31" t="s">
        <v>35</v>
      </c>
      <c r="N100" s="14" t="s">
        <v>1647</v>
      </c>
      <c r="O100" s="36">
        <v>60</v>
      </c>
      <c r="P100" s="30">
        <v>1</v>
      </c>
      <c r="Q100" s="37">
        <v>0.21</v>
      </c>
      <c r="R100" s="38">
        <v>0</v>
      </c>
      <c r="S100" s="31" t="s">
        <v>36</v>
      </c>
      <c r="T100" s="39">
        <f>(O100*P100)*Q100+O100*P100</f>
        <v>72.599999999999994</v>
      </c>
      <c r="U100" t="s">
        <v>129</v>
      </c>
      <c r="V100" s="5" t="s">
        <v>1751</v>
      </c>
      <c r="W100" s="34"/>
      <c r="X100" s="32"/>
      <c r="Y100" s="11" t="s">
        <v>1326</v>
      </c>
      <c r="Z100" s="2">
        <v>43292</v>
      </c>
      <c r="AC100" t="s">
        <v>1158</v>
      </c>
      <c r="AF100" s="31" t="s">
        <v>77</v>
      </c>
      <c r="AG100" s="34"/>
      <c r="AJ100" s="34">
        <v>43286</v>
      </c>
      <c r="AL100" t="s">
        <v>1951</v>
      </c>
    </row>
    <row r="101" spans="1:38">
      <c r="A101" s="30">
        <v>100</v>
      </c>
      <c r="B101" s="31" t="s">
        <v>260</v>
      </c>
      <c r="C101" s="2">
        <v>43279</v>
      </c>
      <c r="D101" s="31" t="s">
        <v>175</v>
      </c>
      <c r="E101" s="31" t="s">
        <v>196</v>
      </c>
      <c r="F101" s="31" t="s">
        <v>1684</v>
      </c>
      <c r="G101" s="33" t="s">
        <v>220</v>
      </c>
      <c r="H101" s="31" t="s">
        <v>92</v>
      </c>
      <c r="I101" s="31"/>
      <c r="J101" s="31"/>
      <c r="K101" s="31" t="s">
        <v>175</v>
      </c>
      <c r="L101" s="3">
        <v>43281</v>
      </c>
      <c r="M101" s="31" t="s">
        <v>35</v>
      </c>
      <c r="N101" s="14" t="s">
        <v>1648</v>
      </c>
      <c r="O101" s="9">
        <v>60</v>
      </c>
      <c r="P101" s="1">
        <v>1</v>
      </c>
      <c r="Q101" s="58">
        <v>0.21</v>
      </c>
      <c r="R101" s="7">
        <v>0</v>
      </c>
      <c r="S101" t="s">
        <v>36</v>
      </c>
      <c r="T101" s="4">
        <f>(O101*P101)*Q101+O101*P101</f>
        <v>72.599999999999994</v>
      </c>
      <c r="U101" t="s">
        <v>274</v>
      </c>
      <c r="V101" s="5" t="s">
        <v>1749</v>
      </c>
      <c r="Y101" s="11" t="s">
        <v>1326</v>
      </c>
      <c r="Z101" s="2">
        <v>43292</v>
      </c>
      <c r="AC101" t="s">
        <v>1158</v>
      </c>
      <c r="AD101" s="31"/>
      <c r="AE101" s="31"/>
      <c r="AF101" s="31" t="s">
        <v>77</v>
      </c>
      <c r="AG101" s="3"/>
      <c r="AJ101" s="3">
        <v>43286</v>
      </c>
      <c r="AL101" t="s">
        <v>1951</v>
      </c>
    </row>
    <row r="102" spans="1:38">
      <c r="A102" s="30">
        <v>101</v>
      </c>
      <c r="B102" s="31" t="s">
        <v>260</v>
      </c>
      <c r="C102" s="32">
        <v>43279</v>
      </c>
      <c r="D102" s="31" t="s">
        <v>175</v>
      </c>
      <c r="E102" s="31" t="s">
        <v>196</v>
      </c>
      <c r="F102" s="31" t="s">
        <v>1685</v>
      </c>
      <c r="G102" s="33" t="s">
        <v>220</v>
      </c>
      <c r="H102" s="31" t="s">
        <v>92</v>
      </c>
      <c r="I102" s="31"/>
      <c r="J102" s="31"/>
      <c r="K102" s="31" t="s">
        <v>175</v>
      </c>
      <c r="L102" s="3">
        <v>43281</v>
      </c>
      <c r="M102" s="31" t="s">
        <v>35</v>
      </c>
      <c r="N102" t="s">
        <v>1649</v>
      </c>
      <c r="O102" s="36">
        <v>60</v>
      </c>
      <c r="P102" s="30">
        <v>1</v>
      </c>
      <c r="Q102" s="37">
        <v>0.21</v>
      </c>
      <c r="R102" s="38">
        <v>0</v>
      </c>
      <c r="S102" s="31" t="s">
        <v>36</v>
      </c>
      <c r="T102" s="39">
        <f t="shared" ref="T102:T140" si="5">(O102*P102)*Q102+O102*P102</f>
        <v>72.599999999999994</v>
      </c>
      <c r="U102" t="s">
        <v>279</v>
      </c>
      <c r="V102" s="5" t="s">
        <v>1754</v>
      </c>
      <c r="Y102" s="11" t="s">
        <v>1326</v>
      </c>
      <c r="Z102" s="2">
        <v>43292</v>
      </c>
      <c r="AC102" t="s">
        <v>1158</v>
      </c>
      <c r="AD102" s="31"/>
      <c r="AE102" s="31"/>
      <c r="AF102" s="31" t="s">
        <v>77</v>
      </c>
      <c r="AG102" s="34"/>
      <c r="AJ102" s="34">
        <v>43286</v>
      </c>
      <c r="AL102" t="s">
        <v>1951</v>
      </c>
    </row>
    <row r="103" spans="1:38">
      <c r="A103" s="30">
        <v>102</v>
      </c>
      <c r="B103" s="31" t="s">
        <v>260</v>
      </c>
      <c r="C103" s="2">
        <v>43279</v>
      </c>
      <c r="D103" s="31" t="s">
        <v>175</v>
      </c>
      <c r="E103" s="31" t="s">
        <v>196</v>
      </c>
      <c r="F103" s="31" t="s">
        <v>1686</v>
      </c>
      <c r="G103" s="33" t="s">
        <v>220</v>
      </c>
      <c r="H103" s="31" t="s">
        <v>92</v>
      </c>
      <c r="I103" s="31"/>
      <c r="J103" s="31"/>
      <c r="K103" s="31" t="s">
        <v>175</v>
      </c>
      <c r="L103" s="3">
        <v>43281</v>
      </c>
      <c r="M103" s="31" t="s">
        <v>35</v>
      </c>
      <c r="N103" t="s">
        <v>1650</v>
      </c>
      <c r="O103" s="9">
        <v>60</v>
      </c>
      <c r="P103" s="1">
        <v>1</v>
      </c>
      <c r="Q103" s="58">
        <v>0.21</v>
      </c>
      <c r="R103" s="7">
        <v>0</v>
      </c>
      <c r="S103" t="s">
        <v>36</v>
      </c>
      <c r="T103" s="4">
        <f t="shared" si="5"/>
        <v>72.599999999999994</v>
      </c>
      <c r="U103" t="s">
        <v>189</v>
      </c>
      <c r="V103" s="5" t="s">
        <v>1752</v>
      </c>
      <c r="Y103" s="11" t="s">
        <v>1326</v>
      </c>
      <c r="Z103" s="2">
        <v>43292</v>
      </c>
      <c r="AC103" t="s">
        <v>1158</v>
      </c>
      <c r="AD103" s="31"/>
      <c r="AE103" s="31"/>
      <c r="AF103" s="31" t="s">
        <v>77</v>
      </c>
      <c r="AG103" s="3"/>
      <c r="AJ103" s="3">
        <v>43286</v>
      </c>
      <c r="AL103" t="s">
        <v>1951</v>
      </c>
    </row>
    <row r="104" spans="1:38">
      <c r="A104" s="30">
        <v>103</v>
      </c>
      <c r="B104" s="31" t="s">
        <v>260</v>
      </c>
      <c r="C104" s="32">
        <v>43279</v>
      </c>
      <c r="D104" s="31" t="s">
        <v>175</v>
      </c>
      <c r="E104" s="31" t="s">
        <v>196</v>
      </c>
      <c r="F104" s="31" t="s">
        <v>1687</v>
      </c>
      <c r="G104" s="33" t="s">
        <v>220</v>
      </c>
      <c r="H104" s="31" t="s">
        <v>92</v>
      </c>
      <c r="I104" s="31"/>
      <c r="J104" s="31"/>
      <c r="K104" s="31" t="s">
        <v>175</v>
      </c>
      <c r="L104" s="3">
        <v>43281</v>
      </c>
      <c r="M104" s="31" t="s">
        <v>35</v>
      </c>
      <c r="N104" t="s">
        <v>1651</v>
      </c>
      <c r="O104" s="36">
        <v>60</v>
      </c>
      <c r="P104" s="30">
        <v>1</v>
      </c>
      <c r="Q104" s="37">
        <v>0.21</v>
      </c>
      <c r="R104" s="38">
        <v>0</v>
      </c>
      <c r="S104" s="31" t="s">
        <v>36</v>
      </c>
      <c r="T104" s="39">
        <f t="shared" si="5"/>
        <v>72.599999999999994</v>
      </c>
      <c r="U104" t="s">
        <v>276</v>
      </c>
      <c r="V104" s="5" t="s">
        <v>1746</v>
      </c>
      <c r="Y104" s="11" t="s">
        <v>1326</v>
      </c>
      <c r="Z104" s="2">
        <v>43292</v>
      </c>
      <c r="AC104" t="s">
        <v>1158</v>
      </c>
      <c r="AD104" s="31"/>
      <c r="AE104" s="31"/>
      <c r="AF104" s="31" t="s">
        <v>77</v>
      </c>
      <c r="AG104" s="34"/>
      <c r="AJ104" s="34">
        <v>43286</v>
      </c>
      <c r="AL104" t="s">
        <v>1951</v>
      </c>
    </row>
    <row r="105" spans="1:38">
      <c r="A105" s="30">
        <v>104</v>
      </c>
      <c r="B105" s="31" t="s">
        <v>260</v>
      </c>
      <c r="C105" s="2">
        <v>43279</v>
      </c>
      <c r="D105" s="31" t="s">
        <v>175</v>
      </c>
      <c r="E105" s="31" t="s">
        <v>196</v>
      </c>
      <c r="F105" s="31" t="s">
        <v>1688</v>
      </c>
      <c r="G105" s="33" t="s">
        <v>220</v>
      </c>
      <c r="H105" s="31" t="s">
        <v>92</v>
      </c>
      <c r="I105" s="31"/>
      <c r="J105" s="31"/>
      <c r="K105" s="31" t="s">
        <v>175</v>
      </c>
      <c r="L105" s="3">
        <v>43281</v>
      </c>
      <c r="M105" s="31" t="s">
        <v>35</v>
      </c>
      <c r="N105" t="s">
        <v>1652</v>
      </c>
      <c r="O105" s="9">
        <v>60</v>
      </c>
      <c r="P105" s="1">
        <v>1</v>
      </c>
      <c r="Q105" s="58">
        <v>0.21</v>
      </c>
      <c r="R105" s="7">
        <v>0</v>
      </c>
      <c r="S105" t="s">
        <v>36</v>
      </c>
      <c r="T105" s="4">
        <f t="shared" si="5"/>
        <v>72.599999999999994</v>
      </c>
      <c r="U105" t="s">
        <v>275</v>
      </c>
      <c r="V105" s="5" t="s">
        <v>1753</v>
      </c>
      <c r="Y105" s="11" t="s">
        <v>1326</v>
      </c>
      <c r="Z105" s="2">
        <v>43292</v>
      </c>
      <c r="AC105" t="s">
        <v>1158</v>
      </c>
      <c r="AD105" s="31"/>
      <c r="AE105" s="31"/>
      <c r="AF105" s="31" t="s">
        <v>77</v>
      </c>
      <c r="AG105" s="3"/>
      <c r="AJ105" s="3">
        <v>43286</v>
      </c>
      <c r="AL105" t="s">
        <v>1951</v>
      </c>
    </row>
    <row r="106" spans="1:38">
      <c r="A106" s="30">
        <v>105</v>
      </c>
      <c r="B106" s="31" t="s">
        <v>260</v>
      </c>
      <c r="C106" s="32">
        <v>43279</v>
      </c>
      <c r="D106" s="31" t="s">
        <v>175</v>
      </c>
      <c r="E106" s="31" t="s">
        <v>196</v>
      </c>
      <c r="F106" s="31" t="s">
        <v>1689</v>
      </c>
      <c r="G106" s="33" t="s">
        <v>220</v>
      </c>
      <c r="H106" s="31" t="s">
        <v>92</v>
      </c>
      <c r="I106" s="31"/>
      <c r="J106" s="31"/>
      <c r="K106" s="31" t="s">
        <v>175</v>
      </c>
      <c r="L106" s="3">
        <v>43281</v>
      </c>
      <c r="M106" s="31" t="s">
        <v>35</v>
      </c>
      <c r="N106" t="s">
        <v>1653</v>
      </c>
      <c r="O106" s="36">
        <v>60</v>
      </c>
      <c r="P106" s="30">
        <v>1</v>
      </c>
      <c r="Q106" s="37">
        <v>0.21</v>
      </c>
      <c r="R106" s="38">
        <v>0</v>
      </c>
      <c r="S106" s="31" t="s">
        <v>36</v>
      </c>
      <c r="T106" s="39">
        <f t="shared" si="5"/>
        <v>72.599999999999994</v>
      </c>
      <c r="U106" t="s">
        <v>191</v>
      </c>
      <c r="V106" s="5" t="s">
        <v>1729</v>
      </c>
      <c r="Y106" s="11" t="s">
        <v>1326</v>
      </c>
      <c r="Z106" s="2">
        <v>43292</v>
      </c>
      <c r="AC106" t="s">
        <v>1158</v>
      </c>
      <c r="AD106" s="31"/>
      <c r="AE106" s="31"/>
      <c r="AF106" s="31" t="s">
        <v>77</v>
      </c>
      <c r="AG106" s="34"/>
      <c r="AJ106" s="34">
        <v>43286</v>
      </c>
      <c r="AL106" t="s">
        <v>1951</v>
      </c>
    </row>
    <row r="107" spans="1:38">
      <c r="A107" s="30">
        <v>106</v>
      </c>
      <c r="B107" s="31" t="s">
        <v>260</v>
      </c>
      <c r="C107" s="2">
        <v>43279</v>
      </c>
      <c r="D107" s="31" t="s">
        <v>175</v>
      </c>
      <c r="E107" s="31" t="s">
        <v>196</v>
      </c>
      <c r="F107" s="31" t="s">
        <v>1690</v>
      </c>
      <c r="G107" s="33" t="s">
        <v>220</v>
      </c>
      <c r="H107" s="31" t="s">
        <v>92</v>
      </c>
      <c r="I107" s="31"/>
      <c r="J107" s="31"/>
      <c r="K107" s="31" t="s">
        <v>175</v>
      </c>
      <c r="L107" s="3">
        <v>43281</v>
      </c>
      <c r="M107" s="31" t="s">
        <v>35</v>
      </c>
      <c r="N107" t="s">
        <v>1654</v>
      </c>
      <c r="O107" s="9">
        <v>60</v>
      </c>
      <c r="P107" s="1">
        <v>1</v>
      </c>
      <c r="Q107" s="58">
        <v>0.21</v>
      </c>
      <c r="R107" s="7">
        <v>0</v>
      </c>
      <c r="S107" t="s">
        <v>36</v>
      </c>
      <c r="T107" s="4">
        <f t="shared" si="5"/>
        <v>72.599999999999994</v>
      </c>
      <c r="U107" t="s">
        <v>128</v>
      </c>
      <c r="V107" s="5" t="s">
        <v>1747</v>
      </c>
      <c r="Y107" s="11" t="s">
        <v>1326</v>
      </c>
      <c r="Z107" s="2">
        <v>43292</v>
      </c>
      <c r="AC107" t="s">
        <v>1158</v>
      </c>
      <c r="AD107" s="31"/>
      <c r="AE107" s="31"/>
      <c r="AF107" s="31" t="s">
        <v>77</v>
      </c>
      <c r="AG107" s="3"/>
      <c r="AJ107" s="3">
        <v>43286</v>
      </c>
      <c r="AL107" t="s">
        <v>1951</v>
      </c>
    </row>
    <row r="108" spans="1:38">
      <c r="A108" s="30">
        <v>107</v>
      </c>
      <c r="B108" s="31" t="s">
        <v>260</v>
      </c>
      <c r="C108" s="32">
        <v>43279</v>
      </c>
      <c r="D108" s="31" t="s">
        <v>175</v>
      </c>
      <c r="E108" s="31" t="s">
        <v>196</v>
      </c>
      <c r="F108" s="31" t="s">
        <v>1691</v>
      </c>
      <c r="G108" s="33" t="s">
        <v>220</v>
      </c>
      <c r="H108" s="31" t="s">
        <v>92</v>
      </c>
      <c r="I108" s="31"/>
      <c r="J108" s="31"/>
      <c r="K108" s="31" t="s">
        <v>175</v>
      </c>
      <c r="L108" s="3">
        <v>43281</v>
      </c>
      <c r="M108" s="31" t="s">
        <v>35</v>
      </c>
      <c r="N108" t="s">
        <v>1655</v>
      </c>
      <c r="O108" s="36">
        <v>60</v>
      </c>
      <c r="P108" s="30">
        <v>1</v>
      </c>
      <c r="Q108" s="37">
        <v>0.21</v>
      </c>
      <c r="R108" s="38">
        <v>0</v>
      </c>
      <c r="S108" s="31" t="s">
        <v>36</v>
      </c>
      <c r="T108" s="39">
        <f t="shared" si="5"/>
        <v>72.599999999999994</v>
      </c>
      <c r="U108" t="s">
        <v>125</v>
      </c>
      <c r="V108" s="5" t="s">
        <v>1725</v>
      </c>
      <c r="Y108" s="11" t="s">
        <v>1326</v>
      </c>
      <c r="Z108" s="2">
        <v>43292</v>
      </c>
      <c r="AC108" t="s">
        <v>1158</v>
      </c>
      <c r="AD108" s="31"/>
      <c r="AE108" s="31"/>
      <c r="AF108" s="31" t="s">
        <v>77</v>
      </c>
      <c r="AG108" s="34"/>
      <c r="AJ108" s="34">
        <v>43286</v>
      </c>
      <c r="AL108" t="s">
        <v>1951</v>
      </c>
    </row>
    <row r="109" spans="1:38">
      <c r="A109" s="30">
        <v>108</v>
      </c>
      <c r="B109" s="31" t="s">
        <v>260</v>
      </c>
      <c r="C109" s="2">
        <v>43279</v>
      </c>
      <c r="D109" s="31" t="s">
        <v>175</v>
      </c>
      <c r="E109" s="31" t="s">
        <v>196</v>
      </c>
      <c r="F109" s="31" t="s">
        <v>1692</v>
      </c>
      <c r="G109" s="33" t="s">
        <v>220</v>
      </c>
      <c r="H109" s="31" t="s">
        <v>92</v>
      </c>
      <c r="I109" s="31"/>
      <c r="J109" s="31"/>
      <c r="K109" s="31" t="s">
        <v>175</v>
      </c>
      <c r="L109" s="3">
        <v>43281</v>
      </c>
      <c r="M109" s="31" t="s">
        <v>35</v>
      </c>
      <c r="N109" t="s">
        <v>1656</v>
      </c>
      <c r="O109" s="9">
        <v>60</v>
      </c>
      <c r="P109" s="1">
        <v>1</v>
      </c>
      <c r="Q109" s="58">
        <v>0.21</v>
      </c>
      <c r="R109" s="7">
        <v>0</v>
      </c>
      <c r="S109" t="s">
        <v>36</v>
      </c>
      <c r="T109" s="4">
        <f t="shared" si="5"/>
        <v>72.599999999999994</v>
      </c>
      <c r="U109" t="s">
        <v>530</v>
      </c>
      <c r="V109" s="5" t="s">
        <v>1755</v>
      </c>
      <c r="Y109" s="11" t="s">
        <v>1326</v>
      </c>
      <c r="Z109" s="2">
        <v>43292</v>
      </c>
      <c r="AC109" t="s">
        <v>1158</v>
      </c>
      <c r="AD109" s="31"/>
      <c r="AE109" s="31"/>
      <c r="AF109" s="31" t="s">
        <v>77</v>
      </c>
      <c r="AG109" s="3"/>
      <c r="AJ109" s="3">
        <v>43286</v>
      </c>
      <c r="AL109" t="s">
        <v>1951</v>
      </c>
    </row>
    <row r="110" spans="1:38">
      <c r="A110" s="30">
        <v>109</v>
      </c>
      <c r="B110" s="31" t="s">
        <v>260</v>
      </c>
      <c r="C110" s="32">
        <v>43279</v>
      </c>
      <c r="D110" s="31" t="s">
        <v>175</v>
      </c>
      <c r="E110" s="31" t="s">
        <v>196</v>
      </c>
      <c r="F110" s="31" t="s">
        <v>1693</v>
      </c>
      <c r="G110" s="33" t="s">
        <v>220</v>
      </c>
      <c r="H110" s="31" t="s">
        <v>92</v>
      </c>
      <c r="I110" s="31"/>
      <c r="J110" s="31"/>
      <c r="K110" s="31" t="s">
        <v>175</v>
      </c>
      <c r="L110" s="3">
        <v>43281</v>
      </c>
      <c r="M110" s="31" t="s">
        <v>35</v>
      </c>
      <c r="N110" t="s">
        <v>1657</v>
      </c>
      <c r="O110" s="36">
        <v>60</v>
      </c>
      <c r="P110" s="30">
        <v>1</v>
      </c>
      <c r="Q110" s="37">
        <v>0.21</v>
      </c>
      <c r="R110" s="38">
        <v>0</v>
      </c>
      <c r="S110" s="31" t="s">
        <v>36</v>
      </c>
      <c r="T110" s="39">
        <f t="shared" si="5"/>
        <v>72.599999999999994</v>
      </c>
      <c r="U110" t="s">
        <v>281</v>
      </c>
      <c r="V110" s="5" t="s">
        <v>1748</v>
      </c>
      <c r="Y110" s="11" t="s">
        <v>1326</v>
      </c>
      <c r="Z110" s="2">
        <v>43292</v>
      </c>
      <c r="AC110" t="s">
        <v>1158</v>
      </c>
      <c r="AD110" s="31"/>
      <c r="AE110" s="31"/>
      <c r="AF110" s="31" t="s">
        <v>77</v>
      </c>
      <c r="AG110" s="34"/>
      <c r="AJ110" s="34">
        <v>43286</v>
      </c>
      <c r="AL110" t="s">
        <v>1951</v>
      </c>
    </row>
    <row r="111" spans="1:38">
      <c r="A111" s="30">
        <v>110</v>
      </c>
      <c r="B111" s="31" t="s">
        <v>260</v>
      </c>
      <c r="C111" s="2">
        <v>43279</v>
      </c>
      <c r="D111" s="31" t="s">
        <v>175</v>
      </c>
      <c r="E111" s="31" t="s">
        <v>196</v>
      </c>
      <c r="F111" s="31" t="s">
        <v>1694</v>
      </c>
      <c r="G111" s="33" t="s">
        <v>220</v>
      </c>
      <c r="H111" s="31" t="s">
        <v>92</v>
      </c>
      <c r="I111" s="31"/>
      <c r="J111" s="31"/>
      <c r="K111" s="31" t="s">
        <v>175</v>
      </c>
      <c r="L111" s="3">
        <v>43281</v>
      </c>
      <c r="M111" s="31" t="s">
        <v>35</v>
      </c>
      <c r="N111" t="s">
        <v>1658</v>
      </c>
      <c r="O111" s="9">
        <v>60</v>
      </c>
      <c r="P111" s="1">
        <v>1</v>
      </c>
      <c r="Q111" s="58">
        <v>0.21</v>
      </c>
      <c r="R111" s="7">
        <v>0</v>
      </c>
      <c r="S111" t="s">
        <v>36</v>
      </c>
      <c r="T111" s="4">
        <f t="shared" si="5"/>
        <v>72.599999999999994</v>
      </c>
      <c r="U111" t="s">
        <v>95</v>
      </c>
      <c r="V111" s="5" t="s">
        <v>1750</v>
      </c>
      <c r="Y111" s="11" t="s">
        <v>1326</v>
      </c>
      <c r="Z111" s="2">
        <v>43292</v>
      </c>
      <c r="AC111" t="s">
        <v>1158</v>
      </c>
      <c r="AD111" s="31"/>
      <c r="AE111" s="31"/>
      <c r="AF111" s="31" t="s">
        <v>77</v>
      </c>
      <c r="AG111" s="3"/>
      <c r="AJ111" s="3">
        <v>43286</v>
      </c>
      <c r="AL111" t="s">
        <v>1951</v>
      </c>
    </row>
    <row r="112" spans="1:38">
      <c r="A112" s="30">
        <v>111</v>
      </c>
      <c r="B112" s="31" t="s">
        <v>260</v>
      </c>
      <c r="C112" s="32">
        <v>43279</v>
      </c>
      <c r="D112" s="31" t="s">
        <v>175</v>
      </c>
      <c r="E112" s="31" t="s">
        <v>196</v>
      </c>
      <c r="F112" s="31" t="s">
        <v>1695</v>
      </c>
      <c r="G112" s="33" t="s">
        <v>220</v>
      </c>
      <c r="H112" s="31" t="s">
        <v>92</v>
      </c>
      <c r="I112" s="31"/>
      <c r="J112" s="31"/>
      <c r="K112" s="31" t="s">
        <v>175</v>
      </c>
      <c r="L112" s="3">
        <v>43281</v>
      </c>
      <c r="M112" s="31" t="s">
        <v>35</v>
      </c>
      <c r="N112" t="s">
        <v>1659</v>
      </c>
      <c r="O112" s="36">
        <v>60</v>
      </c>
      <c r="P112" s="30">
        <v>1</v>
      </c>
      <c r="Q112" s="37">
        <v>0.21</v>
      </c>
      <c r="R112" s="38">
        <v>0</v>
      </c>
      <c r="S112" s="31" t="s">
        <v>36</v>
      </c>
      <c r="T112" s="39">
        <f t="shared" si="5"/>
        <v>72.599999999999994</v>
      </c>
      <c r="U112" t="s">
        <v>520</v>
      </c>
      <c r="V112" s="5" t="s">
        <v>1743</v>
      </c>
      <c r="Y112" s="11" t="s">
        <v>1326</v>
      </c>
      <c r="Z112" s="2">
        <v>43292</v>
      </c>
      <c r="AC112" t="s">
        <v>1158</v>
      </c>
      <c r="AD112" s="31"/>
      <c r="AE112" s="31"/>
      <c r="AF112" s="31" t="s">
        <v>77</v>
      </c>
      <c r="AG112" s="34"/>
      <c r="AJ112" s="34">
        <v>43286</v>
      </c>
      <c r="AL112" t="s">
        <v>1951</v>
      </c>
    </row>
    <row r="113" spans="1:38">
      <c r="A113" s="30">
        <v>112</v>
      </c>
      <c r="B113" s="31" t="s">
        <v>260</v>
      </c>
      <c r="C113" s="2">
        <v>43279</v>
      </c>
      <c r="D113" s="31" t="s">
        <v>175</v>
      </c>
      <c r="E113" s="31" t="s">
        <v>196</v>
      </c>
      <c r="F113" s="31" t="s">
        <v>1696</v>
      </c>
      <c r="G113" s="33" t="s">
        <v>220</v>
      </c>
      <c r="H113" s="31" t="s">
        <v>92</v>
      </c>
      <c r="I113" s="31"/>
      <c r="J113" s="31"/>
      <c r="K113" s="31" t="s">
        <v>175</v>
      </c>
      <c r="L113" s="3">
        <v>43281</v>
      </c>
      <c r="M113" s="31" t="s">
        <v>35</v>
      </c>
      <c r="N113" t="s">
        <v>1660</v>
      </c>
      <c r="O113" s="9">
        <v>60</v>
      </c>
      <c r="P113" s="1">
        <v>1</v>
      </c>
      <c r="Q113" s="58">
        <v>0.21</v>
      </c>
      <c r="R113" s="7">
        <v>0</v>
      </c>
      <c r="S113" t="s">
        <v>36</v>
      </c>
      <c r="T113" s="4">
        <f t="shared" si="5"/>
        <v>72.599999999999994</v>
      </c>
      <c r="U113" t="s">
        <v>127</v>
      </c>
      <c r="V113" s="5" t="s">
        <v>1734</v>
      </c>
      <c r="Y113" s="11" t="s">
        <v>1326</v>
      </c>
      <c r="Z113" s="2">
        <v>43292</v>
      </c>
      <c r="AC113" t="s">
        <v>1158</v>
      </c>
      <c r="AD113" s="31"/>
      <c r="AE113" s="31"/>
      <c r="AF113" s="31" t="s">
        <v>77</v>
      </c>
      <c r="AG113" s="3"/>
      <c r="AJ113" s="3">
        <v>43286</v>
      </c>
      <c r="AL113" t="s">
        <v>1951</v>
      </c>
    </row>
    <row r="114" spans="1:38">
      <c r="A114" s="30">
        <v>113</v>
      </c>
      <c r="B114" s="31" t="s">
        <v>260</v>
      </c>
      <c r="C114" s="32">
        <v>43279</v>
      </c>
      <c r="D114" s="31" t="s">
        <v>175</v>
      </c>
      <c r="E114" s="31" t="s">
        <v>196</v>
      </c>
      <c r="F114" s="31" t="s">
        <v>1697</v>
      </c>
      <c r="G114" s="33" t="s">
        <v>220</v>
      </c>
      <c r="H114" s="31" t="s">
        <v>92</v>
      </c>
      <c r="I114" s="31"/>
      <c r="J114" s="31"/>
      <c r="K114" s="31" t="s">
        <v>175</v>
      </c>
      <c r="L114" s="3">
        <v>43281</v>
      </c>
      <c r="M114" s="31" t="s">
        <v>35</v>
      </c>
      <c r="N114" t="s">
        <v>1661</v>
      </c>
      <c r="O114" s="36">
        <v>60</v>
      </c>
      <c r="P114" s="30">
        <v>1</v>
      </c>
      <c r="Q114" s="37">
        <v>0.21</v>
      </c>
      <c r="R114" s="38">
        <v>0</v>
      </c>
      <c r="S114" s="31" t="s">
        <v>36</v>
      </c>
      <c r="T114" s="39">
        <f t="shared" si="5"/>
        <v>72.599999999999994</v>
      </c>
      <c r="U114" t="s">
        <v>124</v>
      </c>
      <c r="V114" s="5" t="s">
        <v>1733</v>
      </c>
      <c r="Y114" s="11" t="s">
        <v>1326</v>
      </c>
      <c r="Z114" s="2">
        <v>43292</v>
      </c>
      <c r="AC114" t="s">
        <v>1158</v>
      </c>
      <c r="AD114" s="31"/>
      <c r="AE114" s="31"/>
      <c r="AF114" s="31" t="s">
        <v>77</v>
      </c>
      <c r="AG114" s="34"/>
      <c r="AJ114" s="34">
        <v>43286</v>
      </c>
      <c r="AL114" t="s">
        <v>1951</v>
      </c>
    </row>
    <row r="115" spans="1:38">
      <c r="A115" s="30">
        <v>114</v>
      </c>
      <c r="B115" s="31" t="s">
        <v>260</v>
      </c>
      <c r="C115" s="2">
        <v>43279</v>
      </c>
      <c r="D115" s="31" t="s">
        <v>175</v>
      </c>
      <c r="E115" s="31" t="s">
        <v>196</v>
      </c>
      <c r="F115" s="31" t="s">
        <v>1698</v>
      </c>
      <c r="G115" s="33" t="s">
        <v>220</v>
      </c>
      <c r="H115" s="31" t="s">
        <v>92</v>
      </c>
      <c r="I115" s="31"/>
      <c r="J115" s="31"/>
      <c r="K115" s="31" t="s">
        <v>175</v>
      </c>
      <c r="L115" s="3">
        <v>43281</v>
      </c>
      <c r="M115" s="31" t="s">
        <v>35</v>
      </c>
      <c r="N115" t="s">
        <v>1662</v>
      </c>
      <c r="O115" s="9">
        <v>60</v>
      </c>
      <c r="P115" s="1">
        <v>1</v>
      </c>
      <c r="Q115" s="58">
        <v>0.21</v>
      </c>
      <c r="R115" s="7">
        <v>0</v>
      </c>
      <c r="S115" t="s">
        <v>36</v>
      </c>
      <c r="T115" s="4">
        <f t="shared" si="5"/>
        <v>72.599999999999994</v>
      </c>
      <c r="U115" t="s">
        <v>98</v>
      </c>
      <c r="V115" s="5" t="s">
        <v>1757</v>
      </c>
      <c r="Y115" s="11" t="s">
        <v>1326</v>
      </c>
      <c r="Z115" s="2">
        <v>43293</v>
      </c>
      <c r="AC115" t="s">
        <v>1158</v>
      </c>
      <c r="AD115" s="31"/>
      <c r="AE115" s="31"/>
      <c r="AF115" s="31" t="s">
        <v>77</v>
      </c>
      <c r="AG115" s="3"/>
      <c r="AJ115" s="3">
        <v>43286</v>
      </c>
      <c r="AL115" t="s">
        <v>1951</v>
      </c>
    </row>
    <row r="116" spans="1:38">
      <c r="A116" s="30">
        <v>115</v>
      </c>
      <c r="B116" s="31" t="s">
        <v>260</v>
      </c>
      <c r="C116" s="32">
        <v>43279</v>
      </c>
      <c r="D116" s="31" t="s">
        <v>175</v>
      </c>
      <c r="E116" s="31" t="s">
        <v>196</v>
      </c>
      <c r="F116" s="31" t="s">
        <v>1699</v>
      </c>
      <c r="G116" s="33" t="s">
        <v>220</v>
      </c>
      <c r="H116" s="31" t="s">
        <v>92</v>
      </c>
      <c r="I116" s="31"/>
      <c r="J116" s="31"/>
      <c r="K116" s="31" t="s">
        <v>175</v>
      </c>
      <c r="L116" s="3">
        <v>43281</v>
      </c>
      <c r="M116" s="31" t="s">
        <v>35</v>
      </c>
      <c r="N116" t="s">
        <v>1663</v>
      </c>
      <c r="O116" s="36">
        <v>60</v>
      </c>
      <c r="P116" s="30">
        <v>1</v>
      </c>
      <c r="Q116" s="37">
        <v>0.21</v>
      </c>
      <c r="R116" s="38">
        <v>0</v>
      </c>
      <c r="S116" s="31" t="s">
        <v>36</v>
      </c>
      <c r="T116" s="39">
        <f t="shared" si="5"/>
        <v>72.599999999999994</v>
      </c>
      <c r="U116" t="s">
        <v>1664</v>
      </c>
      <c r="V116" s="5" t="s">
        <v>1736</v>
      </c>
      <c r="Y116" s="11" t="s">
        <v>1326</v>
      </c>
      <c r="Z116" s="2">
        <v>43292</v>
      </c>
      <c r="AC116" t="s">
        <v>1158</v>
      </c>
      <c r="AD116" s="31"/>
      <c r="AE116" s="31"/>
      <c r="AF116" s="31" t="s">
        <v>77</v>
      </c>
      <c r="AG116" s="34"/>
      <c r="AJ116" s="34">
        <v>43286</v>
      </c>
      <c r="AL116" t="s">
        <v>1951</v>
      </c>
    </row>
    <row r="117" spans="1:38">
      <c r="A117" s="30">
        <v>116</v>
      </c>
      <c r="B117" s="31" t="s">
        <v>260</v>
      </c>
      <c r="C117" s="2">
        <v>43279</v>
      </c>
      <c r="D117" s="31" t="s">
        <v>175</v>
      </c>
      <c r="E117" s="31" t="s">
        <v>196</v>
      </c>
      <c r="F117" s="31" t="s">
        <v>1700</v>
      </c>
      <c r="G117" s="33" t="s">
        <v>220</v>
      </c>
      <c r="H117" s="31" t="s">
        <v>92</v>
      </c>
      <c r="I117" s="31"/>
      <c r="J117" s="31"/>
      <c r="K117" s="31" t="s">
        <v>175</v>
      </c>
      <c r="L117" s="3">
        <v>43281</v>
      </c>
      <c r="M117" s="31" t="s">
        <v>35</v>
      </c>
      <c r="N117" t="s">
        <v>1665</v>
      </c>
      <c r="O117" s="9">
        <v>60</v>
      </c>
      <c r="P117" s="1">
        <v>1</v>
      </c>
      <c r="Q117" s="58">
        <v>0.21</v>
      </c>
      <c r="R117" s="7">
        <v>0</v>
      </c>
      <c r="S117" t="s">
        <v>36</v>
      </c>
      <c r="T117" s="4">
        <f t="shared" si="5"/>
        <v>72.599999999999994</v>
      </c>
      <c r="U117" t="s">
        <v>277</v>
      </c>
      <c r="V117" s="5" t="s">
        <v>1745</v>
      </c>
      <c r="Y117" s="11" t="s">
        <v>1326</v>
      </c>
      <c r="Z117" s="2">
        <v>43292</v>
      </c>
      <c r="AC117" t="s">
        <v>1158</v>
      </c>
      <c r="AD117" s="31"/>
      <c r="AE117" s="31"/>
      <c r="AF117" s="31" t="s">
        <v>77</v>
      </c>
      <c r="AG117" s="3"/>
      <c r="AJ117" s="3">
        <v>43286</v>
      </c>
      <c r="AL117" t="s">
        <v>1951</v>
      </c>
    </row>
    <row r="118" spans="1:38">
      <c r="A118" s="30">
        <v>117</v>
      </c>
      <c r="B118" s="31" t="s">
        <v>260</v>
      </c>
      <c r="C118" s="32">
        <v>43279</v>
      </c>
      <c r="D118" s="31" t="s">
        <v>175</v>
      </c>
      <c r="E118" s="31" t="s">
        <v>196</v>
      </c>
      <c r="F118" s="31" t="s">
        <v>1701</v>
      </c>
      <c r="G118" s="33" t="s">
        <v>220</v>
      </c>
      <c r="H118" s="31" t="s">
        <v>92</v>
      </c>
      <c r="I118" s="31"/>
      <c r="J118" s="31"/>
      <c r="K118" s="31" t="s">
        <v>175</v>
      </c>
      <c r="L118" s="3">
        <v>43281</v>
      </c>
      <c r="M118" s="31" t="s">
        <v>35</v>
      </c>
      <c r="N118" t="s">
        <v>1666</v>
      </c>
      <c r="O118" s="36">
        <v>60</v>
      </c>
      <c r="P118" s="30">
        <v>1</v>
      </c>
      <c r="Q118" s="37">
        <v>0.21</v>
      </c>
      <c r="R118" s="38">
        <v>0</v>
      </c>
      <c r="S118" s="31" t="s">
        <v>36</v>
      </c>
      <c r="T118" s="39">
        <f t="shared" si="5"/>
        <v>72.599999999999994</v>
      </c>
      <c r="U118" t="s">
        <v>282</v>
      </c>
      <c r="V118" s="5" t="s">
        <v>1735</v>
      </c>
      <c r="Y118" s="11" t="s">
        <v>1326</v>
      </c>
      <c r="Z118" s="2">
        <v>43292</v>
      </c>
      <c r="AC118" t="s">
        <v>1158</v>
      </c>
      <c r="AD118" s="31"/>
      <c r="AE118" s="31"/>
      <c r="AF118" s="31" t="s">
        <v>77</v>
      </c>
      <c r="AG118" s="34"/>
      <c r="AJ118" s="34">
        <v>43286</v>
      </c>
      <c r="AL118" t="s">
        <v>1951</v>
      </c>
    </row>
    <row r="119" spans="1:38">
      <c r="A119" s="30">
        <v>118</v>
      </c>
      <c r="B119" s="31" t="s">
        <v>260</v>
      </c>
      <c r="C119" s="2">
        <v>43279</v>
      </c>
      <c r="D119" s="31" t="s">
        <v>175</v>
      </c>
      <c r="E119" s="31" t="s">
        <v>196</v>
      </c>
      <c r="F119" s="31" t="s">
        <v>1702</v>
      </c>
      <c r="G119" s="33" t="s">
        <v>220</v>
      </c>
      <c r="H119" s="31" t="s">
        <v>92</v>
      </c>
      <c r="I119" s="31"/>
      <c r="J119" s="31"/>
      <c r="K119" s="31" t="s">
        <v>175</v>
      </c>
      <c r="L119" s="3">
        <v>43281</v>
      </c>
      <c r="M119" s="31" t="s">
        <v>35</v>
      </c>
      <c r="N119" t="s">
        <v>1657</v>
      </c>
      <c r="O119" s="9">
        <v>60</v>
      </c>
      <c r="P119" s="1">
        <v>1</v>
      </c>
      <c r="Q119" s="58">
        <v>0.21</v>
      </c>
      <c r="R119" s="7">
        <v>0</v>
      </c>
      <c r="S119" t="s">
        <v>36</v>
      </c>
      <c r="T119" s="4">
        <f t="shared" si="5"/>
        <v>72.599999999999994</v>
      </c>
      <c r="U119" t="s">
        <v>126</v>
      </c>
      <c r="V119" s="5" t="s">
        <v>1758</v>
      </c>
      <c r="Y119" s="11" t="s">
        <v>1326</v>
      </c>
      <c r="Z119" s="2">
        <v>43293</v>
      </c>
      <c r="AC119" t="s">
        <v>1158</v>
      </c>
      <c r="AD119" s="31"/>
      <c r="AE119" s="31"/>
      <c r="AF119" s="31" t="s">
        <v>77</v>
      </c>
      <c r="AG119" s="3"/>
      <c r="AJ119" s="3">
        <v>43286</v>
      </c>
      <c r="AL119" t="s">
        <v>1951</v>
      </c>
    </row>
    <row r="120" spans="1:38">
      <c r="A120" s="30">
        <v>119</v>
      </c>
      <c r="B120" s="31" t="s">
        <v>260</v>
      </c>
      <c r="C120" s="32">
        <v>43279</v>
      </c>
      <c r="D120" s="31" t="s">
        <v>175</v>
      </c>
      <c r="E120" s="31" t="s">
        <v>196</v>
      </c>
      <c r="F120" s="31" t="s">
        <v>1703</v>
      </c>
      <c r="G120" s="33" t="s">
        <v>220</v>
      </c>
      <c r="H120" s="31" t="s">
        <v>92</v>
      </c>
      <c r="I120" s="31"/>
      <c r="J120" s="31"/>
      <c r="K120" s="31" t="s">
        <v>175</v>
      </c>
      <c r="L120" s="3">
        <v>43281</v>
      </c>
      <c r="M120" s="31" t="s">
        <v>35</v>
      </c>
      <c r="N120" t="s">
        <v>1667</v>
      </c>
      <c r="O120" s="36">
        <v>60</v>
      </c>
      <c r="P120" s="30">
        <v>1</v>
      </c>
      <c r="Q120" s="37">
        <v>0.21</v>
      </c>
      <c r="R120" s="38">
        <v>0</v>
      </c>
      <c r="S120" s="31" t="s">
        <v>36</v>
      </c>
      <c r="T120" s="39">
        <f t="shared" si="5"/>
        <v>72.599999999999994</v>
      </c>
      <c r="U120" t="s">
        <v>192</v>
      </c>
      <c r="V120" s="5" t="s">
        <v>1738</v>
      </c>
      <c r="Y120" s="11" t="s">
        <v>1326</v>
      </c>
      <c r="Z120" s="2">
        <v>43292</v>
      </c>
      <c r="AC120" t="s">
        <v>1158</v>
      </c>
      <c r="AD120" s="31"/>
      <c r="AE120" s="31"/>
      <c r="AF120" s="31" t="s">
        <v>77</v>
      </c>
      <c r="AG120" s="34"/>
      <c r="AJ120" s="34">
        <v>43286</v>
      </c>
      <c r="AL120" t="s">
        <v>1951</v>
      </c>
    </row>
    <row r="121" spans="1:38">
      <c r="A121" s="30">
        <v>120</v>
      </c>
      <c r="B121" s="31" t="s">
        <v>260</v>
      </c>
      <c r="C121" s="2">
        <v>43279</v>
      </c>
      <c r="D121" s="31" t="s">
        <v>175</v>
      </c>
      <c r="E121" s="31" t="s">
        <v>196</v>
      </c>
      <c r="F121" s="31" t="s">
        <v>1704</v>
      </c>
      <c r="G121" s="33" t="s">
        <v>220</v>
      </c>
      <c r="H121" s="31" t="s">
        <v>92</v>
      </c>
      <c r="I121" s="31"/>
      <c r="J121" s="31"/>
      <c r="K121" s="31" t="s">
        <v>175</v>
      </c>
      <c r="L121" s="3">
        <v>43281</v>
      </c>
      <c r="M121" s="31" t="s">
        <v>35</v>
      </c>
      <c r="N121" t="s">
        <v>1668</v>
      </c>
      <c r="O121" s="9">
        <v>60</v>
      </c>
      <c r="P121" s="1">
        <v>1</v>
      </c>
      <c r="Q121" s="58">
        <v>0.21</v>
      </c>
      <c r="R121" s="7">
        <v>0</v>
      </c>
      <c r="S121" t="s">
        <v>36</v>
      </c>
      <c r="T121" s="4">
        <f t="shared" si="5"/>
        <v>72.599999999999994</v>
      </c>
      <c r="U121" t="s">
        <v>194</v>
      </c>
      <c r="V121" s="5" t="s">
        <v>1737</v>
      </c>
      <c r="Y121" s="11" t="s">
        <v>1326</v>
      </c>
      <c r="Z121" s="2">
        <v>43292</v>
      </c>
      <c r="AC121" t="s">
        <v>1158</v>
      </c>
      <c r="AD121" s="31"/>
      <c r="AE121" s="31"/>
      <c r="AF121" s="31" t="s">
        <v>77</v>
      </c>
      <c r="AG121" s="3"/>
      <c r="AJ121" s="3">
        <v>43286</v>
      </c>
      <c r="AL121" t="s">
        <v>1951</v>
      </c>
    </row>
    <row r="122" spans="1:38">
      <c r="A122" s="30">
        <v>121</v>
      </c>
      <c r="B122" s="31" t="s">
        <v>260</v>
      </c>
      <c r="C122" s="32">
        <v>43279</v>
      </c>
      <c r="D122" s="31" t="s">
        <v>175</v>
      </c>
      <c r="E122" s="31" t="s">
        <v>196</v>
      </c>
      <c r="F122" s="31" t="s">
        <v>1705</v>
      </c>
      <c r="G122" s="33" t="s">
        <v>220</v>
      </c>
      <c r="H122" s="31" t="s">
        <v>92</v>
      </c>
      <c r="I122" s="31"/>
      <c r="J122" s="31"/>
      <c r="K122" s="31" t="s">
        <v>175</v>
      </c>
      <c r="L122" s="3">
        <v>43281</v>
      </c>
      <c r="M122" s="31" t="s">
        <v>35</v>
      </c>
      <c r="N122" t="s">
        <v>1669</v>
      </c>
      <c r="O122" s="36">
        <v>60</v>
      </c>
      <c r="P122" s="30">
        <v>1</v>
      </c>
      <c r="Q122" s="37">
        <v>0.21</v>
      </c>
      <c r="R122" s="38">
        <v>0</v>
      </c>
      <c r="S122" s="31" t="s">
        <v>36</v>
      </c>
      <c r="T122" s="39">
        <f t="shared" si="5"/>
        <v>72.599999999999994</v>
      </c>
      <c r="U122" t="s">
        <v>96</v>
      </c>
      <c r="V122" s="5" t="s">
        <v>1744</v>
      </c>
      <c r="Y122" s="11" t="s">
        <v>1326</v>
      </c>
      <c r="Z122" s="2">
        <v>43292</v>
      </c>
      <c r="AC122" t="s">
        <v>1158</v>
      </c>
      <c r="AD122" s="31"/>
      <c r="AE122" s="31"/>
      <c r="AF122" s="31" t="s">
        <v>77</v>
      </c>
      <c r="AG122" s="34"/>
      <c r="AJ122" s="34">
        <v>43286</v>
      </c>
      <c r="AL122" t="s">
        <v>1951</v>
      </c>
    </row>
    <row r="123" spans="1:38">
      <c r="A123" s="30">
        <v>122</v>
      </c>
      <c r="B123" s="31" t="s">
        <v>260</v>
      </c>
      <c r="C123" s="2">
        <v>43279</v>
      </c>
      <c r="D123" s="31" t="s">
        <v>175</v>
      </c>
      <c r="E123" s="31" t="s">
        <v>196</v>
      </c>
      <c r="F123" s="31" t="s">
        <v>1706</v>
      </c>
      <c r="G123" s="33" t="s">
        <v>220</v>
      </c>
      <c r="H123" s="31" t="s">
        <v>92</v>
      </c>
      <c r="I123" s="31"/>
      <c r="J123" s="31"/>
      <c r="K123" s="31" t="s">
        <v>175</v>
      </c>
      <c r="L123" s="3">
        <v>43281</v>
      </c>
      <c r="M123" s="31" t="s">
        <v>35</v>
      </c>
      <c r="N123" t="s">
        <v>1670</v>
      </c>
      <c r="O123" s="9">
        <v>60</v>
      </c>
      <c r="P123" s="1">
        <v>1</v>
      </c>
      <c r="Q123" s="58">
        <v>0.21</v>
      </c>
      <c r="R123" s="7">
        <v>0</v>
      </c>
      <c r="S123" t="s">
        <v>36</v>
      </c>
      <c r="T123" s="4">
        <f t="shared" si="5"/>
        <v>72.599999999999994</v>
      </c>
      <c r="U123" t="s">
        <v>283</v>
      </c>
      <c r="V123" s="5" t="s">
        <v>1739</v>
      </c>
      <c r="Y123" s="11" t="s">
        <v>1326</v>
      </c>
      <c r="Z123" s="2">
        <v>43292</v>
      </c>
      <c r="AC123" t="s">
        <v>1158</v>
      </c>
      <c r="AD123" s="31"/>
      <c r="AE123" s="31"/>
      <c r="AF123" s="31" t="s">
        <v>77</v>
      </c>
      <c r="AG123" s="3"/>
      <c r="AJ123" s="3">
        <v>43286</v>
      </c>
      <c r="AL123" t="s">
        <v>1951</v>
      </c>
    </row>
    <row r="124" spans="1:38">
      <c r="A124" s="30">
        <v>123</v>
      </c>
      <c r="B124" s="31" t="s">
        <v>260</v>
      </c>
      <c r="C124" s="32">
        <v>43279</v>
      </c>
      <c r="D124" s="31" t="s">
        <v>175</v>
      </c>
      <c r="E124" s="31" t="s">
        <v>196</v>
      </c>
      <c r="F124" s="31" t="s">
        <v>1707</v>
      </c>
      <c r="G124" s="33" t="s">
        <v>220</v>
      </c>
      <c r="H124" s="31" t="s">
        <v>92</v>
      </c>
      <c r="I124" s="31"/>
      <c r="J124" s="31"/>
      <c r="K124" s="31" t="s">
        <v>175</v>
      </c>
      <c r="L124" s="3">
        <v>43281</v>
      </c>
      <c r="M124" s="31" t="s">
        <v>35</v>
      </c>
      <c r="N124" t="s">
        <v>1671</v>
      </c>
      <c r="O124" s="36">
        <v>60</v>
      </c>
      <c r="P124" s="30">
        <v>1</v>
      </c>
      <c r="Q124" s="37">
        <v>0.21</v>
      </c>
      <c r="R124" s="38">
        <v>0</v>
      </c>
      <c r="S124" s="31" t="s">
        <v>36</v>
      </c>
      <c r="T124" s="39">
        <f t="shared" si="5"/>
        <v>72.599999999999994</v>
      </c>
      <c r="U124" t="s">
        <v>280</v>
      </c>
      <c r="V124" s="5" t="s">
        <v>1741</v>
      </c>
      <c r="Y124" s="11" t="s">
        <v>1326</v>
      </c>
      <c r="Z124" s="2">
        <v>43292</v>
      </c>
      <c r="AC124" t="s">
        <v>1158</v>
      </c>
      <c r="AD124" s="31"/>
      <c r="AE124" s="31"/>
      <c r="AF124" s="31" t="s">
        <v>77</v>
      </c>
      <c r="AG124" s="34"/>
      <c r="AJ124" s="34">
        <v>43286</v>
      </c>
      <c r="AL124" t="s">
        <v>1951</v>
      </c>
    </row>
    <row r="125" spans="1:38">
      <c r="A125" s="30">
        <v>124</v>
      </c>
      <c r="B125" s="31" t="s">
        <v>260</v>
      </c>
      <c r="C125" s="2">
        <v>43279</v>
      </c>
      <c r="D125" s="31" t="s">
        <v>175</v>
      </c>
      <c r="E125" s="31" t="s">
        <v>196</v>
      </c>
      <c r="F125" s="31" t="s">
        <v>1708</v>
      </c>
      <c r="G125" s="33" t="s">
        <v>220</v>
      </c>
      <c r="H125" s="31" t="s">
        <v>92</v>
      </c>
      <c r="I125" s="31"/>
      <c r="J125" s="31"/>
      <c r="K125" s="31" t="s">
        <v>175</v>
      </c>
      <c r="L125" s="3">
        <v>43281</v>
      </c>
      <c r="M125" s="31" t="s">
        <v>35</v>
      </c>
      <c r="N125" t="s">
        <v>1672</v>
      </c>
      <c r="O125" s="9">
        <v>60</v>
      </c>
      <c r="P125" s="1">
        <v>1</v>
      </c>
      <c r="Q125" s="58">
        <v>0.21</v>
      </c>
      <c r="R125" s="7">
        <v>0</v>
      </c>
      <c r="S125" t="s">
        <v>36</v>
      </c>
      <c r="T125" s="4">
        <f t="shared" si="5"/>
        <v>72.599999999999994</v>
      </c>
      <c r="U125" t="s">
        <v>93</v>
      </c>
      <c r="V125" s="5" t="s">
        <v>1742</v>
      </c>
      <c r="Y125" s="11" t="s">
        <v>1326</v>
      </c>
      <c r="Z125" s="2">
        <v>43292</v>
      </c>
      <c r="AC125" t="s">
        <v>1158</v>
      </c>
      <c r="AD125" s="31"/>
      <c r="AE125" s="31"/>
      <c r="AF125" s="31" t="s">
        <v>77</v>
      </c>
      <c r="AG125" s="3"/>
      <c r="AJ125" s="3">
        <v>43286</v>
      </c>
      <c r="AL125" t="s">
        <v>1951</v>
      </c>
    </row>
    <row r="126" spans="1:38">
      <c r="A126" s="30">
        <v>125</v>
      </c>
      <c r="B126" s="31" t="s">
        <v>260</v>
      </c>
      <c r="C126" s="32">
        <v>43279</v>
      </c>
      <c r="D126" s="31" t="s">
        <v>175</v>
      </c>
      <c r="E126" s="31" t="s">
        <v>196</v>
      </c>
      <c r="F126" s="31" t="s">
        <v>1709</v>
      </c>
      <c r="G126" s="33" t="s">
        <v>220</v>
      </c>
      <c r="H126" s="31" t="s">
        <v>92</v>
      </c>
      <c r="I126" s="31"/>
      <c r="J126" s="31"/>
      <c r="K126" s="31" t="s">
        <v>175</v>
      </c>
      <c r="L126" s="3">
        <v>43281</v>
      </c>
      <c r="M126" s="31" t="s">
        <v>35</v>
      </c>
      <c r="N126" t="s">
        <v>1673</v>
      </c>
      <c r="O126" s="36">
        <v>60</v>
      </c>
      <c r="P126" s="30">
        <v>1</v>
      </c>
      <c r="Q126" s="37">
        <v>0.21</v>
      </c>
      <c r="R126" s="38">
        <v>0</v>
      </c>
      <c r="S126" s="31" t="s">
        <v>36</v>
      </c>
      <c r="T126" s="39">
        <f t="shared" si="5"/>
        <v>72.599999999999994</v>
      </c>
      <c r="U126" t="s">
        <v>273</v>
      </c>
      <c r="V126" s="5" t="s">
        <v>1732</v>
      </c>
      <c r="Y126" s="11" t="s">
        <v>1326</v>
      </c>
      <c r="Z126" s="2">
        <v>43292</v>
      </c>
      <c r="AC126" t="s">
        <v>1158</v>
      </c>
      <c r="AD126" s="31"/>
      <c r="AE126" s="31"/>
      <c r="AF126" s="31" t="s">
        <v>77</v>
      </c>
      <c r="AG126" s="34"/>
      <c r="AJ126" s="34">
        <v>43286</v>
      </c>
      <c r="AL126" t="s">
        <v>1951</v>
      </c>
    </row>
    <row r="127" spans="1:38">
      <c r="A127" s="30">
        <v>126</v>
      </c>
      <c r="B127" s="31" t="s">
        <v>260</v>
      </c>
      <c r="C127" s="2">
        <v>43279</v>
      </c>
      <c r="D127" s="31" t="s">
        <v>175</v>
      </c>
      <c r="E127" s="31" t="s">
        <v>196</v>
      </c>
      <c r="F127" s="31" t="s">
        <v>1710</v>
      </c>
      <c r="G127" s="33" t="s">
        <v>220</v>
      </c>
      <c r="H127" s="31" t="s">
        <v>92</v>
      </c>
      <c r="I127" s="31"/>
      <c r="J127" s="31"/>
      <c r="K127" s="31" t="s">
        <v>175</v>
      </c>
      <c r="L127" s="3">
        <v>43281</v>
      </c>
      <c r="M127" s="31" t="s">
        <v>35</v>
      </c>
      <c r="N127" t="s">
        <v>1674</v>
      </c>
      <c r="O127" s="9">
        <v>60</v>
      </c>
      <c r="P127" s="1">
        <v>1</v>
      </c>
      <c r="Q127" s="58">
        <v>0.21</v>
      </c>
      <c r="R127" s="7">
        <v>0</v>
      </c>
      <c r="S127" t="s">
        <v>36</v>
      </c>
      <c r="T127" s="4">
        <f t="shared" si="5"/>
        <v>72.599999999999994</v>
      </c>
      <c r="U127" t="s">
        <v>271</v>
      </c>
      <c r="V127" s="5" t="s">
        <v>1731</v>
      </c>
      <c r="Y127" s="11" t="s">
        <v>1326</v>
      </c>
      <c r="Z127" s="2">
        <v>43292</v>
      </c>
      <c r="AC127" t="s">
        <v>1158</v>
      </c>
      <c r="AD127" s="31"/>
      <c r="AE127" s="31"/>
      <c r="AF127" s="31" t="s">
        <v>77</v>
      </c>
      <c r="AG127" s="3"/>
      <c r="AJ127" s="3">
        <v>43286</v>
      </c>
      <c r="AL127" t="s">
        <v>1951</v>
      </c>
    </row>
    <row r="128" spans="1:38">
      <c r="A128" s="30">
        <v>127</v>
      </c>
      <c r="B128" s="31" t="s">
        <v>260</v>
      </c>
      <c r="C128" s="32">
        <v>43279</v>
      </c>
      <c r="D128" s="31" t="s">
        <v>175</v>
      </c>
      <c r="E128" s="31" t="s">
        <v>196</v>
      </c>
      <c r="F128" s="31" t="s">
        <v>1711</v>
      </c>
      <c r="G128" s="33" t="s">
        <v>220</v>
      </c>
      <c r="H128" s="31" t="s">
        <v>92</v>
      </c>
      <c r="I128" s="31"/>
      <c r="J128" s="31"/>
      <c r="K128" s="31" t="s">
        <v>175</v>
      </c>
      <c r="L128" s="3">
        <v>43281</v>
      </c>
      <c r="M128" s="31" t="s">
        <v>35</v>
      </c>
      <c r="N128" t="s">
        <v>1675</v>
      </c>
      <c r="O128" s="36">
        <v>60</v>
      </c>
      <c r="P128" s="30">
        <v>1</v>
      </c>
      <c r="Q128" s="37">
        <v>0.21</v>
      </c>
      <c r="R128" s="38">
        <v>0</v>
      </c>
      <c r="S128" s="31" t="s">
        <v>36</v>
      </c>
      <c r="T128" s="39">
        <f t="shared" si="5"/>
        <v>72.599999999999994</v>
      </c>
      <c r="U128" t="s">
        <v>195</v>
      </c>
      <c r="V128" s="5" t="s">
        <v>1728</v>
      </c>
      <c r="Y128" s="11" t="s">
        <v>1326</v>
      </c>
      <c r="Z128" s="2">
        <v>43292</v>
      </c>
      <c r="AC128" t="s">
        <v>1158</v>
      </c>
      <c r="AD128" s="31"/>
      <c r="AE128" s="31"/>
      <c r="AF128" s="31" t="s">
        <v>77</v>
      </c>
      <c r="AG128" s="34"/>
      <c r="AJ128" s="34">
        <v>43286</v>
      </c>
      <c r="AL128" t="s">
        <v>1951</v>
      </c>
    </row>
    <row r="129" spans="1:38">
      <c r="A129" s="30">
        <v>128</v>
      </c>
      <c r="B129" s="31" t="s">
        <v>260</v>
      </c>
      <c r="C129" s="2">
        <v>43279</v>
      </c>
      <c r="D129" s="31" t="s">
        <v>175</v>
      </c>
      <c r="E129" s="31" t="s">
        <v>196</v>
      </c>
      <c r="F129" s="31" t="s">
        <v>1712</v>
      </c>
      <c r="G129" s="33" t="s">
        <v>220</v>
      </c>
      <c r="H129" s="31" t="s">
        <v>92</v>
      </c>
      <c r="I129" s="31"/>
      <c r="J129" s="31"/>
      <c r="K129" s="31" t="s">
        <v>175</v>
      </c>
      <c r="L129" s="3">
        <v>43281</v>
      </c>
      <c r="M129" s="31" t="s">
        <v>35</v>
      </c>
      <c r="N129" t="s">
        <v>1676</v>
      </c>
      <c r="O129" s="9">
        <v>60</v>
      </c>
      <c r="P129" s="1">
        <v>1</v>
      </c>
      <c r="Q129" s="58">
        <v>0.21</v>
      </c>
      <c r="R129" s="7">
        <v>0</v>
      </c>
      <c r="S129" t="s">
        <v>36</v>
      </c>
      <c r="T129" s="4">
        <f t="shared" si="5"/>
        <v>72.599999999999994</v>
      </c>
      <c r="U129" t="s">
        <v>284</v>
      </c>
      <c r="V129" s="5" t="s">
        <v>1727</v>
      </c>
      <c r="Y129" s="11" t="s">
        <v>1326</v>
      </c>
      <c r="Z129" s="2">
        <v>43292</v>
      </c>
      <c r="AC129" t="s">
        <v>1158</v>
      </c>
      <c r="AD129" s="31"/>
      <c r="AE129" s="31"/>
      <c r="AF129" s="31" t="s">
        <v>77</v>
      </c>
      <c r="AG129" s="3"/>
      <c r="AJ129" s="3">
        <v>43286</v>
      </c>
      <c r="AL129" t="s">
        <v>1951</v>
      </c>
    </row>
    <row r="130" spans="1:38">
      <c r="A130" s="30">
        <v>129</v>
      </c>
      <c r="B130" s="31" t="s">
        <v>260</v>
      </c>
      <c r="C130" s="32">
        <v>43279</v>
      </c>
      <c r="D130" s="31" t="s">
        <v>175</v>
      </c>
      <c r="E130" s="31" t="s">
        <v>196</v>
      </c>
      <c r="F130" s="31" t="s">
        <v>1713</v>
      </c>
      <c r="G130" s="33" t="s">
        <v>220</v>
      </c>
      <c r="H130" s="31" t="s">
        <v>92</v>
      </c>
      <c r="I130" s="31"/>
      <c r="J130" s="31"/>
      <c r="K130" s="31" t="s">
        <v>175</v>
      </c>
      <c r="L130" s="3">
        <v>43281</v>
      </c>
      <c r="M130" s="31" t="s">
        <v>35</v>
      </c>
      <c r="N130" t="s">
        <v>1677</v>
      </c>
      <c r="O130" s="36">
        <v>60</v>
      </c>
      <c r="P130" s="30">
        <v>1</v>
      </c>
      <c r="Q130" s="37">
        <v>0.21</v>
      </c>
      <c r="R130" s="38">
        <v>0</v>
      </c>
      <c r="S130" s="31" t="s">
        <v>36</v>
      </c>
      <c r="T130" s="39">
        <f t="shared" si="5"/>
        <v>72.599999999999994</v>
      </c>
      <c r="U130" t="s">
        <v>278</v>
      </c>
      <c r="V130" s="5" t="s">
        <v>1730</v>
      </c>
      <c r="Y130" s="11" t="s">
        <v>1326</v>
      </c>
      <c r="Z130" s="2">
        <v>43292</v>
      </c>
      <c r="AC130" t="s">
        <v>1158</v>
      </c>
      <c r="AD130" s="31"/>
      <c r="AE130" s="31"/>
      <c r="AF130" s="31" t="s">
        <v>77</v>
      </c>
      <c r="AG130" s="34"/>
      <c r="AJ130" s="34">
        <v>43286</v>
      </c>
      <c r="AL130" t="s">
        <v>1951</v>
      </c>
    </row>
    <row r="131" spans="1:38">
      <c r="A131" s="30">
        <v>130</v>
      </c>
      <c r="B131" s="31" t="s">
        <v>260</v>
      </c>
      <c r="C131" s="2">
        <v>43279</v>
      </c>
      <c r="D131" s="31" t="s">
        <v>175</v>
      </c>
      <c r="E131" s="31" t="s">
        <v>196</v>
      </c>
      <c r="F131" s="31" t="s">
        <v>1714</v>
      </c>
      <c r="G131" s="33" t="s">
        <v>220</v>
      </c>
      <c r="H131" s="31" t="s">
        <v>92</v>
      </c>
      <c r="I131" s="31"/>
      <c r="J131" s="31"/>
      <c r="K131" s="31" t="s">
        <v>175</v>
      </c>
      <c r="L131" s="3">
        <v>43281</v>
      </c>
      <c r="M131" s="31" t="s">
        <v>35</v>
      </c>
      <c r="N131" t="s">
        <v>1678</v>
      </c>
      <c r="O131" s="9">
        <v>60</v>
      </c>
      <c r="P131" s="1">
        <v>1</v>
      </c>
      <c r="Q131" s="58">
        <v>0.21</v>
      </c>
      <c r="R131" s="7">
        <v>0</v>
      </c>
      <c r="S131" t="s">
        <v>36</v>
      </c>
      <c r="T131" s="4">
        <f t="shared" si="5"/>
        <v>72.599999999999994</v>
      </c>
      <c r="U131" t="s">
        <v>190</v>
      </c>
      <c r="V131" s="5" t="s">
        <v>1726</v>
      </c>
      <c r="Y131" s="11" t="s">
        <v>1326</v>
      </c>
      <c r="Z131" s="2">
        <v>43292</v>
      </c>
      <c r="AC131" t="s">
        <v>1158</v>
      </c>
      <c r="AD131" s="31"/>
      <c r="AE131" s="31"/>
      <c r="AF131" s="31" t="s">
        <v>77</v>
      </c>
      <c r="AG131" s="3"/>
      <c r="AJ131" s="3">
        <v>43286</v>
      </c>
      <c r="AL131" t="s">
        <v>1951</v>
      </c>
    </row>
    <row r="132" spans="1:38">
      <c r="A132" s="30">
        <v>131</v>
      </c>
      <c r="B132" s="31" t="s">
        <v>260</v>
      </c>
      <c r="C132" s="32">
        <v>43279</v>
      </c>
      <c r="D132" s="31" t="s">
        <v>175</v>
      </c>
      <c r="E132" s="31" t="s">
        <v>196</v>
      </c>
      <c r="F132" s="31" t="s">
        <v>1715</v>
      </c>
      <c r="G132" s="33" t="s">
        <v>220</v>
      </c>
      <c r="H132" s="31" t="s">
        <v>92</v>
      </c>
      <c r="I132" s="31"/>
      <c r="J132" s="31"/>
      <c r="K132" s="31" t="s">
        <v>175</v>
      </c>
      <c r="L132" s="3">
        <v>43281</v>
      </c>
      <c r="M132" s="31" t="s">
        <v>35</v>
      </c>
      <c r="N132" t="s">
        <v>1679</v>
      </c>
      <c r="O132" s="36">
        <v>60</v>
      </c>
      <c r="P132" s="30">
        <v>1</v>
      </c>
      <c r="Q132" s="37">
        <v>0.21</v>
      </c>
      <c r="R132" s="38">
        <v>0</v>
      </c>
      <c r="S132" s="31" t="s">
        <v>36</v>
      </c>
      <c r="T132" s="39">
        <f t="shared" si="5"/>
        <v>72.599999999999994</v>
      </c>
      <c r="U132" t="s">
        <v>511</v>
      </c>
      <c r="V132" s="5" t="s">
        <v>1760</v>
      </c>
      <c r="Y132" s="11" t="s">
        <v>1326</v>
      </c>
      <c r="Z132" s="2">
        <v>43293</v>
      </c>
      <c r="AC132" t="s">
        <v>1158</v>
      </c>
      <c r="AD132" s="31"/>
      <c r="AE132" s="31"/>
      <c r="AF132" s="31" t="s">
        <v>77</v>
      </c>
      <c r="AG132" s="34"/>
      <c r="AJ132" s="34">
        <v>43286</v>
      </c>
      <c r="AL132" t="s">
        <v>1951</v>
      </c>
    </row>
    <row r="133" spans="1:38">
      <c r="A133" s="30">
        <v>132</v>
      </c>
      <c r="B133" s="31" t="s">
        <v>260</v>
      </c>
      <c r="C133" s="2">
        <v>43279</v>
      </c>
      <c r="D133" s="31" t="s">
        <v>175</v>
      </c>
      <c r="E133" s="31" t="s">
        <v>196</v>
      </c>
      <c r="F133" s="31" t="s">
        <v>1716</v>
      </c>
      <c r="G133" s="33" t="s">
        <v>220</v>
      </c>
      <c r="H133" s="31" t="s">
        <v>92</v>
      </c>
      <c r="I133" s="31"/>
      <c r="J133" s="31"/>
      <c r="K133" s="31" t="s">
        <v>175</v>
      </c>
      <c r="L133" s="3">
        <v>43281</v>
      </c>
      <c r="M133" s="31" t="s">
        <v>35</v>
      </c>
      <c r="N133" t="s">
        <v>1680</v>
      </c>
      <c r="O133" s="9">
        <v>60</v>
      </c>
      <c r="P133" s="1">
        <v>1</v>
      </c>
      <c r="Q133" s="58">
        <v>0.21</v>
      </c>
      <c r="R133" s="7">
        <v>0</v>
      </c>
      <c r="S133" t="s">
        <v>36</v>
      </c>
      <c r="T133" s="4">
        <f t="shared" si="5"/>
        <v>72.599999999999994</v>
      </c>
      <c r="U133" t="s">
        <v>262</v>
      </c>
      <c r="V133" s="5" t="s">
        <v>1759</v>
      </c>
      <c r="Y133" s="11" t="s">
        <v>1326</v>
      </c>
      <c r="Z133" s="2">
        <v>43293</v>
      </c>
      <c r="AC133" t="s">
        <v>1158</v>
      </c>
      <c r="AD133" s="31"/>
      <c r="AE133" s="31"/>
      <c r="AF133" s="31" t="s">
        <v>77</v>
      </c>
      <c r="AG133" s="3"/>
      <c r="AJ133" s="3">
        <v>43286</v>
      </c>
      <c r="AL133" t="s">
        <v>1951</v>
      </c>
    </row>
    <row r="134" spans="1:38">
      <c r="A134" s="30">
        <v>133</v>
      </c>
      <c r="B134" s="31" t="s">
        <v>260</v>
      </c>
      <c r="C134" s="32">
        <v>43279</v>
      </c>
      <c r="D134" s="31" t="s">
        <v>175</v>
      </c>
      <c r="E134" s="31" t="s">
        <v>196</v>
      </c>
      <c r="F134" s="31" t="s">
        <v>1717</v>
      </c>
      <c r="G134" s="33" t="s">
        <v>220</v>
      </c>
      <c r="H134" s="31" t="s">
        <v>92</v>
      </c>
      <c r="I134" s="31"/>
      <c r="J134" s="31"/>
      <c r="K134" s="31" t="s">
        <v>175</v>
      </c>
      <c r="L134" s="3">
        <v>43281</v>
      </c>
      <c r="M134" s="31" t="s">
        <v>35</v>
      </c>
      <c r="N134" t="s">
        <v>1681</v>
      </c>
      <c r="O134" s="36">
        <v>60</v>
      </c>
      <c r="P134" s="30">
        <v>1</v>
      </c>
      <c r="Q134" s="37">
        <v>0.21</v>
      </c>
      <c r="R134" s="38">
        <v>0</v>
      </c>
      <c r="S134" s="31" t="s">
        <v>36</v>
      </c>
      <c r="T134" s="39">
        <f t="shared" si="5"/>
        <v>72.599999999999994</v>
      </c>
      <c r="U134" t="s">
        <v>261</v>
      </c>
      <c r="V134" s="5" t="s">
        <v>1756</v>
      </c>
      <c r="Y134" s="11" t="s">
        <v>1326</v>
      </c>
      <c r="Z134" s="2">
        <v>43293</v>
      </c>
      <c r="AC134" t="s">
        <v>1158</v>
      </c>
      <c r="AD134" s="31"/>
      <c r="AE134" s="31"/>
      <c r="AF134" s="31" t="s">
        <v>77</v>
      </c>
      <c r="AG134" s="34"/>
      <c r="AJ134" s="34">
        <v>43286</v>
      </c>
      <c r="AL134" t="s">
        <v>1951</v>
      </c>
    </row>
    <row r="135" spans="1:38">
      <c r="A135" s="30">
        <v>134</v>
      </c>
      <c r="B135" s="31" t="s">
        <v>260</v>
      </c>
      <c r="C135" s="2">
        <v>43279</v>
      </c>
      <c r="D135" s="31" t="s">
        <v>175</v>
      </c>
      <c r="E135" s="31" t="s">
        <v>196</v>
      </c>
      <c r="F135" s="31" t="s">
        <v>1718</v>
      </c>
      <c r="G135" s="33" t="s">
        <v>220</v>
      </c>
      <c r="H135" s="31" t="s">
        <v>92</v>
      </c>
      <c r="I135" s="31"/>
      <c r="J135" s="31"/>
      <c r="K135" s="31" t="s">
        <v>175</v>
      </c>
      <c r="L135" s="3">
        <v>43281</v>
      </c>
      <c r="M135" s="31" t="s">
        <v>35</v>
      </c>
      <c r="N135" t="s">
        <v>1682</v>
      </c>
      <c r="O135" s="9">
        <v>60</v>
      </c>
      <c r="P135" s="1">
        <v>1</v>
      </c>
      <c r="Q135" s="58">
        <v>0.21</v>
      </c>
      <c r="R135" s="7">
        <v>0</v>
      </c>
      <c r="S135" t="s">
        <v>36</v>
      </c>
      <c r="T135" s="4">
        <f t="shared" si="5"/>
        <v>72.599999999999994</v>
      </c>
      <c r="U135" t="s">
        <v>69</v>
      </c>
      <c r="V135" s="5" t="s">
        <v>1740</v>
      </c>
      <c r="Y135" s="11" t="s">
        <v>1326</v>
      </c>
      <c r="Z135" s="2">
        <v>43292</v>
      </c>
      <c r="AC135" t="s">
        <v>1158</v>
      </c>
      <c r="AD135" s="31"/>
      <c r="AE135" s="31"/>
      <c r="AF135" s="31" t="s">
        <v>77</v>
      </c>
      <c r="AG135" s="3"/>
      <c r="AJ135" s="3">
        <v>43286</v>
      </c>
      <c r="AL135" t="s">
        <v>1951</v>
      </c>
    </row>
    <row r="136" spans="1:38">
      <c r="A136" s="30">
        <v>135</v>
      </c>
      <c r="B136" s="31" t="s">
        <v>260</v>
      </c>
      <c r="C136" s="32">
        <v>43279</v>
      </c>
      <c r="D136" s="31" t="s">
        <v>175</v>
      </c>
      <c r="E136" s="31" t="s">
        <v>196</v>
      </c>
      <c r="F136" s="31" t="s">
        <v>1719</v>
      </c>
      <c r="G136" s="33" t="s">
        <v>220</v>
      </c>
      <c r="H136" s="31" t="s">
        <v>92</v>
      </c>
      <c r="I136" s="31"/>
      <c r="J136" s="31"/>
      <c r="K136" s="31" t="s">
        <v>175</v>
      </c>
      <c r="L136" s="3">
        <v>43281</v>
      </c>
      <c r="M136" s="31" t="s">
        <v>35</v>
      </c>
      <c r="N136" t="s">
        <v>1683</v>
      </c>
      <c r="O136" s="36">
        <v>60</v>
      </c>
      <c r="P136" s="30">
        <v>1</v>
      </c>
      <c r="Q136" s="37">
        <v>0.21</v>
      </c>
      <c r="R136" s="38">
        <v>0</v>
      </c>
      <c r="S136" s="31" t="s">
        <v>36</v>
      </c>
      <c r="T136" s="39">
        <f t="shared" si="5"/>
        <v>72.599999999999994</v>
      </c>
      <c r="U136" t="s">
        <v>477</v>
      </c>
      <c r="V136" s="5" t="s">
        <v>1761</v>
      </c>
      <c r="Y136" s="11" t="s">
        <v>1326</v>
      </c>
      <c r="Z136" s="2">
        <v>43293</v>
      </c>
      <c r="AC136" t="s">
        <v>1158</v>
      </c>
      <c r="AD136" s="31"/>
      <c r="AE136" s="31"/>
      <c r="AF136" s="31" t="s">
        <v>77</v>
      </c>
      <c r="AG136" s="34"/>
      <c r="AJ136" s="34">
        <v>43286</v>
      </c>
      <c r="AL136" t="s">
        <v>1951</v>
      </c>
    </row>
    <row r="137" spans="1:38">
      <c r="A137" s="30">
        <v>136</v>
      </c>
      <c r="B137" t="s">
        <v>52</v>
      </c>
      <c r="C137" s="2">
        <v>43280</v>
      </c>
      <c r="D137" s="31" t="s">
        <v>256</v>
      </c>
      <c r="E137" s="31" t="s">
        <v>155</v>
      </c>
      <c r="F137" s="31" t="s">
        <v>138</v>
      </c>
      <c r="G137" s="33" t="s">
        <v>227</v>
      </c>
      <c r="H137" s="31" t="s">
        <v>203</v>
      </c>
      <c r="I137" s="31"/>
      <c r="J137" s="31"/>
      <c r="K137" s="31" t="s">
        <v>53</v>
      </c>
      <c r="L137" s="34">
        <v>43281</v>
      </c>
      <c r="M137" s="31" t="s">
        <v>35</v>
      </c>
      <c r="N137" s="14" t="s">
        <v>1763</v>
      </c>
      <c r="O137" s="50">
        <v>0</v>
      </c>
      <c r="P137" s="1">
        <v>1</v>
      </c>
      <c r="Q137" s="58">
        <v>0.21</v>
      </c>
      <c r="R137" s="7">
        <v>0</v>
      </c>
      <c r="S137" t="s">
        <v>36</v>
      </c>
      <c r="T137" s="4">
        <f t="shared" si="5"/>
        <v>0</v>
      </c>
      <c r="U137" t="s">
        <v>1189</v>
      </c>
      <c r="V137" s="5" t="s">
        <v>1766</v>
      </c>
      <c r="W137" s="3">
        <v>39760</v>
      </c>
      <c r="X137" s="3">
        <v>43280</v>
      </c>
      <c r="Y137" s="11" t="s">
        <v>2370</v>
      </c>
      <c r="Z137" s="2">
        <v>43418</v>
      </c>
      <c r="AA137" s="1" t="s">
        <v>2097</v>
      </c>
      <c r="AB137" s="3">
        <v>43440</v>
      </c>
      <c r="AC137" t="s">
        <v>1158</v>
      </c>
      <c r="AJ137" s="3"/>
    </row>
    <row r="138" spans="1:38">
      <c r="A138" s="30">
        <v>137</v>
      </c>
      <c r="B138" t="s">
        <v>52</v>
      </c>
      <c r="C138" s="2">
        <v>43280</v>
      </c>
      <c r="D138" s="31" t="s">
        <v>256</v>
      </c>
      <c r="E138" s="31" t="s">
        <v>155</v>
      </c>
      <c r="F138" s="31" t="s">
        <v>138</v>
      </c>
      <c r="G138" s="33" t="s">
        <v>227</v>
      </c>
      <c r="H138" s="31" t="s">
        <v>203</v>
      </c>
      <c r="I138" s="31"/>
      <c r="J138" s="31"/>
      <c r="K138" s="31" t="s">
        <v>53</v>
      </c>
      <c r="L138" s="34">
        <v>43281</v>
      </c>
      <c r="M138" s="31" t="s">
        <v>35</v>
      </c>
      <c r="N138" s="14" t="s">
        <v>1764</v>
      </c>
      <c r="O138" s="50">
        <v>0</v>
      </c>
      <c r="P138" s="1">
        <v>1</v>
      </c>
      <c r="Q138" s="58">
        <v>0.21</v>
      </c>
      <c r="R138" s="7">
        <v>0</v>
      </c>
      <c r="S138" t="s">
        <v>36</v>
      </c>
      <c r="T138" s="4">
        <f t="shared" si="5"/>
        <v>0</v>
      </c>
      <c r="U138" t="s">
        <v>1191</v>
      </c>
      <c r="V138" s="5" t="s">
        <v>1765</v>
      </c>
      <c r="W138" s="3">
        <v>40274</v>
      </c>
      <c r="X138" s="3">
        <v>43280</v>
      </c>
      <c r="Y138" s="11" t="s">
        <v>2370</v>
      </c>
      <c r="Z138" s="2">
        <v>43418</v>
      </c>
      <c r="AA138" s="1" t="s">
        <v>2097</v>
      </c>
      <c r="AB138" s="3">
        <v>43440</v>
      </c>
      <c r="AC138" t="s">
        <v>1158</v>
      </c>
      <c r="AJ138" s="3"/>
    </row>
    <row r="139" spans="1:38">
      <c r="A139" s="1">
        <v>138</v>
      </c>
      <c r="B139" t="s">
        <v>37</v>
      </c>
      <c r="C139" s="2">
        <v>43284</v>
      </c>
      <c r="D139" t="s">
        <v>682</v>
      </c>
      <c r="E139" t="s">
        <v>683</v>
      </c>
      <c r="F139" t="s">
        <v>1720</v>
      </c>
      <c r="G139" s="6" t="s">
        <v>221</v>
      </c>
      <c r="H139" t="s">
        <v>34</v>
      </c>
      <c r="I139">
        <v>631099615</v>
      </c>
      <c r="K139" t="s">
        <v>682</v>
      </c>
      <c r="L139" s="3">
        <v>43312</v>
      </c>
      <c r="M139" t="s">
        <v>35</v>
      </c>
      <c r="N139" t="s">
        <v>1867</v>
      </c>
      <c r="O139" s="9">
        <v>30</v>
      </c>
      <c r="P139" s="1">
        <v>1</v>
      </c>
      <c r="Q139" s="58">
        <v>0.21</v>
      </c>
      <c r="R139" s="7">
        <v>0</v>
      </c>
      <c r="S139" t="s">
        <v>36</v>
      </c>
      <c r="T139" s="4">
        <f t="shared" si="5"/>
        <v>36.299999999999997</v>
      </c>
      <c r="U139" t="s">
        <v>682</v>
      </c>
      <c r="V139" s="5" t="s">
        <v>1865</v>
      </c>
      <c r="W139" s="3">
        <v>29913</v>
      </c>
      <c r="X139" s="3">
        <v>43284</v>
      </c>
      <c r="Y139" s="11" t="s">
        <v>1866</v>
      </c>
      <c r="AC139" t="s">
        <v>1158</v>
      </c>
    </row>
    <row r="140" spans="1:38">
      <c r="A140" s="1">
        <v>139</v>
      </c>
      <c r="B140" t="s">
        <v>82</v>
      </c>
      <c r="C140" s="2">
        <v>43286</v>
      </c>
      <c r="D140" t="s">
        <v>772</v>
      </c>
      <c r="E140" t="s">
        <v>773</v>
      </c>
      <c r="F140" t="s">
        <v>1593</v>
      </c>
      <c r="G140" s="6" t="s">
        <v>239</v>
      </c>
      <c r="H140" t="s">
        <v>108</v>
      </c>
      <c r="K140" t="s">
        <v>772</v>
      </c>
      <c r="L140" s="3">
        <v>43312</v>
      </c>
      <c r="M140" t="s">
        <v>35</v>
      </c>
      <c r="N140" s="14" t="s">
        <v>1721</v>
      </c>
      <c r="O140" s="9">
        <v>60</v>
      </c>
      <c r="P140" s="1">
        <v>1</v>
      </c>
      <c r="Q140" s="58">
        <v>0.21</v>
      </c>
      <c r="R140" s="7">
        <v>0</v>
      </c>
      <c r="S140" t="s">
        <v>36</v>
      </c>
      <c r="T140" s="4">
        <f t="shared" si="5"/>
        <v>72.599999999999994</v>
      </c>
      <c r="U140" t="s">
        <v>1722</v>
      </c>
      <c r="V140" s="5" t="s">
        <v>1723</v>
      </c>
      <c r="W140" s="3">
        <v>31836</v>
      </c>
      <c r="X140" s="3">
        <v>43286</v>
      </c>
      <c r="Y140" s="11" t="s">
        <v>1824</v>
      </c>
      <c r="Z140" s="2">
        <v>43339</v>
      </c>
      <c r="AA140" s="1" t="s">
        <v>1450</v>
      </c>
      <c r="AB140" s="3">
        <v>43326</v>
      </c>
      <c r="AC140" t="s">
        <v>1158</v>
      </c>
      <c r="AF140" t="s">
        <v>1724</v>
      </c>
      <c r="AG140" s="3">
        <v>43286</v>
      </c>
      <c r="AJ140" s="3">
        <v>43305</v>
      </c>
    </row>
    <row r="141" spans="1:38">
      <c r="A141" s="30">
        <v>140</v>
      </c>
      <c r="B141" s="31" t="s">
        <v>260</v>
      </c>
      <c r="C141" s="32">
        <v>43305</v>
      </c>
      <c r="D141" s="31" t="s">
        <v>175</v>
      </c>
      <c r="E141" s="31" t="s">
        <v>196</v>
      </c>
      <c r="F141" s="31" t="s">
        <v>1719</v>
      </c>
      <c r="G141" s="33" t="s">
        <v>220</v>
      </c>
      <c r="H141" s="31" t="s">
        <v>92</v>
      </c>
      <c r="I141" s="31"/>
      <c r="J141" s="31"/>
      <c r="K141" s="31" t="s">
        <v>175</v>
      </c>
      <c r="L141" s="3">
        <v>43312</v>
      </c>
      <c r="M141" s="31" t="s">
        <v>35</v>
      </c>
      <c r="N141" t="s">
        <v>1767</v>
      </c>
      <c r="O141" s="36">
        <v>30</v>
      </c>
      <c r="P141" s="30">
        <v>1</v>
      </c>
      <c r="Q141" s="37">
        <v>0.21</v>
      </c>
      <c r="R141" s="38">
        <v>0</v>
      </c>
      <c r="S141" s="31" t="s">
        <v>36</v>
      </c>
      <c r="T141" s="39">
        <f t="shared" ref="T141:T156" si="6">(O141*P141)*Q141+O141*P141</f>
        <v>36.299999999999997</v>
      </c>
      <c r="Y141" s="11" t="s">
        <v>1768</v>
      </c>
      <c r="Z141" s="2"/>
      <c r="AD141" s="31"/>
      <c r="AE141" s="31"/>
      <c r="AF141" s="31"/>
      <c r="AG141" s="34"/>
      <c r="AJ141" s="34"/>
    </row>
    <row r="142" spans="1:38">
      <c r="A142" s="1">
        <v>141</v>
      </c>
      <c r="B142" t="s">
        <v>1776</v>
      </c>
      <c r="C142" s="2">
        <v>43305</v>
      </c>
      <c r="D142" t="s">
        <v>1769</v>
      </c>
      <c r="E142" t="s">
        <v>1770</v>
      </c>
      <c r="F142" t="s">
        <v>1771</v>
      </c>
      <c r="G142" s="6" t="s">
        <v>226</v>
      </c>
      <c r="H142" t="s">
        <v>86</v>
      </c>
      <c r="K142" s="31" t="s">
        <v>174</v>
      </c>
      <c r="L142" s="3">
        <v>43312</v>
      </c>
      <c r="M142" t="s">
        <v>35</v>
      </c>
      <c r="N142" s="14" t="s">
        <v>1772</v>
      </c>
      <c r="O142" s="9">
        <v>60</v>
      </c>
      <c r="P142" s="1">
        <v>1</v>
      </c>
      <c r="Q142" s="58">
        <v>0.21</v>
      </c>
      <c r="R142" s="7">
        <v>0</v>
      </c>
      <c r="S142" t="s">
        <v>36</v>
      </c>
      <c r="T142" s="4">
        <f t="shared" si="6"/>
        <v>72.599999999999994</v>
      </c>
      <c r="U142" t="s">
        <v>1773</v>
      </c>
      <c r="V142" s="5" t="s">
        <v>1774</v>
      </c>
      <c r="W142" s="3">
        <v>33843</v>
      </c>
      <c r="X142" s="3">
        <v>43305</v>
      </c>
      <c r="Y142" s="11" t="s">
        <v>1869</v>
      </c>
      <c r="Z142" s="2">
        <v>43357</v>
      </c>
      <c r="AC142" t="s">
        <v>1158</v>
      </c>
    </row>
    <row r="143" spans="1:38">
      <c r="A143" s="1">
        <v>142</v>
      </c>
      <c r="B143" t="s">
        <v>438</v>
      </c>
      <c r="C143" s="2">
        <v>43306</v>
      </c>
      <c r="D143" t="s">
        <v>1859</v>
      </c>
      <c r="E143" t="s">
        <v>1860</v>
      </c>
      <c r="F143" t="s">
        <v>1861</v>
      </c>
      <c r="G143" s="6" t="s">
        <v>236</v>
      </c>
      <c r="H143" t="s">
        <v>68</v>
      </c>
      <c r="K143" t="s">
        <v>1859</v>
      </c>
      <c r="L143" s="3"/>
      <c r="M143" t="s">
        <v>35</v>
      </c>
      <c r="N143" s="14" t="s">
        <v>1862</v>
      </c>
      <c r="O143" s="9">
        <v>30</v>
      </c>
      <c r="P143" s="1">
        <v>1</v>
      </c>
      <c r="Q143" s="58">
        <v>0.21</v>
      </c>
      <c r="R143" s="7">
        <v>0</v>
      </c>
      <c r="S143" t="s">
        <v>36</v>
      </c>
      <c r="T143" s="4">
        <f t="shared" si="6"/>
        <v>36.299999999999997</v>
      </c>
      <c r="U143" t="s">
        <v>1859</v>
      </c>
      <c r="V143" s="5" t="s">
        <v>1863</v>
      </c>
      <c r="W143" s="3">
        <v>32448</v>
      </c>
      <c r="X143" s="3">
        <v>43306</v>
      </c>
      <c r="Y143" s="11" t="s">
        <v>1864</v>
      </c>
      <c r="Z143" s="2">
        <v>43350</v>
      </c>
      <c r="AC143" t="s">
        <v>1158</v>
      </c>
    </row>
    <row r="144" spans="1:38">
      <c r="A144" s="1">
        <v>142</v>
      </c>
      <c r="B144" t="s">
        <v>33</v>
      </c>
      <c r="C144" s="2">
        <v>43308</v>
      </c>
      <c r="D144" t="s">
        <v>1777</v>
      </c>
      <c r="E144" t="s">
        <v>1778</v>
      </c>
      <c r="F144" t="s">
        <v>1779</v>
      </c>
      <c r="G144" s="6" t="s">
        <v>304</v>
      </c>
      <c r="H144" t="s">
        <v>68</v>
      </c>
      <c r="I144">
        <v>642858284</v>
      </c>
      <c r="K144" s="31" t="s">
        <v>237</v>
      </c>
      <c r="L144" s="3">
        <v>43312</v>
      </c>
      <c r="M144" t="s">
        <v>35</v>
      </c>
      <c r="N144" t="s">
        <v>1780</v>
      </c>
      <c r="O144" s="9">
        <v>60</v>
      </c>
      <c r="P144" s="1">
        <v>1</v>
      </c>
      <c r="Q144" s="58">
        <v>0.21</v>
      </c>
      <c r="R144" s="7">
        <v>0</v>
      </c>
      <c r="S144" t="s">
        <v>36</v>
      </c>
      <c r="T144" s="4">
        <f t="shared" si="6"/>
        <v>72.599999999999994</v>
      </c>
      <c r="U144" t="s">
        <v>1781</v>
      </c>
      <c r="V144" s="5" t="s">
        <v>1782</v>
      </c>
      <c r="W144" s="3">
        <v>31074</v>
      </c>
      <c r="X144" s="3">
        <v>43308</v>
      </c>
      <c r="Y144" s="11" t="s">
        <v>1868</v>
      </c>
      <c r="Z144" s="2">
        <v>43357</v>
      </c>
      <c r="AC144" t="s">
        <v>1158</v>
      </c>
      <c r="AF144" t="s">
        <v>1128</v>
      </c>
      <c r="AG144" s="3">
        <v>43308</v>
      </c>
      <c r="AJ144" s="3">
        <v>43312</v>
      </c>
    </row>
    <row r="145" spans="1:38">
      <c r="A145" s="1">
        <v>143</v>
      </c>
      <c r="B145" t="s">
        <v>82</v>
      </c>
      <c r="C145" s="2">
        <v>43312</v>
      </c>
      <c r="D145" t="s">
        <v>1783</v>
      </c>
      <c r="E145" t="s">
        <v>1784</v>
      </c>
      <c r="F145" t="s">
        <v>1785</v>
      </c>
      <c r="G145" s="6" t="s">
        <v>242</v>
      </c>
      <c r="H145" t="s">
        <v>1474</v>
      </c>
      <c r="I145">
        <v>699510563</v>
      </c>
      <c r="K145" t="s">
        <v>1783</v>
      </c>
      <c r="L145" s="3">
        <v>43312</v>
      </c>
      <c r="M145" t="s">
        <v>35</v>
      </c>
      <c r="N145" s="14" t="s">
        <v>1786</v>
      </c>
      <c r="O145" s="9">
        <v>60</v>
      </c>
      <c r="P145" s="1">
        <v>1</v>
      </c>
      <c r="Q145" s="58">
        <v>0.21</v>
      </c>
      <c r="R145" s="7">
        <v>0</v>
      </c>
      <c r="S145" t="s">
        <v>36</v>
      </c>
      <c r="T145" s="4">
        <f t="shared" si="6"/>
        <v>72.599999999999994</v>
      </c>
      <c r="U145" t="s">
        <v>1787</v>
      </c>
      <c r="V145" s="5" t="s">
        <v>1788</v>
      </c>
      <c r="W145" s="3">
        <v>36496</v>
      </c>
      <c r="X145" s="3">
        <v>43312</v>
      </c>
      <c r="Y145" s="11" t="s">
        <v>1925</v>
      </c>
      <c r="Z145" s="2">
        <v>43378</v>
      </c>
      <c r="AC145" t="s">
        <v>1158</v>
      </c>
      <c r="AF145" t="s">
        <v>1789</v>
      </c>
      <c r="AG145" s="3">
        <v>43312</v>
      </c>
      <c r="AJ145" s="3">
        <v>43315</v>
      </c>
      <c r="AL145" t="s">
        <v>1900</v>
      </c>
    </row>
    <row r="146" spans="1:38">
      <c r="A146" s="1">
        <v>144</v>
      </c>
      <c r="B146" t="s">
        <v>61</v>
      </c>
      <c r="C146" s="2">
        <v>43312</v>
      </c>
      <c r="D146" t="s">
        <v>1790</v>
      </c>
      <c r="E146" t="s">
        <v>1791</v>
      </c>
      <c r="F146" t="s">
        <v>1792</v>
      </c>
      <c r="G146" s="6" t="s">
        <v>241</v>
      </c>
      <c r="H146" t="s">
        <v>60</v>
      </c>
      <c r="I146">
        <v>679088389</v>
      </c>
      <c r="K146" t="s">
        <v>1790</v>
      </c>
      <c r="L146" s="3">
        <v>43312</v>
      </c>
      <c r="M146" t="s">
        <v>35</v>
      </c>
      <c r="N146" t="s">
        <v>1793</v>
      </c>
      <c r="O146" s="9">
        <v>60</v>
      </c>
      <c r="P146" s="1">
        <v>1</v>
      </c>
      <c r="Q146" s="58">
        <v>0.21</v>
      </c>
      <c r="R146" s="7">
        <v>0</v>
      </c>
      <c r="S146" t="s">
        <v>36</v>
      </c>
      <c r="T146" s="4">
        <f t="shared" si="6"/>
        <v>72.599999999999994</v>
      </c>
      <c r="U146" t="s">
        <v>1794</v>
      </c>
      <c r="V146" s="5" t="s">
        <v>1795</v>
      </c>
      <c r="W146" s="3">
        <v>35660</v>
      </c>
      <c r="X146" s="3">
        <v>43312</v>
      </c>
      <c r="Y146" s="11" t="s">
        <v>1884</v>
      </c>
      <c r="Z146" s="2">
        <v>43361</v>
      </c>
      <c r="AC146" t="s">
        <v>1158</v>
      </c>
      <c r="AF146" t="s">
        <v>1796</v>
      </c>
      <c r="AG146" s="3">
        <v>43312</v>
      </c>
      <c r="AJ146" s="3">
        <v>43329</v>
      </c>
    </row>
    <row r="147" spans="1:38">
      <c r="A147" s="1">
        <v>145</v>
      </c>
      <c r="B147" t="s">
        <v>37</v>
      </c>
      <c r="C147" s="2">
        <v>43312</v>
      </c>
      <c r="D147" t="s">
        <v>1798</v>
      </c>
      <c r="E147" t="s">
        <v>1799</v>
      </c>
      <c r="F147" t="s">
        <v>1800</v>
      </c>
      <c r="G147" s="6" t="s">
        <v>1257</v>
      </c>
      <c r="H147" t="s">
        <v>1266</v>
      </c>
      <c r="K147" t="s">
        <v>1798</v>
      </c>
      <c r="L147" s="3">
        <v>43312</v>
      </c>
      <c r="M147" t="s">
        <v>35</v>
      </c>
      <c r="N147" s="14" t="s">
        <v>1801</v>
      </c>
      <c r="O147" s="9">
        <v>0</v>
      </c>
      <c r="P147" s="1">
        <v>1</v>
      </c>
      <c r="Q147" s="58">
        <v>0.21</v>
      </c>
      <c r="R147" s="7">
        <v>0</v>
      </c>
      <c r="S147" t="s">
        <v>36</v>
      </c>
      <c r="T147" s="4">
        <f t="shared" si="6"/>
        <v>0</v>
      </c>
      <c r="U147" t="s">
        <v>1798</v>
      </c>
    </row>
    <row r="148" spans="1:38">
      <c r="A148" s="1">
        <v>146</v>
      </c>
      <c r="B148" t="s">
        <v>52</v>
      </c>
      <c r="C148" s="2">
        <v>43315</v>
      </c>
      <c r="D148" s="61" t="s">
        <v>1802</v>
      </c>
      <c r="E148" t="s">
        <v>1803</v>
      </c>
      <c r="F148" t="s">
        <v>1804</v>
      </c>
      <c r="G148" s="6" t="s">
        <v>230</v>
      </c>
      <c r="H148" t="s">
        <v>34</v>
      </c>
      <c r="I148">
        <v>627636209</v>
      </c>
      <c r="K148" s="31" t="s">
        <v>53</v>
      </c>
      <c r="L148" s="3">
        <v>43343</v>
      </c>
      <c r="M148" t="s">
        <v>35</v>
      </c>
      <c r="N148" t="s">
        <v>1805</v>
      </c>
      <c r="O148" s="9">
        <v>60</v>
      </c>
      <c r="P148" s="1">
        <v>1</v>
      </c>
      <c r="Q148" s="58">
        <v>0.21</v>
      </c>
      <c r="R148" s="7">
        <v>0</v>
      </c>
      <c r="S148" t="s">
        <v>36</v>
      </c>
      <c r="T148" s="4">
        <f t="shared" si="6"/>
        <v>72.599999999999994</v>
      </c>
      <c r="U148" t="s">
        <v>1806</v>
      </c>
      <c r="V148" s="5" t="s">
        <v>1807</v>
      </c>
      <c r="W148" s="3">
        <v>33695</v>
      </c>
      <c r="X148" s="3">
        <v>43315</v>
      </c>
      <c r="Y148" s="11" t="s">
        <v>2008</v>
      </c>
      <c r="Z148" s="2">
        <v>43362</v>
      </c>
      <c r="AB148" s="3">
        <v>43384</v>
      </c>
      <c r="AC148" t="s">
        <v>1158</v>
      </c>
    </row>
    <row r="149" spans="1:38">
      <c r="A149" s="1">
        <v>147</v>
      </c>
      <c r="B149" t="s">
        <v>438</v>
      </c>
      <c r="C149" s="2">
        <v>43322</v>
      </c>
      <c r="D149" t="s">
        <v>228</v>
      </c>
      <c r="E149" t="s">
        <v>229</v>
      </c>
      <c r="F149" t="s">
        <v>56</v>
      </c>
      <c r="G149" s="6" t="s">
        <v>230</v>
      </c>
      <c r="H149" t="s">
        <v>1262</v>
      </c>
      <c r="I149">
        <v>637571817</v>
      </c>
      <c r="K149" t="s">
        <v>228</v>
      </c>
      <c r="L149" s="3">
        <v>43343</v>
      </c>
      <c r="M149" t="s">
        <v>35</v>
      </c>
      <c r="N149" s="14" t="s">
        <v>1809</v>
      </c>
      <c r="O149" s="9">
        <v>60</v>
      </c>
      <c r="P149" s="1">
        <v>1</v>
      </c>
      <c r="Q149" s="58">
        <v>0.21</v>
      </c>
      <c r="R149" s="7">
        <v>0</v>
      </c>
      <c r="S149" t="s">
        <v>36</v>
      </c>
      <c r="T149" s="4">
        <f t="shared" si="6"/>
        <v>72.599999999999994</v>
      </c>
      <c r="U149" t="s">
        <v>1810</v>
      </c>
      <c r="V149" s="5" t="s">
        <v>1811</v>
      </c>
      <c r="W149" s="3">
        <v>28126</v>
      </c>
      <c r="X149" s="3">
        <v>43322</v>
      </c>
      <c r="Y149" t="s">
        <v>2031</v>
      </c>
      <c r="AC149" t="s">
        <v>1158</v>
      </c>
      <c r="AF149" t="s">
        <v>73</v>
      </c>
      <c r="AG149" s="3">
        <v>43322</v>
      </c>
      <c r="AJ149" s="3">
        <v>43329</v>
      </c>
    </row>
    <row r="150" spans="1:38">
      <c r="A150" s="1">
        <v>148</v>
      </c>
      <c r="B150" t="s">
        <v>438</v>
      </c>
      <c r="C150" s="2">
        <v>43322</v>
      </c>
      <c r="D150" t="s">
        <v>1812</v>
      </c>
      <c r="E150" t="s">
        <v>1813</v>
      </c>
      <c r="F150" t="s">
        <v>1814</v>
      </c>
      <c r="G150" s="6" t="s">
        <v>230</v>
      </c>
      <c r="H150" t="s">
        <v>1262</v>
      </c>
      <c r="K150" t="s">
        <v>1812</v>
      </c>
      <c r="L150" s="3">
        <v>43343</v>
      </c>
      <c r="M150" t="s">
        <v>35</v>
      </c>
      <c r="N150" t="s">
        <v>1815</v>
      </c>
      <c r="O150" s="9">
        <v>60</v>
      </c>
      <c r="P150" s="1">
        <v>1</v>
      </c>
      <c r="Q150" s="58">
        <v>0.21</v>
      </c>
      <c r="R150" s="7">
        <v>0</v>
      </c>
      <c r="S150" t="s">
        <v>36</v>
      </c>
      <c r="T150" s="4">
        <f t="shared" si="6"/>
        <v>72.599999999999994</v>
      </c>
      <c r="U150" t="s">
        <v>1816</v>
      </c>
      <c r="V150" s="5" t="s">
        <v>1817</v>
      </c>
      <c r="W150" s="3">
        <v>28856</v>
      </c>
      <c r="X150" s="3">
        <v>43322</v>
      </c>
      <c r="Y150" s="11" t="s">
        <v>1896</v>
      </c>
      <c r="Z150" s="2">
        <v>43369</v>
      </c>
      <c r="AC150" t="s">
        <v>1158</v>
      </c>
    </row>
    <row r="151" spans="1:38">
      <c r="A151" s="1">
        <v>149</v>
      </c>
      <c r="B151" t="s">
        <v>438</v>
      </c>
      <c r="C151" s="2">
        <v>43329</v>
      </c>
      <c r="D151" t="s">
        <v>113</v>
      </c>
      <c r="E151" t="s">
        <v>99</v>
      </c>
      <c r="F151" t="s">
        <v>114</v>
      </c>
      <c r="G151" s="6" t="s">
        <v>221</v>
      </c>
      <c r="H151" t="s">
        <v>34</v>
      </c>
      <c r="K151" t="s">
        <v>113</v>
      </c>
      <c r="L151" s="3">
        <v>43343</v>
      </c>
      <c r="M151" t="s">
        <v>35</v>
      </c>
      <c r="N151" s="14" t="s">
        <v>1829</v>
      </c>
      <c r="O151" s="9">
        <v>30</v>
      </c>
      <c r="P151" s="1">
        <v>1</v>
      </c>
      <c r="Q151" s="58">
        <v>0.21</v>
      </c>
      <c r="R151" s="7">
        <v>0</v>
      </c>
      <c r="S151" t="s">
        <v>36</v>
      </c>
      <c r="T151" s="4">
        <f t="shared" si="6"/>
        <v>36.299999999999997</v>
      </c>
      <c r="U151" t="s">
        <v>1830</v>
      </c>
      <c r="V151" s="5" t="s">
        <v>1831</v>
      </c>
      <c r="W151" s="3"/>
      <c r="X151" s="3">
        <v>43294</v>
      </c>
    </row>
    <row r="152" spans="1:38">
      <c r="A152" s="1">
        <v>150</v>
      </c>
      <c r="B152" t="s">
        <v>37</v>
      </c>
      <c r="C152" s="2">
        <v>43346</v>
      </c>
      <c r="D152" t="s">
        <v>1827</v>
      </c>
      <c r="E152" t="s">
        <v>1828</v>
      </c>
      <c r="F152" t="s">
        <v>1346</v>
      </c>
      <c r="G152" s="6" t="s">
        <v>219</v>
      </c>
      <c r="H152" t="s">
        <v>38</v>
      </c>
      <c r="I152">
        <v>631906364</v>
      </c>
      <c r="K152" t="s">
        <v>1827</v>
      </c>
      <c r="L152" s="3">
        <v>43373</v>
      </c>
      <c r="M152" t="s">
        <v>35</v>
      </c>
      <c r="N152" s="14" t="s">
        <v>1923</v>
      </c>
      <c r="O152" s="9">
        <v>30</v>
      </c>
      <c r="P152" s="1">
        <v>1</v>
      </c>
      <c r="Q152" s="58">
        <v>0.21</v>
      </c>
      <c r="R152" s="7">
        <v>0</v>
      </c>
      <c r="S152" t="s">
        <v>36</v>
      </c>
      <c r="T152" s="4">
        <f t="shared" si="6"/>
        <v>36.299999999999997</v>
      </c>
      <c r="U152" t="s">
        <v>1827</v>
      </c>
      <c r="V152" s="5" t="s">
        <v>1924</v>
      </c>
      <c r="W152" s="3">
        <v>27738</v>
      </c>
      <c r="X152" s="3">
        <v>43346</v>
      </c>
      <c r="Y152" s="11" t="s">
        <v>2026</v>
      </c>
      <c r="Z152" s="2">
        <v>43416</v>
      </c>
      <c r="AC152" t="s">
        <v>366</v>
      </c>
      <c r="AF152" t="s">
        <v>73</v>
      </c>
      <c r="AG152" s="3">
        <v>43378</v>
      </c>
      <c r="AJ152" s="3">
        <v>43378</v>
      </c>
    </row>
    <row r="153" spans="1:38">
      <c r="A153" s="1">
        <v>151</v>
      </c>
      <c r="B153" t="s">
        <v>80</v>
      </c>
      <c r="C153" s="2">
        <v>43350</v>
      </c>
      <c r="D153" t="s">
        <v>1832</v>
      </c>
      <c r="E153" t="s">
        <v>1833</v>
      </c>
      <c r="F153" t="s">
        <v>1834</v>
      </c>
      <c r="G153" s="6" t="s">
        <v>245</v>
      </c>
      <c r="H153" t="s">
        <v>54</v>
      </c>
      <c r="I153">
        <v>631636291</v>
      </c>
      <c r="K153" t="s">
        <v>1832</v>
      </c>
      <c r="L153" s="3">
        <v>43373</v>
      </c>
      <c r="M153" t="s">
        <v>35</v>
      </c>
      <c r="N153" s="14" t="s">
        <v>1835</v>
      </c>
      <c r="O153" s="9">
        <v>60</v>
      </c>
      <c r="P153" s="1">
        <v>1</v>
      </c>
      <c r="Q153" s="58">
        <v>0.21</v>
      </c>
      <c r="R153" s="7">
        <v>0</v>
      </c>
      <c r="S153" t="s">
        <v>36</v>
      </c>
      <c r="T153" s="4">
        <f t="shared" si="6"/>
        <v>72.599999999999994</v>
      </c>
      <c r="U153" t="s">
        <v>1836</v>
      </c>
      <c r="V153" s="5" t="s">
        <v>1837</v>
      </c>
      <c r="W153" s="3">
        <v>32184</v>
      </c>
      <c r="X153" s="3">
        <v>43350</v>
      </c>
      <c r="Y153" s="11" t="s">
        <v>2041</v>
      </c>
      <c r="Z153" s="2">
        <v>43420</v>
      </c>
      <c r="AC153" t="s">
        <v>1158</v>
      </c>
      <c r="AF153" t="s">
        <v>77</v>
      </c>
      <c r="AG153" s="3">
        <v>43350</v>
      </c>
    </row>
    <row r="154" spans="1:38">
      <c r="A154" s="1">
        <v>152</v>
      </c>
      <c r="B154" t="s">
        <v>82</v>
      </c>
      <c r="C154" s="2">
        <v>43350</v>
      </c>
      <c r="D154" t="s">
        <v>263</v>
      </c>
      <c r="E154" t="s">
        <v>264</v>
      </c>
      <c r="F154" t="s">
        <v>1200</v>
      </c>
      <c r="G154" s="6" t="s">
        <v>250</v>
      </c>
      <c r="H154" t="s">
        <v>86</v>
      </c>
      <c r="K154" t="s">
        <v>263</v>
      </c>
      <c r="L154" s="3">
        <v>43373</v>
      </c>
      <c r="M154" t="s">
        <v>35</v>
      </c>
      <c r="N154" s="14" t="s">
        <v>1838</v>
      </c>
      <c r="O154" s="7">
        <v>60</v>
      </c>
      <c r="P154" s="1">
        <v>1</v>
      </c>
      <c r="Q154" s="58">
        <v>0.21</v>
      </c>
      <c r="R154" s="7">
        <v>0</v>
      </c>
      <c r="S154" t="s">
        <v>36</v>
      </c>
      <c r="T154" s="4">
        <f t="shared" si="6"/>
        <v>72.599999999999994</v>
      </c>
      <c r="U154" t="s">
        <v>1839</v>
      </c>
      <c r="V154" s="5" t="s">
        <v>1840</v>
      </c>
      <c r="W154" s="3">
        <v>35836</v>
      </c>
      <c r="X154" s="3">
        <v>43350</v>
      </c>
      <c r="Y154" s="11" t="s">
        <v>1901</v>
      </c>
      <c r="Z154" s="2">
        <v>43375</v>
      </c>
      <c r="AC154" t="s">
        <v>1158</v>
      </c>
      <c r="AD154" t="s">
        <v>1858</v>
      </c>
      <c r="AF154" t="s">
        <v>77</v>
      </c>
      <c r="AG154" s="3">
        <v>43350</v>
      </c>
    </row>
    <row r="155" spans="1:38">
      <c r="A155" s="1">
        <v>153</v>
      </c>
      <c r="B155" t="s">
        <v>82</v>
      </c>
      <c r="C155" s="2">
        <v>43350</v>
      </c>
      <c r="D155" t="s">
        <v>263</v>
      </c>
      <c r="E155" t="s">
        <v>264</v>
      </c>
      <c r="F155" t="s">
        <v>1200</v>
      </c>
      <c r="G155" s="6" t="s">
        <v>250</v>
      </c>
      <c r="H155" t="s">
        <v>86</v>
      </c>
      <c r="K155" t="s">
        <v>263</v>
      </c>
      <c r="L155" s="3">
        <v>43373</v>
      </c>
      <c r="M155" t="s">
        <v>35</v>
      </c>
      <c r="N155" s="14" t="s">
        <v>1841</v>
      </c>
      <c r="O155" s="7">
        <v>60</v>
      </c>
      <c r="P155" s="1">
        <v>1</v>
      </c>
      <c r="Q155" s="58">
        <v>0.21</v>
      </c>
      <c r="R155" s="7">
        <v>0</v>
      </c>
      <c r="S155" t="s">
        <v>36</v>
      </c>
      <c r="T155" s="4">
        <f t="shared" si="6"/>
        <v>72.599999999999994</v>
      </c>
      <c r="W155" s="3">
        <v>34754</v>
      </c>
      <c r="X155" s="3">
        <v>43350</v>
      </c>
      <c r="Y155" s="11" t="s">
        <v>1901</v>
      </c>
      <c r="Z155" s="2">
        <v>43375</v>
      </c>
      <c r="AC155" t="s">
        <v>1158</v>
      </c>
      <c r="AD155" t="s">
        <v>1858</v>
      </c>
      <c r="AF155" t="s">
        <v>77</v>
      </c>
      <c r="AG155" s="3">
        <v>43350</v>
      </c>
    </row>
    <row r="156" spans="1:38">
      <c r="A156" s="1">
        <v>154</v>
      </c>
      <c r="B156" t="s">
        <v>80</v>
      </c>
      <c r="C156" s="2">
        <v>43350</v>
      </c>
      <c r="D156" t="s">
        <v>1353</v>
      </c>
      <c r="E156" t="s">
        <v>1354</v>
      </c>
      <c r="F156" t="s">
        <v>1842</v>
      </c>
      <c r="G156" s="6" t="s">
        <v>294</v>
      </c>
      <c r="H156" t="s">
        <v>103</v>
      </c>
      <c r="K156" t="s">
        <v>1353</v>
      </c>
      <c r="L156" s="3">
        <v>43373</v>
      </c>
      <c r="M156" t="s">
        <v>35</v>
      </c>
      <c r="N156" s="14" t="s">
        <v>1843</v>
      </c>
      <c r="O156" s="9">
        <v>60</v>
      </c>
      <c r="P156" s="1">
        <v>1</v>
      </c>
      <c r="Q156" s="58">
        <v>0.21</v>
      </c>
      <c r="R156" s="7">
        <v>0</v>
      </c>
      <c r="S156" t="s">
        <v>36</v>
      </c>
      <c r="T156" s="4">
        <f t="shared" si="6"/>
        <v>72.599999999999994</v>
      </c>
      <c r="U156" t="s">
        <v>1844</v>
      </c>
      <c r="V156" s="5" t="s">
        <v>1845</v>
      </c>
      <c r="W156" s="3">
        <v>32382</v>
      </c>
      <c r="X156" s="3">
        <v>43350</v>
      </c>
      <c r="Y156" t="s">
        <v>1926</v>
      </c>
      <c r="Z156" s="2">
        <v>43378</v>
      </c>
      <c r="AC156" t="s">
        <v>1158</v>
      </c>
      <c r="AD156" t="s">
        <v>1858</v>
      </c>
    </row>
    <row r="157" spans="1:38">
      <c r="A157" s="1">
        <v>155</v>
      </c>
      <c r="B157" t="s">
        <v>80</v>
      </c>
      <c r="C157" s="2">
        <v>43350</v>
      </c>
      <c r="D157" t="s">
        <v>1353</v>
      </c>
      <c r="E157" t="s">
        <v>1354</v>
      </c>
      <c r="F157" t="s">
        <v>1842</v>
      </c>
      <c r="G157" s="6" t="s">
        <v>294</v>
      </c>
      <c r="H157" t="s">
        <v>103</v>
      </c>
      <c r="K157" t="s">
        <v>1353</v>
      </c>
      <c r="L157" s="3">
        <v>43373</v>
      </c>
      <c r="M157" t="s">
        <v>35</v>
      </c>
      <c r="N157" s="14" t="s">
        <v>1846</v>
      </c>
      <c r="O157" s="9">
        <v>60</v>
      </c>
      <c r="P157" s="1">
        <v>1</v>
      </c>
      <c r="Q157" s="58">
        <v>0.21</v>
      </c>
      <c r="R157" s="7">
        <v>0</v>
      </c>
      <c r="S157" t="s">
        <v>36</v>
      </c>
      <c r="T157" s="4">
        <f t="shared" ref="T157:T179" si="7">(O157*P157)*Q157+O157*P157</f>
        <v>72.599999999999994</v>
      </c>
      <c r="U157" t="s">
        <v>1847</v>
      </c>
      <c r="V157" s="5" t="s">
        <v>1848</v>
      </c>
      <c r="W157" s="3">
        <v>27961</v>
      </c>
      <c r="X157" s="3">
        <v>43350</v>
      </c>
      <c r="Y157" t="s">
        <v>1926</v>
      </c>
      <c r="Z157" s="2">
        <v>43378</v>
      </c>
      <c r="AC157" t="s">
        <v>1158</v>
      </c>
      <c r="AD157" t="s">
        <v>1858</v>
      </c>
    </row>
    <row r="158" spans="1:38">
      <c r="A158" s="1">
        <v>156</v>
      </c>
      <c r="B158" t="s">
        <v>80</v>
      </c>
      <c r="C158" s="2">
        <v>43350</v>
      </c>
      <c r="D158" t="s">
        <v>1353</v>
      </c>
      <c r="E158" t="s">
        <v>1354</v>
      </c>
      <c r="F158" t="s">
        <v>1842</v>
      </c>
      <c r="G158" s="6" t="s">
        <v>294</v>
      </c>
      <c r="H158" t="s">
        <v>103</v>
      </c>
      <c r="K158" t="s">
        <v>1353</v>
      </c>
      <c r="L158" s="3">
        <v>43373</v>
      </c>
      <c r="M158" t="s">
        <v>35</v>
      </c>
      <c r="N158" s="14" t="s">
        <v>1849</v>
      </c>
      <c r="O158" s="9">
        <v>60</v>
      </c>
      <c r="P158" s="1">
        <v>1</v>
      </c>
      <c r="Q158" s="58">
        <v>0.21</v>
      </c>
      <c r="R158" s="7">
        <v>0</v>
      </c>
      <c r="S158" t="s">
        <v>36</v>
      </c>
      <c r="T158" s="4">
        <f t="shared" si="7"/>
        <v>72.599999999999994</v>
      </c>
      <c r="U158" t="s">
        <v>1850</v>
      </c>
      <c r="V158" s="5" t="s">
        <v>1851</v>
      </c>
      <c r="W158" s="3">
        <v>33374</v>
      </c>
      <c r="X158" s="3">
        <v>43350</v>
      </c>
      <c r="Y158" t="s">
        <v>1926</v>
      </c>
      <c r="Z158" s="2">
        <v>43378</v>
      </c>
      <c r="AC158" t="s">
        <v>1158</v>
      </c>
      <c r="AD158" t="s">
        <v>1858</v>
      </c>
    </row>
    <row r="159" spans="1:38">
      <c r="A159" s="1">
        <v>157</v>
      </c>
      <c r="B159" t="s">
        <v>438</v>
      </c>
      <c r="C159" s="2">
        <v>43350</v>
      </c>
      <c r="D159" t="s">
        <v>1852</v>
      </c>
      <c r="E159" t="s">
        <v>1853</v>
      </c>
      <c r="F159" t="s">
        <v>1854</v>
      </c>
      <c r="G159" s="6" t="s">
        <v>221</v>
      </c>
      <c r="H159" t="s">
        <v>34</v>
      </c>
      <c r="K159" t="s">
        <v>1852</v>
      </c>
      <c r="L159" s="3">
        <v>43373</v>
      </c>
      <c r="M159" t="s">
        <v>35</v>
      </c>
      <c r="N159" s="14" t="s">
        <v>1855</v>
      </c>
      <c r="O159" s="9">
        <v>60</v>
      </c>
      <c r="P159" s="1">
        <v>1</v>
      </c>
      <c r="Q159" s="58">
        <v>0.21</v>
      </c>
      <c r="R159" s="7">
        <v>0</v>
      </c>
      <c r="S159" t="s">
        <v>36</v>
      </c>
      <c r="T159" s="4">
        <f t="shared" si="7"/>
        <v>72.599999999999994</v>
      </c>
      <c r="U159" t="s">
        <v>1856</v>
      </c>
      <c r="V159" s="5" t="s">
        <v>1857</v>
      </c>
      <c r="W159" s="3">
        <v>36267</v>
      </c>
      <c r="X159" s="3">
        <v>43350</v>
      </c>
      <c r="Y159" s="11" t="s">
        <v>1901</v>
      </c>
      <c r="Z159" s="2">
        <v>43375</v>
      </c>
      <c r="AC159" t="s">
        <v>1158</v>
      </c>
      <c r="AD159" t="s">
        <v>1858</v>
      </c>
    </row>
    <row r="160" spans="1:38">
      <c r="A160" s="1">
        <v>158</v>
      </c>
      <c r="B160" t="s">
        <v>82</v>
      </c>
      <c r="C160" s="2">
        <v>43356</v>
      </c>
      <c r="D160" t="s">
        <v>1870</v>
      </c>
      <c r="E160" t="s">
        <v>1871</v>
      </c>
      <c r="F160" t="s">
        <v>1872</v>
      </c>
      <c r="G160" s="6" t="s">
        <v>239</v>
      </c>
      <c r="H160" t="s">
        <v>86</v>
      </c>
      <c r="I160">
        <v>631120704</v>
      </c>
      <c r="K160" t="s">
        <v>1870</v>
      </c>
      <c r="L160" s="3">
        <v>43373</v>
      </c>
      <c r="M160" t="s">
        <v>35</v>
      </c>
      <c r="N160" s="14" t="s">
        <v>1873</v>
      </c>
      <c r="O160" s="9">
        <v>60</v>
      </c>
      <c r="P160" s="1">
        <v>1</v>
      </c>
      <c r="Q160" s="58">
        <v>0.21</v>
      </c>
      <c r="R160" s="7">
        <v>0</v>
      </c>
      <c r="S160" t="s">
        <v>36</v>
      </c>
      <c r="T160" s="4">
        <f t="shared" si="7"/>
        <v>72.599999999999994</v>
      </c>
      <c r="U160" t="s">
        <v>1874</v>
      </c>
      <c r="V160" s="5" t="s">
        <v>1875</v>
      </c>
      <c r="W160" s="3">
        <v>32565</v>
      </c>
      <c r="X160" s="3">
        <v>43356</v>
      </c>
      <c r="Y160" s="13" t="s">
        <v>2032</v>
      </c>
      <c r="Z160" s="2">
        <v>43382</v>
      </c>
      <c r="AC160" t="s">
        <v>1158</v>
      </c>
      <c r="AF160" t="s">
        <v>1876</v>
      </c>
      <c r="AG160" s="3">
        <v>43356</v>
      </c>
      <c r="AJ160" s="3">
        <v>43363</v>
      </c>
    </row>
    <row r="161" spans="1:38">
      <c r="A161" s="1">
        <v>159</v>
      </c>
      <c r="B161" t="s">
        <v>40</v>
      </c>
      <c r="C161" s="2">
        <v>43356</v>
      </c>
      <c r="D161" t="s">
        <v>1877</v>
      </c>
      <c r="E161" t="s">
        <v>1878</v>
      </c>
      <c r="F161" t="s">
        <v>1879</v>
      </c>
      <c r="G161" s="6" t="s">
        <v>221</v>
      </c>
      <c r="H161" t="s">
        <v>34</v>
      </c>
      <c r="I161">
        <v>615884057</v>
      </c>
      <c r="K161" t="s">
        <v>1877</v>
      </c>
      <c r="L161" s="3">
        <v>43373</v>
      </c>
      <c r="M161" t="s">
        <v>35</v>
      </c>
      <c r="N161" s="14" t="s">
        <v>1880</v>
      </c>
      <c r="O161" s="9">
        <v>60</v>
      </c>
      <c r="P161" s="1">
        <v>1</v>
      </c>
      <c r="Q161" s="58">
        <v>0.21</v>
      </c>
      <c r="R161" s="7">
        <v>0</v>
      </c>
      <c r="S161" t="s">
        <v>36</v>
      </c>
      <c r="T161" s="4">
        <f t="shared" si="7"/>
        <v>72.599999999999994</v>
      </c>
      <c r="U161" t="s">
        <v>1881</v>
      </c>
      <c r="V161" s="5" t="s">
        <v>1882</v>
      </c>
      <c r="W161" s="3">
        <v>33366</v>
      </c>
      <c r="X161" s="3">
        <v>43356</v>
      </c>
      <c r="Y161" s="11" t="s">
        <v>1925</v>
      </c>
      <c r="Z161" s="2">
        <v>43378</v>
      </c>
      <c r="AC161" t="s">
        <v>1158</v>
      </c>
      <c r="AD161" t="s">
        <v>1858</v>
      </c>
    </row>
    <row r="162" spans="1:38" s="31" customFormat="1">
      <c r="A162" s="30">
        <v>160</v>
      </c>
      <c r="B162" t="s">
        <v>33</v>
      </c>
      <c r="C162" s="32">
        <v>43363</v>
      </c>
      <c r="D162" t="s">
        <v>308</v>
      </c>
      <c r="E162" t="s">
        <v>309</v>
      </c>
      <c r="F162" t="s">
        <v>1115</v>
      </c>
      <c r="G162" s="6" t="s">
        <v>221</v>
      </c>
      <c r="H162" t="s">
        <v>34</v>
      </c>
      <c r="I162" s="31">
        <v>652507255</v>
      </c>
      <c r="K162" s="31" t="s">
        <v>237</v>
      </c>
      <c r="L162" s="34">
        <v>43373</v>
      </c>
      <c r="M162" t="s">
        <v>35</v>
      </c>
      <c r="N162" s="14" t="s">
        <v>1885</v>
      </c>
      <c r="O162" s="9">
        <v>60</v>
      </c>
      <c r="P162" s="1">
        <v>1</v>
      </c>
      <c r="Q162" s="58">
        <v>0.21</v>
      </c>
      <c r="R162" s="7">
        <v>0</v>
      </c>
      <c r="S162" t="s">
        <v>36</v>
      </c>
      <c r="T162" s="4">
        <f t="shared" si="7"/>
        <v>72.599999999999994</v>
      </c>
      <c r="U162" t="s">
        <v>1886</v>
      </c>
      <c r="V162" s="5" t="s">
        <v>1887</v>
      </c>
      <c r="W162" s="34">
        <v>32075</v>
      </c>
      <c r="X162" s="32">
        <v>43363</v>
      </c>
      <c r="Y162" s="62" t="s">
        <v>2033</v>
      </c>
      <c r="Z162" s="1"/>
      <c r="AA162" s="1"/>
      <c r="AC162" t="s">
        <v>1158</v>
      </c>
      <c r="AF162" t="s">
        <v>1888</v>
      </c>
      <c r="AG162" s="34">
        <v>43363</v>
      </c>
      <c r="AJ162" s="34">
        <v>43377</v>
      </c>
      <c r="AL162"/>
    </row>
    <row r="163" spans="1:38" s="31" customFormat="1">
      <c r="A163" s="30">
        <v>161</v>
      </c>
      <c r="B163" s="31" t="s">
        <v>52</v>
      </c>
      <c r="C163" s="32">
        <v>43363</v>
      </c>
      <c r="D163" t="s">
        <v>70</v>
      </c>
      <c r="E163" s="31" t="s">
        <v>71</v>
      </c>
      <c r="F163" t="s">
        <v>72</v>
      </c>
      <c r="G163" s="33" t="s">
        <v>221</v>
      </c>
      <c r="H163" s="31" t="s">
        <v>34</v>
      </c>
      <c r="I163">
        <v>645871002</v>
      </c>
      <c r="K163" s="31" t="s">
        <v>53</v>
      </c>
      <c r="L163" s="34">
        <v>43373</v>
      </c>
      <c r="M163" s="31" t="s">
        <v>35</v>
      </c>
      <c r="N163" s="14" t="s">
        <v>1889</v>
      </c>
      <c r="O163" s="36">
        <v>60</v>
      </c>
      <c r="P163" s="30">
        <v>1</v>
      </c>
      <c r="Q163" s="37">
        <v>0.21</v>
      </c>
      <c r="R163" s="38">
        <v>0</v>
      </c>
      <c r="S163" s="31" t="s">
        <v>36</v>
      </c>
      <c r="T163" s="39">
        <f t="shared" si="7"/>
        <v>72.599999999999994</v>
      </c>
      <c r="U163" t="s">
        <v>1890</v>
      </c>
      <c r="V163" s="5" t="s">
        <v>1891</v>
      </c>
      <c r="W163" s="34">
        <v>35886</v>
      </c>
      <c r="X163" s="32">
        <v>43363</v>
      </c>
      <c r="Y163" s="11" t="s">
        <v>2010</v>
      </c>
      <c r="Z163" s="34">
        <v>43391</v>
      </c>
      <c r="AC163" t="s">
        <v>1158</v>
      </c>
      <c r="AD163" t="s">
        <v>1858</v>
      </c>
      <c r="AE163" s="34"/>
      <c r="AF163" t="s">
        <v>1888</v>
      </c>
      <c r="AG163" s="34">
        <v>43363</v>
      </c>
      <c r="AH163" s="34"/>
      <c r="AJ163" s="34">
        <v>43377</v>
      </c>
    </row>
    <row r="164" spans="1:38" s="31" customFormat="1">
      <c r="A164" s="30">
        <v>162</v>
      </c>
      <c r="B164" t="s">
        <v>33</v>
      </c>
      <c r="C164" s="32">
        <v>43363</v>
      </c>
      <c r="D164" t="s">
        <v>163</v>
      </c>
      <c r="E164" t="s">
        <v>164</v>
      </c>
      <c r="F164" t="s">
        <v>165</v>
      </c>
      <c r="G164" s="6" t="s">
        <v>304</v>
      </c>
      <c r="H164" t="s">
        <v>68</v>
      </c>
      <c r="I164" s="31">
        <v>615727399</v>
      </c>
      <c r="K164" s="31" t="s">
        <v>237</v>
      </c>
      <c r="L164" s="34">
        <v>43373</v>
      </c>
      <c r="M164" t="s">
        <v>35</v>
      </c>
      <c r="N164" s="14" t="s">
        <v>1892</v>
      </c>
      <c r="O164" s="9">
        <v>60</v>
      </c>
      <c r="P164" s="1">
        <v>1</v>
      </c>
      <c r="Q164" s="58">
        <v>0.21</v>
      </c>
      <c r="R164" s="7">
        <v>0</v>
      </c>
      <c r="S164" t="s">
        <v>36</v>
      </c>
      <c r="T164" s="4">
        <f t="shared" si="7"/>
        <v>72.599999999999994</v>
      </c>
      <c r="U164" t="s">
        <v>1893</v>
      </c>
      <c r="V164" s="5" t="s">
        <v>1894</v>
      </c>
      <c r="W164" s="34">
        <v>34245</v>
      </c>
      <c r="X164" s="32">
        <v>43363</v>
      </c>
      <c r="Y164" s="11" t="s">
        <v>2009</v>
      </c>
      <c r="Z164" s="34">
        <v>43403</v>
      </c>
      <c r="AA164"/>
      <c r="AC164" t="s">
        <v>1158</v>
      </c>
      <c r="AD164"/>
      <c r="AE164" s="34"/>
      <c r="AH164" s="34"/>
    </row>
    <row r="165" spans="1:38">
      <c r="A165" s="1">
        <v>163</v>
      </c>
      <c r="B165" t="s">
        <v>37</v>
      </c>
      <c r="C165" s="2">
        <v>43371</v>
      </c>
      <c r="D165" t="s">
        <v>1897</v>
      </c>
      <c r="E165" t="s">
        <v>1898</v>
      </c>
      <c r="F165" t="s">
        <v>1899</v>
      </c>
      <c r="G165" s="6" t="s">
        <v>221</v>
      </c>
      <c r="H165" t="s">
        <v>34</v>
      </c>
      <c r="I165">
        <v>612529234</v>
      </c>
      <c r="K165" t="s">
        <v>1897</v>
      </c>
      <c r="L165" s="3">
        <v>43373</v>
      </c>
      <c r="M165" t="s">
        <v>35</v>
      </c>
      <c r="N165" s="14" t="s">
        <v>1905</v>
      </c>
      <c r="O165" s="9">
        <v>30</v>
      </c>
      <c r="P165" s="1">
        <v>1</v>
      </c>
      <c r="Q165" s="58">
        <v>0.21</v>
      </c>
      <c r="R165" s="7">
        <v>0</v>
      </c>
      <c r="S165" t="s">
        <v>36</v>
      </c>
      <c r="T165" s="4">
        <f t="shared" si="7"/>
        <v>36.299999999999997</v>
      </c>
      <c r="U165" t="s">
        <v>1897</v>
      </c>
      <c r="W165" s="3">
        <v>34700</v>
      </c>
      <c r="X165" s="3">
        <v>43371</v>
      </c>
      <c r="Y165" s="11" t="s">
        <v>2204</v>
      </c>
      <c r="AC165" t="s">
        <v>366</v>
      </c>
    </row>
    <row r="166" spans="1:38">
      <c r="A166" s="1">
        <v>164</v>
      </c>
      <c r="B166" t="s">
        <v>37</v>
      </c>
      <c r="C166" s="2">
        <v>43376</v>
      </c>
      <c r="D166" t="s">
        <v>664</v>
      </c>
      <c r="E166" t="s">
        <v>1902</v>
      </c>
      <c r="F166" t="s">
        <v>1903</v>
      </c>
      <c r="G166" s="6" t="s">
        <v>239</v>
      </c>
      <c r="H166" t="s">
        <v>86</v>
      </c>
      <c r="I166">
        <v>632365636</v>
      </c>
      <c r="K166" t="s">
        <v>664</v>
      </c>
      <c r="L166" s="3">
        <v>43404</v>
      </c>
      <c r="M166" t="s">
        <v>35</v>
      </c>
      <c r="N166" s="14" t="s">
        <v>1904</v>
      </c>
      <c r="O166" s="9">
        <v>30</v>
      </c>
      <c r="P166" s="1">
        <v>1</v>
      </c>
      <c r="Q166" s="58">
        <v>0.21</v>
      </c>
      <c r="R166" s="7">
        <v>0</v>
      </c>
      <c r="S166" t="s">
        <v>36</v>
      </c>
      <c r="T166" s="4">
        <f t="shared" si="7"/>
        <v>36.299999999999997</v>
      </c>
      <c r="U166" t="s">
        <v>664</v>
      </c>
      <c r="W166" s="3">
        <v>29314</v>
      </c>
      <c r="X166" s="3">
        <v>43376</v>
      </c>
      <c r="Y166" s="11" t="s">
        <v>2205</v>
      </c>
      <c r="AC166" t="s">
        <v>366</v>
      </c>
    </row>
    <row r="167" spans="1:38">
      <c r="A167" s="1">
        <v>165</v>
      </c>
      <c r="B167" t="s">
        <v>37</v>
      </c>
      <c r="C167" s="2">
        <v>43376</v>
      </c>
      <c r="D167" t="s">
        <v>1906</v>
      </c>
      <c r="E167" t="s">
        <v>1907</v>
      </c>
      <c r="F167" t="s">
        <v>1908</v>
      </c>
      <c r="G167" s="6" t="s">
        <v>1257</v>
      </c>
      <c r="H167" t="s">
        <v>1266</v>
      </c>
      <c r="I167">
        <v>631377242</v>
      </c>
      <c r="K167" t="s">
        <v>1906</v>
      </c>
      <c r="L167" s="3">
        <v>43404</v>
      </c>
      <c r="M167" t="s">
        <v>35</v>
      </c>
      <c r="N167" s="14" t="s">
        <v>1909</v>
      </c>
      <c r="O167" s="9">
        <v>30</v>
      </c>
      <c r="P167" s="1">
        <v>1</v>
      </c>
      <c r="Q167" s="58">
        <v>0.21</v>
      </c>
      <c r="R167" s="7">
        <v>0</v>
      </c>
      <c r="S167" t="s">
        <v>36</v>
      </c>
      <c r="T167" s="4">
        <f t="shared" si="7"/>
        <v>36.299999999999997</v>
      </c>
      <c r="U167" t="s">
        <v>1906</v>
      </c>
      <c r="W167" s="3">
        <v>28844</v>
      </c>
      <c r="X167" s="3">
        <v>43376</v>
      </c>
      <c r="Y167" s="11" t="s">
        <v>2205</v>
      </c>
      <c r="AC167" t="s">
        <v>366</v>
      </c>
    </row>
    <row r="168" spans="1:38">
      <c r="A168" s="1">
        <v>166</v>
      </c>
      <c r="B168" t="s">
        <v>131</v>
      </c>
      <c r="C168" s="2">
        <v>43377</v>
      </c>
      <c r="D168" t="s">
        <v>246</v>
      </c>
      <c r="E168" t="s">
        <v>115</v>
      </c>
      <c r="F168" t="s">
        <v>1212</v>
      </c>
      <c r="G168" s="6" t="s">
        <v>242</v>
      </c>
      <c r="H168" t="s">
        <v>154</v>
      </c>
      <c r="K168" t="s">
        <v>1910</v>
      </c>
      <c r="L168" s="3">
        <v>43404</v>
      </c>
      <c r="M168" t="s">
        <v>35</v>
      </c>
      <c r="N168" s="14" t="s">
        <v>1214</v>
      </c>
      <c r="O168" s="9">
        <v>60</v>
      </c>
      <c r="P168" s="1">
        <v>1</v>
      </c>
      <c r="Q168" s="58">
        <v>0.21</v>
      </c>
      <c r="R168" s="7">
        <v>0</v>
      </c>
      <c r="S168" t="s">
        <v>36</v>
      </c>
      <c r="T168" s="4">
        <f t="shared" si="7"/>
        <v>72.599999999999994</v>
      </c>
      <c r="U168" t="s">
        <v>1215</v>
      </c>
      <c r="V168" s="5" t="s">
        <v>1911</v>
      </c>
      <c r="W168" s="3">
        <v>31503</v>
      </c>
      <c r="X168" s="3">
        <v>43377</v>
      </c>
      <c r="Y168" s="11" t="s">
        <v>2007</v>
      </c>
      <c r="Z168" s="2">
        <v>43403</v>
      </c>
      <c r="AC168" t="s">
        <v>1158</v>
      </c>
      <c r="AD168" t="s">
        <v>1858</v>
      </c>
    </row>
    <row r="169" spans="1:38" s="31" customFormat="1">
      <c r="A169" s="30">
        <v>167</v>
      </c>
      <c r="B169" t="s">
        <v>1002</v>
      </c>
      <c r="C169" s="32">
        <v>43377</v>
      </c>
      <c r="D169" t="s">
        <v>1095</v>
      </c>
      <c r="E169" t="s">
        <v>1096</v>
      </c>
      <c r="F169" t="s">
        <v>1097</v>
      </c>
      <c r="G169" s="6" t="s">
        <v>227</v>
      </c>
      <c r="H169" t="s">
        <v>203</v>
      </c>
      <c r="K169" s="31" t="s">
        <v>1006</v>
      </c>
      <c r="L169" s="34">
        <v>43404</v>
      </c>
      <c r="M169" t="s">
        <v>35</v>
      </c>
      <c r="N169" s="14" t="s">
        <v>1912</v>
      </c>
      <c r="O169" s="9">
        <v>60</v>
      </c>
      <c r="P169" s="1">
        <v>1</v>
      </c>
      <c r="Q169" s="58">
        <v>0.21</v>
      </c>
      <c r="R169" s="7">
        <v>0</v>
      </c>
      <c r="S169" t="s">
        <v>36</v>
      </c>
      <c r="T169" s="4">
        <f t="shared" si="7"/>
        <v>72.599999999999994</v>
      </c>
      <c r="U169" t="s">
        <v>1913</v>
      </c>
      <c r="V169" s="5" t="s">
        <v>1914</v>
      </c>
      <c r="W169" s="34">
        <v>32567</v>
      </c>
      <c r="X169" s="32">
        <v>43377</v>
      </c>
      <c r="Y169" s="11" t="s">
        <v>2007</v>
      </c>
      <c r="Z169" s="34">
        <v>43403</v>
      </c>
      <c r="AC169" t="s">
        <v>1158</v>
      </c>
    </row>
    <row r="170" spans="1:38">
      <c r="A170" s="1">
        <v>168</v>
      </c>
      <c r="B170" t="s">
        <v>1915</v>
      </c>
      <c r="C170" s="2">
        <v>43377</v>
      </c>
      <c r="D170" t="s">
        <v>1916</v>
      </c>
      <c r="E170" t="s">
        <v>1917</v>
      </c>
      <c r="F170" t="s">
        <v>1918</v>
      </c>
      <c r="G170" s="6" t="s">
        <v>1229</v>
      </c>
      <c r="H170" t="s">
        <v>1919</v>
      </c>
      <c r="K170" t="s">
        <v>1916</v>
      </c>
      <c r="L170" s="3">
        <v>43404</v>
      </c>
      <c r="M170" t="s">
        <v>35</v>
      </c>
      <c r="N170" s="14" t="s">
        <v>1920</v>
      </c>
      <c r="O170" s="9">
        <v>60</v>
      </c>
      <c r="P170" s="1">
        <v>1</v>
      </c>
      <c r="Q170" s="58">
        <v>0.21</v>
      </c>
      <c r="R170" s="7">
        <v>0</v>
      </c>
      <c r="S170" t="s">
        <v>36</v>
      </c>
      <c r="T170" s="4">
        <f t="shared" si="7"/>
        <v>72.599999999999994</v>
      </c>
      <c r="U170" t="s">
        <v>1921</v>
      </c>
      <c r="V170" s="5" t="s">
        <v>1922</v>
      </c>
      <c r="W170" s="3">
        <v>28165</v>
      </c>
      <c r="X170" s="3">
        <v>43377</v>
      </c>
      <c r="Y170" s="11" t="s">
        <v>2007</v>
      </c>
      <c r="AC170" t="s">
        <v>1158</v>
      </c>
    </row>
    <row r="171" spans="1:38">
      <c r="A171" s="1">
        <v>169</v>
      </c>
      <c r="B171" t="s">
        <v>40</v>
      </c>
      <c r="C171" s="2">
        <v>43384</v>
      </c>
      <c r="D171" t="s">
        <v>1927</v>
      </c>
      <c r="E171" t="s">
        <v>1928</v>
      </c>
      <c r="F171" t="s">
        <v>1929</v>
      </c>
      <c r="G171" s="6" t="s">
        <v>230</v>
      </c>
      <c r="H171" t="s">
        <v>1262</v>
      </c>
      <c r="I171">
        <v>610705193</v>
      </c>
      <c r="K171" t="s">
        <v>1927</v>
      </c>
      <c r="L171" s="3">
        <v>43404</v>
      </c>
      <c r="M171" t="s">
        <v>35</v>
      </c>
      <c r="N171" s="14" t="s">
        <v>1930</v>
      </c>
      <c r="O171" s="9">
        <v>60</v>
      </c>
      <c r="P171" s="1">
        <v>1</v>
      </c>
      <c r="Q171" s="58">
        <v>0.21</v>
      </c>
      <c r="R171" s="7">
        <v>0</v>
      </c>
      <c r="S171" t="s">
        <v>36</v>
      </c>
      <c r="T171" s="4">
        <f t="shared" si="7"/>
        <v>72.599999999999994</v>
      </c>
      <c r="U171" t="s">
        <v>1931</v>
      </c>
      <c r="V171" s="5" t="s">
        <v>1932</v>
      </c>
      <c r="W171" s="3">
        <v>27799</v>
      </c>
      <c r="X171" s="3">
        <v>43384</v>
      </c>
      <c r="Y171" s="11" t="s">
        <v>2090</v>
      </c>
      <c r="Z171" s="2">
        <v>43411</v>
      </c>
      <c r="AA171" s="1" t="s">
        <v>1450</v>
      </c>
      <c r="AB171" s="3">
        <v>43420</v>
      </c>
      <c r="AC171" t="s">
        <v>1158</v>
      </c>
      <c r="AD171" t="s">
        <v>1858</v>
      </c>
    </row>
    <row r="172" spans="1:38">
      <c r="A172" s="1">
        <v>170</v>
      </c>
      <c r="B172" t="s">
        <v>40</v>
      </c>
      <c r="C172" s="2">
        <v>43384</v>
      </c>
      <c r="D172" t="s">
        <v>1933</v>
      </c>
      <c r="E172" t="s">
        <v>1934</v>
      </c>
      <c r="F172" t="s">
        <v>1935</v>
      </c>
      <c r="G172" s="6" t="s">
        <v>233</v>
      </c>
      <c r="H172" t="s">
        <v>74</v>
      </c>
      <c r="I172">
        <v>631447009</v>
      </c>
      <c r="K172" t="s">
        <v>1936</v>
      </c>
      <c r="L172" s="3">
        <v>43404</v>
      </c>
      <c r="M172" t="s">
        <v>35</v>
      </c>
      <c r="N172" s="14" t="s">
        <v>1937</v>
      </c>
      <c r="O172" s="9">
        <v>60</v>
      </c>
      <c r="P172" s="1">
        <v>1</v>
      </c>
      <c r="Q172" s="58">
        <v>0.21</v>
      </c>
      <c r="R172" s="7">
        <v>0</v>
      </c>
      <c r="S172" t="s">
        <v>36</v>
      </c>
      <c r="T172" s="4">
        <f t="shared" si="7"/>
        <v>72.599999999999994</v>
      </c>
      <c r="U172" t="s">
        <v>1938</v>
      </c>
      <c r="V172" s="5" t="s">
        <v>1939</v>
      </c>
      <c r="W172" s="3">
        <v>34335</v>
      </c>
      <c r="X172" s="3">
        <v>43384</v>
      </c>
      <c r="Y172" s="11" t="s">
        <v>2012</v>
      </c>
      <c r="Z172" s="2">
        <v>43411</v>
      </c>
      <c r="AC172" t="s">
        <v>1158</v>
      </c>
    </row>
    <row r="173" spans="1:38">
      <c r="A173" s="1">
        <v>171</v>
      </c>
      <c r="B173" t="s">
        <v>40</v>
      </c>
      <c r="C173" s="2">
        <v>43384</v>
      </c>
      <c r="D173" s="14" t="s">
        <v>1940</v>
      </c>
      <c r="E173" t="s">
        <v>1941</v>
      </c>
      <c r="F173" t="s">
        <v>1942</v>
      </c>
      <c r="G173" s="6" t="s">
        <v>236</v>
      </c>
      <c r="H173" t="s">
        <v>110</v>
      </c>
      <c r="I173">
        <v>653848933</v>
      </c>
      <c r="K173" t="s">
        <v>1940</v>
      </c>
      <c r="L173" s="3">
        <v>43404</v>
      </c>
      <c r="M173" t="s">
        <v>35</v>
      </c>
      <c r="N173" s="14" t="s">
        <v>1943</v>
      </c>
      <c r="O173" s="9">
        <v>60</v>
      </c>
      <c r="P173" s="1">
        <v>1</v>
      </c>
      <c r="Q173" s="58">
        <v>0.21</v>
      </c>
      <c r="R173" s="7">
        <v>0</v>
      </c>
      <c r="S173" t="s">
        <v>36</v>
      </c>
      <c r="T173" s="4">
        <f t="shared" si="7"/>
        <v>72.599999999999994</v>
      </c>
      <c r="U173" t="s">
        <v>1952</v>
      </c>
      <c r="V173" s="5" t="s">
        <v>1953</v>
      </c>
      <c r="W173" s="3">
        <v>36056</v>
      </c>
      <c r="X173" s="3">
        <v>43384</v>
      </c>
      <c r="Y173" t="s">
        <v>2011</v>
      </c>
      <c r="Z173" s="2">
        <v>43411</v>
      </c>
      <c r="AA173" s="1" t="s">
        <v>1450</v>
      </c>
      <c r="AB173" s="3">
        <v>43420</v>
      </c>
      <c r="AC173" t="s">
        <v>1158</v>
      </c>
      <c r="AD173" t="s">
        <v>1858</v>
      </c>
    </row>
    <row r="174" spans="1:38">
      <c r="A174" s="1">
        <v>172</v>
      </c>
      <c r="B174" t="s">
        <v>37</v>
      </c>
      <c r="C174" s="2">
        <v>43384</v>
      </c>
      <c r="D174" s="14" t="s">
        <v>1944</v>
      </c>
      <c r="E174" t="s">
        <v>1945</v>
      </c>
      <c r="F174" t="s">
        <v>1946</v>
      </c>
      <c r="G174" s="6" t="s">
        <v>219</v>
      </c>
      <c r="H174" t="s">
        <v>38</v>
      </c>
      <c r="I174">
        <v>632886664</v>
      </c>
      <c r="K174" t="s">
        <v>1944</v>
      </c>
      <c r="L174" s="3">
        <v>43404</v>
      </c>
      <c r="M174" t="s">
        <v>35</v>
      </c>
      <c r="N174" s="14" t="s">
        <v>1947</v>
      </c>
      <c r="O174" s="9">
        <v>60</v>
      </c>
      <c r="P174" s="1">
        <v>1</v>
      </c>
      <c r="Q174" s="58">
        <v>0.21</v>
      </c>
      <c r="R174" s="7">
        <v>0</v>
      </c>
      <c r="S174" t="s">
        <v>36</v>
      </c>
      <c r="T174" s="4">
        <f t="shared" si="7"/>
        <v>72.599999999999994</v>
      </c>
      <c r="U174" t="s">
        <v>1944</v>
      </c>
      <c r="V174" s="5" t="s">
        <v>1948</v>
      </c>
      <c r="W174" s="3">
        <v>29587</v>
      </c>
      <c r="X174" s="3">
        <v>43384</v>
      </c>
      <c r="Y174" s="11" t="s">
        <v>2012</v>
      </c>
      <c r="Z174" s="2">
        <v>43416</v>
      </c>
      <c r="AC174" t="s">
        <v>1158</v>
      </c>
      <c r="AF174" t="s">
        <v>1876</v>
      </c>
      <c r="AG174" s="3">
        <v>43384</v>
      </c>
      <c r="AJ174" s="3">
        <v>43388</v>
      </c>
    </row>
    <row r="175" spans="1:38">
      <c r="A175" s="1">
        <v>173</v>
      </c>
      <c r="B175" t="s">
        <v>131</v>
      </c>
      <c r="C175" s="2">
        <v>43384</v>
      </c>
      <c r="D175" s="14" t="s">
        <v>1181</v>
      </c>
      <c r="E175" t="s">
        <v>1182</v>
      </c>
      <c r="F175" t="s">
        <v>1949</v>
      </c>
      <c r="G175" s="6" t="s">
        <v>239</v>
      </c>
      <c r="H175" t="s">
        <v>108</v>
      </c>
      <c r="K175" s="14" t="s">
        <v>1181</v>
      </c>
      <c r="L175" s="3">
        <v>43404</v>
      </c>
      <c r="M175" t="s">
        <v>35</v>
      </c>
      <c r="N175" s="14" t="s">
        <v>1184</v>
      </c>
      <c r="O175" s="9">
        <v>60</v>
      </c>
      <c r="P175" s="1">
        <v>1</v>
      </c>
      <c r="Q175" s="58">
        <v>0.21</v>
      </c>
      <c r="R175" s="7">
        <v>0</v>
      </c>
      <c r="S175" t="s">
        <v>36</v>
      </c>
      <c r="T175" s="4">
        <f t="shared" si="7"/>
        <v>72.599999999999994</v>
      </c>
      <c r="U175" t="s">
        <v>1173</v>
      </c>
      <c r="V175" s="5" t="s">
        <v>1950</v>
      </c>
      <c r="W175" s="3">
        <v>27528</v>
      </c>
      <c r="X175" s="3">
        <v>43384</v>
      </c>
      <c r="Y175" t="s">
        <v>2013</v>
      </c>
      <c r="Z175" s="2">
        <v>43411</v>
      </c>
      <c r="AA175" s="1" t="s">
        <v>215</v>
      </c>
      <c r="AB175" s="3">
        <v>43440</v>
      </c>
      <c r="AC175" t="s">
        <v>1158</v>
      </c>
    </row>
    <row r="176" spans="1:38">
      <c r="A176" s="1">
        <v>174</v>
      </c>
      <c r="B176" t="s">
        <v>40</v>
      </c>
      <c r="C176" s="2">
        <v>43388</v>
      </c>
      <c r="D176" s="14" t="s">
        <v>1962</v>
      </c>
      <c r="E176" t="s">
        <v>1954</v>
      </c>
      <c r="F176" t="s">
        <v>1963</v>
      </c>
      <c r="G176" s="6" t="s">
        <v>221</v>
      </c>
      <c r="H176" t="s">
        <v>34</v>
      </c>
      <c r="K176" s="14" t="s">
        <v>1962</v>
      </c>
      <c r="L176" s="3">
        <v>43404</v>
      </c>
      <c r="M176" t="s">
        <v>35</v>
      </c>
      <c r="N176" s="14" t="s">
        <v>1955</v>
      </c>
      <c r="O176" s="9">
        <v>41.32</v>
      </c>
      <c r="P176" s="1">
        <v>1</v>
      </c>
      <c r="Q176" s="58">
        <v>0.21</v>
      </c>
      <c r="R176" s="7">
        <v>0</v>
      </c>
      <c r="S176" t="s">
        <v>36</v>
      </c>
      <c r="T176" s="4">
        <f t="shared" si="7"/>
        <v>49.997199999999999</v>
      </c>
      <c r="U176" t="s">
        <v>1964</v>
      </c>
      <c r="X176" s="3">
        <v>43388</v>
      </c>
      <c r="Y176" s="11" t="s">
        <v>151</v>
      </c>
    </row>
    <row r="177" spans="1:36">
      <c r="A177" s="1">
        <v>175</v>
      </c>
      <c r="B177" t="s">
        <v>59</v>
      </c>
      <c r="C177" s="2">
        <v>43388</v>
      </c>
      <c r="D177" s="14" t="s">
        <v>1956</v>
      </c>
      <c r="E177" t="s">
        <v>1957</v>
      </c>
      <c r="F177" t="s">
        <v>1958</v>
      </c>
      <c r="G177" s="6" t="s">
        <v>259</v>
      </c>
      <c r="H177" t="s">
        <v>1959</v>
      </c>
      <c r="K177" s="14" t="s">
        <v>1956</v>
      </c>
      <c r="L177" s="3">
        <v>43404</v>
      </c>
      <c r="M177" t="s">
        <v>35</v>
      </c>
      <c r="N177" s="14" t="s">
        <v>1960</v>
      </c>
      <c r="O177" s="9">
        <v>30</v>
      </c>
      <c r="P177" s="1">
        <v>1</v>
      </c>
      <c r="Q177" s="58">
        <v>0.21</v>
      </c>
      <c r="R177" s="7">
        <v>0</v>
      </c>
      <c r="S177" t="s">
        <v>36</v>
      </c>
      <c r="T177" s="4">
        <f t="shared" si="7"/>
        <v>36.299999999999997</v>
      </c>
      <c r="U177" t="s">
        <v>1961</v>
      </c>
      <c r="W177" s="3">
        <v>35221</v>
      </c>
      <c r="X177" s="3">
        <v>43388</v>
      </c>
      <c r="Y177" s="11" t="s">
        <v>2206</v>
      </c>
      <c r="AC177" t="s">
        <v>366</v>
      </c>
    </row>
    <row r="178" spans="1:36">
      <c r="A178" s="1">
        <v>176</v>
      </c>
      <c r="B178" t="s">
        <v>45</v>
      </c>
      <c r="C178" s="2">
        <v>43390</v>
      </c>
      <c r="D178" s="14" t="s">
        <v>1965</v>
      </c>
      <c r="E178" t="s">
        <v>795</v>
      </c>
      <c r="F178" t="s">
        <v>1966</v>
      </c>
      <c r="G178" s="6" t="s">
        <v>241</v>
      </c>
      <c r="H178" t="s">
        <v>60</v>
      </c>
      <c r="K178" s="14" t="s">
        <v>1965</v>
      </c>
      <c r="L178" s="3">
        <v>43404</v>
      </c>
      <c r="M178" t="s">
        <v>35</v>
      </c>
      <c r="N178" s="14" t="s">
        <v>1967</v>
      </c>
      <c r="O178" s="9">
        <v>30</v>
      </c>
      <c r="P178" s="1">
        <v>1</v>
      </c>
      <c r="Q178" s="58">
        <v>0.21</v>
      </c>
      <c r="R178" s="7">
        <v>0</v>
      </c>
      <c r="S178" t="s">
        <v>36</v>
      </c>
      <c r="T178" s="4">
        <f t="shared" si="7"/>
        <v>36.299999999999997</v>
      </c>
      <c r="U178" t="s">
        <v>147</v>
      </c>
      <c r="V178" s="66"/>
      <c r="W178" s="3">
        <v>31057</v>
      </c>
      <c r="X178" s="3">
        <v>43390</v>
      </c>
      <c r="Y178" s="11" t="s">
        <v>2071</v>
      </c>
      <c r="Z178" s="2">
        <v>43444</v>
      </c>
      <c r="AC178" t="s">
        <v>366</v>
      </c>
    </row>
    <row r="179" spans="1:36">
      <c r="A179" s="1">
        <v>177</v>
      </c>
      <c r="B179" t="s">
        <v>82</v>
      </c>
      <c r="C179" s="2">
        <v>43391</v>
      </c>
      <c r="D179" s="14" t="s">
        <v>1968</v>
      </c>
      <c r="E179" t="s">
        <v>1969</v>
      </c>
      <c r="F179" t="s">
        <v>1970</v>
      </c>
      <c r="G179" s="6" t="s">
        <v>238</v>
      </c>
      <c r="H179" t="s">
        <v>48</v>
      </c>
      <c r="K179" s="14" t="s">
        <v>1968</v>
      </c>
      <c r="L179" s="3">
        <v>43404</v>
      </c>
      <c r="M179" t="s">
        <v>35</v>
      </c>
      <c r="N179" s="14" t="s">
        <v>1971</v>
      </c>
      <c r="O179" s="9">
        <v>49.59</v>
      </c>
      <c r="P179" s="1">
        <v>1</v>
      </c>
      <c r="Q179" s="58">
        <v>0.21</v>
      </c>
      <c r="R179" s="7">
        <v>0</v>
      </c>
      <c r="S179" t="s">
        <v>36</v>
      </c>
      <c r="T179" s="46">
        <f t="shared" si="7"/>
        <v>60.003900000000002</v>
      </c>
      <c r="U179" t="s">
        <v>1972</v>
      </c>
      <c r="V179" s="5" t="s">
        <v>1973</v>
      </c>
      <c r="W179" s="3">
        <v>35864</v>
      </c>
      <c r="X179" s="3">
        <v>43391</v>
      </c>
      <c r="Y179" s="11" t="s">
        <v>2040</v>
      </c>
      <c r="Z179" s="2">
        <v>43420</v>
      </c>
      <c r="AC179" t="s">
        <v>1974</v>
      </c>
      <c r="AD179" t="s">
        <v>1858</v>
      </c>
    </row>
    <row r="180" spans="1:36">
      <c r="A180" s="1">
        <v>178</v>
      </c>
      <c r="B180" t="s">
        <v>82</v>
      </c>
      <c r="C180" s="2">
        <v>43391</v>
      </c>
      <c r="D180" s="14" t="s">
        <v>1968</v>
      </c>
      <c r="E180" t="s">
        <v>1969</v>
      </c>
      <c r="F180" t="s">
        <v>1970</v>
      </c>
      <c r="G180" s="6" t="s">
        <v>238</v>
      </c>
      <c r="H180" t="s">
        <v>48</v>
      </c>
      <c r="K180" s="14" t="s">
        <v>1968</v>
      </c>
      <c r="L180" s="3">
        <v>43404</v>
      </c>
      <c r="M180" t="s">
        <v>35</v>
      </c>
      <c r="N180" s="14" t="s">
        <v>1975</v>
      </c>
      <c r="O180" s="9">
        <v>49.59</v>
      </c>
      <c r="P180" s="1">
        <v>1</v>
      </c>
      <c r="Q180" s="58">
        <v>0.21</v>
      </c>
      <c r="R180" s="7">
        <v>0</v>
      </c>
      <c r="S180" t="s">
        <v>36</v>
      </c>
      <c r="T180" s="46">
        <f t="shared" ref="T180:T203" si="8">(O180*P180)*Q180+O180*P180</f>
        <v>60.003900000000002</v>
      </c>
      <c r="U180" t="s">
        <v>1976</v>
      </c>
      <c r="V180" s="5" t="s">
        <v>1977</v>
      </c>
      <c r="W180" s="3">
        <v>35840</v>
      </c>
      <c r="X180" s="3">
        <v>43391</v>
      </c>
      <c r="Y180" s="11" t="s">
        <v>2040</v>
      </c>
      <c r="Z180" s="2">
        <v>43420</v>
      </c>
      <c r="AC180" t="s">
        <v>1974</v>
      </c>
      <c r="AD180" t="s">
        <v>1858</v>
      </c>
    </row>
    <row r="181" spans="1:36">
      <c r="A181" s="1">
        <v>179</v>
      </c>
      <c r="B181" t="s">
        <v>52</v>
      </c>
      <c r="C181" s="2">
        <v>43397</v>
      </c>
      <c r="D181" t="s">
        <v>1802</v>
      </c>
      <c r="E181" t="s">
        <v>1803</v>
      </c>
      <c r="F181" t="s">
        <v>1804</v>
      </c>
      <c r="G181" s="6" t="s">
        <v>230</v>
      </c>
      <c r="H181" t="s">
        <v>1262</v>
      </c>
      <c r="K181" s="31" t="s">
        <v>53</v>
      </c>
      <c r="L181" s="3">
        <v>43404</v>
      </c>
      <c r="M181" t="s">
        <v>35</v>
      </c>
      <c r="N181" s="14" t="s">
        <v>1978</v>
      </c>
      <c r="O181" s="9">
        <v>60</v>
      </c>
      <c r="P181" s="1">
        <v>1</v>
      </c>
      <c r="Q181" s="58">
        <v>0.21</v>
      </c>
      <c r="R181" s="7">
        <v>0</v>
      </c>
      <c r="S181" t="s">
        <v>36</v>
      </c>
      <c r="T181" s="4">
        <f t="shared" si="8"/>
        <v>72.599999999999994</v>
      </c>
      <c r="U181" t="s">
        <v>1979</v>
      </c>
      <c r="V181" s="5" t="s">
        <v>1980</v>
      </c>
      <c r="W181" s="3">
        <v>33156</v>
      </c>
      <c r="X181" s="3">
        <v>43397</v>
      </c>
      <c r="Y181" s="11" t="s">
        <v>2089</v>
      </c>
      <c r="Z181" s="2">
        <v>43434</v>
      </c>
      <c r="AC181" t="s">
        <v>1974</v>
      </c>
      <c r="AF181" t="s">
        <v>77</v>
      </c>
      <c r="AG181" s="3">
        <v>43397</v>
      </c>
    </row>
    <row r="182" spans="1:36">
      <c r="A182" s="1">
        <v>180</v>
      </c>
      <c r="B182" t="s">
        <v>82</v>
      </c>
      <c r="C182" s="2">
        <v>43397</v>
      </c>
      <c r="D182" t="s">
        <v>1204</v>
      </c>
      <c r="E182" t="s">
        <v>1205</v>
      </c>
      <c r="F182" t="s">
        <v>1206</v>
      </c>
      <c r="G182" s="6" t="s">
        <v>250</v>
      </c>
      <c r="H182" t="s">
        <v>108</v>
      </c>
      <c r="K182" t="s">
        <v>1204</v>
      </c>
      <c r="L182" s="3">
        <v>43404</v>
      </c>
      <c r="M182" t="s">
        <v>35</v>
      </c>
      <c r="N182" s="14" t="s">
        <v>1981</v>
      </c>
      <c r="O182" s="9">
        <v>60</v>
      </c>
      <c r="P182" s="1">
        <v>1</v>
      </c>
      <c r="Q182" s="58">
        <v>0.21</v>
      </c>
      <c r="R182" s="7">
        <v>0</v>
      </c>
      <c r="S182" t="s">
        <v>36</v>
      </c>
      <c r="T182" s="4">
        <f t="shared" si="8"/>
        <v>72.599999999999994</v>
      </c>
      <c r="U182" t="s">
        <v>1982</v>
      </c>
      <c r="V182" s="5" t="s">
        <v>1983</v>
      </c>
      <c r="W182" s="3">
        <v>34191</v>
      </c>
      <c r="X182" s="3">
        <v>43397</v>
      </c>
      <c r="Y182" s="11" t="s">
        <v>2089</v>
      </c>
      <c r="Z182" s="2">
        <v>43434</v>
      </c>
      <c r="AC182" t="s">
        <v>1158</v>
      </c>
      <c r="AF182" t="s">
        <v>1984</v>
      </c>
      <c r="AG182" s="3">
        <v>43397</v>
      </c>
      <c r="AJ182" s="3">
        <v>43412</v>
      </c>
    </row>
    <row r="183" spans="1:36" s="31" customFormat="1">
      <c r="A183" s="1">
        <v>181</v>
      </c>
      <c r="B183" t="s">
        <v>52</v>
      </c>
      <c r="C183" s="32">
        <v>43397</v>
      </c>
      <c r="D183" s="31" t="s">
        <v>458</v>
      </c>
      <c r="E183" s="31" t="s">
        <v>84</v>
      </c>
      <c r="F183" s="31" t="s">
        <v>138</v>
      </c>
      <c r="G183" s="33" t="s">
        <v>227</v>
      </c>
      <c r="H183" s="31" t="s">
        <v>203</v>
      </c>
      <c r="K183" s="31" t="s">
        <v>53</v>
      </c>
      <c r="L183" s="34">
        <v>43404</v>
      </c>
      <c r="M183" s="31" t="s">
        <v>35</v>
      </c>
      <c r="N183" s="14" t="s">
        <v>1985</v>
      </c>
      <c r="O183" s="7">
        <v>41.32</v>
      </c>
      <c r="P183" s="30">
        <v>1</v>
      </c>
      <c r="Q183" s="37">
        <v>0.21</v>
      </c>
      <c r="R183" s="38">
        <v>0</v>
      </c>
      <c r="S183" s="31" t="s">
        <v>36</v>
      </c>
      <c r="T183" s="39">
        <f t="shared" si="8"/>
        <v>49.997199999999999</v>
      </c>
      <c r="U183" t="s">
        <v>1986</v>
      </c>
      <c r="V183" s="5"/>
      <c r="W183" s="34">
        <v>33045</v>
      </c>
      <c r="X183" s="32">
        <v>43397</v>
      </c>
      <c r="Y183" s="11" t="s">
        <v>151</v>
      </c>
      <c r="Z183" s="2"/>
      <c r="AA183" s="1"/>
      <c r="AC183" t="s">
        <v>1158</v>
      </c>
      <c r="AD183"/>
      <c r="AF183"/>
      <c r="AG183" s="34"/>
      <c r="AJ183" s="34"/>
    </row>
    <row r="184" spans="1:36" s="31" customFormat="1">
      <c r="A184" s="1">
        <v>182</v>
      </c>
      <c r="B184" t="s">
        <v>52</v>
      </c>
      <c r="C184" s="32">
        <v>43397</v>
      </c>
      <c r="D184" s="31" t="s">
        <v>458</v>
      </c>
      <c r="E184" s="31" t="s">
        <v>84</v>
      </c>
      <c r="F184" s="31" t="s">
        <v>138</v>
      </c>
      <c r="G184" s="33" t="s">
        <v>227</v>
      </c>
      <c r="H184" s="31" t="s">
        <v>203</v>
      </c>
      <c r="K184" s="31" t="s">
        <v>53</v>
      </c>
      <c r="L184" s="34">
        <v>43404</v>
      </c>
      <c r="M184" s="31" t="s">
        <v>35</v>
      </c>
      <c r="N184" s="14" t="s">
        <v>1987</v>
      </c>
      <c r="O184" s="7">
        <v>41.32</v>
      </c>
      <c r="P184" s="30">
        <v>1</v>
      </c>
      <c r="Q184" s="37">
        <v>0.21</v>
      </c>
      <c r="R184" s="38">
        <v>0</v>
      </c>
      <c r="S184" s="31" t="s">
        <v>36</v>
      </c>
      <c r="T184" s="39">
        <f t="shared" si="8"/>
        <v>49.997199999999999</v>
      </c>
      <c r="U184" t="s">
        <v>1986</v>
      </c>
      <c r="V184" s="5"/>
      <c r="W184" s="34"/>
      <c r="X184" s="32">
        <v>43397</v>
      </c>
      <c r="Y184" s="11" t="s">
        <v>151</v>
      </c>
      <c r="Z184" s="2"/>
      <c r="AA184" s="1"/>
      <c r="AC184" t="s">
        <v>1158</v>
      </c>
      <c r="AD184"/>
      <c r="AF184"/>
      <c r="AG184" s="34"/>
      <c r="AJ184" s="34"/>
    </row>
    <row r="185" spans="1:36">
      <c r="A185" s="1">
        <v>183</v>
      </c>
      <c r="B185" t="s">
        <v>33</v>
      </c>
      <c r="C185" s="2">
        <v>43397</v>
      </c>
      <c r="D185" t="s">
        <v>1988</v>
      </c>
      <c r="E185" t="s">
        <v>1989</v>
      </c>
      <c r="F185" t="s">
        <v>1990</v>
      </c>
      <c r="G185" s="6" t="s">
        <v>219</v>
      </c>
      <c r="H185" t="s">
        <v>38</v>
      </c>
      <c r="K185" s="31" t="s">
        <v>237</v>
      </c>
      <c r="L185" s="3">
        <v>43404</v>
      </c>
      <c r="M185" t="s">
        <v>35</v>
      </c>
      <c r="N185" s="14" t="s">
        <v>1991</v>
      </c>
      <c r="O185" s="9">
        <v>60</v>
      </c>
      <c r="P185" s="1">
        <v>1</v>
      </c>
      <c r="Q185" s="58">
        <v>0.21</v>
      </c>
      <c r="R185" s="7">
        <v>0</v>
      </c>
      <c r="S185" t="s">
        <v>36</v>
      </c>
      <c r="T185" s="4">
        <f t="shared" si="8"/>
        <v>72.599999999999994</v>
      </c>
      <c r="U185" t="s">
        <v>1992</v>
      </c>
      <c r="V185" s="5" t="s">
        <v>1993</v>
      </c>
      <c r="W185" s="3">
        <v>34472</v>
      </c>
      <c r="X185" s="3">
        <v>43397</v>
      </c>
      <c r="Y185" s="11" t="s">
        <v>2041</v>
      </c>
      <c r="Z185" s="2">
        <v>43429</v>
      </c>
      <c r="AA185" s="1" t="s">
        <v>2207</v>
      </c>
      <c r="AC185" t="s">
        <v>1158</v>
      </c>
      <c r="AD185" t="s">
        <v>1858</v>
      </c>
      <c r="AF185" t="s">
        <v>73</v>
      </c>
      <c r="AG185" s="3">
        <v>43397</v>
      </c>
    </row>
    <row r="186" spans="1:36">
      <c r="A186" s="1">
        <v>184</v>
      </c>
      <c r="B186" t="s">
        <v>438</v>
      </c>
      <c r="C186" s="2">
        <v>43397</v>
      </c>
      <c r="D186" t="s">
        <v>1812</v>
      </c>
      <c r="E186" t="s">
        <v>1813</v>
      </c>
      <c r="F186" t="s">
        <v>1994</v>
      </c>
      <c r="G186" s="6" t="s">
        <v>221</v>
      </c>
      <c r="H186" t="s">
        <v>34</v>
      </c>
      <c r="K186" t="s">
        <v>1812</v>
      </c>
      <c r="L186" s="3">
        <v>43404</v>
      </c>
      <c r="M186" t="s">
        <v>35</v>
      </c>
      <c r="N186" s="14" t="s">
        <v>1995</v>
      </c>
      <c r="O186" s="9">
        <v>60</v>
      </c>
      <c r="P186" s="1">
        <v>1</v>
      </c>
      <c r="Q186" s="58">
        <v>0.21</v>
      </c>
      <c r="R186" s="7">
        <v>0</v>
      </c>
      <c r="S186" t="s">
        <v>36</v>
      </c>
      <c r="T186" s="4">
        <f t="shared" si="8"/>
        <v>72.599999999999994</v>
      </c>
      <c r="U186" t="s">
        <v>1996</v>
      </c>
      <c r="V186" s="5" t="s">
        <v>1997</v>
      </c>
      <c r="W186" s="3">
        <v>27116</v>
      </c>
      <c r="X186" s="3">
        <v>43397</v>
      </c>
      <c r="Y186" s="11" t="s">
        <v>2040</v>
      </c>
      <c r="Z186" s="2">
        <v>43420</v>
      </c>
      <c r="AC186" t="s">
        <v>1158</v>
      </c>
      <c r="AD186" t="s">
        <v>1858</v>
      </c>
      <c r="AF186" t="s">
        <v>73</v>
      </c>
      <c r="AG186" s="3">
        <v>43397</v>
      </c>
    </row>
    <row r="187" spans="1:36">
      <c r="A187" s="1">
        <v>185</v>
      </c>
      <c r="B187" t="s">
        <v>59</v>
      </c>
      <c r="C187" s="2">
        <v>43397</v>
      </c>
      <c r="D187" t="s">
        <v>541</v>
      </c>
      <c r="E187" t="s">
        <v>542</v>
      </c>
      <c r="F187" t="s">
        <v>543</v>
      </c>
      <c r="G187" s="6" t="s">
        <v>294</v>
      </c>
      <c r="H187" t="s">
        <v>103</v>
      </c>
      <c r="K187" t="s">
        <v>541</v>
      </c>
      <c r="L187" s="3">
        <v>43404</v>
      </c>
      <c r="M187" t="s">
        <v>35</v>
      </c>
      <c r="N187" s="14" t="s">
        <v>1998</v>
      </c>
      <c r="O187" s="9">
        <v>60</v>
      </c>
      <c r="P187" s="1">
        <v>1</v>
      </c>
      <c r="Q187" s="58">
        <v>0.21</v>
      </c>
      <c r="R187" s="7">
        <v>0</v>
      </c>
      <c r="S187" t="s">
        <v>36</v>
      </c>
      <c r="T187" s="4">
        <f t="shared" si="8"/>
        <v>72.599999999999994</v>
      </c>
      <c r="U187" t="s">
        <v>545</v>
      </c>
      <c r="V187" s="5" t="s">
        <v>1999</v>
      </c>
      <c r="W187" s="3">
        <v>36170</v>
      </c>
      <c r="X187" s="3">
        <v>43397</v>
      </c>
      <c r="Y187" s="11" t="s">
        <v>2040</v>
      </c>
      <c r="Z187" s="2">
        <v>43419</v>
      </c>
      <c r="AC187" t="s">
        <v>1158</v>
      </c>
      <c r="AD187" t="s">
        <v>1858</v>
      </c>
      <c r="AF187" t="s">
        <v>73</v>
      </c>
      <c r="AG187" s="3">
        <v>43397</v>
      </c>
    </row>
    <row r="188" spans="1:36">
      <c r="A188" s="1">
        <v>186</v>
      </c>
      <c r="B188" t="s">
        <v>2000</v>
      </c>
      <c r="C188" s="2">
        <v>43397</v>
      </c>
      <c r="D188" t="s">
        <v>2001</v>
      </c>
      <c r="E188" t="s">
        <v>2002</v>
      </c>
      <c r="F188" t="s">
        <v>2003</v>
      </c>
      <c r="G188" s="6" t="s">
        <v>230</v>
      </c>
      <c r="H188" t="s">
        <v>1262</v>
      </c>
      <c r="K188" t="s">
        <v>2001</v>
      </c>
      <c r="L188" s="3">
        <v>43404</v>
      </c>
      <c r="M188" t="s">
        <v>35</v>
      </c>
      <c r="N188" s="14" t="s">
        <v>2004</v>
      </c>
      <c r="O188" s="9">
        <v>60</v>
      </c>
      <c r="P188" s="1">
        <v>1</v>
      </c>
      <c r="Q188" s="58">
        <v>0.21</v>
      </c>
      <c r="R188" s="7">
        <v>0</v>
      </c>
      <c r="S188" t="s">
        <v>36</v>
      </c>
      <c r="T188" s="4">
        <f t="shared" si="8"/>
        <v>72.599999999999994</v>
      </c>
      <c r="U188" t="s">
        <v>2005</v>
      </c>
      <c r="V188" s="5" t="s">
        <v>2006</v>
      </c>
      <c r="W188" s="3">
        <v>27760</v>
      </c>
      <c r="X188" s="3">
        <v>43397</v>
      </c>
      <c r="Y188" s="11" t="s">
        <v>2263</v>
      </c>
      <c r="Z188" s="2">
        <v>43493</v>
      </c>
      <c r="AA188" s="1" t="s">
        <v>1450</v>
      </c>
      <c r="AB188" s="3">
        <v>43453</v>
      </c>
      <c r="AC188" t="s">
        <v>1158</v>
      </c>
      <c r="AD188" t="s">
        <v>1858</v>
      </c>
      <c r="AF188" t="s">
        <v>73</v>
      </c>
      <c r="AG188" s="3">
        <v>43397</v>
      </c>
    </row>
    <row r="189" spans="1:36">
      <c r="A189" s="1">
        <v>187</v>
      </c>
      <c r="B189" t="s">
        <v>131</v>
      </c>
      <c r="C189" s="2">
        <v>43412</v>
      </c>
      <c r="D189" t="s">
        <v>1181</v>
      </c>
      <c r="E189" t="s">
        <v>1182</v>
      </c>
      <c r="F189" t="s">
        <v>1183</v>
      </c>
      <c r="G189" s="6" t="s">
        <v>239</v>
      </c>
      <c r="H189" t="s">
        <v>86</v>
      </c>
      <c r="K189" t="s">
        <v>1181</v>
      </c>
      <c r="L189" s="3">
        <v>43434</v>
      </c>
      <c r="M189" t="s">
        <v>35</v>
      </c>
      <c r="N189" s="14" t="s">
        <v>2014</v>
      </c>
      <c r="O189" s="9">
        <v>60</v>
      </c>
      <c r="P189" s="1">
        <v>1</v>
      </c>
      <c r="Q189" s="58">
        <v>0.21</v>
      </c>
      <c r="R189" s="7">
        <v>0</v>
      </c>
      <c r="S189" t="s">
        <v>36</v>
      </c>
      <c r="T189" s="4">
        <f t="shared" si="8"/>
        <v>72.599999999999994</v>
      </c>
      <c r="U189" t="s">
        <v>2015</v>
      </c>
      <c r="V189" s="5" t="s">
        <v>2016</v>
      </c>
      <c r="W189" s="3">
        <v>35928</v>
      </c>
      <c r="X189" s="3">
        <v>43412</v>
      </c>
      <c r="Y189" s="11" t="s">
        <v>2095</v>
      </c>
      <c r="Z189" s="2">
        <v>43438</v>
      </c>
      <c r="AC189" t="s">
        <v>1158</v>
      </c>
      <c r="AD189" t="s">
        <v>1858</v>
      </c>
    </row>
    <row r="190" spans="1:36">
      <c r="A190" s="1">
        <v>188</v>
      </c>
      <c r="B190" t="s">
        <v>40</v>
      </c>
      <c r="C190" s="2">
        <v>43412</v>
      </c>
      <c r="D190" t="s">
        <v>1927</v>
      </c>
      <c r="E190" t="s">
        <v>1928</v>
      </c>
      <c r="F190" t="s">
        <v>1929</v>
      </c>
      <c r="G190" s="6" t="s">
        <v>230</v>
      </c>
      <c r="H190" t="s">
        <v>1262</v>
      </c>
      <c r="I190">
        <v>610705193</v>
      </c>
      <c r="K190" t="s">
        <v>1927</v>
      </c>
      <c r="L190" s="3">
        <v>43434</v>
      </c>
      <c r="M190" t="s">
        <v>35</v>
      </c>
      <c r="N190" s="14" t="s">
        <v>2017</v>
      </c>
      <c r="O190" s="9">
        <v>60</v>
      </c>
      <c r="P190" s="1">
        <v>1</v>
      </c>
      <c r="Q190" s="58">
        <v>0.21</v>
      </c>
      <c r="R190" s="7">
        <v>0</v>
      </c>
      <c r="S190" t="s">
        <v>36</v>
      </c>
      <c r="T190" s="4">
        <f t="shared" si="8"/>
        <v>72.599999999999994</v>
      </c>
      <c r="U190" t="s">
        <v>2018</v>
      </c>
      <c r="V190" s="5" t="s">
        <v>2019</v>
      </c>
      <c r="W190" s="3">
        <v>34786</v>
      </c>
      <c r="X190" s="3">
        <v>43412</v>
      </c>
      <c r="Y190" s="11" t="s">
        <v>2095</v>
      </c>
      <c r="Z190" s="2">
        <v>43438</v>
      </c>
      <c r="AC190" t="s">
        <v>1158</v>
      </c>
      <c r="AD190" t="s">
        <v>1858</v>
      </c>
    </row>
    <row r="191" spans="1:36">
      <c r="A191" s="1">
        <v>189</v>
      </c>
      <c r="B191" t="s">
        <v>82</v>
      </c>
      <c r="C191" s="2">
        <v>43412</v>
      </c>
      <c r="D191" t="s">
        <v>263</v>
      </c>
      <c r="E191" t="s">
        <v>264</v>
      </c>
      <c r="F191" t="s">
        <v>1200</v>
      </c>
      <c r="G191" s="6" t="s">
        <v>239</v>
      </c>
      <c r="H191" t="s">
        <v>86</v>
      </c>
      <c r="I191">
        <v>657359536</v>
      </c>
      <c r="K191" t="s">
        <v>263</v>
      </c>
      <c r="L191" s="3">
        <v>43434</v>
      </c>
      <c r="M191" t="s">
        <v>35</v>
      </c>
      <c r="N191" s="14" t="s">
        <v>2020</v>
      </c>
      <c r="O191" s="9">
        <v>0</v>
      </c>
      <c r="P191" s="1">
        <v>1</v>
      </c>
      <c r="Q191" s="58">
        <v>0.21</v>
      </c>
      <c r="R191" s="7">
        <v>0</v>
      </c>
      <c r="S191" t="s">
        <v>36</v>
      </c>
      <c r="T191" s="4">
        <f t="shared" si="8"/>
        <v>0</v>
      </c>
      <c r="U191" t="s">
        <v>2021</v>
      </c>
      <c r="V191" s="5" t="s">
        <v>2022</v>
      </c>
      <c r="W191" s="3">
        <v>35942</v>
      </c>
      <c r="X191" s="3">
        <v>43412</v>
      </c>
      <c r="Y191" t="s">
        <v>2096</v>
      </c>
      <c r="Z191" s="2">
        <v>43438</v>
      </c>
      <c r="AA191" s="1" t="s">
        <v>2208</v>
      </c>
      <c r="AC191" t="s">
        <v>1158</v>
      </c>
      <c r="AD191" t="s">
        <v>1858</v>
      </c>
    </row>
    <row r="192" spans="1:36">
      <c r="A192" s="1">
        <v>190</v>
      </c>
      <c r="B192" t="s">
        <v>82</v>
      </c>
      <c r="C192" s="2">
        <v>43412</v>
      </c>
      <c r="D192" t="s">
        <v>329</v>
      </c>
      <c r="E192" t="s">
        <v>330</v>
      </c>
      <c r="F192" t="s">
        <v>331</v>
      </c>
      <c r="G192" s="6" t="s">
        <v>242</v>
      </c>
      <c r="H192" t="s">
        <v>1474</v>
      </c>
      <c r="I192">
        <v>618295618</v>
      </c>
      <c r="K192" t="s">
        <v>329</v>
      </c>
      <c r="L192" s="3">
        <v>43434</v>
      </c>
      <c r="M192" t="s">
        <v>35</v>
      </c>
      <c r="N192" s="14" t="s">
        <v>2023</v>
      </c>
      <c r="O192" s="9">
        <v>60</v>
      </c>
      <c r="P192" s="1">
        <v>1</v>
      </c>
      <c r="Q192" s="58">
        <v>0.21</v>
      </c>
      <c r="R192" s="7">
        <v>0</v>
      </c>
      <c r="S192" t="s">
        <v>36</v>
      </c>
      <c r="T192" s="4">
        <f t="shared" si="8"/>
        <v>72.599999999999994</v>
      </c>
      <c r="U192" t="s">
        <v>2024</v>
      </c>
      <c r="V192" s="5" t="s">
        <v>2025</v>
      </c>
      <c r="W192" s="3">
        <v>35626</v>
      </c>
      <c r="X192" s="3">
        <v>43412</v>
      </c>
      <c r="Y192" s="11" t="s">
        <v>2095</v>
      </c>
      <c r="Z192" s="2">
        <v>43438</v>
      </c>
      <c r="AC192" t="s">
        <v>1158</v>
      </c>
      <c r="AD192" t="s">
        <v>1858</v>
      </c>
    </row>
    <row r="193" spans="1:38">
      <c r="A193" s="1">
        <v>191</v>
      </c>
      <c r="B193" t="s">
        <v>40</v>
      </c>
      <c r="C193" s="2">
        <v>43417</v>
      </c>
      <c r="D193" t="s">
        <v>2027</v>
      </c>
      <c r="E193" t="s">
        <v>2028</v>
      </c>
      <c r="F193" t="s">
        <v>2029</v>
      </c>
      <c r="G193" s="6" t="s">
        <v>236</v>
      </c>
      <c r="H193" t="s">
        <v>34</v>
      </c>
      <c r="K193" t="s">
        <v>2027</v>
      </c>
      <c r="L193" s="3">
        <v>43434</v>
      </c>
      <c r="M193" t="s">
        <v>35</v>
      </c>
      <c r="N193" s="14" t="s">
        <v>2030</v>
      </c>
      <c r="O193" s="9">
        <v>60</v>
      </c>
      <c r="P193" s="1">
        <v>1</v>
      </c>
      <c r="Q193" s="58">
        <v>0.21</v>
      </c>
      <c r="R193" s="7">
        <v>0</v>
      </c>
      <c r="S193" t="s">
        <v>36</v>
      </c>
      <c r="T193" s="4">
        <f t="shared" si="8"/>
        <v>72.599999999999994</v>
      </c>
      <c r="U193" t="s">
        <v>2027</v>
      </c>
      <c r="W193" s="3">
        <v>37282</v>
      </c>
      <c r="X193" s="3">
        <v>43417</v>
      </c>
    </row>
    <row r="194" spans="1:38">
      <c r="A194" s="1">
        <v>192</v>
      </c>
      <c r="B194" t="s">
        <v>37</v>
      </c>
      <c r="C194" s="2">
        <v>43418</v>
      </c>
      <c r="D194" t="s">
        <v>88</v>
      </c>
      <c r="E194" t="s">
        <v>78</v>
      </c>
      <c r="F194" t="s">
        <v>535</v>
      </c>
      <c r="G194" s="6" t="s">
        <v>238</v>
      </c>
      <c r="H194" t="s">
        <v>48</v>
      </c>
      <c r="I194">
        <v>634845303</v>
      </c>
      <c r="K194" t="s">
        <v>88</v>
      </c>
      <c r="L194" s="3">
        <v>43434</v>
      </c>
      <c r="M194" t="s">
        <v>35</v>
      </c>
      <c r="N194" s="14" t="s">
        <v>2034</v>
      </c>
      <c r="O194" s="9">
        <v>30</v>
      </c>
      <c r="P194" s="1">
        <v>1</v>
      </c>
      <c r="Q194" s="58">
        <v>0.21</v>
      </c>
      <c r="R194" s="7">
        <v>0</v>
      </c>
      <c r="S194" t="s">
        <v>36</v>
      </c>
      <c r="T194" s="4">
        <f t="shared" si="8"/>
        <v>36.299999999999997</v>
      </c>
      <c r="U194" t="s">
        <v>88</v>
      </c>
      <c r="W194" s="3">
        <v>31550</v>
      </c>
      <c r="X194" s="3">
        <v>43418</v>
      </c>
      <c r="Y194" s="11" t="s">
        <v>2144</v>
      </c>
    </row>
    <row r="195" spans="1:38">
      <c r="A195" s="1">
        <v>193</v>
      </c>
      <c r="B195" t="s">
        <v>37</v>
      </c>
      <c r="C195" s="2">
        <v>43419</v>
      </c>
      <c r="D195" t="s">
        <v>2035</v>
      </c>
      <c r="E195" t="s">
        <v>2036</v>
      </c>
      <c r="F195" t="s">
        <v>2037</v>
      </c>
      <c r="G195" s="6" t="s">
        <v>928</v>
      </c>
      <c r="H195" t="s">
        <v>49</v>
      </c>
      <c r="I195">
        <v>688659159</v>
      </c>
      <c r="K195" t="s">
        <v>2035</v>
      </c>
      <c r="L195" s="3">
        <v>43434</v>
      </c>
      <c r="M195" t="s">
        <v>35</v>
      </c>
      <c r="N195" s="14" t="s">
        <v>2038</v>
      </c>
      <c r="O195" s="9">
        <v>0</v>
      </c>
      <c r="P195" s="1">
        <v>1</v>
      </c>
      <c r="Q195" s="58">
        <v>0.21</v>
      </c>
      <c r="R195" s="7">
        <v>0</v>
      </c>
      <c r="S195" t="s">
        <v>36</v>
      </c>
      <c r="T195" s="4">
        <f t="shared" si="8"/>
        <v>0</v>
      </c>
      <c r="U195" t="s">
        <v>2035</v>
      </c>
      <c r="V195" s="5" t="s">
        <v>2039</v>
      </c>
      <c r="W195" s="3">
        <v>30297</v>
      </c>
      <c r="X195" s="3">
        <v>43419</v>
      </c>
      <c r="Y195" s="11" t="s">
        <v>2265</v>
      </c>
      <c r="Z195" s="2">
        <v>43494</v>
      </c>
      <c r="AC195" t="s">
        <v>1158</v>
      </c>
    </row>
    <row r="196" spans="1:38">
      <c r="A196" s="1">
        <v>194</v>
      </c>
      <c r="B196" t="s">
        <v>40</v>
      </c>
      <c r="C196" s="2">
        <v>43426</v>
      </c>
      <c r="D196" t="s">
        <v>2042</v>
      </c>
      <c r="E196" t="s">
        <v>2043</v>
      </c>
      <c r="F196" t="s">
        <v>2044</v>
      </c>
      <c r="G196" s="6" t="s">
        <v>221</v>
      </c>
      <c r="H196" t="s">
        <v>34</v>
      </c>
      <c r="I196">
        <v>602000274</v>
      </c>
      <c r="K196" t="s">
        <v>2042</v>
      </c>
      <c r="L196" s="3">
        <v>43434</v>
      </c>
      <c r="M196" t="s">
        <v>35</v>
      </c>
      <c r="N196" s="14" t="s">
        <v>1367</v>
      </c>
      <c r="O196" s="9">
        <v>60</v>
      </c>
      <c r="P196" s="1">
        <v>1</v>
      </c>
      <c r="Q196" s="58">
        <v>0.21</v>
      </c>
      <c r="R196" s="7">
        <v>0</v>
      </c>
      <c r="S196" t="s">
        <v>36</v>
      </c>
      <c r="T196" s="4">
        <f t="shared" si="8"/>
        <v>72.599999999999994</v>
      </c>
      <c r="U196" t="s">
        <v>1368</v>
      </c>
      <c r="V196" s="5" t="s">
        <v>2045</v>
      </c>
      <c r="W196" s="3">
        <v>32857</v>
      </c>
      <c r="X196" s="3">
        <v>43426</v>
      </c>
      <c r="Y196" s="11" t="s">
        <v>2229</v>
      </c>
      <c r="Z196" s="2">
        <v>43489</v>
      </c>
      <c r="AC196" t="s">
        <v>1158</v>
      </c>
    </row>
    <row r="197" spans="1:38">
      <c r="A197" s="1">
        <v>195</v>
      </c>
      <c r="B197" t="s">
        <v>59</v>
      </c>
      <c r="C197" s="2">
        <v>43426</v>
      </c>
      <c r="D197" t="s">
        <v>2046</v>
      </c>
      <c r="E197" t="s">
        <v>2047</v>
      </c>
      <c r="F197" t="s">
        <v>2048</v>
      </c>
      <c r="G197" s="6" t="s">
        <v>294</v>
      </c>
      <c r="H197" t="s">
        <v>103</v>
      </c>
      <c r="I197">
        <v>631918412</v>
      </c>
      <c r="K197" t="s">
        <v>2046</v>
      </c>
      <c r="L197" s="3">
        <v>43434</v>
      </c>
      <c r="M197" t="s">
        <v>35</v>
      </c>
      <c r="N197" s="14" t="s">
        <v>2049</v>
      </c>
      <c r="O197" s="9">
        <v>60</v>
      </c>
      <c r="P197" s="1">
        <v>1</v>
      </c>
      <c r="Q197" s="58">
        <v>0.21</v>
      </c>
      <c r="R197" s="7">
        <v>0</v>
      </c>
      <c r="S197" t="s">
        <v>36</v>
      </c>
      <c r="T197" s="4">
        <f t="shared" si="8"/>
        <v>72.599999999999994</v>
      </c>
      <c r="U197" t="s">
        <v>2050</v>
      </c>
      <c r="V197" s="5" t="s">
        <v>2051</v>
      </c>
      <c r="W197" s="3">
        <v>28796</v>
      </c>
      <c r="X197" s="3">
        <v>43426</v>
      </c>
      <c r="Y197" s="11" t="s">
        <v>2229</v>
      </c>
      <c r="Z197" s="2">
        <v>43489</v>
      </c>
      <c r="AC197" t="s">
        <v>1158</v>
      </c>
      <c r="AF197" t="s">
        <v>77</v>
      </c>
      <c r="AG197" s="3">
        <v>43426</v>
      </c>
      <c r="AJ197" s="3">
        <v>43431</v>
      </c>
    </row>
    <row r="198" spans="1:38">
      <c r="A198" s="1">
        <v>196</v>
      </c>
      <c r="B198" t="s">
        <v>33</v>
      </c>
      <c r="C198" s="2">
        <v>43426</v>
      </c>
      <c r="D198" t="s">
        <v>2052</v>
      </c>
      <c r="E198" t="s">
        <v>2053</v>
      </c>
      <c r="F198" t="s">
        <v>2054</v>
      </c>
      <c r="G198" s="6" t="s">
        <v>241</v>
      </c>
      <c r="H198" t="s">
        <v>60</v>
      </c>
      <c r="I198">
        <v>690872836</v>
      </c>
      <c r="K198" s="31" t="s">
        <v>237</v>
      </c>
      <c r="L198" s="3">
        <v>43434</v>
      </c>
      <c r="M198" t="s">
        <v>35</v>
      </c>
      <c r="N198" s="14" t="s">
        <v>2055</v>
      </c>
      <c r="O198" s="9">
        <v>60</v>
      </c>
      <c r="P198" s="1">
        <v>1</v>
      </c>
      <c r="Q198" s="58">
        <v>0.21</v>
      </c>
      <c r="R198" s="7">
        <v>0</v>
      </c>
      <c r="S198" t="s">
        <v>36</v>
      </c>
      <c r="T198" s="4">
        <f t="shared" si="8"/>
        <v>72.599999999999994</v>
      </c>
      <c r="U198" t="s">
        <v>2056</v>
      </c>
      <c r="V198" s="5" t="s">
        <v>2057</v>
      </c>
      <c r="W198" s="3">
        <v>26897</v>
      </c>
      <c r="X198" s="3">
        <v>43426</v>
      </c>
      <c r="Y198" s="11" t="s">
        <v>2263</v>
      </c>
      <c r="Z198" s="2">
        <v>43493</v>
      </c>
      <c r="AA198" s="1" t="s">
        <v>1450</v>
      </c>
      <c r="AB198" s="3">
        <v>43465</v>
      </c>
      <c r="AC198" t="s">
        <v>1158</v>
      </c>
      <c r="AD198" t="s">
        <v>1858</v>
      </c>
      <c r="AF198" t="s">
        <v>2058</v>
      </c>
      <c r="AG198" s="3">
        <v>43426</v>
      </c>
      <c r="AJ198" s="3">
        <v>43431</v>
      </c>
    </row>
    <row r="199" spans="1:38">
      <c r="A199" s="1">
        <v>197</v>
      </c>
      <c r="B199" t="s">
        <v>438</v>
      </c>
      <c r="C199" s="2">
        <v>43426</v>
      </c>
      <c r="D199" t="s">
        <v>2059</v>
      </c>
      <c r="E199" t="s">
        <v>2060</v>
      </c>
      <c r="F199" t="s">
        <v>2061</v>
      </c>
      <c r="G199" s="6" t="s">
        <v>230</v>
      </c>
      <c r="H199" t="s">
        <v>1262</v>
      </c>
      <c r="I199">
        <v>661971719</v>
      </c>
      <c r="K199" t="s">
        <v>2059</v>
      </c>
      <c r="L199" s="3">
        <v>43434</v>
      </c>
      <c r="M199" t="s">
        <v>35</v>
      </c>
      <c r="N199" s="14" t="s">
        <v>2062</v>
      </c>
      <c r="O199" s="9">
        <v>60</v>
      </c>
      <c r="P199" s="1">
        <v>1</v>
      </c>
      <c r="Q199" s="58">
        <v>0.21</v>
      </c>
      <c r="R199" s="7">
        <v>0</v>
      </c>
      <c r="S199" t="s">
        <v>36</v>
      </c>
      <c r="T199" s="4">
        <f t="shared" si="8"/>
        <v>72.599999999999994</v>
      </c>
      <c r="U199" t="s">
        <v>2063</v>
      </c>
      <c r="V199" s="5" t="s">
        <v>2064</v>
      </c>
      <c r="W199" s="3">
        <v>37047</v>
      </c>
      <c r="X199" s="3">
        <v>43426</v>
      </c>
      <c r="Y199" s="13" t="s">
        <v>2209</v>
      </c>
      <c r="Z199" s="2">
        <v>43455</v>
      </c>
      <c r="AA199" s="1" t="s">
        <v>1450</v>
      </c>
      <c r="AB199" s="3">
        <v>43115</v>
      </c>
      <c r="AC199" t="s">
        <v>1158</v>
      </c>
      <c r="AD199" t="s">
        <v>1858</v>
      </c>
    </row>
    <row r="200" spans="1:38">
      <c r="A200" s="1">
        <v>198</v>
      </c>
      <c r="B200" t="s">
        <v>438</v>
      </c>
      <c r="C200" s="2">
        <v>43426</v>
      </c>
      <c r="D200" t="s">
        <v>2065</v>
      </c>
      <c r="E200" t="s">
        <v>2066</v>
      </c>
      <c r="F200" t="s">
        <v>2067</v>
      </c>
      <c r="G200" s="6" t="s">
        <v>227</v>
      </c>
      <c r="H200" t="s">
        <v>203</v>
      </c>
      <c r="K200" t="s">
        <v>2065</v>
      </c>
      <c r="L200" s="3">
        <v>43434</v>
      </c>
      <c r="M200" t="s">
        <v>35</v>
      </c>
      <c r="N200" s="14" t="s">
        <v>2068</v>
      </c>
      <c r="O200" s="9">
        <v>60</v>
      </c>
      <c r="P200" s="1">
        <v>1</v>
      </c>
      <c r="Q200" s="58">
        <v>0.21</v>
      </c>
      <c r="R200" s="7">
        <v>0</v>
      </c>
      <c r="S200" t="s">
        <v>36</v>
      </c>
      <c r="T200" s="4">
        <f t="shared" si="8"/>
        <v>72.599999999999994</v>
      </c>
      <c r="U200" t="s">
        <v>2069</v>
      </c>
      <c r="V200" s="5" t="s">
        <v>2070</v>
      </c>
      <c r="W200" s="3">
        <v>36672</v>
      </c>
      <c r="X200" s="3">
        <v>43426</v>
      </c>
      <c r="Y200" s="11" t="s">
        <v>2144</v>
      </c>
      <c r="Z200" s="2">
        <v>43453</v>
      </c>
      <c r="AC200" t="s">
        <v>1158</v>
      </c>
      <c r="AD200" t="s">
        <v>1858</v>
      </c>
    </row>
    <row r="201" spans="1:38">
      <c r="A201" s="1">
        <v>199</v>
      </c>
      <c r="B201" t="s">
        <v>40</v>
      </c>
      <c r="C201" s="2">
        <v>43433</v>
      </c>
      <c r="D201" t="s">
        <v>2072</v>
      </c>
      <c r="E201" t="s">
        <v>901</v>
      </c>
      <c r="F201" t="s">
        <v>2073</v>
      </c>
      <c r="G201" s="6" t="s">
        <v>236</v>
      </c>
      <c r="H201" t="s">
        <v>34</v>
      </c>
      <c r="K201" t="s">
        <v>2072</v>
      </c>
      <c r="L201" s="3">
        <v>43434</v>
      </c>
      <c r="M201" t="s">
        <v>35</v>
      </c>
      <c r="N201" s="14" t="s">
        <v>903</v>
      </c>
      <c r="O201" s="9">
        <v>60</v>
      </c>
      <c r="P201" s="1">
        <v>1</v>
      </c>
      <c r="Q201" s="58">
        <v>0.21</v>
      </c>
      <c r="R201" s="7">
        <v>0</v>
      </c>
      <c r="S201" t="s">
        <v>36</v>
      </c>
      <c r="T201" s="4">
        <f t="shared" si="8"/>
        <v>72.599999999999994</v>
      </c>
      <c r="U201" t="s">
        <v>904</v>
      </c>
      <c r="V201" s="5" t="s">
        <v>2074</v>
      </c>
      <c r="W201" s="3">
        <v>34739</v>
      </c>
      <c r="X201" s="3">
        <v>43433</v>
      </c>
      <c r="Y201" s="11" t="s">
        <v>2267</v>
      </c>
      <c r="Z201" s="2">
        <v>43500</v>
      </c>
      <c r="AC201" t="s">
        <v>1158</v>
      </c>
      <c r="AL201" t="s">
        <v>2075</v>
      </c>
    </row>
    <row r="202" spans="1:38">
      <c r="A202" s="1">
        <v>200</v>
      </c>
      <c r="B202" t="s">
        <v>40</v>
      </c>
      <c r="C202" s="2">
        <v>43433</v>
      </c>
      <c r="D202" t="s">
        <v>2076</v>
      </c>
      <c r="E202" t="s">
        <v>2077</v>
      </c>
      <c r="F202" t="s">
        <v>2078</v>
      </c>
      <c r="G202" s="6" t="s">
        <v>221</v>
      </c>
      <c r="H202" t="s">
        <v>34</v>
      </c>
      <c r="K202" t="s">
        <v>2076</v>
      </c>
      <c r="L202" s="3">
        <v>43434</v>
      </c>
      <c r="M202" t="s">
        <v>35</v>
      </c>
      <c r="N202" s="14" t="s">
        <v>2079</v>
      </c>
      <c r="O202" s="9">
        <v>60</v>
      </c>
      <c r="P202" s="1">
        <v>1</v>
      </c>
      <c r="Q202" s="58">
        <v>0.21</v>
      </c>
      <c r="R202" s="7">
        <v>0</v>
      </c>
      <c r="S202" t="s">
        <v>36</v>
      </c>
      <c r="T202" s="4">
        <f t="shared" si="8"/>
        <v>72.599999999999994</v>
      </c>
      <c r="U202" t="s">
        <v>2080</v>
      </c>
      <c r="V202" s="5" t="s">
        <v>2081</v>
      </c>
      <c r="W202" s="3">
        <v>30682</v>
      </c>
      <c r="X202" s="3">
        <v>43433</v>
      </c>
      <c r="Y202" s="11" t="s">
        <v>2267</v>
      </c>
      <c r="Z202" s="2">
        <v>43500</v>
      </c>
      <c r="AC202" t="s">
        <v>1158</v>
      </c>
    </row>
    <row r="203" spans="1:38">
      <c r="A203" s="1">
        <v>201</v>
      </c>
      <c r="B203" t="s">
        <v>52</v>
      </c>
      <c r="C203" s="2">
        <v>43433</v>
      </c>
      <c r="D203" t="s">
        <v>1152</v>
      </c>
      <c r="E203" t="s">
        <v>655</v>
      </c>
      <c r="F203" t="s">
        <v>2082</v>
      </c>
      <c r="G203" s="6" t="s">
        <v>221</v>
      </c>
      <c r="H203" t="s">
        <v>34</v>
      </c>
      <c r="K203" s="31" t="s">
        <v>53</v>
      </c>
      <c r="L203" s="3">
        <v>43434</v>
      </c>
      <c r="M203" t="s">
        <v>35</v>
      </c>
      <c r="N203" s="14" t="s">
        <v>2083</v>
      </c>
      <c r="O203" s="9">
        <v>60</v>
      </c>
      <c r="P203" s="1">
        <v>1</v>
      </c>
      <c r="Q203" s="58">
        <v>0.21</v>
      </c>
      <c r="R203" s="7">
        <v>0</v>
      </c>
      <c r="S203" t="s">
        <v>36</v>
      </c>
      <c r="T203" s="4">
        <f t="shared" si="8"/>
        <v>72.599999999999994</v>
      </c>
      <c r="U203" t="s">
        <v>2084</v>
      </c>
      <c r="V203" s="5" t="s">
        <v>2085</v>
      </c>
      <c r="W203" s="3">
        <v>34417</v>
      </c>
      <c r="X203" s="3">
        <v>43433</v>
      </c>
      <c r="Y203" s="11" t="s">
        <v>2203</v>
      </c>
      <c r="Z203" s="2">
        <v>43480</v>
      </c>
      <c r="AC203" t="s">
        <v>1158</v>
      </c>
      <c r="AD203" t="s">
        <v>1858</v>
      </c>
    </row>
    <row r="204" spans="1:38">
      <c r="A204" s="1">
        <v>202</v>
      </c>
      <c r="B204" t="s">
        <v>82</v>
      </c>
      <c r="C204" s="2">
        <v>43433</v>
      </c>
      <c r="D204" t="s">
        <v>1204</v>
      </c>
      <c r="E204" t="s">
        <v>1205</v>
      </c>
      <c r="F204" t="s">
        <v>1206</v>
      </c>
      <c r="G204" s="6" t="s">
        <v>250</v>
      </c>
      <c r="H204" t="s">
        <v>108</v>
      </c>
      <c r="K204" t="s">
        <v>1204</v>
      </c>
      <c r="L204" s="3">
        <v>43434</v>
      </c>
      <c r="M204" t="s">
        <v>35</v>
      </c>
      <c r="N204" s="14" t="s">
        <v>2086</v>
      </c>
      <c r="O204" s="9">
        <v>60</v>
      </c>
      <c r="P204" s="1">
        <v>1</v>
      </c>
      <c r="Q204" s="58">
        <v>0.21</v>
      </c>
      <c r="R204" s="7">
        <v>0</v>
      </c>
      <c r="S204" t="s">
        <v>36</v>
      </c>
      <c r="T204" s="4">
        <f t="shared" ref="T204:T214" si="9">(O204*P204)*Q204+O204*P204</f>
        <v>72.599999999999994</v>
      </c>
      <c r="U204" t="s">
        <v>2087</v>
      </c>
      <c r="V204" s="5" t="s">
        <v>2088</v>
      </c>
      <c r="W204" s="3">
        <v>33913</v>
      </c>
      <c r="X204" s="3">
        <v>43433</v>
      </c>
      <c r="Y204" s="11" t="s">
        <v>2268</v>
      </c>
      <c r="Z204" s="2">
        <v>43508</v>
      </c>
      <c r="AC204" t="s">
        <v>1158</v>
      </c>
      <c r="AF204" t="s">
        <v>1888</v>
      </c>
      <c r="AG204" s="3">
        <v>43433</v>
      </c>
      <c r="AJ204" s="3"/>
    </row>
    <row r="205" spans="1:38">
      <c r="A205" s="1">
        <v>203</v>
      </c>
      <c r="B205" t="s">
        <v>37</v>
      </c>
      <c r="C205" s="2">
        <v>43438</v>
      </c>
      <c r="D205" t="s">
        <v>2091</v>
      </c>
      <c r="E205" t="s">
        <v>2092</v>
      </c>
      <c r="F205" t="s">
        <v>2093</v>
      </c>
      <c r="G205" s="6" t="s">
        <v>245</v>
      </c>
      <c r="H205" t="s">
        <v>1266</v>
      </c>
      <c r="I205">
        <v>640563650</v>
      </c>
      <c r="K205" t="s">
        <v>2091</v>
      </c>
      <c r="L205" s="3">
        <v>43465</v>
      </c>
      <c r="M205" t="s">
        <v>35</v>
      </c>
      <c r="N205" s="14" t="s">
        <v>2094</v>
      </c>
      <c r="O205" s="9">
        <v>30</v>
      </c>
      <c r="P205" s="1">
        <v>1</v>
      </c>
      <c r="Q205" s="58">
        <v>0.21</v>
      </c>
      <c r="R205" s="7">
        <v>0</v>
      </c>
      <c r="S205" t="s">
        <v>36</v>
      </c>
      <c r="T205" s="4">
        <f t="shared" si="9"/>
        <v>36.299999999999997</v>
      </c>
      <c r="U205" t="s">
        <v>2091</v>
      </c>
      <c r="W205" s="3">
        <v>24252</v>
      </c>
      <c r="X205" s="3">
        <v>43438</v>
      </c>
      <c r="Y205" s="11" t="s">
        <v>2228</v>
      </c>
      <c r="AC205" t="s">
        <v>1158</v>
      </c>
    </row>
    <row r="206" spans="1:38">
      <c r="A206" s="1">
        <v>204</v>
      </c>
      <c r="B206" t="s">
        <v>37</v>
      </c>
      <c r="C206" s="2">
        <v>43440</v>
      </c>
      <c r="D206" t="s">
        <v>2148</v>
      </c>
      <c r="E206" t="s">
        <v>2149</v>
      </c>
      <c r="F206" t="s">
        <v>2150</v>
      </c>
      <c r="G206" s="6" t="s">
        <v>219</v>
      </c>
      <c r="H206" t="s">
        <v>38</v>
      </c>
      <c r="I206" t="s">
        <v>2151</v>
      </c>
      <c r="K206" t="s">
        <v>2148</v>
      </c>
      <c r="L206" s="3">
        <v>43465</v>
      </c>
      <c r="M206" t="s">
        <v>35</v>
      </c>
      <c r="N206" s="14" t="s">
        <v>2152</v>
      </c>
      <c r="O206" s="9">
        <v>0</v>
      </c>
      <c r="P206" s="1">
        <v>1</v>
      </c>
      <c r="Q206" s="58">
        <v>0.21</v>
      </c>
      <c r="R206" s="7">
        <v>0</v>
      </c>
      <c r="S206" t="s">
        <v>36</v>
      </c>
      <c r="T206" s="4">
        <f t="shared" si="9"/>
        <v>0</v>
      </c>
      <c r="U206" t="s">
        <v>2148</v>
      </c>
      <c r="V206" s="5" t="s">
        <v>2153</v>
      </c>
      <c r="W206" s="3">
        <v>36460</v>
      </c>
      <c r="X206" s="3">
        <v>43329</v>
      </c>
    </row>
    <row r="207" spans="1:38">
      <c r="A207" s="1">
        <v>205</v>
      </c>
      <c r="B207" t="s">
        <v>37</v>
      </c>
      <c r="C207" s="2">
        <v>43440</v>
      </c>
      <c r="D207" t="s">
        <v>2154</v>
      </c>
      <c r="E207" t="s">
        <v>2155</v>
      </c>
      <c r="F207" t="s">
        <v>2156</v>
      </c>
      <c r="G207" s="6" t="s">
        <v>219</v>
      </c>
      <c r="H207" t="s">
        <v>38</v>
      </c>
      <c r="I207">
        <v>632891041</v>
      </c>
      <c r="K207" t="s">
        <v>2154</v>
      </c>
      <c r="L207" s="3">
        <v>43465</v>
      </c>
      <c r="M207" t="s">
        <v>35</v>
      </c>
      <c r="N207" s="14" t="s">
        <v>2157</v>
      </c>
      <c r="O207" s="9">
        <v>0</v>
      </c>
      <c r="P207" s="1">
        <v>1</v>
      </c>
      <c r="Q207" s="58">
        <v>0.21</v>
      </c>
      <c r="R207" s="7">
        <v>0</v>
      </c>
      <c r="S207" t="s">
        <v>36</v>
      </c>
      <c r="T207" s="4">
        <f t="shared" si="9"/>
        <v>0</v>
      </c>
      <c r="U207" t="s">
        <v>2154</v>
      </c>
      <c r="V207" s="5" t="s">
        <v>2158</v>
      </c>
      <c r="W207" s="3">
        <v>35591</v>
      </c>
      <c r="X207" s="3">
        <v>43333</v>
      </c>
    </row>
    <row r="208" spans="1:38">
      <c r="A208" s="1">
        <v>206</v>
      </c>
      <c r="B208" t="s">
        <v>40</v>
      </c>
      <c r="C208" s="2">
        <v>43447</v>
      </c>
      <c r="D208" t="s">
        <v>1364</v>
      </c>
      <c r="E208" t="s">
        <v>486</v>
      </c>
      <c r="F208" t="s">
        <v>2098</v>
      </c>
      <c r="G208" s="6" t="s">
        <v>227</v>
      </c>
      <c r="H208" t="s">
        <v>34</v>
      </c>
      <c r="I208">
        <v>631094107</v>
      </c>
      <c r="K208" t="s">
        <v>1364</v>
      </c>
      <c r="L208" s="3">
        <v>43465</v>
      </c>
      <c r="M208" t="s">
        <v>35</v>
      </c>
      <c r="N208" s="14" t="s">
        <v>2099</v>
      </c>
      <c r="O208" s="9">
        <v>60</v>
      </c>
      <c r="P208" s="1">
        <v>1</v>
      </c>
      <c r="Q208" s="58">
        <v>0.21</v>
      </c>
      <c r="R208" s="7">
        <v>0</v>
      </c>
      <c r="S208" t="s">
        <v>36</v>
      </c>
      <c r="T208" s="4">
        <f t="shared" si="9"/>
        <v>72.599999999999994</v>
      </c>
      <c r="U208" t="s">
        <v>2100</v>
      </c>
      <c r="V208" s="5" t="s">
        <v>2101</v>
      </c>
      <c r="W208" s="3">
        <v>34700</v>
      </c>
      <c r="X208" s="3">
        <v>43447</v>
      </c>
      <c r="Y208" s="11" t="s">
        <v>2371</v>
      </c>
      <c r="Z208" s="2">
        <v>43539</v>
      </c>
      <c r="AC208" t="s">
        <v>1158</v>
      </c>
    </row>
    <row r="209" spans="1:36">
      <c r="A209" s="1">
        <v>207</v>
      </c>
      <c r="B209" t="s">
        <v>61</v>
      </c>
      <c r="C209" s="2">
        <v>43447</v>
      </c>
      <c r="D209" t="s">
        <v>2102</v>
      </c>
      <c r="E209" t="s">
        <v>2103</v>
      </c>
      <c r="F209" t="s">
        <v>2104</v>
      </c>
      <c r="G209" s="6" t="s">
        <v>241</v>
      </c>
      <c r="H209" t="s">
        <v>60</v>
      </c>
      <c r="I209">
        <v>678647116</v>
      </c>
      <c r="K209" t="s">
        <v>2102</v>
      </c>
      <c r="L209" s="3">
        <v>43465</v>
      </c>
      <c r="M209" t="s">
        <v>35</v>
      </c>
      <c r="N209" s="14" t="s">
        <v>2105</v>
      </c>
      <c r="O209" s="9">
        <v>60</v>
      </c>
      <c r="P209" s="1">
        <v>1</v>
      </c>
      <c r="Q209" s="58">
        <v>0.21</v>
      </c>
      <c r="R209" s="7">
        <v>0</v>
      </c>
      <c r="S209" t="s">
        <v>36</v>
      </c>
      <c r="T209" s="4">
        <f t="shared" si="9"/>
        <v>72.599999999999994</v>
      </c>
      <c r="U209" t="s">
        <v>2106</v>
      </c>
      <c r="V209" s="5" t="s">
        <v>2107</v>
      </c>
      <c r="W209" s="3">
        <v>32578</v>
      </c>
      <c r="X209" s="3">
        <v>43447</v>
      </c>
      <c r="Y209" s="11" t="s">
        <v>2316</v>
      </c>
      <c r="Z209" s="2">
        <v>43515</v>
      </c>
      <c r="AC209" t="s">
        <v>1158</v>
      </c>
      <c r="AF209" t="s">
        <v>2108</v>
      </c>
      <c r="AG209" s="3">
        <v>43447</v>
      </c>
      <c r="AJ209" s="3">
        <v>43454</v>
      </c>
    </row>
    <row r="210" spans="1:36">
      <c r="A210" s="1">
        <v>208</v>
      </c>
      <c r="B210" t="s">
        <v>52</v>
      </c>
      <c r="C210" s="2">
        <v>43447</v>
      </c>
      <c r="D210" t="s">
        <v>2109</v>
      </c>
      <c r="E210" t="s">
        <v>2110</v>
      </c>
      <c r="F210" t="s">
        <v>2111</v>
      </c>
      <c r="G210" s="6" t="s">
        <v>221</v>
      </c>
      <c r="H210" t="s">
        <v>34</v>
      </c>
      <c r="I210">
        <v>659731442</v>
      </c>
      <c r="K210" s="31" t="s">
        <v>53</v>
      </c>
      <c r="L210" s="3">
        <v>43465</v>
      </c>
      <c r="M210" t="s">
        <v>35</v>
      </c>
      <c r="N210" s="14" t="s">
        <v>2112</v>
      </c>
      <c r="O210" s="9">
        <v>60</v>
      </c>
      <c r="P210" s="1">
        <v>1</v>
      </c>
      <c r="Q210" s="58">
        <v>0.21</v>
      </c>
      <c r="R210" s="7">
        <v>0</v>
      </c>
      <c r="S210" t="s">
        <v>36</v>
      </c>
      <c r="T210" s="4">
        <f t="shared" si="9"/>
        <v>72.599999999999994</v>
      </c>
      <c r="U210" t="s">
        <v>2113</v>
      </c>
      <c r="V210" s="5" t="s">
        <v>2114</v>
      </c>
      <c r="W210" s="3">
        <v>37125</v>
      </c>
      <c r="X210" s="3">
        <v>43447</v>
      </c>
      <c r="Y210" s="11" t="s">
        <v>2228</v>
      </c>
      <c r="Z210" s="2">
        <v>43487</v>
      </c>
      <c r="AC210" t="s">
        <v>1158</v>
      </c>
      <c r="AD210" t="s">
        <v>1858</v>
      </c>
    </row>
    <row r="211" spans="1:36">
      <c r="A211" s="1">
        <v>209</v>
      </c>
      <c r="B211" t="s">
        <v>438</v>
      </c>
      <c r="C211" s="2">
        <v>43447</v>
      </c>
      <c r="D211" t="s">
        <v>1079</v>
      </c>
      <c r="E211" t="s">
        <v>41</v>
      </c>
      <c r="F211" t="s">
        <v>2115</v>
      </c>
      <c r="G211" s="6" t="s">
        <v>230</v>
      </c>
      <c r="H211" t="s">
        <v>1262</v>
      </c>
      <c r="I211">
        <v>661982043</v>
      </c>
      <c r="K211" t="s">
        <v>1079</v>
      </c>
      <c r="L211" s="3">
        <v>43465</v>
      </c>
      <c r="M211" t="s">
        <v>35</v>
      </c>
      <c r="N211" s="14" t="s">
        <v>2116</v>
      </c>
      <c r="O211" s="9">
        <v>60</v>
      </c>
      <c r="P211" s="1">
        <v>1</v>
      </c>
      <c r="Q211" s="58">
        <v>0.21</v>
      </c>
      <c r="R211" s="7">
        <v>0</v>
      </c>
      <c r="S211" t="s">
        <v>36</v>
      </c>
      <c r="T211" s="4">
        <f t="shared" si="9"/>
        <v>72.599999999999994</v>
      </c>
      <c r="U211" t="s">
        <v>2117</v>
      </c>
      <c r="V211" s="5" t="s">
        <v>2118</v>
      </c>
      <c r="W211" s="3">
        <v>36758</v>
      </c>
      <c r="X211" s="3">
        <v>43447</v>
      </c>
      <c r="Y211" t="s">
        <v>2331</v>
      </c>
      <c r="Z211" s="2">
        <v>43487</v>
      </c>
      <c r="AC211" t="s">
        <v>1158</v>
      </c>
      <c r="AD211" t="s">
        <v>1858</v>
      </c>
      <c r="AF211" t="s">
        <v>73</v>
      </c>
      <c r="AG211" s="3">
        <v>43447</v>
      </c>
      <c r="AJ211" s="3">
        <v>43458</v>
      </c>
    </row>
    <row r="212" spans="1:36">
      <c r="A212" s="1">
        <v>210</v>
      </c>
      <c r="B212" t="s">
        <v>438</v>
      </c>
      <c r="C212" s="2">
        <v>43447</v>
      </c>
      <c r="D212" t="s">
        <v>1079</v>
      </c>
      <c r="E212" t="s">
        <v>41</v>
      </c>
      <c r="F212" t="s">
        <v>2115</v>
      </c>
      <c r="G212" s="6" t="s">
        <v>230</v>
      </c>
      <c r="H212" t="s">
        <v>1262</v>
      </c>
      <c r="I212">
        <v>661982043</v>
      </c>
      <c r="K212" t="s">
        <v>1079</v>
      </c>
      <c r="L212" s="3">
        <v>43465</v>
      </c>
      <c r="M212" t="s">
        <v>35</v>
      </c>
      <c r="N212" s="14" t="s">
        <v>1410</v>
      </c>
      <c r="O212" s="9">
        <v>60</v>
      </c>
      <c r="P212" s="1">
        <v>1</v>
      </c>
      <c r="Q212" s="58">
        <v>0.21</v>
      </c>
      <c r="R212" s="7">
        <v>0</v>
      </c>
      <c r="S212" t="s">
        <v>36</v>
      </c>
      <c r="T212" s="4">
        <f t="shared" si="9"/>
        <v>72.599999999999994</v>
      </c>
      <c r="U212" t="s">
        <v>1411</v>
      </c>
      <c r="V212" s="5" t="s">
        <v>2119</v>
      </c>
      <c r="W212" s="3">
        <v>32980</v>
      </c>
      <c r="X212" s="3">
        <v>43447</v>
      </c>
      <c r="Y212" t="s">
        <v>2331</v>
      </c>
      <c r="Z212" s="2">
        <v>43487</v>
      </c>
      <c r="AC212" t="s">
        <v>1158</v>
      </c>
      <c r="AD212" t="s">
        <v>1858</v>
      </c>
      <c r="AF212" t="s">
        <v>73</v>
      </c>
      <c r="AG212" s="3">
        <v>43447</v>
      </c>
      <c r="AJ212" s="3">
        <v>43458</v>
      </c>
    </row>
    <row r="213" spans="1:36">
      <c r="A213" s="1">
        <v>211</v>
      </c>
      <c r="B213" t="s">
        <v>438</v>
      </c>
      <c r="C213" s="2">
        <v>43447</v>
      </c>
      <c r="D213" t="s">
        <v>2120</v>
      </c>
      <c r="E213" t="s">
        <v>2121</v>
      </c>
      <c r="F213" t="s">
        <v>2122</v>
      </c>
      <c r="G213" s="6" t="s">
        <v>221</v>
      </c>
      <c r="H213" t="s">
        <v>34</v>
      </c>
      <c r="I213">
        <v>607241211</v>
      </c>
      <c r="K213" t="s">
        <v>2120</v>
      </c>
      <c r="L213" s="3">
        <v>43465</v>
      </c>
      <c r="M213" t="s">
        <v>35</v>
      </c>
      <c r="N213" s="14" t="s">
        <v>2123</v>
      </c>
      <c r="O213" s="9">
        <v>60</v>
      </c>
      <c r="P213" s="1">
        <v>1</v>
      </c>
      <c r="Q213" s="58">
        <v>0.21</v>
      </c>
      <c r="R213" s="7">
        <v>0</v>
      </c>
      <c r="S213" t="s">
        <v>36</v>
      </c>
      <c r="T213" s="4">
        <f t="shared" si="9"/>
        <v>72.599999999999994</v>
      </c>
      <c r="U213" t="s">
        <v>2124</v>
      </c>
      <c r="V213" s="5" t="s">
        <v>2125</v>
      </c>
      <c r="W213" s="3">
        <v>35040</v>
      </c>
      <c r="X213" s="3">
        <v>43447</v>
      </c>
      <c r="Y213" t="s">
        <v>2331</v>
      </c>
      <c r="Z213" s="2">
        <v>43487</v>
      </c>
      <c r="AC213" t="s">
        <v>1158</v>
      </c>
      <c r="AD213" t="s">
        <v>1858</v>
      </c>
      <c r="AF213" t="s">
        <v>2131</v>
      </c>
      <c r="AG213" s="3">
        <v>43447</v>
      </c>
      <c r="AJ213" s="3">
        <v>43454</v>
      </c>
    </row>
    <row r="214" spans="1:36">
      <c r="A214" s="1">
        <v>212</v>
      </c>
      <c r="B214" t="s">
        <v>423</v>
      </c>
      <c r="C214" s="2">
        <v>43447</v>
      </c>
      <c r="D214" t="s">
        <v>424</v>
      </c>
      <c r="E214" t="s">
        <v>91</v>
      </c>
      <c r="F214" t="s">
        <v>2126</v>
      </c>
      <c r="G214" s="6" t="s">
        <v>219</v>
      </c>
      <c r="H214" t="s">
        <v>38</v>
      </c>
      <c r="K214" t="s">
        <v>424</v>
      </c>
      <c r="L214" s="3">
        <v>43465</v>
      </c>
      <c r="M214" t="s">
        <v>35</v>
      </c>
      <c r="N214" s="14" t="s">
        <v>2127</v>
      </c>
      <c r="O214" s="9">
        <v>60</v>
      </c>
      <c r="P214" s="1">
        <v>1</v>
      </c>
      <c r="Q214" s="58">
        <v>0.21</v>
      </c>
      <c r="R214" s="7">
        <v>0</v>
      </c>
      <c r="S214" t="s">
        <v>36</v>
      </c>
      <c r="T214" s="4">
        <f t="shared" si="9"/>
        <v>72.599999999999994</v>
      </c>
      <c r="U214" t="s">
        <v>2129</v>
      </c>
      <c r="V214" s="5" t="s">
        <v>2130</v>
      </c>
      <c r="W214" s="3">
        <v>35713</v>
      </c>
      <c r="X214" s="3">
        <v>43447</v>
      </c>
      <c r="Y214" s="11" t="s">
        <v>2228</v>
      </c>
      <c r="Z214" s="2">
        <v>43487</v>
      </c>
      <c r="AC214" t="s">
        <v>1158</v>
      </c>
      <c r="AD214" t="s">
        <v>1858</v>
      </c>
      <c r="AF214" t="s">
        <v>2147</v>
      </c>
      <c r="AG214" s="3">
        <v>43447</v>
      </c>
      <c r="AJ214" s="3">
        <v>43458</v>
      </c>
    </row>
    <row r="215" spans="1:36">
      <c r="A215" s="1">
        <v>213</v>
      </c>
      <c r="B215" t="s">
        <v>423</v>
      </c>
      <c r="C215" s="2">
        <v>43447</v>
      </c>
      <c r="D215" t="s">
        <v>424</v>
      </c>
      <c r="E215" t="s">
        <v>91</v>
      </c>
      <c r="F215" t="s">
        <v>2126</v>
      </c>
      <c r="G215" s="6" t="s">
        <v>219</v>
      </c>
      <c r="H215" t="s">
        <v>38</v>
      </c>
      <c r="K215" t="s">
        <v>424</v>
      </c>
      <c r="L215" s="3">
        <v>43465</v>
      </c>
      <c r="M215" t="s">
        <v>35</v>
      </c>
      <c r="N215" s="14" t="s">
        <v>2128</v>
      </c>
      <c r="O215" s="9">
        <v>60</v>
      </c>
      <c r="P215" s="1">
        <v>1</v>
      </c>
      <c r="Q215" s="58">
        <v>0.21</v>
      </c>
      <c r="R215" s="7">
        <v>0</v>
      </c>
      <c r="S215" t="s">
        <v>36</v>
      </c>
      <c r="T215" s="4">
        <f t="shared" ref="T215:T227" si="10">(O215*P215)*Q215+O215*P215</f>
        <v>72.599999999999994</v>
      </c>
      <c r="U215" t="s">
        <v>2145</v>
      </c>
      <c r="V215" s="5" t="s">
        <v>2146</v>
      </c>
      <c r="W215" s="3">
        <v>33644</v>
      </c>
      <c r="X215" s="3">
        <v>43447</v>
      </c>
      <c r="Y215" s="11" t="s">
        <v>2228</v>
      </c>
      <c r="Z215" s="2">
        <v>43487</v>
      </c>
      <c r="AC215" t="s">
        <v>1158</v>
      </c>
      <c r="AD215" t="s">
        <v>1858</v>
      </c>
      <c r="AF215" t="s">
        <v>2147</v>
      </c>
      <c r="AG215" s="3">
        <v>43447</v>
      </c>
      <c r="AJ215" s="3">
        <v>43458</v>
      </c>
    </row>
    <row r="216" spans="1:36">
      <c r="A216" s="1">
        <v>214</v>
      </c>
      <c r="B216" t="s">
        <v>40</v>
      </c>
      <c r="C216" s="2">
        <v>43447</v>
      </c>
      <c r="D216" t="s">
        <v>186</v>
      </c>
      <c r="E216" t="s">
        <v>64</v>
      </c>
      <c r="F216" t="s">
        <v>2132</v>
      </c>
      <c r="G216" s="6" t="s">
        <v>221</v>
      </c>
      <c r="H216" t="s">
        <v>34</v>
      </c>
      <c r="I216">
        <v>667685283</v>
      </c>
      <c r="K216" t="s">
        <v>186</v>
      </c>
      <c r="L216" s="3">
        <v>43465</v>
      </c>
      <c r="M216" t="s">
        <v>35</v>
      </c>
      <c r="N216" s="14" t="s">
        <v>2133</v>
      </c>
      <c r="O216" s="9">
        <v>60</v>
      </c>
      <c r="P216" s="1">
        <v>1</v>
      </c>
      <c r="Q216" s="58">
        <v>0.21</v>
      </c>
      <c r="R216" s="7">
        <v>0</v>
      </c>
      <c r="S216" t="s">
        <v>36</v>
      </c>
      <c r="T216" s="4">
        <f t="shared" si="10"/>
        <v>72.599999999999994</v>
      </c>
      <c r="U216" t="s">
        <v>2134</v>
      </c>
      <c r="V216" s="5" t="s">
        <v>2135</v>
      </c>
      <c r="W216" s="3">
        <v>36609</v>
      </c>
      <c r="X216" s="3">
        <v>43447</v>
      </c>
      <c r="Y216" s="13" t="s">
        <v>2331</v>
      </c>
      <c r="Z216" s="2">
        <v>43487</v>
      </c>
      <c r="AA216" s="1" t="s">
        <v>1450</v>
      </c>
      <c r="AB216" s="3">
        <v>43515</v>
      </c>
      <c r="AC216" t="s">
        <v>1158</v>
      </c>
      <c r="AD216" t="s">
        <v>1858</v>
      </c>
    </row>
    <row r="217" spans="1:36">
      <c r="A217" s="1">
        <v>215</v>
      </c>
      <c r="B217" t="s">
        <v>37</v>
      </c>
      <c r="C217" s="2">
        <v>43454</v>
      </c>
      <c r="D217" t="s">
        <v>1219</v>
      </c>
      <c r="E217" t="s">
        <v>1220</v>
      </c>
      <c r="F217" t="s">
        <v>1221</v>
      </c>
      <c r="G217" s="6" t="s">
        <v>1222</v>
      </c>
      <c r="H217" t="s">
        <v>1223</v>
      </c>
      <c r="I217">
        <v>643786475</v>
      </c>
      <c r="K217" t="s">
        <v>1219</v>
      </c>
      <c r="L217" s="3">
        <v>43465</v>
      </c>
      <c r="M217" t="s">
        <v>35</v>
      </c>
      <c r="N217" s="14" t="s">
        <v>1224</v>
      </c>
      <c r="O217" s="9">
        <v>60</v>
      </c>
      <c r="P217" s="1">
        <v>1</v>
      </c>
      <c r="Q217" s="58">
        <v>0.21</v>
      </c>
      <c r="R217" s="7">
        <v>0</v>
      </c>
      <c r="S217" t="s">
        <v>36</v>
      </c>
      <c r="T217" s="4">
        <f t="shared" si="10"/>
        <v>72.599999999999994</v>
      </c>
      <c r="U217" t="s">
        <v>1219</v>
      </c>
      <c r="V217" s="5" t="s">
        <v>2136</v>
      </c>
      <c r="W217" s="3">
        <v>29234</v>
      </c>
      <c r="X217" s="3">
        <v>43454</v>
      </c>
      <c r="Y217" s="11" t="s">
        <v>2333</v>
      </c>
      <c r="Z217" s="2">
        <v>43518</v>
      </c>
      <c r="AC217" t="s">
        <v>1158</v>
      </c>
      <c r="AF217" t="s">
        <v>77</v>
      </c>
      <c r="AG217" s="3">
        <v>43454</v>
      </c>
      <c r="AJ217" s="3">
        <v>43455</v>
      </c>
    </row>
    <row r="218" spans="1:36">
      <c r="A218" s="1">
        <v>216</v>
      </c>
      <c r="B218" t="s">
        <v>143</v>
      </c>
      <c r="C218" s="2">
        <v>43454</v>
      </c>
      <c r="D218" t="s">
        <v>1226</v>
      </c>
      <c r="E218" t="s">
        <v>1227</v>
      </c>
      <c r="F218" t="s">
        <v>1228</v>
      </c>
      <c r="G218" s="6" t="s">
        <v>1229</v>
      </c>
      <c r="H218" t="s">
        <v>38</v>
      </c>
      <c r="K218" t="s">
        <v>1226</v>
      </c>
      <c r="L218" s="3">
        <v>43465</v>
      </c>
      <c r="M218" t="s">
        <v>35</v>
      </c>
      <c r="N218" s="14" t="s">
        <v>2137</v>
      </c>
      <c r="O218" s="7">
        <v>30</v>
      </c>
      <c r="P218" s="1">
        <v>1</v>
      </c>
      <c r="Q218" s="58">
        <v>0.21</v>
      </c>
      <c r="R218" s="7">
        <v>0</v>
      </c>
      <c r="S218" t="s">
        <v>36</v>
      </c>
      <c r="T218" s="4">
        <f t="shared" si="10"/>
        <v>36.299999999999997</v>
      </c>
      <c r="U218" t="s">
        <v>2138</v>
      </c>
      <c r="V218" s="5" t="s">
        <v>2139</v>
      </c>
      <c r="W218" s="3">
        <v>31809</v>
      </c>
      <c r="X218" s="3">
        <v>43446</v>
      </c>
      <c r="Y218" s="11" t="s">
        <v>2316</v>
      </c>
    </row>
    <row r="219" spans="1:36">
      <c r="A219" s="1">
        <v>217</v>
      </c>
      <c r="B219" t="s">
        <v>143</v>
      </c>
      <c r="C219" s="2">
        <v>43454</v>
      </c>
      <c r="D219" t="s">
        <v>984</v>
      </c>
      <c r="E219" t="s">
        <v>985</v>
      </c>
      <c r="F219" t="s">
        <v>2140</v>
      </c>
      <c r="G219" s="6" t="s">
        <v>220</v>
      </c>
      <c r="H219" t="s">
        <v>39</v>
      </c>
      <c r="K219" t="s">
        <v>984</v>
      </c>
      <c r="L219" s="3">
        <v>43465</v>
      </c>
      <c r="M219" t="s">
        <v>35</v>
      </c>
      <c r="N219" s="14" t="s">
        <v>2141</v>
      </c>
      <c r="O219" s="9">
        <v>30</v>
      </c>
      <c r="P219" s="1">
        <v>1</v>
      </c>
      <c r="Q219" s="58">
        <v>0.21</v>
      </c>
      <c r="R219" s="7">
        <v>0</v>
      </c>
      <c r="S219" t="s">
        <v>36</v>
      </c>
      <c r="T219" s="4">
        <f t="shared" si="10"/>
        <v>36.299999999999997</v>
      </c>
      <c r="U219" t="s">
        <v>2142</v>
      </c>
      <c r="V219" s="5" t="s">
        <v>2143</v>
      </c>
      <c r="W219" s="3">
        <v>35021</v>
      </c>
      <c r="X219" s="3">
        <v>43441</v>
      </c>
      <c r="Y219" s="11" t="s">
        <v>2376</v>
      </c>
      <c r="Z219" s="2">
        <v>43551</v>
      </c>
      <c r="AA219" s="1" t="s">
        <v>2372</v>
      </c>
      <c r="AB219" s="3">
        <v>43540</v>
      </c>
    </row>
    <row r="220" spans="1:36">
      <c r="A220" s="1">
        <v>218</v>
      </c>
      <c r="B220" t="s">
        <v>37</v>
      </c>
      <c r="C220" s="2">
        <v>43460</v>
      </c>
      <c r="D220" t="s">
        <v>2159</v>
      </c>
      <c r="E220" t="s">
        <v>2160</v>
      </c>
      <c r="F220" t="s">
        <v>2161</v>
      </c>
      <c r="G220" s="6" t="s">
        <v>219</v>
      </c>
      <c r="H220" t="s">
        <v>38</v>
      </c>
      <c r="I220">
        <v>647038738</v>
      </c>
      <c r="K220" t="s">
        <v>2159</v>
      </c>
      <c r="L220" s="3">
        <v>43465</v>
      </c>
      <c r="M220" t="s">
        <v>35</v>
      </c>
      <c r="N220" s="14" t="s">
        <v>2162</v>
      </c>
      <c r="O220" s="9">
        <v>30</v>
      </c>
      <c r="P220" s="1">
        <v>1</v>
      </c>
      <c r="Q220" s="58">
        <v>0.21</v>
      </c>
      <c r="R220" s="7">
        <v>0</v>
      </c>
      <c r="S220" t="s">
        <v>36</v>
      </c>
      <c r="T220" s="4">
        <f t="shared" si="10"/>
        <v>36.299999999999997</v>
      </c>
      <c r="U220" t="s">
        <v>2159</v>
      </c>
      <c r="W220" s="3">
        <v>33605</v>
      </c>
      <c r="X220" s="3">
        <v>43460</v>
      </c>
      <c r="Y220" s="11" t="s">
        <v>2315</v>
      </c>
      <c r="Z220" s="2">
        <v>43511</v>
      </c>
      <c r="AC220" t="s">
        <v>1158</v>
      </c>
    </row>
    <row r="221" spans="1:36">
      <c r="A221" s="1">
        <v>219</v>
      </c>
      <c r="B221" t="s">
        <v>37</v>
      </c>
      <c r="C221" s="2">
        <v>43460</v>
      </c>
      <c r="D221" t="s">
        <v>1010</v>
      </c>
      <c r="E221" t="s">
        <v>1011</v>
      </c>
      <c r="F221" t="s">
        <v>1012</v>
      </c>
      <c r="G221" s="6" t="s">
        <v>221</v>
      </c>
      <c r="H221" t="s">
        <v>34</v>
      </c>
      <c r="I221">
        <v>631351350</v>
      </c>
      <c r="K221" t="s">
        <v>1010</v>
      </c>
      <c r="L221" s="3">
        <v>43465</v>
      </c>
      <c r="M221" t="s">
        <v>35</v>
      </c>
      <c r="N221" s="14" t="s">
        <v>2163</v>
      </c>
      <c r="O221" s="9">
        <v>30</v>
      </c>
      <c r="P221" s="1">
        <v>1</v>
      </c>
      <c r="Q221" s="58">
        <v>0.21</v>
      </c>
      <c r="R221" s="7">
        <v>0</v>
      </c>
      <c r="S221" t="s">
        <v>36</v>
      </c>
      <c r="T221" s="4">
        <f t="shared" si="10"/>
        <v>36.299999999999997</v>
      </c>
      <c r="U221" t="s">
        <v>1010</v>
      </c>
      <c r="W221" s="3">
        <v>31200</v>
      </c>
      <c r="X221" s="3">
        <v>43460</v>
      </c>
      <c r="Y221" s="11" t="s">
        <v>2269</v>
      </c>
      <c r="Z221" s="2">
        <v>43508</v>
      </c>
      <c r="AC221" t="s">
        <v>1158</v>
      </c>
    </row>
    <row r="222" spans="1:36">
      <c r="A222" s="1">
        <v>220</v>
      </c>
      <c r="B222" t="s">
        <v>59</v>
      </c>
      <c r="C222" s="2">
        <v>43460</v>
      </c>
      <c r="D222" t="s">
        <v>1073</v>
      </c>
      <c r="E222" t="s">
        <v>81</v>
      </c>
      <c r="F222" t="s">
        <v>2164</v>
      </c>
      <c r="G222" s="6" t="s">
        <v>294</v>
      </c>
      <c r="H222" t="s">
        <v>103</v>
      </c>
      <c r="K222" t="s">
        <v>1073</v>
      </c>
      <c r="L222" s="3">
        <v>43465</v>
      </c>
      <c r="M222" t="s">
        <v>35</v>
      </c>
      <c r="N222" s="14" t="s">
        <v>2165</v>
      </c>
      <c r="O222" s="9">
        <v>30</v>
      </c>
      <c r="P222" s="1">
        <v>1</v>
      </c>
      <c r="Q222" s="58">
        <v>0.21</v>
      </c>
      <c r="R222" s="7">
        <v>0</v>
      </c>
      <c r="S222" t="s">
        <v>36</v>
      </c>
      <c r="T222" s="4">
        <f t="shared" si="10"/>
        <v>36.299999999999997</v>
      </c>
      <c r="U222" t="s">
        <v>2166</v>
      </c>
      <c r="W222" s="3">
        <v>30839</v>
      </c>
      <c r="X222" s="3">
        <v>43460</v>
      </c>
      <c r="Y222" s="11" t="s">
        <v>2315</v>
      </c>
      <c r="Z222" s="2">
        <v>43511</v>
      </c>
      <c r="AC222" t="s">
        <v>1158</v>
      </c>
    </row>
    <row r="223" spans="1:36">
      <c r="A223" s="1">
        <v>221</v>
      </c>
      <c r="B223" t="s">
        <v>37</v>
      </c>
      <c r="C223" s="2">
        <v>43461</v>
      </c>
      <c r="D223" t="s">
        <v>1421</v>
      </c>
      <c r="E223" t="s">
        <v>1422</v>
      </c>
      <c r="F223" t="s">
        <v>1423</v>
      </c>
      <c r="G223" s="6" t="s">
        <v>1424</v>
      </c>
      <c r="H223" t="s">
        <v>1425</v>
      </c>
      <c r="I223">
        <v>632151794</v>
      </c>
      <c r="K223" t="s">
        <v>1421</v>
      </c>
      <c r="L223" s="3">
        <v>43465</v>
      </c>
      <c r="M223" t="s">
        <v>35</v>
      </c>
      <c r="N223" s="14" t="s">
        <v>1426</v>
      </c>
      <c r="O223" s="7">
        <v>60</v>
      </c>
      <c r="P223" s="1">
        <v>1</v>
      </c>
      <c r="Q223" s="58">
        <v>0.21</v>
      </c>
      <c r="R223" s="7">
        <v>0</v>
      </c>
      <c r="S223" t="s">
        <v>36</v>
      </c>
      <c r="T223" s="4">
        <f>(O223*P223)*Q223+O223*P223</f>
        <v>72.599999999999994</v>
      </c>
      <c r="U223" t="s">
        <v>1421</v>
      </c>
      <c r="V223" s="5" t="s">
        <v>2167</v>
      </c>
      <c r="W223" s="3">
        <v>29258</v>
      </c>
      <c r="X223" s="3">
        <v>43461</v>
      </c>
      <c r="Y223" s="11" t="s">
        <v>2382</v>
      </c>
      <c r="Z223" s="2">
        <v>43560</v>
      </c>
      <c r="AA223" s="1" t="s">
        <v>2383</v>
      </c>
      <c r="AB223" s="3">
        <v>43550</v>
      </c>
      <c r="AC223" t="s">
        <v>1158</v>
      </c>
      <c r="AF223" t="s">
        <v>2168</v>
      </c>
      <c r="AG223" s="3">
        <v>43461</v>
      </c>
      <c r="AJ223" s="3">
        <v>43467</v>
      </c>
    </row>
    <row r="224" spans="1:36">
      <c r="A224" s="1">
        <v>222</v>
      </c>
      <c r="B224" t="s">
        <v>1610</v>
      </c>
      <c r="C224" s="2">
        <v>43461</v>
      </c>
      <c r="D224" t="s">
        <v>2169</v>
      </c>
      <c r="E224" t="s">
        <v>2170</v>
      </c>
      <c r="F224" t="s">
        <v>2171</v>
      </c>
      <c r="G224" s="6" t="s">
        <v>221</v>
      </c>
      <c r="H224" t="s">
        <v>34</v>
      </c>
      <c r="I224">
        <v>615630460</v>
      </c>
      <c r="K224" s="31" t="s">
        <v>237</v>
      </c>
      <c r="L224" s="3">
        <v>43465</v>
      </c>
      <c r="M224" t="s">
        <v>35</v>
      </c>
      <c r="N224" s="14" t="s">
        <v>2172</v>
      </c>
      <c r="O224" s="9">
        <v>60</v>
      </c>
      <c r="P224" s="1">
        <v>1</v>
      </c>
      <c r="Q224" s="58">
        <v>0.21</v>
      </c>
      <c r="R224" s="7">
        <v>0</v>
      </c>
      <c r="S224" t="s">
        <v>36</v>
      </c>
      <c r="T224" s="4">
        <f t="shared" si="10"/>
        <v>72.599999999999994</v>
      </c>
      <c r="U224" t="s">
        <v>2173</v>
      </c>
      <c r="V224" s="5" t="s">
        <v>2174</v>
      </c>
      <c r="W224" s="3">
        <v>35687</v>
      </c>
      <c r="X224" s="3">
        <v>43461</v>
      </c>
      <c r="Y224" s="11" t="s">
        <v>2266</v>
      </c>
      <c r="Z224" s="2">
        <v>43496</v>
      </c>
      <c r="AC224" t="s">
        <v>1158</v>
      </c>
      <c r="AD224" t="s">
        <v>1858</v>
      </c>
    </row>
    <row r="225" spans="1:36">
      <c r="A225" s="1">
        <v>223</v>
      </c>
      <c r="B225" t="s">
        <v>131</v>
      </c>
      <c r="C225" s="2">
        <v>43461</v>
      </c>
      <c r="D225" t="s">
        <v>204</v>
      </c>
      <c r="E225" t="s">
        <v>205</v>
      </c>
      <c r="F225" t="s">
        <v>1212</v>
      </c>
      <c r="G225" s="6" t="s">
        <v>242</v>
      </c>
      <c r="H225" t="s">
        <v>154</v>
      </c>
      <c r="K225" t="s">
        <v>204</v>
      </c>
      <c r="L225" s="3">
        <v>43465</v>
      </c>
      <c r="M225" t="s">
        <v>35</v>
      </c>
      <c r="N225" s="14" t="s">
        <v>1149</v>
      </c>
      <c r="O225" s="7">
        <v>60</v>
      </c>
      <c r="P225" s="1">
        <v>1</v>
      </c>
      <c r="Q225" s="58">
        <v>0.21</v>
      </c>
      <c r="R225" s="7">
        <v>0</v>
      </c>
      <c r="S225" t="s">
        <v>36</v>
      </c>
      <c r="T225" s="4">
        <f t="shared" si="10"/>
        <v>72.599999999999994</v>
      </c>
      <c r="U225" t="s">
        <v>1150</v>
      </c>
      <c r="V225" s="5" t="s">
        <v>2175</v>
      </c>
      <c r="W225" s="3">
        <v>32751</v>
      </c>
      <c r="X225" s="3">
        <v>43461</v>
      </c>
      <c r="Y225" s="11" t="s">
        <v>2333</v>
      </c>
      <c r="Z225" s="2">
        <v>43518</v>
      </c>
      <c r="AC225" t="s">
        <v>1158</v>
      </c>
    </row>
    <row r="226" spans="1:36">
      <c r="A226" s="1">
        <v>224</v>
      </c>
      <c r="B226" t="s">
        <v>40</v>
      </c>
      <c r="C226" s="2">
        <v>43461</v>
      </c>
      <c r="D226" s="61" t="s">
        <v>2176</v>
      </c>
      <c r="E226" t="s">
        <v>2177</v>
      </c>
      <c r="F226" t="s">
        <v>2178</v>
      </c>
      <c r="G226" s="6" t="s">
        <v>221</v>
      </c>
      <c r="H226" t="s">
        <v>34</v>
      </c>
      <c r="I226">
        <v>612415953</v>
      </c>
      <c r="K226" t="s">
        <v>2176</v>
      </c>
      <c r="L226" s="3">
        <v>43465</v>
      </c>
      <c r="M226" t="s">
        <v>35</v>
      </c>
      <c r="N226" s="14" t="s">
        <v>2179</v>
      </c>
      <c r="O226" s="9">
        <v>60</v>
      </c>
      <c r="P226" s="1">
        <v>1</v>
      </c>
      <c r="Q226" s="58">
        <v>0.21</v>
      </c>
      <c r="R226" s="7">
        <v>0</v>
      </c>
      <c r="S226" t="s">
        <v>36</v>
      </c>
      <c r="T226" s="4">
        <f t="shared" si="10"/>
        <v>72.599999999999994</v>
      </c>
      <c r="U226" t="s">
        <v>2180</v>
      </c>
      <c r="V226" s="5" t="s">
        <v>2181</v>
      </c>
      <c r="W226" s="3">
        <v>34335</v>
      </c>
      <c r="X226" s="3">
        <v>43461</v>
      </c>
      <c r="Y226" s="11" t="s">
        <v>2335</v>
      </c>
      <c r="Z226" s="2">
        <v>43523</v>
      </c>
      <c r="AC226" t="s">
        <v>1158</v>
      </c>
    </row>
    <row r="227" spans="1:36">
      <c r="A227" s="1">
        <v>225</v>
      </c>
      <c r="B227" t="s">
        <v>40</v>
      </c>
      <c r="C227" s="2">
        <v>43461</v>
      </c>
      <c r="D227" t="s">
        <v>2182</v>
      </c>
      <c r="E227" t="s">
        <v>2183</v>
      </c>
      <c r="F227" t="s">
        <v>2184</v>
      </c>
      <c r="G227" s="6" t="s">
        <v>227</v>
      </c>
      <c r="H227" t="s">
        <v>203</v>
      </c>
      <c r="I227">
        <v>619841873</v>
      </c>
      <c r="K227" t="s">
        <v>2182</v>
      </c>
      <c r="L227" s="3">
        <v>43465</v>
      </c>
      <c r="M227" t="s">
        <v>35</v>
      </c>
      <c r="N227" s="14" t="s">
        <v>2185</v>
      </c>
      <c r="O227" s="7">
        <v>60</v>
      </c>
      <c r="P227" s="1">
        <v>1</v>
      </c>
      <c r="Q227" s="58">
        <v>0.21</v>
      </c>
      <c r="R227" s="7">
        <v>0</v>
      </c>
      <c r="S227" t="s">
        <v>36</v>
      </c>
      <c r="T227" s="4">
        <f t="shared" si="10"/>
        <v>72.599999999999994</v>
      </c>
      <c r="U227" t="s">
        <v>2186</v>
      </c>
      <c r="V227" s="5" t="s">
        <v>2187</v>
      </c>
      <c r="W227" s="3">
        <v>31048</v>
      </c>
      <c r="X227" s="3">
        <v>43461</v>
      </c>
      <c r="Y227" s="11" t="s">
        <v>2318</v>
      </c>
      <c r="Z227" s="2">
        <v>43515</v>
      </c>
      <c r="AC227" t="s">
        <v>1158</v>
      </c>
      <c r="AF227" t="s">
        <v>2264</v>
      </c>
      <c r="AG227" s="3">
        <v>43493</v>
      </c>
      <c r="AJ227" s="3">
        <v>43503</v>
      </c>
    </row>
  </sheetData>
  <autoFilter ref="A1:AM227" xr:uid="{00000000-0009-0000-0000-000001000000}"/>
  <pageMargins left="0.7" right="0.7" top="0.75" bottom="0.75" header="0.3" footer="0.3"/>
  <pageSetup paperSize="9" scale="14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AM252"/>
  <sheetViews>
    <sheetView topLeftCell="E1" zoomScale="85" zoomScaleNormal="85" workbookViewId="0">
      <pane ySplit="1" topLeftCell="A228" activePane="bottomLeft" state="frozen"/>
      <selection activeCell="F50" sqref="F50"/>
      <selection pane="bottomLeft" activeCell="E248" sqref="E248"/>
    </sheetView>
  </sheetViews>
  <sheetFormatPr baseColWidth="10" defaultRowHeight="15"/>
  <cols>
    <col min="1" max="1" width="4" style="1" customWidth="1"/>
    <col min="2" max="2" width="24.28515625" bestFit="1" customWidth="1"/>
    <col min="3" max="3" width="10.7109375" style="1" bestFit="1" customWidth="1"/>
    <col min="4" max="4" width="11" customWidth="1"/>
    <col min="5" max="5" width="36.7109375" bestFit="1" customWidth="1"/>
    <col min="6" max="6" width="32.42578125" customWidth="1"/>
    <col min="7" max="7" width="10.42578125" style="6" customWidth="1"/>
    <col min="8" max="8" width="23" customWidth="1"/>
    <col min="9" max="12" width="11.5703125" customWidth="1"/>
    <col min="13" max="13" width="28.28515625" customWidth="1"/>
    <col min="14" max="14" width="72.140625" customWidth="1"/>
    <col min="15" max="15" width="6.42578125" customWidth="1"/>
    <col min="16" max="16" width="8.5703125" customWidth="1"/>
    <col min="17" max="17" width="7.42578125" customWidth="1"/>
    <col min="18" max="18" width="9.85546875" customWidth="1"/>
    <col min="19" max="19" width="14.85546875" customWidth="1"/>
    <col min="20" max="20" width="6.85546875" style="1" customWidth="1"/>
    <col min="21" max="21" width="11.5703125" customWidth="1"/>
    <col min="22" max="22" width="16.28515625" style="5" customWidth="1"/>
    <col min="23" max="23" width="11.5703125" customWidth="1"/>
    <col min="24" max="24" width="11.5703125" style="1" customWidth="1"/>
    <col min="25" max="25" width="24.7109375" customWidth="1"/>
    <col min="26" max="26" width="12.42578125" style="1" customWidth="1"/>
    <col min="27" max="27" width="11.5703125" style="1" customWidth="1"/>
    <col min="30" max="30" width="11.5703125" customWidth="1"/>
    <col min="31" max="31" width="19.85546875" customWidth="1"/>
    <col min="32" max="32" width="21.7109375" customWidth="1"/>
    <col min="33" max="33" width="31.5703125" customWidth="1"/>
    <col min="34" max="34" width="10.5703125" customWidth="1"/>
    <col min="35" max="36" width="11.5703125" customWidth="1"/>
    <col min="37" max="37" width="12.42578125" customWidth="1"/>
    <col min="38" max="38" width="12.7109375" customWidth="1"/>
    <col min="39" max="39" width="11.5703125" customWidth="1"/>
  </cols>
  <sheetData>
    <row r="1" spans="1:39" s="29" customFormat="1" ht="45">
      <c r="A1" s="65"/>
      <c r="B1" s="16" t="s">
        <v>0</v>
      </c>
      <c r="C1" s="17" t="s">
        <v>1</v>
      </c>
      <c r="D1" s="18" t="s">
        <v>2</v>
      </c>
      <c r="E1" s="18" t="s">
        <v>3</v>
      </c>
      <c r="F1" s="18" t="s">
        <v>4</v>
      </c>
      <c r="G1" s="19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20" t="s">
        <v>10</v>
      </c>
      <c r="M1" s="18" t="s">
        <v>11</v>
      </c>
      <c r="N1" s="21" t="s">
        <v>12</v>
      </c>
      <c r="O1" s="22" t="s">
        <v>13</v>
      </c>
      <c r="P1" s="18" t="s">
        <v>14</v>
      </c>
      <c r="Q1" s="23" t="s">
        <v>15</v>
      </c>
      <c r="R1" s="24" t="s">
        <v>16</v>
      </c>
      <c r="S1" s="18" t="s">
        <v>17</v>
      </c>
      <c r="T1" s="25" t="s">
        <v>18</v>
      </c>
      <c r="U1" s="25" t="s">
        <v>19</v>
      </c>
      <c r="V1" s="26" t="s">
        <v>20</v>
      </c>
      <c r="W1" s="27" t="s">
        <v>21</v>
      </c>
      <c r="X1" s="17" t="s">
        <v>1</v>
      </c>
      <c r="Y1" s="25" t="s">
        <v>22</v>
      </c>
      <c r="Z1" s="25" t="s">
        <v>1338</v>
      </c>
      <c r="AA1" s="25" t="s">
        <v>3362</v>
      </c>
      <c r="AB1" s="25" t="s">
        <v>1490</v>
      </c>
      <c r="AC1" s="25" t="s">
        <v>153</v>
      </c>
      <c r="AD1" s="25" t="s">
        <v>218</v>
      </c>
      <c r="AE1" s="94" t="s">
        <v>3382</v>
      </c>
      <c r="AF1" s="25" t="s">
        <v>1359</v>
      </c>
      <c r="AG1" s="25" t="s">
        <v>25</v>
      </c>
      <c r="AH1" s="27" t="s">
        <v>26</v>
      </c>
      <c r="AI1" s="27" t="s">
        <v>27</v>
      </c>
      <c r="AJ1" s="27" t="s">
        <v>28</v>
      </c>
      <c r="AK1" s="27" t="s">
        <v>29</v>
      </c>
      <c r="AL1" s="28" t="s">
        <v>31</v>
      </c>
      <c r="AM1" s="25" t="s">
        <v>32</v>
      </c>
    </row>
    <row r="2" spans="1:39">
      <c r="A2" s="1">
        <v>1</v>
      </c>
      <c r="B2" t="s">
        <v>119</v>
      </c>
      <c r="C2" s="2">
        <v>43475</v>
      </c>
      <c r="D2" t="s">
        <v>2290</v>
      </c>
      <c r="E2" t="s">
        <v>2188</v>
      </c>
      <c r="F2" t="s">
        <v>2189</v>
      </c>
      <c r="G2" s="6" t="s">
        <v>242</v>
      </c>
      <c r="H2" t="s">
        <v>1474</v>
      </c>
      <c r="I2">
        <v>632637235</v>
      </c>
      <c r="K2" s="31" t="s">
        <v>174</v>
      </c>
      <c r="L2" s="3">
        <v>43496</v>
      </c>
      <c r="M2" t="s">
        <v>35</v>
      </c>
      <c r="N2" s="14" t="s">
        <v>2190</v>
      </c>
      <c r="O2" s="7">
        <v>60</v>
      </c>
      <c r="P2" s="1">
        <v>1</v>
      </c>
      <c r="Q2" s="58">
        <v>0.21</v>
      </c>
      <c r="R2" s="7">
        <v>0</v>
      </c>
      <c r="S2" t="s">
        <v>36</v>
      </c>
      <c r="T2" s="213">
        <f t="shared" ref="T2:T65" si="0">(O2*P2)*Q2+O2*P2</f>
        <v>72.599999999999994</v>
      </c>
      <c r="U2" t="s">
        <v>2191</v>
      </c>
      <c r="V2" s="5" t="s">
        <v>2194</v>
      </c>
      <c r="W2" s="3">
        <v>30682</v>
      </c>
      <c r="X2" s="2">
        <v>43475</v>
      </c>
      <c r="Y2" s="11" t="s">
        <v>2342</v>
      </c>
      <c r="Z2" s="2">
        <v>43532</v>
      </c>
      <c r="AA2" s="2"/>
      <c r="AB2" s="1"/>
      <c r="AD2" t="s">
        <v>1158</v>
      </c>
      <c r="AG2" t="s">
        <v>2192</v>
      </c>
      <c r="AH2" s="2">
        <v>43475</v>
      </c>
      <c r="AK2" s="3">
        <v>43522</v>
      </c>
    </row>
    <row r="3" spans="1:39">
      <c r="A3" s="1">
        <v>2</v>
      </c>
      <c r="B3" t="s">
        <v>61</v>
      </c>
      <c r="C3" s="2">
        <v>43475</v>
      </c>
      <c r="D3" t="s">
        <v>62</v>
      </c>
      <c r="E3" t="s">
        <v>63</v>
      </c>
      <c r="F3" t="s">
        <v>1600</v>
      </c>
      <c r="G3" s="6" t="s">
        <v>219</v>
      </c>
      <c r="H3" t="s">
        <v>38</v>
      </c>
      <c r="K3" t="s">
        <v>62</v>
      </c>
      <c r="L3" s="3">
        <v>43496</v>
      </c>
      <c r="M3" t="s">
        <v>35</v>
      </c>
      <c r="N3" t="s">
        <v>952</v>
      </c>
      <c r="O3" s="7">
        <v>60</v>
      </c>
      <c r="P3" s="1">
        <v>1</v>
      </c>
      <c r="Q3" s="58">
        <v>0.21</v>
      </c>
      <c r="R3" s="7">
        <v>0</v>
      </c>
      <c r="S3" t="s">
        <v>36</v>
      </c>
      <c r="T3" s="213">
        <f t="shared" si="0"/>
        <v>72.599999999999994</v>
      </c>
      <c r="U3" t="s">
        <v>953</v>
      </c>
      <c r="V3" s="5" t="s">
        <v>2193</v>
      </c>
      <c r="W3" s="3">
        <v>37038</v>
      </c>
      <c r="X3" s="2">
        <v>43475</v>
      </c>
      <c r="Y3" s="11" t="s">
        <v>2269</v>
      </c>
      <c r="Z3" s="2">
        <v>43508</v>
      </c>
      <c r="AA3" s="2"/>
      <c r="AD3" t="s">
        <v>1158</v>
      </c>
      <c r="AF3" t="s">
        <v>1858</v>
      </c>
    </row>
    <row r="4" spans="1:39">
      <c r="A4" s="1">
        <v>3</v>
      </c>
      <c r="B4" t="s">
        <v>61</v>
      </c>
      <c r="C4" s="2">
        <v>43475</v>
      </c>
      <c r="D4" t="s">
        <v>62</v>
      </c>
      <c r="E4" t="s">
        <v>63</v>
      </c>
      <c r="F4" t="s">
        <v>1600</v>
      </c>
      <c r="G4" s="6" t="s">
        <v>219</v>
      </c>
      <c r="H4" t="s">
        <v>38</v>
      </c>
      <c r="K4" t="s">
        <v>62</v>
      </c>
      <c r="L4" s="3">
        <v>43496</v>
      </c>
      <c r="M4" t="s">
        <v>35</v>
      </c>
      <c r="N4" t="s">
        <v>955</v>
      </c>
      <c r="O4" s="7">
        <v>60</v>
      </c>
      <c r="P4" s="1">
        <v>1</v>
      </c>
      <c r="Q4" s="58">
        <v>0.21</v>
      </c>
      <c r="R4" s="7">
        <v>0</v>
      </c>
      <c r="S4" t="s">
        <v>36</v>
      </c>
      <c r="T4" s="213">
        <f t="shared" si="0"/>
        <v>72.599999999999994</v>
      </c>
      <c r="U4" t="s">
        <v>956</v>
      </c>
      <c r="V4" s="5" t="s">
        <v>2195</v>
      </c>
      <c r="W4" s="3">
        <v>35851</v>
      </c>
      <c r="X4" s="2">
        <v>43475</v>
      </c>
      <c r="Y4" s="11" t="s">
        <v>2269</v>
      </c>
      <c r="Z4" s="2">
        <v>43508</v>
      </c>
      <c r="AA4" s="2"/>
      <c r="AD4" t="s">
        <v>1158</v>
      </c>
      <c r="AF4" t="s">
        <v>1858</v>
      </c>
    </row>
    <row r="5" spans="1:39">
      <c r="A5" s="1">
        <v>4</v>
      </c>
      <c r="B5" t="s">
        <v>40</v>
      </c>
      <c r="C5" s="2">
        <v>43475</v>
      </c>
      <c r="D5" t="s">
        <v>2196</v>
      </c>
      <c r="E5" t="s">
        <v>2197</v>
      </c>
      <c r="F5" t="s">
        <v>2198</v>
      </c>
      <c r="G5" s="6" t="s">
        <v>236</v>
      </c>
      <c r="H5" t="s">
        <v>2199</v>
      </c>
      <c r="K5" t="s">
        <v>2196</v>
      </c>
      <c r="L5" s="3">
        <v>43496</v>
      </c>
      <c r="M5" t="s">
        <v>35</v>
      </c>
      <c r="N5" t="s">
        <v>2200</v>
      </c>
      <c r="O5" s="7">
        <v>60</v>
      </c>
      <c r="P5" s="1">
        <v>1</v>
      </c>
      <c r="Q5" s="58">
        <v>0.21</v>
      </c>
      <c r="R5" s="7">
        <v>0</v>
      </c>
      <c r="S5" t="s">
        <v>36</v>
      </c>
      <c r="T5" s="213">
        <f t="shared" si="0"/>
        <v>72.599999999999994</v>
      </c>
      <c r="U5" t="s">
        <v>2201</v>
      </c>
      <c r="V5" s="5" t="s">
        <v>2202</v>
      </c>
      <c r="W5" s="3">
        <v>31274</v>
      </c>
      <c r="X5" s="2">
        <v>43475</v>
      </c>
      <c r="Y5" s="11" t="s">
        <v>2371</v>
      </c>
      <c r="Z5" s="2">
        <v>43539</v>
      </c>
      <c r="AA5" s="2"/>
      <c r="AD5" t="s">
        <v>1158</v>
      </c>
      <c r="AG5" t="s">
        <v>77</v>
      </c>
      <c r="AH5" s="3">
        <v>43475</v>
      </c>
      <c r="AK5" s="3">
        <v>43482</v>
      </c>
    </row>
    <row r="6" spans="1:39">
      <c r="A6" s="1">
        <v>5</v>
      </c>
      <c r="B6" t="s">
        <v>119</v>
      </c>
      <c r="C6" s="2">
        <v>43482</v>
      </c>
      <c r="D6" t="s">
        <v>197</v>
      </c>
      <c r="E6" t="s">
        <v>145</v>
      </c>
      <c r="F6" t="s">
        <v>146</v>
      </c>
      <c r="G6" s="6" t="s">
        <v>239</v>
      </c>
      <c r="H6" t="s">
        <v>108</v>
      </c>
      <c r="I6">
        <v>612549838</v>
      </c>
      <c r="K6" s="31" t="s">
        <v>174</v>
      </c>
      <c r="L6" s="3">
        <v>43496</v>
      </c>
      <c r="M6" t="s">
        <v>35</v>
      </c>
      <c r="N6" t="s">
        <v>2210</v>
      </c>
      <c r="O6" s="7">
        <v>60</v>
      </c>
      <c r="P6" s="1">
        <v>1</v>
      </c>
      <c r="Q6" s="58">
        <v>0.21</v>
      </c>
      <c r="R6" s="7">
        <v>0</v>
      </c>
      <c r="S6" t="s">
        <v>36</v>
      </c>
      <c r="T6" s="213">
        <f t="shared" si="0"/>
        <v>72.599999999999994</v>
      </c>
      <c r="U6" t="s">
        <v>2211</v>
      </c>
      <c r="V6" s="5" t="s">
        <v>2212</v>
      </c>
      <c r="W6" s="3">
        <v>34001</v>
      </c>
      <c r="X6" s="2">
        <v>43482</v>
      </c>
      <c r="Y6" s="11" t="s">
        <v>2369</v>
      </c>
      <c r="Z6" s="2">
        <v>43535</v>
      </c>
      <c r="AA6" s="2"/>
      <c r="AD6" t="s">
        <v>1158</v>
      </c>
      <c r="AG6" t="s">
        <v>77</v>
      </c>
      <c r="AH6" s="3">
        <v>43482</v>
      </c>
      <c r="AK6" s="3">
        <v>43483</v>
      </c>
    </row>
    <row r="7" spans="1:39">
      <c r="A7" s="1">
        <v>6</v>
      </c>
      <c r="B7" t="s">
        <v>119</v>
      </c>
      <c r="C7" s="2">
        <v>43482</v>
      </c>
      <c r="D7" t="s">
        <v>197</v>
      </c>
      <c r="E7" t="s">
        <v>145</v>
      </c>
      <c r="F7" t="s">
        <v>146</v>
      </c>
      <c r="G7" s="6" t="s">
        <v>239</v>
      </c>
      <c r="H7" t="s">
        <v>108</v>
      </c>
      <c r="I7">
        <v>631891344</v>
      </c>
      <c r="K7" s="31" t="s">
        <v>174</v>
      </c>
      <c r="L7" s="3">
        <v>43496</v>
      </c>
      <c r="M7" t="s">
        <v>35</v>
      </c>
      <c r="N7" t="s">
        <v>2213</v>
      </c>
      <c r="O7" s="7">
        <v>60</v>
      </c>
      <c r="P7" s="1">
        <v>1</v>
      </c>
      <c r="Q7" s="58">
        <v>0.21</v>
      </c>
      <c r="R7" s="7">
        <v>0</v>
      </c>
      <c r="S7" t="s">
        <v>36</v>
      </c>
      <c r="T7" s="213">
        <f t="shared" si="0"/>
        <v>72.599999999999994</v>
      </c>
      <c r="U7" t="s">
        <v>2214</v>
      </c>
      <c r="V7" s="5" t="s">
        <v>2215</v>
      </c>
      <c r="W7" s="3">
        <v>31838</v>
      </c>
      <c r="X7" s="2">
        <v>43482</v>
      </c>
      <c r="Y7" t="s">
        <v>2367</v>
      </c>
      <c r="Z7" s="2">
        <v>43535</v>
      </c>
      <c r="AA7" s="2"/>
      <c r="AB7" t="s">
        <v>2368</v>
      </c>
      <c r="AD7" t="s">
        <v>1158</v>
      </c>
      <c r="AG7" t="s">
        <v>77</v>
      </c>
      <c r="AH7" s="3">
        <v>43482</v>
      </c>
      <c r="AK7" s="3">
        <v>43483</v>
      </c>
    </row>
    <row r="8" spans="1:39">
      <c r="A8" s="1">
        <v>7</v>
      </c>
      <c r="B8" t="s">
        <v>2216</v>
      </c>
      <c r="C8" s="2">
        <v>43482</v>
      </c>
      <c r="D8" t="s">
        <v>2217</v>
      </c>
      <c r="E8" t="s">
        <v>2218</v>
      </c>
      <c r="F8" t="s">
        <v>2219</v>
      </c>
      <c r="G8" s="6" t="s">
        <v>219</v>
      </c>
      <c r="H8" t="s">
        <v>38</v>
      </c>
      <c r="K8" t="s">
        <v>2217</v>
      </c>
      <c r="L8" s="3">
        <v>43496</v>
      </c>
      <c r="M8" t="s">
        <v>35</v>
      </c>
      <c r="N8" t="s">
        <v>2220</v>
      </c>
      <c r="O8" s="7">
        <v>60</v>
      </c>
      <c r="P8" s="1">
        <v>1</v>
      </c>
      <c r="Q8" s="58">
        <v>0.21</v>
      </c>
      <c r="R8" s="7">
        <v>0</v>
      </c>
      <c r="S8" t="s">
        <v>36</v>
      </c>
      <c r="T8" s="213">
        <f t="shared" si="0"/>
        <v>72.599999999999994</v>
      </c>
      <c r="U8" t="s">
        <v>2221</v>
      </c>
      <c r="V8" s="5" t="s">
        <v>2226</v>
      </c>
      <c r="W8" s="3">
        <v>35410</v>
      </c>
      <c r="X8" s="2">
        <v>43482</v>
      </c>
      <c r="Y8" s="11" t="s">
        <v>2317</v>
      </c>
      <c r="Z8" s="2">
        <v>43515</v>
      </c>
      <c r="AA8" s="2"/>
      <c r="AD8" t="s">
        <v>1158</v>
      </c>
      <c r="AG8" t="s">
        <v>77</v>
      </c>
      <c r="AH8" s="3">
        <v>43482</v>
      </c>
      <c r="AK8" s="3">
        <v>43486</v>
      </c>
    </row>
    <row r="9" spans="1:39">
      <c r="A9" s="1">
        <v>8</v>
      </c>
      <c r="B9" t="s">
        <v>37</v>
      </c>
      <c r="C9" s="2">
        <v>43482</v>
      </c>
      <c r="D9" t="s">
        <v>2222</v>
      </c>
      <c r="E9" t="s">
        <v>2223</v>
      </c>
      <c r="F9" t="s">
        <v>2224</v>
      </c>
      <c r="G9" s="6" t="s">
        <v>250</v>
      </c>
      <c r="H9" t="s">
        <v>86</v>
      </c>
      <c r="I9">
        <v>642982881</v>
      </c>
      <c r="K9" t="s">
        <v>2222</v>
      </c>
      <c r="L9" s="3">
        <v>43496</v>
      </c>
      <c r="M9" t="s">
        <v>35</v>
      </c>
      <c r="N9" t="s">
        <v>2225</v>
      </c>
      <c r="O9" s="7">
        <v>24.79</v>
      </c>
      <c r="P9" s="1">
        <v>1</v>
      </c>
      <c r="Q9" s="58">
        <v>0.21</v>
      </c>
      <c r="R9" s="7">
        <v>0</v>
      </c>
      <c r="S9" t="s">
        <v>36</v>
      </c>
      <c r="T9" s="213">
        <f>(O9*P9)*Q9+O9*P9</f>
        <v>29.995899999999999</v>
      </c>
      <c r="U9" t="s">
        <v>2222</v>
      </c>
      <c r="W9" s="3">
        <v>30037</v>
      </c>
      <c r="X9" s="2">
        <v>43482</v>
      </c>
      <c r="Y9" s="11" t="s">
        <v>2332</v>
      </c>
      <c r="AG9" t="s">
        <v>2227</v>
      </c>
      <c r="AH9" s="3">
        <v>43482</v>
      </c>
      <c r="AK9" s="3">
        <v>43482</v>
      </c>
    </row>
    <row r="10" spans="1:39">
      <c r="A10" s="1">
        <v>9</v>
      </c>
      <c r="B10" t="s">
        <v>33</v>
      </c>
      <c r="C10" s="2">
        <v>43489</v>
      </c>
      <c r="D10" t="s">
        <v>2230</v>
      </c>
      <c r="E10" t="s">
        <v>2231</v>
      </c>
      <c r="F10" t="s">
        <v>2232</v>
      </c>
      <c r="G10" s="6" t="s">
        <v>241</v>
      </c>
      <c r="H10" t="s">
        <v>60</v>
      </c>
      <c r="K10" s="31" t="s">
        <v>237</v>
      </c>
      <c r="L10" s="3">
        <v>43496</v>
      </c>
      <c r="M10" t="s">
        <v>35</v>
      </c>
      <c r="N10" t="s">
        <v>2330</v>
      </c>
      <c r="O10" s="7">
        <v>60</v>
      </c>
      <c r="P10" s="1">
        <v>1</v>
      </c>
      <c r="Q10" s="58">
        <v>0.21</v>
      </c>
      <c r="R10" s="7">
        <v>0</v>
      </c>
      <c r="S10" t="s">
        <v>36</v>
      </c>
      <c r="T10" s="213">
        <f t="shared" si="0"/>
        <v>72.599999999999994</v>
      </c>
      <c r="U10" t="s">
        <v>2233</v>
      </c>
      <c r="V10" s="5" t="s">
        <v>2234</v>
      </c>
      <c r="W10" s="3">
        <v>34057</v>
      </c>
      <c r="X10" s="2">
        <v>43489</v>
      </c>
      <c r="Y10" s="11" t="s">
        <v>2379</v>
      </c>
      <c r="Z10" s="2">
        <v>43550</v>
      </c>
      <c r="AA10" s="2"/>
      <c r="AC10" s="3">
        <v>43544</v>
      </c>
      <c r="AD10" t="s">
        <v>1158</v>
      </c>
      <c r="AF10" t="s">
        <v>2235</v>
      </c>
      <c r="AG10" t="s">
        <v>2236</v>
      </c>
      <c r="AH10" s="3">
        <v>43489</v>
      </c>
    </row>
    <row r="11" spans="1:39">
      <c r="A11" s="1">
        <v>10</v>
      </c>
      <c r="B11" t="s">
        <v>33</v>
      </c>
      <c r="C11" s="2">
        <v>43489</v>
      </c>
      <c r="D11" t="s">
        <v>2237</v>
      </c>
      <c r="E11" t="s">
        <v>2238</v>
      </c>
      <c r="F11" t="s">
        <v>2239</v>
      </c>
      <c r="G11" s="6" t="s">
        <v>219</v>
      </c>
      <c r="H11" t="s">
        <v>38</v>
      </c>
      <c r="I11">
        <v>631111308</v>
      </c>
      <c r="K11" t="s">
        <v>237</v>
      </c>
      <c r="L11" s="3">
        <v>43496</v>
      </c>
      <c r="M11" t="s">
        <v>35</v>
      </c>
      <c r="N11" t="s">
        <v>2240</v>
      </c>
      <c r="O11" s="7">
        <v>60</v>
      </c>
      <c r="P11" s="1">
        <v>1</v>
      </c>
      <c r="Q11" s="58">
        <v>0.21</v>
      </c>
      <c r="R11" s="7">
        <v>0</v>
      </c>
      <c r="S11" t="s">
        <v>36</v>
      </c>
      <c r="T11" s="213">
        <f t="shared" si="0"/>
        <v>72.599999999999994</v>
      </c>
      <c r="U11" t="s">
        <v>2241</v>
      </c>
      <c r="V11" s="5" t="s">
        <v>2242</v>
      </c>
      <c r="W11" s="3">
        <v>25369</v>
      </c>
      <c r="X11" s="2">
        <v>43489</v>
      </c>
      <c r="Y11" s="11" t="s">
        <v>2374</v>
      </c>
      <c r="Z11" s="2">
        <v>43546</v>
      </c>
      <c r="AA11" s="2"/>
      <c r="AD11" t="s">
        <v>1158</v>
      </c>
    </row>
    <row r="12" spans="1:39">
      <c r="A12" s="1">
        <v>11</v>
      </c>
      <c r="B12" t="s">
        <v>423</v>
      </c>
      <c r="C12" s="2">
        <v>43489</v>
      </c>
      <c r="D12" t="s">
        <v>424</v>
      </c>
      <c r="E12" t="s">
        <v>91</v>
      </c>
      <c r="F12" t="s">
        <v>2126</v>
      </c>
      <c r="G12" s="6" t="s">
        <v>219</v>
      </c>
      <c r="H12" t="s">
        <v>38</v>
      </c>
      <c r="K12" t="s">
        <v>424</v>
      </c>
      <c r="L12" s="3">
        <v>43496</v>
      </c>
      <c r="M12" t="s">
        <v>35</v>
      </c>
      <c r="N12" s="14" t="s">
        <v>2243</v>
      </c>
      <c r="O12" s="9">
        <v>60</v>
      </c>
      <c r="P12" s="1">
        <v>1</v>
      </c>
      <c r="Q12" s="58">
        <v>0.21</v>
      </c>
      <c r="R12" s="7">
        <v>0</v>
      </c>
      <c r="S12" t="s">
        <v>36</v>
      </c>
      <c r="T12" s="213">
        <f t="shared" si="0"/>
        <v>72.599999999999994</v>
      </c>
      <c r="U12" t="s">
        <v>2244</v>
      </c>
      <c r="V12" s="5" t="s">
        <v>2245</v>
      </c>
      <c r="W12" s="3">
        <v>36679</v>
      </c>
      <c r="X12" s="2">
        <v>43489</v>
      </c>
      <c r="Y12" s="11" t="s">
        <v>2334</v>
      </c>
      <c r="Z12" s="2">
        <v>43523</v>
      </c>
      <c r="AA12" s="2"/>
      <c r="AB12" s="1"/>
      <c r="AD12" t="s">
        <v>1158</v>
      </c>
      <c r="AF12" t="s">
        <v>1858</v>
      </c>
      <c r="AG12" t="s">
        <v>73</v>
      </c>
      <c r="AH12" s="3">
        <v>43489</v>
      </c>
      <c r="AK12" s="3">
        <v>43494</v>
      </c>
    </row>
    <row r="13" spans="1:39">
      <c r="A13" s="1">
        <v>12</v>
      </c>
      <c r="B13" t="s">
        <v>423</v>
      </c>
      <c r="C13" s="2">
        <v>43489</v>
      </c>
      <c r="D13" t="s">
        <v>424</v>
      </c>
      <c r="E13" t="s">
        <v>91</v>
      </c>
      <c r="F13" t="s">
        <v>2126</v>
      </c>
      <c r="G13" s="6" t="s">
        <v>219</v>
      </c>
      <c r="H13" t="s">
        <v>38</v>
      </c>
      <c r="K13" t="s">
        <v>424</v>
      </c>
      <c r="L13" s="3">
        <v>43496</v>
      </c>
      <c r="M13" t="s">
        <v>35</v>
      </c>
      <c r="N13" s="14" t="s">
        <v>2246</v>
      </c>
      <c r="O13" s="9">
        <v>60</v>
      </c>
      <c r="P13" s="1">
        <v>1</v>
      </c>
      <c r="Q13" s="58">
        <v>0.21</v>
      </c>
      <c r="R13" s="7">
        <v>0</v>
      </c>
      <c r="S13" t="s">
        <v>36</v>
      </c>
      <c r="T13" s="213">
        <f t="shared" si="0"/>
        <v>72.599999999999994</v>
      </c>
      <c r="U13" t="s">
        <v>2247</v>
      </c>
      <c r="V13" s="5" t="s">
        <v>2248</v>
      </c>
      <c r="W13" s="3">
        <v>33615</v>
      </c>
      <c r="X13" s="2">
        <v>43489</v>
      </c>
      <c r="Y13" s="11" t="s">
        <v>2334</v>
      </c>
      <c r="Z13" s="2">
        <v>43523</v>
      </c>
      <c r="AA13" s="2"/>
      <c r="AB13" s="1"/>
      <c r="AD13" t="s">
        <v>1158</v>
      </c>
      <c r="AF13" t="s">
        <v>1858</v>
      </c>
      <c r="AG13" t="s">
        <v>73</v>
      </c>
      <c r="AH13" s="3">
        <v>43489</v>
      </c>
      <c r="AK13" s="3">
        <v>43494</v>
      </c>
    </row>
    <row r="14" spans="1:39">
      <c r="A14" s="1">
        <v>13</v>
      </c>
      <c r="B14" t="s">
        <v>52</v>
      </c>
      <c r="C14" s="2">
        <v>43489</v>
      </c>
      <c r="D14" t="s">
        <v>1802</v>
      </c>
      <c r="E14" t="s">
        <v>2249</v>
      </c>
      <c r="F14" t="s">
        <v>1804</v>
      </c>
      <c r="G14" s="6" t="s">
        <v>230</v>
      </c>
      <c r="H14" t="s">
        <v>34</v>
      </c>
      <c r="I14">
        <v>698504128</v>
      </c>
      <c r="K14" s="31" t="s">
        <v>53</v>
      </c>
      <c r="L14" s="3">
        <v>43496</v>
      </c>
      <c r="M14" t="s">
        <v>35</v>
      </c>
      <c r="N14" t="s">
        <v>2250</v>
      </c>
      <c r="O14" s="7">
        <v>60</v>
      </c>
      <c r="P14" s="1">
        <v>1</v>
      </c>
      <c r="Q14" s="58">
        <v>0.21</v>
      </c>
      <c r="R14" s="7">
        <v>0</v>
      </c>
      <c r="S14" t="s">
        <v>36</v>
      </c>
      <c r="T14" s="213">
        <f t="shared" si="0"/>
        <v>72.599999999999994</v>
      </c>
      <c r="U14" t="s">
        <v>2251</v>
      </c>
      <c r="V14" s="5" t="s">
        <v>2252</v>
      </c>
      <c r="W14" s="3">
        <v>30682</v>
      </c>
      <c r="X14" s="2">
        <v>43489</v>
      </c>
      <c r="Y14" s="13" t="s">
        <v>2378</v>
      </c>
      <c r="Z14" s="2">
        <v>43550</v>
      </c>
      <c r="AA14" s="2"/>
      <c r="AB14" t="s">
        <v>215</v>
      </c>
      <c r="AD14" t="s">
        <v>1158</v>
      </c>
    </row>
    <row r="15" spans="1:39">
      <c r="A15" s="1">
        <v>14</v>
      </c>
      <c r="B15" t="s">
        <v>52</v>
      </c>
      <c r="C15" s="2">
        <v>43489</v>
      </c>
      <c r="D15" t="s">
        <v>66</v>
      </c>
      <c r="E15" t="s">
        <v>65</v>
      </c>
      <c r="F15" t="s">
        <v>122</v>
      </c>
      <c r="G15" s="6" t="s">
        <v>230</v>
      </c>
      <c r="H15" t="s">
        <v>34</v>
      </c>
      <c r="I15">
        <v>631931029</v>
      </c>
      <c r="K15" t="s">
        <v>53</v>
      </c>
      <c r="L15" s="3">
        <v>43496</v>
      </c>
      <c r="M15" t="s">
        <v>35</v>
      </c>
      <c r="N15" t="s">
        <v>2253</v>
      </c>
      <c r="O15" s="7">
        <v>60</v>
      </c>
      <c r="P15" s="1">
        <v>1</v>
      </c>
      <c r="Q15" s="58">
        <v>0.21</v>
      </c>
      <c r="R15" s="7">
        <v>0</v>
      </c>
      <c r="S15" t="s">
        <v>36</v>
      </c>
      <c r="T15" s="213">
        <f t="shared" si="0"/>
        <v>72.599999999999994</v>
      </c>
      <c r="U15" t="s">
        <v>2254</v>
      </c>
      <c r="V15" s="5" t="s">
        <v>2255</v>
      </c>
      <c r="W15" s="3">
        <v>35442</v>
      </c>
      <c r="X15" s="2">
        <v>43489</v>
      </c>
      <c r="Y15" s="11" t="s">
        <v>2371</v>
      </c>
      <c r="Z15" s="2">
        <v>43539</v>
      </c>
      <c r="AA15" s="2"/>
      <c r="AD15" t="s">
        <v>1158</v>
      </c>
    </row>
    <row r="16" spans="1:39">
      <c r="A16" s="1">
        <v>15</v>
      </c>
      <c r="B16" t="s">
        <v>52</v>
      </c>
      <c r="C16" s="2">
        <v>43489</v>
      </c>
      <c r="D16" t="s">
        <v>66</v>
      </c>
      <c r="E16" t="s">
        <v>65</v>
      </c>
      <c r="F16" t="s">
        <v>122</v>
      </c>
      <c r="G16" s="6" t="s">
        <v>230</v>
      </c>
      <c r="H16" t="s">
        <v>34</v>
      </c>
      <c r="I16">
        <v>631931029</v>
      </c>
      <c r="K16" t="s">
        <v>53</v>
      </c>
      <c r="L16" s="3">
        <v>43496</v>
      </c>
      <c r="M16" t="s">
        <v>35</v>
      </c>
      <c r="N16" t="s">
        <v>2256</v>
      </c>
      <c r="O16" s="7">
        <v>60</v>
      </c>
      <c r="P16" s="1">
        <v>1</v>
      </c>
      <c r="Q16" s="58">
        <v>0.21</v>
      </c>
      <c r="R16" s="7">
        <v>0</v>
      </c>
      <c r="S16" t="s">
        <v>36</v>
      </c>
      <c r="T16" s="213">
        <f t="shared" si="0"/>
        <v>72.599999999999994</v>
      </c>
      <c r="U16" t="s">
        <v>2257</v>
      </c>
      <c r="V16" s="5" t="s">
        <v>2258</v>
      </c>
      <c r="W16" s="3">
        <v>33197</v>
      </c>
      <c r="X16" s="2">
        <v>43489</v>
      </c>
      <c r="Y16" s="11" t="s">
        <v>2371</v>
      </c>
      <c r="AD16" t="s">
        <v>1158</v>
      </c>
    </row>
    <row r="17" spans="1:37">
      <c r="A17" s="30">
        <v>16</v>
      </c>
      <c r="B17" t="s">
        <v>52</v>
      </c>
      <c r="C17" s="2">
        <v>43489</v>
      </c>
      <c r="D17" s="31" t="s">
        <v>256</v>
      </c>
      <c r="E17" s="31" t="s">
        <v>155</v>
      </c>
      <c r="F17" s="31" t="s">
        <v>138</v>
      </c>
      <c r="G17" s="33" t="s">
        <v>227</v>
      </c>
      <c r="H17" s="31" t="s">
        <v>203</v>
      </c>
      <c r="I17" s="31">
        <v>631130911</v>
      </c>
      <c r="J17" s="31"/>
      <c r="K17" s="31" t="s">
        <v>53</v>
      </c>
      <c r="L17" s="34">
        <v>43496</v>
      </c>
      <c r="M17" s="31" t="s">
        <v>35</v>
      </c>
      <c r="N17" s="14" t="s">
        <v>2259</v>
      </c>
      <c r="O17" s="50">
        <v>60</v>
      </c>
      <c r="P17" s="1">
        <v>1</v>
      </c>
      <c r="Q17" s="58">
        <v>0.21</v>
      </c>
      <c r="R17" s="7">
        <v>0</v>
      </c>
      <c r="S17" t="s">
        <v>36</v>
      </c>
      <c r="T17" s="213">
        <f t="shared" si="0"/>
        <v>72.599999999999994</v>
      </c>
      <c r="U17" t="s">
        <v>2260</v>
      </c>
      <c r="V17" s="5" t="s">
        <v>2261</v>
      </c>
      <c r="W17" s="3">
        <v>32107</v>
      </c>
      <c r="X17" s="2">
        <v>43489</v>
      </c>
      <c r="Y17" s="11" t="s">
        <v>2569</v>
      </c>
      <c r="Z17" s="2">
        <v>43566</v>
      </c>
      <c r="AA17" s="2"/>
      <c r="AB17" s="1"/>
      <c r="AC17" s="3"/>
      <c r="AD17" t="s">
        <v>1158</v>
      </c>
      <c r="AG17" t="s">
        <v>2262</v>
      </c>
      <c r="AH17" s="3">
        <v>43489</v>
      </c>
      <c r="AK17" s="3">
        <v>43522</v>
      </c>
    </row>
    <row r="18" spans="1:37">
      <c r="A18" s="1">
        <v>17</v>
      </c>
      <c r="B18" t="s">
        <v>40</v>
      </c>
      <c r="C18" s="2">
        <v>43503</v>
      </c>
      <c r="D18" t="s">
        <v>2270</v>
      </c>
      <c r="E18" t="s">
        <v>2271</v>
      </c>
      <c r="F18" t="s">
        <v>2272</v>
      </c>
      <c r="G18" s="6" t="s">
        <v>2273</v>
      </c>
      <c r="H18" t="s">
        <v>2274</v>
      </c>
      <c r="I18">
        <v>647617879</v>
      </c>
      <c r="K18" t="s">
        <v>2275</v>
      </c>
      <c r="L18" s="3">
        <v>43524</v>
      </c>
      <c r="M18" t="s">
        <v>35</v>
      </c>
      <c r="N18" t="s">
        <v>2276</v>
      </c>
      <c r="O18" s="7">
        <v>60</v>
      </c>
      <c r="P18" s="1">
        <v>1</v>
      </c>
      <c r="Q18" s="58">
        <v>0.21</v>
      </c>
      <c r="R18" s="7">
        <v>0</v>
      </c>
      <c r="S18" t="s">
        <v>36</v>
      </c>
      <c r="T18" s="213">
        <f t="shared" si="0"/>
        <v>72.599999999999994</v>
      </c>
      <c r="U18" t="s">
        <v>2277</v>
      </c>
      <c r="V18" s="5" t="s">
        <v>2278</v>
      </c>
      <c r="W18" s="3">
        <v>36124</v>
      </c>
      <c r="X18" s="2">
        <v>43503</v>
      </c>
      <c r="Y18" s="11" t="s">
        <v>2340</v>
      </c>
      <c r="Z18" s="2">
        <v>43530</v>
      </c>
      <c r="AA18" s="2"/>
      <c r="AD18" t="s">
        <v>1158</v>
      </c>
      <c r="AF18" t="s">
        <v>1858</v>
      </c>
    </row>
    <row r="19" spans="1:37">
      <c r="A19" s="1">
        <v>18</v>
      </c>
      <c r="B19" t="s">
        <v>61</v>
      </c>
      <c r="C19" s="2">
        <v>43503</v>
      </c>
      <c r="D19" t="s">
        <v>2279</v>
      </c>
      <c r="E19" t="s">
        <v>2280</v>
      </c>
      <c r="F19" t="s">
        <v>2281</v>
      </c>
      <c r="G19" s="6" t="s">
        <v>2282</v>
      </c>
      <c r="H19" t="s">
        <v>60</v>
      </c>
      <c r="I19">
        <v>631244121</v>
      </c>
      <c r="K19" t="s">
        <v>2279</v>
      </c>
      <c r="L19" s="3">
        <v>43524</v>
      </c>
      <c r="M19" t="s">
        <v>35</v>
      </c>
      <c r="N19" t="s">
        <v>2283</v>
      </c>
      <c r="O19" s="7">
        <v>60</v>
      </c>
      <c r="P19" s="1">
        <v>1</v>
      </c>
      <c r="Q19" s="58">
        <v>0.21</v>
      </c>
      <c r="R19" s="7">
        <v>0</v>
      </c>
      <c r="S19" t="s">
        <v>36</v>
      </c>
      <c r="T19" s="213">
        <f t="shared" si="0"/>
        <v>72.599999999999994</v>
      </c>
      <c r="U19" t="s">
        <v>2284</v>
      </c>
      <c r="V19" s="5" t="s">
        <v>2285</v>
      </c>
      <c r="W19" s="3">
        <v>32863</v>
      </c>
      <c r="X19" s="2">
        <v>43503</v>
      </c>
      <c r="Y19" s="11" t="s">
        <v>2931</v>
      </c>
      <c r="AD19" t="s">
        <v>1158</v>
      </c>
    </row>
    <row r="20" spans="1:37">
      <c r="A20" s="1">
        <v>19</v>
      </c>
      <c r="B20" t="s">
        <v>59</v>
      </c>
      <c r="C20" s="2">
        <v>43503</v>
      </c>
      <c r="D20" t="s">
        <v>2286</v>
      </c>
      <c r="E20" t="s">
        <v>2287</v>
      </c>
      <c r="F20" t="s">
        <v>2288</v>
      </c>
      <c r="G20" s="6" t="s">
        <v>294</v>
      </c>
      <c r="H20" t="s">
        <v>103</v>
      </c>
      <c r="I20">
        <v>649440798</v>
      </c>
      <c r="K20" t="s">
        <v>2286</v>
      </c>
      <c r="L20" s="3">
        <v>43524</v>
      </c>
      <c r="M20" t="s">
        <v>35</v>
      </c>
      <c r="N20" t="s">
        <v>355</v>
      </c>
      <c r="O20" s="7">
        <v>60</v>
      </c>
      <c r="P20" s="1">
        <v>1</v>
      </c>
      <c r="Q20" s="58">
        <v>0.21</v>
      </c>
      <c r="R20" s="7">
        <v>0</v>
      </c>
      <c r="S20" t="s">
        <v>36</v>
      </c>
      <c r="T20" s="213">
        <f t="shared" si="0"/>
        <v>72.599999999999994</v>
      </c>
      <c r="U20" t="s">
        <v>179</v>
      </c>
      <c r="V20" s="5" t="s">
        <v>2289</v>
      </c>
      <c r="W20" s="3">
        <v>30682</v>
      </c>
      <c r="X20" s="2">
        <v>43503</v>
      </c>
      <c r="Y20" s="11" t="s">
        <v>2340</v>
      </c>
      <c r="Z20" s="2">
        <v>43530</v>
      </c>
      <c r="AA20" s="2"/>
      <c r="AD20" t="s">
        <v>1158</v>
      </c>
      <c r="AF20" t="s">
        <v>1858</v>
      </c>
    </row>
    <row r="21" spans="1:37">
      <c r="A21" s="1">
        <v>20</v>
      </c>
      <c r="B21" t="s">
        <v>119</v>
      </c>
      <c r="C21" s="2">
        <v>43503</v>
      </c>
      <c r="D21" t="s">
        <v>2290</v>
      </c>
      <c r="E21" t="s">
        <v>2188</v>
      </c>
      <c r="F21" t="s">
        <v>2189</v>
      </c>
      <c r="G21" s="6" t="s">
        <v>242</v>
      </c>
      <c r="H21" t="s">
        <v>1474</v>
      </c>
      <c r="I21">
        <v>632637235</v>
      </c>
      <c r="K21" s="31" t="s">
        <v>174</v>
      </c>
      <c r="L21" s="3">
        <v>43524</v>
      </c>
      <c r="M21" t="s">
        <v>35</v>
      </c>
      <c r="N21" s="14" t="s">
        <v>2291</v>
      </c>
      <c r="O21" s="7">
        <v>60</v>
      </c>
      <c r="P21" s="1">
        <v>1</v>
      </c>
      <c r="Q21" s="58">
        <v>0.21</v>
      </c>
      <c r="R21" s="7">
        <v>0</v>
      </c>
      <c r="S21" t="s">
        <v>36</v>
      </c>
      <c r="T21" s="213">
        <f t="shared" si="0"/>
        <v>72.599999999999994</v>
      </c>
      <c r="U21" t="s">
        <v>2292</v>
      </c>
      <c r="V21" s="5" t="s">
        <v>2293</v>
      </c>
      <c r="W21" s="3">
        <v>31537</v>
      </c>
      <c r="X21" s="2">
        <v>43503</v>
      </c>
      <c r="Y21" s="11" t="s">
        <v>2380</v>
      </c>
      <c r="Z21" s="2">
        <v>43556</v>
      </c>
      <c r="AA21" s="2"/>
      <c r="AB21" s="1"/>
      <c r="AD21" t="s">
        <v>1158</v>
      </c>
      <c r="AG21" t="s">
        <v>77</v>
      </c>
      <c r="AH21" s="2">
        <v>43503</v>
      </c>
      <c r="AK21" s="3">
        <v>43515</v>
      </c>
    </row>
    <row r="22" spans="1:37">
      <c r="A22" s="1">
        <v>21</v>
      </c>
      <c r="B22" t="s">
        <v>37</v>
      </c>
      <c r="C22" s="2">
        <v>43504</v>
      </c>
      <c r="D22" t="s">
        <v>2294</v>
      </c>
      <c r="E22" t="s">
        <v>2295</v>
      </c>
      <c r="F22" t="s">
        <v>2296</v>
      </c>
      <c r="G22" s="6" t="s">
        <v>239</v>
      </c>
      <c r="H22" t="s">
        <v>108</v>
      </c>
      <c r="K22" t="s">
        <v>2294</v>
      </c>
      <c r="L22" s="3">
        <v>43524</v>
      </c>
      <c r="M22" t="s">
        <v>35</v>
      </c>
      <c r="N22" t="s">
        <v>2297</v>
      </c>
      <c r="O22" s="7">
        <v>49.59</v>
      </c>
      <c r="P22" s="1">
        <v>1</v>
      </c>
      <c r="Q22" s="58">
        <v>0.21</v>
      </c>
      <c r="R22" s="7">
        <v>0</v>
      </c>
      <c r="S22" t="s">
        <v>36</v>
      </c>
      <c r="T22" s="213">
        <f t="shared" si="0"/>
        <v>60.003900000000002</v>
      </c>
      <c r="U22" t="s">
        <v>2298</v>
      </c>
      <c r="V22" s="5" t="s">
        <v>2299</v>
      </c>
      <c r="W22" s="3">
        <v>35986</v>
      </c>
      <c r="X22" s="2">
        <v>43504</v>
      </c>
      <c r="Y22" s="13" t="s">
        <v>2341</v>
      </c>
      <c r="Z22" s="2">
        <v>43530</v>
      </c>
      <c r="AA22" s="2"/>
      <c r="AD22" t="s">
        <v>1158</v>
      </c>
      <c r="AF22" t="s">
        <v>1858</v>
      </c>
      <c r="AG22" t="s">
        <v>77</v>
      </c>
      <c r="AH22" s="3">
        <v>43504</v>
      </c>
      <c r="AK22" s="3">
        <v>43515</v>
      </c>
    </row>
    <row r="23" spans="1:37">
      <c r="A23" s="1">
        <v>22</v>
      </c>
      <c r="B23" t="s">
        <v>40</v>
      </c>
      <c r="C23" s="2">
        <v>43504</v>
      </c>
      <c r="D23" t="s">
        <v>2300</v>
      </c>
      <c r="E23" t="s">
        <v>2301</v>
      </c>
      <c r="F23" t="s">
        <v>2302</v>
      </c>
      <c r="G23" s="6" t="s">
        <v>236</v>
      </c>
      <c r="H23" t="s">
        <v>2199</v>
      </c>
      <c r="I23">
        <v>637818555</v>
      </c>
      <c r="K23" t="s">
        <v>2300</v>
      </c>
      <c r="L23" s="3">
        <v>43524</v>
      </c>
      <c r="M23" t="s">
        <v>35</v>
      </c>
      <c r="N23" t="s">
        <v>2303</v>
      </c>
      <c r="O23" s="7">
        <v>60</v>
      </c>
      <c r="P23" s="1">
        <v>1</v>
      </c>
      <c r="Q23" s="58">
        <v>0.21</v>
      </c>
      <c r="R23" s="7">
        <v>0</v>
      </c>
      <c r="S23" t="s">
        <v>36</v>
      </c>
      <c r="T23" s="213">
        <f t="shared" si="0"/>
        <v>72.599999999999994</v>
      </c>
      <c r="U23" t="s">
        <v>2304</v>
      </c>
      <c r="V23" s="5" t="s">
        <v>2305</v>
      </c>
      <c r="W23" s="3">
        <v>34824</v>
      </c>
      <c r="X23" s="2">
        <v>43504</v>
      </c>
      <c r="Y23" s="11" t="s">
        <v>2340</v>
      </c>
      <c r="Z23" s="2">
        <v>43530</v>
      </c>
      <c r="AA23" s="2"/>
      <c r="AD23" t="s">
        <v>1158</v>
      </c>
      <c r="AF23" t="s">
        <v>2306</v>
      </c>
    </row>
    <row r="24" spans="1:37">
      <c r="A24" s="1">
        <v>23</v>
      </c>
      <c r="B24" t="s">
        <v>82</v>
      </c>
      <c r="C24" s="2">
        <v>43504</v>
      </c>
      <c r="D24" t="s">
        <v>2307</v>
      </c>
      <c r="E24" t="s">
        <v>2308</v>
      </c>
      <c r="F24" t="s">
        <v>2309</v>
      </c>
      <c r="G24" s="6" t="s">
        <v>242</v>
      </c>
      <c r="H24" t="s">
        <v>1474</v>
      </c>
      <c r="I24">
        <v>629246817</v>
      </c>
      <c r="K24" t="s">
        <v>2307</v>
      </c>
      <c r="L24" s="3">
        <v>43524</v>
      </c>
      <c r="M24" t="s">
        <v>35</v>
      </c>
      <c r="N24" t="s">
        <v>2310</v>
      </c>
      <c r="O24" s="7">
        <v>49.59</v>
      </c>
      <c r="P24" s="1">
        <v>1</v>
      </c>
      <c r="Q24" s="58">
        <v>0.21</v>
      </c>
      <c r="R24" s="7">
        <v>0</v>
      </c>
      <c r="S24" t="s">
        <v>36</v>
      </c>
      <c r="T24" s="213">
        <f t="shared" si="0"/>
        <v>60.003900000000002</v>
      </c>
      <c r="U24" t="s">
        <v>2311</v>
      </c>
      <c r="V24" s="5" t="s">
        <v>2312</v>
      </c>
      <c r="W24" s="3">
        <v>36456</v>
      </c>
      <c r="X24" s="2">
        <v>43504</v>
      </c>
      <c r="Y24" s="11" t="s">
        <v>2340</v>
      </c>
      <c r="Z24" s="2">
        <v>43530</v>
      </c>
      <c r="AA24" s="2"/>
      <c r="AD24" t="s">
        <v>1158</v>
      </c>
      <c r="AG24" t="s">
        <v>77</v>
      </c>
      <c r="AH24" s="3">
        <v>43504</v>
      </c>
      <c r="AK24" s="3">
        <v>43515</v>
      </c>
    </row>
    <row r="25" spans="1:37">
      <c r="A25" s="1">
        <v>24</v>
      </c>
      <c r="B25" t="s">
        <v>37</v>
      </c>
      <c r="C25" s="2">
        <v>43507</v>
      </c>
      <c r="D25" s="68" t="s">
        <v>2319</v>
      </c>
      <c r="E25" s="68" t="s">
        <v>2320</v>
      </c>
      <c r="F25" s="68" t="s">
        <v>2321</v>
      </c>
      <c r="G25" s="6" t="s">
        <v>219</v>
      </c>
      <c r="H25" s="68" t="s">
        <v>38</v>
      </c>
      <c r="I25" s="68"/>
      <c r="J25" s="68"/>
      <c r="K25" s="68" t="s">
        <v>2319</v>
      </c>
      <c r="L25" s="3">
        <v>43524</v>
      </c>
      <c r="M25" s="68" t="s">
        <v>35</v>
      </c>
      <c r="N25" t="s">
        <v>2322</v>
      </c>
      <c r="O25" s="7">
        <v>0</v>
      </c>
      <c r="P25" s="1">
        <v>1</v>
      </c>
      <c r="Q25" s="58">
        <v>0.21</v>
      </c>
      <c r="R25" s="7">
        <v>0</v>
      </c>
      <c r="S25" t="s">
        <v>36</v>
      </c>
      <c r="T25" s="213">
        <f t="shared" si="0"/>
        <v>0</v>
      </c>
      <c r="U25" t="s">
        <v>2324</v>
      </c>
      <c r="V25" s="5" t="s">
        <v>2326</v>
      </c>
      <c r="W25" s="3">
        <v>39102</v>
      </c>
      <c r="X25" s="2">
        <v>43507</v>
      </c>
      <c r="Y25" s="11" t="s">
        <v>2342</v>
      </c>
      <c r="AH25" s="3"/>
    </row>
    <row r="26" spans="1:37">
      <c r="A26" s="1">
        <v>25</v>
      </c>
      <c r="B26" t="s">
        <v>37</v>
      </c>
      <c r="C26" s="2">
        <v>43507</v>
      </c>
      <c r="D26" s="68" t="s">
        <v>2319</v>
      </c>
      <c r="E26" s="68" t="s">
        <v>2320</v>
      </c>
      <c r="F26" s="68" t="s">
        <v>2321</v>
      </c>
      <c r="G26" s="6" t="s">
        <v>219</v>
      </c>
      <c r="H26" s="68" t="s">
        <v>38</v>
      </c>
      <c r="I26" s="68"/>
      <c r="J26" s="68"/>
      <c r="K26" s="68" t="s">
        <v>2319</v>
      </c>
      <c r="L26" s="3">
        <v>43524</v>
      </c>
      <c r="M26" s="68" t="s">
        <v>35</v>
      </c>
      <c r="N26" t="s">
        <v>2323</v>
      </c>
      <c r="O26" s="7">
        <v>0</v>
      </c>
      <c r="P26" s="1">
        <v>1</v>
      </c>
      <c r="Q26" s="58">
        <v>0.21</v>
      </c>
      <c r="R26" s="7">
        <v>0</v>
      </c>
      <c r="S26" t="s">
        <v>36</v>
      </c>
      <c r="T26" s="213">
        <f t="shared" si="0"/>
        <v>0</v>
      </c>
      <c r="U26" t="s">
        <v>2325</v>
      </c>
      <c r="V26" s="5" t="s">
        <v>2327</v>
      </c>
      <c r="W26" s="3">
        <v>38452</v>
      </c>
      <c r="X26" s="2">
        <v>43507</v>
      </c>
      <c r="Y26" s="11" t="s">
        <v>2342</v>
      </c>
      <c r="AH26" s="3"/>
    </row>
    <row r="27" spans="1:37">
      <c r="A27" s="1">
        <v>26</v>
      </c>
      <c r="B27" t="s">
        <v>37</v>
      </c>
      <c r="C27" s="2">
        <v>43508</v>
      </c>
      <c r="D27" t="s">
        <v>223</v>
      </c>
      <c r="E27" t="s">
        <v>224</v>
      </c>
      <c r="F27" t="s">
        <v>2313</v>
      </c>
      <c r="G27" s="6" t="s">
        <v>226</v>
      </c>
      <c r="H27" t="s">
        <v>86</v>
      </c>
      <c r="I27">
        <v>666729001</v>
      </c>
      <c r="K27" t="s">
        <v>223</v>
      </c>
      <c r="L27" s="3">
        <v>43524</v>
      </c>
      <c r="M27" t="s">
        <v>35</v>
      </c>
      <c r="N27" t="s">
        <v>453</v>
      </c>
      <c r="O27" s="7">
        <v>30</v>
      </c>
      <c r="P27" s="1">
        <v>1</v>
      </c>
      <c r="Q27" s="58">
        <v>0.21</v>
      </c>
      <c r="R27" s="7">
        <v>0</v>
      </c>
      <c r="S27" t="s">
        <v>36</v>
      </c>
      <c r="T27" s="213">
        <f t="shared" si="0"/>
        <v>36.299999999999997</v>
      </c>
      <c r="U27" t="s">
        <v>223</v>
      </c>
      <c r="W27" s="3">
        <v>29600</v>
      </c>
      <c r="X27" s="2">
        <v>43508</v>
      </c>
      <c r="Y27" s="11" t="s">
        <v>2380</v>
      </c>
      <c r="Z27" s="2">
        <v>43556</v>
      </c>
      <c r="AA27" s="2"/>
      <c r="AD27" t="s">
        <v>1158</v>
      </c>
    </row>
    <row r="28" spans="1:37" s="31" customFormat="1">
      <c r="A28" s="1">
        <v>27</v>
      </c>
      <c r="B28" t="s">
        <v>33</v>
      </c>
      <c r="C28" s="32">
        <v>43511</v>
      </c>
      <c r="D28" t="s">
        <v>163</v>
      </c>
      <c r="E28" t="s">
        <v>164</v>
      </c>
      <c r="F28" t="s">
        <v>165</v>
      </c>
      <c r="G28" s="6" t="s">
        <v>304</v>
      </c>
      <c r="H28" t="s">
        <v>68</v>
      </c>
      <c r="I28" s="31">
        <v>615727399</v>
      </c>
      <c r="K28" s="31" t="s">
        <v>237</v>
      </c>
      <c r="L28" s="34">
        <v>43524</v>
      </c>
      <c r="M28" t="s">
        <v>35</v>
      </c>
      <c r="N28" s="14" t="s">
        <v>2314</v>
      </c>
      <c r="O28" s="9">
        <v>30</v>
      </c>
      <c r="P28" s="1">
        <v>1</v>
      </c>
      <c r="Q28" s="58">
        <v>0.21</v>
      </c>
      <c r="R28" s="7">
        <v>0</v>
      </c>
      <c r="S28" t="s">
        <v>36</v>
      </c>
      <c r="T28" s="213">
        <f t="shared" si="0"/>
        <v>36.299999999999997</v>
      </c>
      <c r="U28" t="s">
        <v>1016</v>
      </c>
      <c r="V28" s="5"/>
      <c r="W28" s="34">
        <v>35041</v>
      </c>
      <c r="X28" s="32">
        <v>43511</v>
      </c>
      <c r="Y28" s="11" t="s">
        <v>2381</v>
      </c>
      <c r="Z28" s="32">
        <v>43556</v>
      </c>
      <c r="AA28" s="32"/>
      <c r="AB28"/>
      <c r="AD28"/>
      <c r="AE28"/>
      <c r="AF28"/>
      <c r="AI28" s="34"/>
    </row>
    <row r="29" spans="1:37">
      <c r="A29" s="1">
        <v>28</v>
      </c>
      <c r="B29" t="s">
        <v>59</v>
      </c>
      <c r="C29" s="2">
        <v>43516</v>
      </c>
      <c r="D29" t="s">
        <v>1059</v>
      </c>
      <c r="E29" t="s">
        <v>1060</v>
      </c>
      <c r="F29" t="s">
        <v>2328</v>
      </c>
      <c r="G29" s="6" t="s">
        <v>1062</v>
      </c>
      <c r="H29" t="s">
        <v>1063</v>
      </c>
      <c r="K29" t="s">
        <v>1059</v>
      </c>
      <c r="L29" s="3">
        <v>43524</v>
      </c>
      <c r="M29" t="s">
        <v>35</v>
      </c>
      <c r="N29" t="s">
        <v>2329</v>
      </c>
      <c r="O29" s="7">
        <v>30</v>
      </c>
      <c r="P29" s="1">
        <v>1</v>
      </c>
      <c r="Q29" s="58">
        <v>0.21</v>
      </c>
      <c r="R29" s="7">
        <v>0</v>
      </c>
      <c r="S29" t="s">
        <v>36</v>
      </c>
      <c r="T29" s="213">
        <f t="shared" si="0"/>
        <v>36.299999999999997</v>
      </c>
      <c r="U29" t="s">
        <v>1065</v>
      </c>
      <c r="W29" s="3">
        <v>30331</v>
      </c>
      <c r="X29" s="2">
        <v>43516</v>
      </c>
      <c r="Y29" s="11" t="s">
        <v>2445</v>
      </c>
      <c r="Z29" s="2">
        <v>43565</v>
      </c>
      <c r="AA29" s="2"/>
      <c r="AD29" t="s">
        <v>1158</v>
      </c>
    </row>
    <row r="30" spans="1:37">
      <c r="A30" s="1">
        <v>29</v>
      </c>
      <c r="B30" t="s">
        <v>37</v>
      </c>
      <c r="C30" s="2">
        <v>43529</v>
      </c>
      <c r="E30" t="s">
        <v>2336</v>
      </c>
      <c r="L30" s="3">
        <v>43555</v>
      </c>
      <c r="M30" t="s">
        <v>35</v>
      </c>
      <c r="N30" t="s">
        <v>2337</v>
      </c>
      <c r="O30" s="7">
        <v>0</v>
      </c>
      <c r="P30" s="1">
        <v>1</v>
      </c>
      <c r="Q30" s="58">
        <v>0.21</v>
      </c>
      <c r="R30" s="7">
        <v>0</v>
      </c>
      <c r="S30" t="s">
        <v>36</v>
      </c>
      <c r="T30" s="213">
        <f t="shared" si="0"/>
        <v>0</v>
      </c>
      <c r="U30" t="s">
        <v>2338</v>
      </c>
      <c r="V30" s="5" t="s">
        <v>2339</v>
      </c>
      <c r="W30" s="3">
        <v>36313</v>
      </c>
      <c r="X30" s="2">
        <v>43529</v>
      </c>
      <c r="Y30" s="11" t="s">
        <v>2694</v>
      </c>
      <c r="Z30" s="2">
        <v>43644</v>
      </c>
      <c r="AA30" s="2"/>
      <c r="AD30" t="s">
        <v>1158</v>
      </c>
    </row>
    <row r="31" spans="1:37">
      <c r="A31" s="1">
        <v>30</v>
      </c>
      <c r="B31" t="s">
        <v>119</v>
      </c>
      <c r="C31" s="2">
        <v>43531</v>
      </c>
      <c r="D31" t="s">
        <v>2443</v>
      </c>
      <c r="E31" t="s">
        <v>2343</v>
      </c>
      <c r="F31" t="s">
        <v>2444</v>
      </c>
      <c r="G31" s="6" t="s">
        <v>239</v>
      </c>
      <c r="H31" t="s">
        <v>108</v>
      </c>
      <c r="K31" s="31" t="s">
        <v>174</v>
      </c>
      <c r="L31" s="3">
        <v>43555</v>
      </c>
      <c r="M31" t="s">
        <v>35</v>
      </c>
      <c r="N31" t="s">
        <v>2344</v>
      </c>
      <c r="O31" s="7">
        <v>60</v>
      </c>
      <c r="P31" s="1">
        <v>1</v>
      </c>
      <c r="Q31" s="58">
        <v>0.21</v>
      </c>
      <c r="R31" s="7">
        <v>0</v>
      </c>
      <c r="S31" t="s">
        <v>36</v>
      </c>
      <c r="T31" s="213">
        <f t="shared" si="0"/>
        <v>72.599999999999994</v>
      </c>
      <c r="U31" t="s">
        <v>2345</v>
      </c>
      <c r="V31" s="5" t="s">
        <v>2346</v>
      </c>
      <c r="W31" s="3">
        <v>31070</v>
      </c>
      <c r="X31" s="2">
        <v>43531</v>
      </c>
      <c r="Y31" s="11" t="s">
        <v>1326</v>
      </c>
      <c r="Z31" s="2">
        <v>43643</v>
      </c>
      <c r="AA31" s="2"/>
      <c r="AC31" s="3">
        <v>43616</v>
      </c>
      <c r="AD31" t="s">
        <v>1158</v>
      </c>
      <c r="AG31" t="s">
        <v>2347</v>
      </c>
      <c r="AH31" s="3">
        <v>43531</v>
      </c>
    </row>
    <row r="32" spans="1:37">
      <c r="A32" s="1">
        <v>31</v>
      </c>
      <c r="B32" t="s">
        <v>119</v>
      </c>
      <c r="C32" s="2">
        <v>43531</v>
      </c>
      <c r="D32" t="s">
        <v>2348</v>
      </c>
      <c r="E32" t="s">
        <v>2349</v>
      </c>
      <c r="F32" t="s">
        <v>2350</v>
      </c>
      <c r="G32" s="6" t="s">
        <v>242</v>
      </c>
      <c r="H32" t="s">
        <v>1474</v>
      </c>
      <c r="I32">
        <v>661867747</v>
      </c>
      <c r="K32" t="s">
        <v>174</v>
      </c>
      <c r="L32" s="3">
        <v>43555</v>
      </c>
      <c r="M32" t="s">
        <v>35</v>
      </c>
      <c r="N32" t="s">
        <v>2344</v>
      </c>
      <c r="O32" s="7">
        <v>60</v>
      </c>
      <c r="P32" s="1">
        <v>1</v>
      </c>
      <c r="Q32" s="58">
        <v>0.21</v>
      </c>
      <c r="R32" s="7">
        <v>0</v>
      </c>
      <c r="S32" t="s">
        <v>36</v>
      </c>
      <c r="T32" s="213">
        <f t="shared" si="0"/>
        <v>72.599999999999994</v>
      </c>
      <c r="U32" t="s">
        <v>2571</v>
      </c>
      <c r="V32" s="5" t="s">
        <v>2572</v>
      </c>
      <c r="W32" s="3">
        <v>34535</v>
      </c>
      <c r="X32" s="2">
        <v>43531</v>
      </c>
      <c r="Y32" s="11" t="s">
        <v>2573</v>
      </c>
      <c r="Z32" s="2">
        <v>43593</v>
      </c>
      <c r="AA32" s="2"/>
      <c r="AD32" t="s">
        <v>1158</v>
      </c>
    </row>
    <row r="33" spans="1:37">
      <c r="A33" s="1">
        <v>32</v>
      </c>
      <c r="B33" t="s">
        <v>80</v>
      </c>
      <c r="C33" s="2">
        <v>43531</v>
      </c>
      <c r="D33" t="s">
        <v>2351</v>
      </c>
      <c r="E33" t="s">
        <v>2352</v>
      </c>
      <c r="F33" t="s">
        <v>2353</v>
      </c>
      <c r="G33" s="6" t="s">
        <v>245</v>
      </c>
      <c r="H33" t="s">
        <v>54</v>
      </c>
      <c r="K33" t="s">
        <v>2351</v>
      </c>
      <c r="L33" s="3">
        <v>43555</v>
      </c>
      <c r="M33" t="s">
        <v>35</v>
      </c>
      <c r="N33" t="s">
        <v>1846</v>
      </c>
      <c r="O33" s="7">
        <v>0</v>
      </c>
      <c r="P33" s="1">
        <v>1</v>
      </c>
      <c r="Q33" s="58">
        <v>0.21</v>
      </c>
      <c r="R33" s="7">
        <v>0</v>
      </c>
      <c r="S33" t="s">
        <v>36</v>
      </c>
      <c r="T33" s="213">
        <f t="shared" si="0"/>
        <v>0</v>
      </c>
      <c r="U33" t="s">
        <v>1847</v>
      </c>
      <c r="V33" s="5" t="s">
        <v>2354</v>
      </c>
      <c r="W33" s="3">
        <v>27961</v>
      </c>
      <c r="X33" s="2">
        <v>43531</v>
      </c>
      <c r="Y33" s="11" t="s">
        <v>2376</v>
      </c>
      <c r="Z33" s="2">
        <v>43550</v>
      </c>
      <c r="AA33" s="2"/>
      <c r="AD33" t="s">
        <v>1158</v>
      </c>
      <c r="AF33" t="s">
        <v>1858</v>
      </c>
    </row>
    <row r="34" spans="1:37">
      <c r="A34" s="1">
        <v>33</v>
      </c>
      <c r="B34" t="s">
        <v>80</v>
      </c>
      <c r="C34" s="2">
        <v>43531</v>
      </c>
      <c r="D34" t="s">
        <v>2351</v>
      </c>
      <c r="E34" t="s">
        <v>2352</v>
      </c>
      <c r="F34" t="s">
        <v>2353</v>
      </c>
      <c r="G34" s="6" t="s">
        <v>245</v>
      </c>
      <c r="H34" t="s">
        <v>54</v>
      </c>
      <c r="K34" t="s">
        <v>2351</v>
      </c>
      <c r="L34" s="3">
        <v>43555</v>
      </c>
      <c r="M34" t="s">
        <v>35</v>
      </c>
      <c r="N34" t="s">
        <v>1849</v>
      </c>
      <c r="O34" s="7">
        <v>0</v>
      </c>
      <c r="P34" s="1">
        <v>1</v>
      </c>
      <c r="Q34" s="58">
        <v>0.21</v>
      </c>
      <c r="R34" s="7">
        <v>0</v>
      </c>
      <c r="S34" t="s">
        <v>36</v>
      </c>
      <c r="T34" s="213">
        <f t="shared" si="0"/>
        <v>0</v>
      </c>
      <c r="U34" t="s">
        <v>1850</v>
      </c>
      <c r="V34" s="5" t="s">
        <v>2355</v>
      </c>
      <c r="W34" s="3">
        <v>33374</v>
      </c>
      <c r="X34" s="2">
        <v>43531</v>
      </c>
      <c r="Y34" s="11" t="s">
        <v>2376</v>
      </c>
      <c r="Z34" s="2">
        <v>43550</v>
      </c>
      <c r="AA34" s="2"/>
      <c r="AD34" t="s">
        <v>1158</v>
      </c>
      <c r="AF34" t="s">
        <v>1858</v>
      </c>
    </row>
    <row r="35" spans="1:37">
      <c r="A35" s="1">
        <v>34</v>
      </c>
      <c r="B35" t="s">
        <v>1511</v>
      </c>
      <c r="C35" s="2">
        <v>43531</v>
      </c>
      <c r="D35" t="s">
        <v>1512</v>
      </c>
      <c r="E35" t="s">
        <v>1513</v>
      </c>
      <c r="F35" t="s">
        <v>1514</v>
      </c>
      <c r="G35" s="6" t="s">
        <v>219</v>
      </c>
      <c r="H35" t="s">
        <v>38</v>
      </c>
      <c r="K35" t="s">
        <v>1512</v>
      </c>
      <c r="L35" s="3">
        <v>43555</v>
      </c>
      <c r="M35" t="s">
        <v>35</v>
      </c>
      <c r="N35" s="14" t="s">
        <v>1515</v>
      </c>
      <c r="O35" s="9">
        <v>0</v>
      </c>
      <c r="P35" s="1">
        <v>1</v>
      </c>
      <c r="Q35" s="58">
        <v>0.21</v>
      </c>
      <c r="R35" s="7">
        <v>0</v>
      </c>
      <c r="S35" t="s">
        <v>36</v>
      </c>
      <c r="T35" s="213">
        <f t="shared" si="0"/>
        <v>0</v>
      </c>
      <c r="U35" t="s">
        <v>1517</v>
      </c>
      <c r="V35" s="5" t="s">
        <v>2356</v>
      </c>
      <c r="W35" s="3">
        <v>36220</v>
      </c>
      <c r="X35" s="3">
        <v>43531</v>
      </c>
      <c r="Y35" s="13" t="s">
        <v>2377</v>
      </c>
      <c r="Z35" s="2">
        <v>43550</v>
      </c>
      <c r="AA35" s="2"/>
      <c r="AB35" s="61"/>
      <c r="AD35" t="s">
        <v>1158</v>
      </c>
      <c r="AF35" t="s">
        <v>1519</v>
      </c>
      <c r="AH35" s="3"/>
    </row>
    <row r="36" spans="1:37">
      <c r="A36" s="1">
        <v>35</v>
      </c>
      <c r="B36" t="s">
        <v>37</v>
      </c>
      <c r="C36" s="2">
        <v>43531</v>
      </c>
      <c r="D36" t="s">
        <v>2357</v>
      </c>
      <c r="E36" t="s">
        <v>297</v>
      </c>
      <c r="F36" t="s">
        <v>2358</v>
      </c>
      <c r="G36" s="6" t="s">
        <v>259</v>
      </c>
      <c r="H36" t="s">
        <v>2359</v>
      </c>
      <c r="K36" t="s">
        <v>2357</v>
      </c>
      <c r="L36" s="3">
        <v>43555</v>
      </c>
      <c r="M36" t="s">
        <v>35</v>
      </c>
      <c r="N36" t="s">
        <v>2360</v>
      </c>
      <c r="O36" s="7">
        <v>60</v>
      </c>
      <c r="P36" s="1">
        <v>1</v>
      </c>
      <c r="Q36" s="58">
        <v>0.21</v>
      </c>
      <c r="R36" s="7">
        <v>0</v>
      </c>
      <c r="S36" t="s">
        <v>36</v>
      </c>
      <c r="T36" s="213">
        <f t="shared" si="0"/>
        <v>72.599999999999994</v>
      </c>
      <c r="U36" t="s">
        <v>2361</v>
      </c>
      <c r="V36" s="5" t="s">
        <v>2362</v>
      </c>
      <c r="W36" s="3">
        <v>36160</v>
      </c>
      <c r="X36" s="2">
        <v>43531</v>
      </c>
      <c r="Y36" s="13" t="s">
        <v>2375</v>
      </c>
      <c r="Z36" s="2">
        <v>43550</v>
      </c>
      <c r="AA36" s="2"/>
      <c r="AD36" t="s">
        <v>1158</v>
      </c>
      <c r="AF36" t="s">
        <v>1858</v>
      </c>
      <c r="AG36" t="s">
        <v>2363</v>
      </c>
    </row>
    <row r="37" spans="1:37">
      <c r="A37" s="1">
        <v>36</v>
      </c>
      <c r="B37" t="s">
        <v>37</v>
      </c>
      <c r="C37" s="2">
        <v>43531</v>
      </c>
      <c r="D37" t="s">
        <v>2357</v>
      </c>
      <c r="E37" t="s">
        <v>297</v>
      </c>
      <c r="F37" t="s">
        <v>2358</v>
      </c>
      <c r="G37" s="6" t="s">
        <v>259</v>
      </c>
      <c r="H37" t="s">
        <v>2359</v>
      </c>
      <c r="K37" t="s">
        <v>2357</v>
      </c>
      <c r="L37" s="3">
        <v>43555</v>
      </c>
      <c r="M37" t="s">
        <v>35</v>
      </c>
      <c r="N37" t="s">
        <v>2364</v>
      </c>
      <c r="O37" s="7">
        <v>60</v>
      </c>
      <c r="P37" s="1">
        <v>1</v>
      </c>
      <c r="Q37" s="58">
        <v>0.21</v>
      </c>
      <c r="R37" s="7">
        <v>0</v>
      </c>
      <c r="S37" t="s">
        <v>36</v>
      </c>
      <c r="T37" s="213">
        <f t="shared" si="0"/>
        <v>72.599999999999994</v>
      </c>
      <c r="U37" t="s">
        <v>2365</v>
      </c>
      <c r="V37" s="5" t="s">
        <v>2366</v>
      </c>
      <c r="W37" s="3">
        <v>37149</v>
      </c>
      <c r="X37" s="2">
        <v>43531</v>
      </c>
      <c r="Y37" s="13" t="s">
        <v>2375</v>
      </c>
      <c r="Z37" s="2">
        <v>43550</v>
      </c>
      <c r="AA37" s="2"/>
      <c r="AD37" t="s">
        <v>1158</v>
      </c>
      <c r="AF37" t="s">
        <v>1858</v>
      </c>
      <c r="AG37" t="s">
        <v>2363</v>
      </c>
    </row>
    <row r="38" spans="1:37" s="31" customFormat="1">
      <c r="A38" s="1">
        <v>37</v>
      </c>
      <c r="B38" t="s">
        <v>52</v>
      </c>
      <c r="C38" s="32">
        <v>43540</v>
      </c>
      <c r="D38" s="31" t="s">
        <v>458</v>
      </c>
      <c r="E38" s="31" t="s">
        <v>84</v>
      </c>
      <c r="F38" s="31" t="s">
        <v>138</v>
      </c>
      <c r="G38" s="33" t="s">
        <v>227</v>
      </c>
      <c r="H38" s="31" t="s">
        <v>203</v>
      </c>
      <c r="K38" s="31" t="s">
        <v>53</v>
      </c>
      <c r="L38" s="34">
        <v>43555</v>
      </c>
      <c r="M38" s="31" t="s">
        <v>35</v>
      </c>
      <c r="N38" s="14" t="s">
        <v>2373</v>
      </c>
      <c r="O38" s="7">
        <v>30</v>
      </c>
      <c r="P38" s="30">
        <v>1</v>
      </c>
      <c r="Q38" s="37">
        <v>0.21</v>
      </c>
      <c r="R38" s="38">
        <v>0</v>
      </c>
      <c r="S38" s="31" t="s">
        <v>36</v>
      </c>
      <c r="T38" s="213">
        <f t="shared" si="0"/>
        <v>36.299999999999997</v>
      </c>
      <c r="U38" t="s">
        <v>1296</v>
      </c>
      <c r="V38" s="5"/>
      <c r="W38" s="34">
        <v>29255</v>
      </c>
      <c r="X38" s="32">
        <v>43540</v>
      </c>
      <c r="Y38" s="11" t="s">
        <v>2590</v>
      </c>
      <c r="Z38" s="2"/>
      <c r="AA38" s="2"/>
      <c r="AB38" s="1"/>
      <c r="AD38" t="s">
        <v>1158</v>
      </c>
      <c r="AE38"/>
      <c r="AF38"/>
      <c r="AG38"/>
      <c r="AH38" s="34"/>
      <c r="AK38" s="34"/>
    </row>
    <row r="39" spans="1:37">
      <c r="A39" s="1">
        <v>38</v>
      </c>
      <c r="B39" t="s">
        <v>82</v>
      </c>
      <c r="C39" s="2">
        <v>43546</v>
      </c>
      <c r="D39" t="s">
        <v>263</v>
      </c>
      <c r="E39" t="s">
        <v>264</v>
      </c>
      <c r="F39" t="s">
        <v>2384</v>
      </c>
      <c r="G39" s="6" t="s">
        <v>250</v>
      </c>
      <c r="H39" t="s">
        <v>86</v>
      </c>
      <c r="K39" t="s">
        <v>263</v>
      </c>
      <c r="L39" s="3">
        <v>43555</v>
      </c>
      <c r="M39" t="s">
        <v>35</v>
      </c>
      <c r="N39" t="s">
        <v>2385</v>
      </c>
      <c r="O39" s="7">
        <v>0</v>
      </c>
      <c r="P39" s="1">
        <v>1</v>
      </c>
      <c r="Q39" s="58">
        <v>0.21</v>
      </c>
      <c r="R39" s="7">
        <v>0</v>
      </c>
      <c r="S39" t="s">
        <v>36</v>
      </c>
      <c r="T39" s="213">
        <f t="shared" si="0"/>
        <v>0</v>
      </c>
      <c r="U39" t="s">
        <v>2386</v>
      </c>
      <c r="V39" s="5" t="s">
        <v>2387</v>
      </c>
      <c r="W39" s="3">
        <v>34092</v>
      </c>
      <c r="X39" s="2">
        <v>43546</v>
      </c>
      <c r="Y39" s="11" t="s">
        <v>2446</v>
      </c>
      <c r="Z39" s="2">
        <v>43570</v>
      </c>
      <c r="AA39" s="2"/>
      <c r="AD39" t="s">
        <v>1158</v>
      </c>
      <c r="AF39" t="s">
        <v>1858</v>
      </c>
    </row>
    <row r="40" spans="1:37">
      <c r="A40" s="1">
        <v>39</v>
      </c>
      <c r="B40" t="s">
        <v>45</v>
      </c>
      <c r="C40" s="2">
        <v>43546</v>
      </c>
      <c r="D40" t="s">
        <v>2388</v>
      </c>
      <c r="E40" t="s">
        <v>2389</v>
      </c>
      <c r="F40" t="s">
        <v>2390</v>
      </c>
      <c r="G40" s="6" t="s">
        <v>241</v>
      </c>
      <c r="H40" t="s">
        <v>60</v>
      </c>
      <c r="K40" t="s">
        <v>2388</v>
      </c>
      <c r="L40" s="3">
        <v>43555</v>
      </c>
      <c r="M40" t="s">
        <v>35</v>
      </c>
      <c r="N40" t="s">
        <v>2391</v>
      </c>
      <c r="O40" s="7">
        <v>60</v>
      </c>
      <c r="P40" s="1">
        <v>1</v>
      </c>
      <c r="Q40" s="58">
        <v>0.21</v>
      </c>
      <c r="R40" s="7">
        <v>0</v>
      </c>
      <c r="S40" t="s">
        <v>36</v>
      </c>
      <c r="T40" s="213">
        <f t="shared" si="0"/>
        <v>72.599999999999994</v>
      </c>
      <c r="U40" t="s">
        <v>2392</v>
      </c>
      <c r="V40" s="5" t="s">
        <v>2393</v>
      </c>
      <c r="W40" s="3">
        <v>36322</v>
      </c>
      <c r="X40" s="2">
        <v>43546</v>
      </c>
      <c r="Y40" s="11" t="s">
        <v>2446</v>
      </c>
      <c r="Z40" s="2">
        <v>43570</v>
      </c>
      <c r="AA40" s="2"/>
      <c r="AD40" t="s">
        <v>1158</v>
      </c>
      <c r="AF40" t="s">
        <v>1858</v>
      </c>
    </row>
    <row r="41" spans="1:37">
      <c r="A41" s="1">
        <v>40</v>
      </c>
      <c r="B41" t="s">
        <v>82</v>
      </c>
      <c r="C41" s="2">
        <v>43553</v>
      </c>
      <c r="D41" t="s">
        <v>1783</v>
      </c>
      <c r="E41" t="s">
        <v>1784</v>
      </c>
      <c r="F41" t="s">
        <v>2394</v>
      </c>
      <c r="G41" s="6" t="s">
        <v>242</v>
      </c>
      <c r="H41" t="s">
        <v>1474</v>
      </c>
      <c r="K41" t="s">
        <v>1783</v>
      </c>
      <c r="L41" s="3">
        <v>43555</v>
      </c>
      <c r="M41" t="s">
        <v>35</v>
      </c>
      <c r="N41" t="s">
        <v>2395</v>
      </c>
      <c r="O41" s="7">
        <v>60</v>
      </c>
      <c r="P41" s="1">
        <v>1</v>
      </c>
      <c r="Q41" s="58">
        <v>0.21</v>
      </c>
      <c r="R41" s="7">
        <v>0</v>
      </c>
      <c r="S41" t="s">
        <v>36</v>
      </c>
      <c r="T41" s="213">
        <f t="shared" si="0"/>
        <v>72.599999999999994</v>
      </c>
      <c r="U41" t="s">
        <v>2396</v>
      </c>
      <c r="V41" s="5" t="s">
        <v>2397</v>
      </c>
      <c r="W41" s="3">
        <v>29856</v>
      </c>
      <c r="X41" s="2">
        <v>43553</v>
      </c>
      <c r="Y41" s="11" t="s">
        <v>2757</v>
      </c>
      <c r="Z41" s="2">
        <v>43664</v>
      </c>
      <c r="AA41" s="2"/>
      <c r="AC41" s="3">
        <v>43643</v>
      </c>
      <c r="AD41" t="s">
        <v>1158</v>
      </c>
      <c r="AG41" t="s">
        <v>2398</v>
      </c>
      <c r="AH41" s="3">
        <v>43553</v>
      </c>
    </row>
    <row r="42" spans="1:37">
      <c r="A42" s="1">
        <v>41</v>
      </c>
      <c r="B42" t="s">
        <v>61</v>
      </c>
      <c r="C42" s="2">
        <v>43553</v>
      </c>
      <c r="D42" t="s">
        <v>2399</v>
      </c>
      <c r="E42" t="s">
        <v>2400</v>
      </c>
      <c r="F42" t="s">
        <v>2401</v>
      </c>
      <c r="G42" s="6" t="s">
        <v>220</v>
      </c>
      <c r="H42" t="s">
        <v>39</v>
      </c>
      <c r="I42">
        <v>632663038</v>
      </c>
      <c r="K42" t="s">
        <v>2399</v>
      </c>
      <c r="L42" s="3">
        <v>43555</v>
      </c>
      <c r="M42" t="s">
        <v>35</v>
      </c>
      <c r="N42" t="s">
        <v>2402</v>
      </c>
      <c r="O42" s="7">
        <v>60</v>
      </c>
      <c r="P42" s="1">
        <v>1</v>
      </c>
      <c r="Q42" s="58">
        <v>0.21</v>
      </c>
      <c r="R42" s="7">
        <v>0</v>
      </c>
      <c r="S42" t="s">
        <v>36</v>
      </c>
      <c r="T42" s="213">
        <f t="shared" si="0"/>
        <v>72.599999999999994</v>
      </c>
      <c r="U42" t="s">
        <v>2403</v>
      </c>
      <c r="V42" s="5" t="s">
        <v>2404</v>
      </c>
      <c r="W42" s="3">
        <v>25206</v>
      </c>
      <c r="X42" s="2">
        <v>43553</v>
      </c>
      <c r="Y42" s="13" t="s">
        <v>2695</v>
      </c>
      <c r="Z42" s="2">
        <v>43626</v>
      </c>
      <c r="AA42" s="2"/>
      <c r="AC42" s="3">
        <v>43657</v>
      </c>
      <c r="AD42" t="s">
        <v>1158</v>
      </c>
      <c r="AG42" t="s">
        <v>2405</v>
      </c>
    </row>
    <row r="43" spans="1:37">
      <c r="A43" s="1">
        <v>42</v>
      </c>
      <c r="B43" t="s">
        <v>119</v>
      </c>
      <c r="C43" s="2">
        <v>43553</v>
      </c>
      <c r="D43" t="s">
        <v>2348</v>
      </c>
      <c r="E43" t="s">
        <v>2349</v>
      </c>
      <c r="F43" t="s">
        <v>2406</v>
      </c>
      <c r="G43" s="6" t="s">
        <v>250</v>
      </c>
      <c r="H43" t="s">
        <v>86</v>
      </c>
      <c r="I43">
        <v>661867747</v>
      </c>
      <c r="K43" t="s">
        <v>174</v>
      </c>
      <c r="L43" s="3">
        <v>43555</v>
      </c>
      <c r="M43" t="s">
        <v>35</v>
      </c>
      <c r="N43" t="s">
        <v>2407</v>
      </c>
      <c r="O43" s="7">
        <v>60</v>
      </c>
      <c r="P43" s="1">
        <v>1</v>
      </c>
      <c r="Q43" s="58">
        <v>0.21</v>
      </c>
      <c r="R43" s="7">
        <v>0</v>
      </c>
      <c r="S43" t="s">
        <v>36</v>
      </c>
      <c r="T43" s="213">
        <f t="shared" si="0"/>
        <v>72.599999999999994</v>
      </c>
      <c r="U43" t="s">
        <v>2408</v>
      </c>
      <c r="V43" s="5" t="s">
        <v>2409</v>
      </c>
      <c r="W43" s="3">
        <v>33296</v>
      </c>
      <c r="X43" s="2">
        <v>43553</v>
      </c>
      <c r="Y43" s="11" t="s">
        <v>2747</v>
      </c>
      <c r="Z43" s="2">
        <v>43658</v>
      </c>
      <c r="AA43" s="2"/>
      <c r="AC43" s="3">
        <v>43650</v>
      </c>
      <c r="AD43" t="s">
        <v>1158</v>
      </c>
      <c r="AG43" t="s">
        <v>2347</v>
      </c>
    </row>
    <row r="44" spans="1:37">
      <c r="A44" s="1">
        <v>43</v>
      </c>
      <c r="B44" t="s">
        <v>119</v>
      </c>
      <c r="C44" s="2">
        <v>43553</v>
      </c>
      <c r="D44" t="s">
        <v>2410</v>
      </c>
      <c r="E44" t="s">
        <v>2411</v>
      </c>
      <c r="F44" t="s">
        <v>2412</v>
      </c>
      <c r="G44" s="6" t="s">
        <v>239</v>
      </c>
      <c r="H44" t="s">
        <v>108</v>
      </c>
      <c r="I44">
        <v>631062162</v>
      </c>
      <c r="K44" t="s">
        <v>174</v>
      </c>
      <c r="L44" s="3">
        <v>43555</v>
      </c>
      <c r="M44" t="s">
        <v>35</v>
      </c>
      <c r="N44" t="s">
        <v>2413</v>
      </c>
      <c r="O44" s="7">
        <v>60</v>
      </c>
      <c r="P44" s="1">
        <v>1</v>
      </c>
      <c r="Q44" s="58">
        <v>0.21</v>
      </c>
      <c r="R44" s="7">
        <v>0</v>
      </c>
      <c r="S44" t="s">
        <v>36</v>
      </c>
      <c r="T44" s="213">
        <f t="shared" si="0"/>
        <v>72.599999999999994</v>
      </c>
      <c r="U44" t="s">
        <v>2414</v>
      </c>
      <c r="V44" s="5" t="s">
        <v>2415</v>
      </c>
      <c r="W44" s="3">
        <v>28367</v>
      </c>
      <c r="X44" s="2">
        <v>43553</v>
      </c>
      <c r="Y44" s="13" t="s">
        <v>2707</v>
      </c>
      <c r="Z44" s="2">
        <v>43622</v>
      </c>
      <c r="AA44" s="2"/>
      <c r="AB44" t="s">
        <v>2708</v>
      </c>
      <c r="AD44" t="s">
        <v>1158</v>
      </c>
      <c r="AG44" t="s">
        <v>2416</v>
      </c>
    </row>
    <row r="45" spans="1:37">
      <c r="A45" s="1">
        <v>44</v>
      </c>
      <c r="B45" t="s">
        <v>33</v>
      </c>
      <c r="C45" s="2">
        <v>43553</v>
      </c>
      <c r="D45" t="s">
        <v>2417</v>
      </c>
      <c r="E45" t="s">
        <v>2418</v>
      </c>
      <c r="F45" t="s">
        <v>2419</v>
      </c>
      <c r="G45" s="6" t="s">
        <v>219</v>
      </c>
      <c r="H45" t="s">
        <v>38</v>
      </c>
      <c r="I45">
        <v>687654916</v>
      </c>
      <c r="K45" s="31" t="s">
        <v>237</v>
      </c>
      <c r="L45" s="3">
        <v>43555</v>
      </c>
      <c r="M45" t="s">
        <v>35</v>
      </c>
      <c r="N45" t="s">
        <v>2420</v>
      </c>
      <c r="O45" s="7">
        <v>60</v>
      </c>
      <c r="P45" s="1">
        <v>1</v>
      </c>
      <c r="Q45" s="58">
        <v>0.21</v>
      </c>
      <c r="R45" s="7">
        <v>0</v>
      </c>
      <c r="S45" t="s">
        <v>36</v>
      </c>
      <c r="T45" s="213">
        <f t="shared" si="0"/>
        <v>72.599999999999994</v>
      </c>
      <c r="U45" t="s">
        <v>2421</v>
      </c>
      <c r="V45" s="5" t="s">
        <v>2422</v>
      </c>
      <c r="W45" s="3">
        <v>35712</v>
      </c>
      <c r="X45" s="2">
        <v>43553</v>
      </c>
      <c r="Y45" s="11" t="s">
        <v>2649</v>
      </c>
      <c r="Z45" s="2">
        <v>43620</v>
      </c>
      <c r="AA45" s="2"/>
      <c r="AD45" t="s">
        <v>1158</v>
      </c>
      <c r="AG45" t="s">
        <v>77</v>
      </c>
    </row>
    <row r="46" spans="1:37">
      <c r="A46" s="1">
        <v>45</v>
      </c>
      <c r="B46" t="s">
        <v>40</v>
      </c>
      <c r="C46" s="2">
        <v>43553</v>
      </c>
      <c r="D46" t="s">
        <v>2423</v>
      </c>
      <c r="E46" t="s">
        <v>2424</v>
      </c>
      <c r="F46" t="s">
        <v>2425</v>
      </c>
      <c r="G46" s="6" t="s">
        <v>221</v>
      </c>
      <c r="H46" t="s">
        <v>34</v>
      </c>
      <c r="I46">
        <v>612238518</v>
      </c>
      <c r="K46" t="s">
        <v>2423</v>
      </c>
      <c r="L46" s="3">
        <v>43555</v>
      </c>
      <c r="M46" t="s">
        <v>35</v>
      </c>
      <c r="N46" t="s">
        <v>2426</v>
      </c>
      <c r="O46" s="7">
        <v>60</v>
      </c>
      <c r="P46" s="1">
        <v>1</v>
      </c>
      <c r="Q46" s="58">
        <v>0.21</v>
      </c>
      <c r="R46" s="7">
        <v>0</v>
      </c>
      <c r="S46" t="s">
        <v>36</v>
      </c>
      <c r="T46" s="213">
        <f t="shared" si="0"/>
        <v>72.599999999999994</v>
      </c>
      <c r="U46" t="s">
        <v>2427</v>
      </c>
      <c r="V46" s="5" t="s">
        <v>2428</v>
      </c>
      <c r="W46" s="3">
        <v>34700</v>
      </c>
      <c r="X46" s="2">
        <v>43553</v>
      </c>
      <c r="Y46" s="11" t="s">
        <v>2650</v>
      </c>
      <c r="AD46" t="s">
        <v>1158</v>
      </c>
    </row>
    <row r="47" spans="1:37">
      <c r="A47" s="1">
        <v>46</v>
      </c>
      <c r="B47" t="s">
        <v>80</v>
      </c>
      <c r="C47" s="2">
        <v>43553</v>
      </c>
      <c r="D47" t="s">
        <v>2429</v>
      </c>
      <c r="E47" t="s">
        <v>2430</v>
      </c>
      <c r="F47" t="s">
        <v>2431</v>
      </c>
      <c r="G47" s="6" t="s">
        <v>2432</v>
      </c>
      <c r="H47" t="s">
        <v>2433</v>
      </c>
      <c r="I47">
        <v>626958305</v>
      </c>
      <c r="K47" t="s">
        <v>2429</v>
      </c>
      <c r="L47" s="3">
        <v>43555</v>
      </c>
      <c r="M47" t="s">
        <v>35</v>
      </c>
      <c r="N47" t="s">
        <v>2434</v>
      </c>
      <c r="O47" s="7">
        <v>60</v>
      </c>
      <c r="P47" s="1">
        <v>1</v>
      </c>
      <c r="Q47" s="58">
        <v>0.21</v>
      </c>
      <c r="R47" s="7">
        <v>0</v>
      </c>
      <c r="S47" t="s">
        <v>36</v>
      </c>
      <c r="T47" s="213">
        <f t="shared" si="0"/>
        <v>72.599999999999994</v>
      </c>
      <c r="U47" t="s">
        <v>2435</v>
      </c>
      <c r="V47" s="5" t="s">
        <v>2436</v>
      </c>
      <c r="W47" s="3">
        <v>32142</v>
      </c>
      <c r="X47" s="2">
        <v>43553</v>
      </c>
      <c r="Y47" s="11" t="s">
        <v>2747</v>
      </c>
      <c r="AD47" t="s">
        <v>1158</v>
      </c>
    </row>
    <row r="48" spans="1:37">
      <c r="A48" s="1">
        <v>47</v>
      </c>
      <c r="B48" t="s">
        <v>37</v>
      </c>
      <c r="C48" s="2">
        <v>43553</v>
      </c>
      <c r="D48" t="s">
        <v>2437</v>
      </c>
      <c r="E48" t="s">
        <v>2438</v>
      </c>
      <c r="F48" t="s">
        <v>2439</v>
      </c>
      <c r="G48" s="6" t="s">
        <v>232</v>
      </c>
      <c r="H48" t="s">
        <v>144</v>
      </c>
      <c r="K48" t="s">
        <v>2437</v>
      </c>
      <c r="L48" s="3">
        <v>43555</v>
      </c>
      <c r="M48" t="s">
        <v>35</v>
      </c>
      <c r="N48" t="s">
        <v>2440</v>
      </c>
      <c r="O48" s="7">
        <v>41.32</v>
      </c>
      <c r="P48" s="1">
        <v>1</v>
      </c>
      <c r="Q48" s="58">
        <v>0.21</v>
      </c>
      <c r="R48" s="7">
        <v>0</v>
      </c>
      <c r="S48" t="s">
        <v>36</v>
      </c>
      <c r="T48" s="213">
        <f t="shared" si="0"/>
        <v>49.997199999999999</v>
      </c>
      <c r="U48" t="s">
        <v>2437</v>
      </c>
      <c r="V48" s="5" t="s">
        <v>2441</v>
      </c>
      <c r="W48" s="3">
        <v>34120</v>
      </c>
      <c r="X48" s="2">
        <v>43553</v>
      </c>
      <c r="Y48" s="11" t="s">
        <v>1326</v>
      </c>
      <c r="AG48" t="s">
        <v>2442</v>
      </c>
    </row>
    <row r="49" spans="1:38">
      <c r="A49" s="1">
        <v>48</v>
      </c>
      <c r="B49" t="s">
        <v>45</v>
      </c>
      <c r="C49" s="2">
        <v>43566</v>
      </c>
      <c r="D49" t="s">
        <v>2457</v>
      </c>
      <c r="E49" t="s">
        <v>2458</v>
      </c>
      <c r="F49" t="s">
        <v>161</v>
      </c>
      <c r="G49" s="6" t="s">
        <v>220</v>
      </c>
      <c r="H49" t="s">
        <v>39</v>
      </c>
      <c r="K49" t="s">
        <v>46</v>
      </c>
      <c r="L49" s="3">
        <v>43585</v>
      </c>
      <c r="M49" t="s">
        <v>35</v>
      </c>
      <c r="N49" t="s">
        <v>2459</v>
      </c>
      <c r="O49" s="7">
        <v>41.32</v>
      </c>
      <c r="P49" s="1">
        <v>1</v>
      </c>
      <c r="Q49" s="58">
        <v>0.21</v>
      </c>
      <c r="R49" s="7">
        <v>0</v>
      </c>
      <c r="S49" t="s">
        <v>36</v>
      </c>
      <c r="T49" s="213">
        <f t="shared" si="0"/>
        <v>49.997199999999999</v>
      </c>
      <c r="U49" t="s">
        <v>2460</v>
      </c>
      <c r="W49" s="3">
        <v>33389</v>
      </c>
      <c r="X49" s="2">
        <v>43566</v>
      </c>
      <c r="Y49" s="11" t="s">
        <v>2461</v>
      </c>
      <c r="AG49" t="s">
        <v>77</v>
      </c>
    </row>
    <row r="50" spans="1:38" s="31" customFormat="1">
      <c r="A50" s="1">
        <v>49</v>
      </c>
      <c r="B50" s="31" t="s">
        <v>37</v>
      </c>
      <c r="C50" s="32">
        <v>43566</v>
      </c>
      <c r="D50" s="31" t="s">
        <v>601</v>
      </c>
      <c r="E50" s="31" t="s">
        <v>602</v>
      </c>
      <c r="F50" s="31" t="s">
        <v>267</v>
      </c>
      <c r="G50" s="6" t="s">
        <v>238</v>
      </c>
      <c r="H50" s="31" t="s">
        <v>48</v>
      </c>
      <c r="I50" s="31">
        <v>665736578</v>
      </c>
      <c r="K50" s="31" t="s">
        <v>601</v>
      </c>
      <c r="L50" s="34">
        <v>43585</v>
      </c>
      <c r="M50" s="31" t="s">
        <v>35</v>
      </c>
      <c r="N50" s="35" t="s">
        <v>603</v>
      </c>
      <c r="O50" s="36">
        <v>60</v>
      </c>
      <c r="P50" s="30">
        <v>1</v>
      </c>
      <c r="Q50" s="37">
        <v>0.21</v>
      </c>
      <c r="R50" s="38">
        <v>0</v>
      </c>
      <c r="S50" s="31" t="s">
        <v>36</v>
      </c>
      <c r="T50" s="213">
        <f t="shared" si="0"/>
        <v>72.599999999999994</v>
      </c>
      <c r="U50" t="s">
        <v>601</v>
      </c>
      <c r="V50" s="5" t="s">
        <v>2455</v>
      </c>
      <c r="W50" s="34">
        <v>29590</v>
      </c>
      <c r="X50" s="32">
        <v>43566</v>
      </c>
      <c r="Y50" s="13" t="s">
        <v>3054</v>
      </c>
      <c r="AD50" t="s">
        <v>1158</v>
      </c>
      <c r="AE50"/>
      <c r="AG50" t="s">
        <v>2456</v>
      </c>
      <c r="AH50" s="34">
        <v>43566</v>
      </c>
      <c r="AL50" t="s">
        <v>695</v>
      </c>
    </row>
    <row r="51" spans="1:38">
      <c r="A51" s="1">
        <v>50</v>
      </c>
      <c r="B51" t="s">
        <v>1502</v>
      </c>
      <c r="C51" s="2">
        <v>43567</v>
      </c>
      <c r="D51" t="s">
        <v>1503</v>
      </c>
      <c r="E51" t="s">
        <v>1504</v>
      </c>
      <c r="G51" s="6" t="s">
        <v>221</v>
      </c>
      <c r="H51" t="s">
        <v>34</v>
      </c>
      <c r="I51">
        <v>623133278</v>
      </c>
      <c r="K51" t="s">
        <v>1503</v>
      </c>
      <c r="L51" s="3">
        <v>43585</v>
      </c>
      <c r="M51" t="s">
        <v>35</v>
      </c>
      <c r="N51" s="14" t="s">
        <v>2447</v>
      </c>
      <c r="O51" s="9">
        <v>0</v>
      </c>
      <c r="P51" s="1">
        <v>1</v>
      </c>
      <c r="Q51" s="58">
        <v>0.21</v>
      </c>
      <c r="R51" s="7">
        <v>0</v>
      </c>
      <c r="S51" t="s">
        <v>36</v>
      </c>
      <c r="T51" s="213">
        <f t="shared" si="0"/>
        <v>0</v>
      </c>
      <c r="U51" t="s">
        <v>1503</v>
      </c>
      <c r="W51" s="3">
        <v>33513</v>
      </c>
      <c r="X51" s="3"/>
      <c r="Z51" s="2"/>
      <c r="AA51" s="2"/>
      <c r="AB51" s="1"/>
    </row>
    <row r="52" spans="1:38">
      <c r="A52" s="1">
        <v>51</v>
      </c>
      <c r="B52" t="s">
        <v>131</v>
      </c>
      <c r="C52" s="2">
        <v>43567</v>
      </c>
      <c r="D52" t="s">
        <v>2448</v>
      </c>
      <c r="E52" t="s">
        <v>2449</v>
      </c>
      <c r="F52" t="s">
        <v>2450</v>
      </c>
      <c r="G52" s="6" t="s">
        <v>2451</v>
      </c>
      <c r="H52" t="s">
        <v>49</v>
      </c>
      <c r="I52" t="s">
        <v>2570</v>
      </c>
      <c r="K52" t="s">
        <v>2448</v>
      </c>
      <c r="L52" s="3">
        <v>43585</v>
      </c>
      <c r="M52" t="s">
        <v>35</v>
      </c>
      <c r="N52" t="s">
        <v>2452</v>
      </c>
      <c r="O52" s="7">
        <v>0</v>
      </c>
      <c r="P52" s="1">
        <v>1</v>
      </c>
      <c r="Q52" s="58">
        <v>0.21</v>
      </c>
      <c r="R52" s="7">
        <v>0</v>
      </c>
      <c r="S52" t="s">
        <v>36</v>
      </c>
      <c r="T52" s="213">
        <f t="shared" si="0"/>
        <v>0</v>
      </c>
      <c r="U52" t="s">
        <v>2453</v>
      </c>
      <c r="V52" s="5" t="s">
        <v>2454</v>
      </c>
      <c r="W52" s="3">
        <v>32226</v>
      </c>
      <c r="X52" s="2">
        <v>43567</v>
      </c>
      <c r="Y52" s="11" t="s">
        <v>2694</v>
      </c>
      <c r="Z52" s="2"/>
      <c r="AA52" s="2"/>
      <c r="AC52" s="3">
        <v>43619</v>
      </c>
      <c r="AD52" t="s">
        <v>1158</v>
      </c>
    </row>
    <row r="53" spans="1:38" s="31" customFormat="1">
      <c r="A53" s="1">
        <v>52</v>
      </c>
      <c r="B53" s="31" t="s">
        <v>260</v>
      </c>
      <c r="C53" s="32">
        <v>43579</v>
      </c>
      <c r="D53" s="31" t="s">
        <v>2464</v>
      </c>
      <c r="E53" t="s">
        <v>2465</v>
      </c>
      <c r="F53" s="31" t="s">
        <v>188</v>
      </c>
      <c r="G53" s="33" t="s">
        <v>220</v>
      </c>
      <c r="H53" s="31" t="s">
        <v>92</v>
      </c>
      <c r="K53" s="31" t="s">
        <v>2464</v>
      </c>
      <c r="L53" s="3">
        <v>43585</v>
      </c>
      <c r="M53" s="31" t="s">
        <v>35</v>
      </c>
      <c r="N53" s="14" t="s">
        <v>2476</v>
      </c>
      <c r="O53" s="36">
        <v>60</v>
      </c>
      <c r="P53" s="30">
        <v>1</v>
      </c>
      <c r="Q53" s="37">
        <v>0.21</v>
      </c>
      <c r="R53" s="38">
        <v>0</v>
      </c>
      <c r="S53" s="31" t="s">
        <v>36</v>
      </c>
      <c r="T53" s="213">
        <f t="shared" si="0"/>
        <v>72.599999999999994</v>
      </c>
      <c r="U53" t="s">
        <v>2477</v>
      </c>
      <c r="V53" s="5" t="s">
        <v>2478</v>
      </c>
      <c r="W53" s="34">
        <v>30199</v>
      </c>
      <c r="X53" s="32">
        <v>43579</v>
      </c>
      <c r="Y53" s="11" t="s">
        <v>2574</v>
      </c>
      <c r="Z53" s="2"/>
      <c r="AA53" s="2"/>
      <c r="AD53" t="s">
        <v>1158</v>
      </c>
      <c r="AE53"/>
      <c r="AH53" s="34"/>
      <c r="AK53" s="34"/>
      <c r="AL53"/>
    </row>
    <row r="54" spans="1:38" s="31" customFormat="1">
      <c r="A54" s="1">
        <v>53</v>
      </c>
      <c r="B54" s="31" t="s">
        <v>260</v>
      </c>
      <c r="C54" s="32">
        <v>43579</v>
      </c>
      <c r="D54" s="31" t="s">
        <v>2464</v>
      </c>
      <c r="E54" t="s">
        <v>2465</v>
      </c>
      <c r="F54" s="31" t="s">
        <v>188</v>
      </c>
      <c r="G54" s="33" t="s">
        <v>220</v>
      </c>
      <c r="H54" s="31" t="s">
        <v>92</v>
      </c>
      <c r="K54" s="31" t="s">
        <v>2464</v>
      </c>
      <c r="L54" s="3">
        <v>43585</v>
      </c>
      <c r="M54" s="31" t="s">
        <v>35</v>
      </c>
      <c r="N54" s="14" t="s">
        <v>2479</v>
      </c>
      <c r="O54" s="36">
        <v>60</v>
      </c>
      <c r="P54" s="30">
        <v>1</v>
      </c>
      <c r="Q54" s="37">
        <v>0.21</v>
      </c>
      <c r="R54" s="38">
        <v>0</v>
      </c>
      <c r="S54" s="31" t="s">
        <v>36</v>
      </c>
      <c r="T54" s="213">
        <f t="shared" si="0"/>
        <v>72.599999999999994</v>
      </c>
      <c r="U54" t="s">
        <v>2480</v>
      </c>
      <c r="V54" s="5" t="s">
        <v>2481</v>
      </c>
      <c r="W54" s="34">
        <v>30531</v>
      </c>
      <c r="X54" s="32">
        <v>43579</v>
      </c>
      <c r="Y54" s="11" t="s">
        <v>2574</v>
      </c>
      <c r="Z54" s="2"/>
      <c r="AA54" s="2"/>
      <c r="AD54" t="s">
        <v>1158</v>
      </c>
      <c r="AE54"/>
      <c r="AH54" s="34"/>
      <c r="AK54" s="34"/>
      <c r="AL54"/>
    </row>
    <row r="55" spans="1:38" s="31" customFormat="1">
      <c r="A55" s="1">
        <v>54</v>
      </c>
      <c r="B55" s="31" t="s">
        <v>260</v>
      </c>
      <c r="C55" s="32">
        <v>43579</v>
      </c>
      <c r="D55" s="31" t="s">
        <v>2464</v>
      </c>
      <c r="E55" t="s">
        <v>2465</v>
      </c>
      <c r="F55" s="31" t="s">
        <v>188</v>
      </c>
      <c r="G55" s="33" t="s">
        <v>220</v>
      </c>
      <c r="H55" s="31" t="s">
        <v>92</v>
      </c>
      <c r="K55" s="31" t="s">
        <v>2464</v>
      </c>
      <c r="L55" s="3">
        <v>43585</v>
      </c>
      <c r="M55" s="31" t="s">
        <v>35</v>
      </c>
      <c r="N55" s="14" t="s">
        <v>2482</v>
      </c>
      <c r="O55" s="36">
        <v>60</v>
      </c>
      <c r="P55" s="30">
        <v>1</v>
      </c>
      <c r="Q55" s="37">
        <v>0.21</v>
      </c>
      <c r="R55" s="38">
        <v>0</v>
      </c>
      <c r="S55" s="31" t="s">
        <v>36</v>
      </c>
      <c r="T55" s="213">
        <f t="shared" si="0"/>
        <v>72.599999999999994</v>
      </c>
      <c r="U55" t="s">
        <v>2483</v>
      </c>
      <c r="V55" s="5" t="s">
        <v>2484</v>
      </c>
      <c r="W55" s="34">
        <v>33490</v>
      </c>
      <c r="X55" s="32">
        <v>43579</v>
      </c>
      <c r="Y55" s="11" t="s">
        <v>2574</v>
      </c>
      <c r="Z55" s="2"/>
      <c r="AA55" s="2"/>
      <c r="AD55" t="s">
        <v>1158</v>
      </c>
      <c r="AE55"/>
      <c r="AH55" s="34"/>
      <c r="AK55" s="34"/>
      <c r="AL55"/>
    </row>
    <row r="56" spans="1:38" s="31" customFormat="1">
      <c r="A56" s="1">
        <v>55</v>
      </c>
      <c r="B56" s="31" t="s">
        <v>260</v>
      </c>
      <c r="C56" s="32">
        <v>43579</v>
      </c>
      <c r="D56" s="31" t="s">
        <v>2464</v>
      </c>
      <c r="E56" t="s">
        <v>2465</v>
      </c>
      <c r="F56" s="31" t="s">
        <v>188</v>
      </c>
      <c r="G56" s="33" t="s">
        <v>220</v>
      </c>
      <c r="H56" s="31" t="s">
        <v>92</v>
      </c>
      <c r="K56" s="31" t="s">
        <v>2464</v>
      </c>
      <c r="L56" s="3">
        <v>43585</v>
      </c>
      <c r="M56" s="31" t="s">
        <v>35</v>
      </c>
      <c r="N56" s="14" t="s">
        <v>2485</v>
      </c>
      <c r="O56" s="36">
        <v>60</v>
      </c>
      <c r="P56" s="30">
        <v>1</v>
      </c>
      <c r="Q56" s="37">
        <v>0.21</v>
      </c>
      <c r="R56" s="38">
        <v>0</v>
      </c>
      <c r="S56" s="31" t="s">
        <v>36</v>
      </c>
      <c r="T56" s="213">
        <f t="shared" si="0"/>
        <v>72.599999999999994</v>
      </c>
      <c r="U56" t="s">
        <v>2486</v>
      </c>
      <c r="V56" s="5" t="s">
        <v>2487</v>
      </c>
      <c r="W56" s="34">
        <v>31088</v>
      </c>
      <c r="X56" s="32">
        <v>43579</v>
      </c>
      <c r="Y56" s="11" t="s">
        <v>2574</v>
      </c>
      <c r="Z56" s="2"/>
      <c r="AA56" s="2"/>
      <c r="AD56" t="s">
        <v>1158</v>
      </c>
      <c r="AE56"/>
      <c r="AH56" s="34"/>
      <c r="AK56" s="34"/>
      <c r="AL56"/>
    </row>
    <row r="57" spans="1:38" s="31" customFormat="1">
      <c r="A57" s="1">
        <v>56</v>
      </c>
      <c r="B57" s="31" t="s">
        <v>260</v>
      </c>
      <c r="C57" s="32">
        <v>43579</v>
      </c>
      <c r="D57" s="31" t="s">
        <v>2464</v>
      </c>
      <c r="E57" t="s">
        <v>2465</v>
      </c>
      <c r="F57" s="31" t="s">
        <v>188</v>
      </c>
      <c r="G57" s="33" t="s">
        <v>220</v>
      </c>
      <c r="H57" s="31" t="s">
        <v>92</v>
      </c>
      <c r="K57" s="31" t="s">
        <v>2464</v>
      </c>
      <c r="L57" s="3">
        <v>43585</v>
      </c>
      <c r="M57" s="31" t="s">
        <v>35</v>
      </c>
      <c r="N57" s="14" t="s">
        <v>2488</v>
      </c>
      <c r="O57" s="36">
        <v>60</v>
      </c>
      <c r="P57" s="30">
        <v>1</v>
      </c>
      <c r="Q57" s="37">
        <v>0.21</v>
      </c>
      <c r="R57" s="38">
        <v>0</v>
      </c>
      <c r="S57" s="31" t="s">
        <v>36</v>
      </c>
      <c r="T57" s="213">
        <f t="shared" si="0"/>
        <v>72.599999999999994</v>
      </c>
      <c r="U57" t="s">
        <v>477</v>
      </c>
      <c r="V57" s="5" t="s">
        <v>2489</v>
      </c>
      <c r="W57" s="34">
        <v>25288</v>
      </c>
      <c r="X57" s="32">
        <v>43579</v>
      </c>
      <c r="Y57" s="11" t="s">
        <v>2574</v>
      </c>
      <c r="Z57" s="2"/>
      <c r="AA57" s="2"/>
      <c r="AD57" t="s">
        <v>1158</v>
      </c>
      <c r="AE57"/>
      <c r="AH57" s="34"/>
      <c r="AK57" s="34"/>
      <c r="AL57"/>
    </row>
    <row r="58" spans="1:38" s="31" customFormat="1">
      <c r="A58" s="1">
        <v>57</v>
      </c>
      <c r="B58" s="31" t="s">
        <v>260</v>
      </c>
      <c r="C58" s="32">
        <v>43579</v>
      </c>
      <c r="D58" s="31" t="s">
        <v>2464</v>
      </c>
      <c r="E58" t="s">
        <v>2465</v>
      </c>
      <c r="F58" s="31" t="s">
        <v>188</v>
      </c>
      <c r="G58" s="33" t="s">
        <v>220</v>
      </c>
      <c r="H58" s="31" t="s">
        <v>92</v>
      </c>
      <c r="K58" s="31" t="s">
        <v>2464</v>
      </c>
      <c r="L58" s="3">
        <v>43585</v>
      </c>
      <c r="M58" s="31" t="s">
        <v>35</v>
      </c>
      <c r="N58" s="14" t="s">
        <v>2490</v>
      </c>
      <c r="O58" s="36">
        <v>60</v>
      </c>
      <c r="P58" s="30">
        <v>1</v>
      </c>
      <c r="Q58" s="37">
        <v>0.21</v>
      </c>
      <c r="R58" s="38">
        <v>0</v>
      </c>
      <c r="S58" s="31" t="s">
        <v>36</v>
      </c>
      <c r="T58" s="213">
        <f t="shared" si="0"/>
        <v>72.599999999999994</v>
      </c>
      <c r="U58" t="s">
        <v>261</v>
      </c>
      <c r="V58" s="5" t="s">
        <v>2491</v>
      </c>
      <c r="W58" s="34">
        <v>28915</v>
      </c>
      <c r="X58" s="32">
        <v>43579</v>
      </c>
      <c r="Y58" s="11" t="s">
        <v>2574</v>
      </c>
      <c r="Z58" s="2"/>
      <c r="AA58" s="2"/>
      <c r="AD58" t="s">
        <v>1158</v>
      </c>
      <c r="AE58"/>
      <c r="AH58" s="34"/>
      <c r="AK58" s="34"/>
      <c r="AL58"/>
    </row>
    <row r="59" spans="1:38" s="31" customFormat="1">
      <c r="A59" s="1">
        <v>58</v>
      </c>
      <c r="B59" s="31" t="s">
        <v>260</v>
      </c>
      <c r="C59" s="32">
        <v>43579</v>
      </c>
      <c r="D59" s="31" t="s">
        <v>2464</v>
      </c>
      <c r="E59" t="s">
        <v>2465</v>
      </c>
      <c r="F59" s="31" t="s">
        <v>188</v>
      </c>
      <c r="G59" s="33" t="s">
        <v>220</v>
      </c>
      <c r="H59" s="31" t="s">
        <v>92</v>
      </c>
      <c r="K59" s="31" t="s">
        <v>2464</v>
      </c>
      <c r="L59" s="3">
        <v>43585</v>
      </c>
      <c r="M59" s="31" t="s">
        <v>35</v>
      </c>
      <c r="N59" s="14" t="s">
        <v>2492</v>
      </c>
      <c r="O59" s="36">
        <v>60</v>
      </c>
      <c r="P59" s="30">
        <v>1</v>
      </c>
      <c r="Q59" s="37">
        <v>0.21</v>
      </c>
      <c r="R59" s="38">
        <v>0</v>
      </c>
      <c r="S59" s="31" t="s">
        <v>36</v>
      </c>
      <c r="T59" s="213">
        <f t="shared" si="0"/>
        <v>72.599999999999994</v>
      </c>
      <c r="U59" t="s">
        <v>262</v>
      </c>
      <c r="V59" s="5" t="s">
        <v>2493</v>
      </c>
      <c r="W59" s="34">
        <v>27538</v>
      </c>
      <c r="X59" s="32">
        <v>43579</v>
      </c>
      <c r="Y59" s="11" t="s">
        <v>2574</v>
      </c>
      <c r="Z59" s="2"/>
      <c r="AA59" s="2"/>
      <c r="AD59" t="s">
        <v>1158</v>
      </c>
      <c r="AE59"/>
      <c r="AH59" s="34"/>
      <c r="AK59" s="34"/>
      <c r="AL59"/>
    </row>
    <row r="60" spans="1:38" s="31" customFormat="1">
      <c r="A60" s="1">
        <v>59</v>
      </c>
      <c r="B60" s="31" t="s">
        <v>260</v>
      </c>
      <c r="C60" s="32">
        <v>43579</v>
      </c>
      <c r="D60" s="31" t="s">
        <v>2464</v>
      </c>
      <c r="E60" t="s">
        <v>2465</v>
      </c>
      <c r="F60" s="31" t="s">
        <v>188</v>
      </c>
      <c r="G60" s="33" t="s">
        <v>220</v>
      </c>
      <c r="H60" s="31" t="s">
        <v>92</v>
      </c>
      <c r="K60" s="31" t="s">
        <v>2464</v>
      </c>
      <c r="L60" s="3">
        <v>43585</v>
      </c>
      <c r="M60" s="31" t="s">
        <v>35</v>
      </c>
      <c r="N60" s="14" t="s">
        <v>2494</v>
      </c>
      <c r="O60" s="36">
        <v>60</v>
      </c>
      <c r="P60" s="30">
        <v>1</v>
      </c>
      <c r="Q60" s="37">
        <v>0.21</v>
      </c>
      <c r="R60" s="38">
        <v>0</v>
      </c>
      <c r="S60" s="31" t="s">
        <v>36</v>
      </c>
      <c r="T60" s="213">
        <f t="shared" si="0"/>
        <v>72.599999999999994</v>
      </c>
      <c r="U60" t="s">
        <v>278</v>
      </c>
      <c r="V60" s="5" t="s">
        <v>2495</v>
      </c>
      <c r="W60" s="34">
        <v>31381</v>
      </c>
      <c r="X60" s="32">
        <v>43579</v>
      </c>
      <c r="Y60" s="11" t="s">
        <v>2574</v>
      </c>
      <c r="Z60" s="2"/>
      <c r="AA60" s="2"/>
      <c r="AD60" t="s">
        <v>1158</v>
      </c>
      <c r="AE60"/>
      <c r="AH60" s="34"/>
      <c r="AK60" s="34"/>
      <c r="AL60"/>
    </row>
    <row r="61" spans="1:38" s="31" customFormat="1">
      <c r="A61" s="1">
        <v>60</v>
      </c>
      <c r="B61" s="31" t="s">
        <v>260</v>
      </c>
      <c r="C61" s="32">
        <v>43579</v>
      </c>
      <c r="D61" s="31" t="s">
        <v>2464</v>
      </c>
      <c r="E61" t="s">
        <v>2465</v>
      </c>
      <c r="F61" s="31" t="s">
        <v>188</v>
      </c>
      <c r="G61" s="33" t="s">
        <v>220</v>
      </c>
      <c r="H61" s="31" t="s">
        <v>92</v>
      </c>
      <c r="K61" s="31" t="s">
        <v>2464</v>
      </c>
      <c r="L61" s="3">
        <v>43585</v>
      </c>
      <c r="M61" s="31" t="s">
        <v>35</v>
      </c>
      <c r="N61" s="14" t="s">
        <v>2496</v>
      </c>
      <c r="O61" s="36">
        <v>60</v>
      </c>
      <c r="P61" s="30">
        <v>1</v>
      </c>
      <c r="Q61" s="37">
        <v>0.21</v>
      </c>
      <c r="R61" s="38">
        <v>0</v>
      </c>
      <c r="S61" s="31" t="s">
        <v>36</v>
      </c>
      <c r="T61" s="213">
        <f t="shared" si="0"/>
        <v>72.599999999999994</v>
      </c>
      <c r="U61" t="s">
        <v>194</v>
      </c>
      <c r="V61" s="5" t="s">
        <v>2497</v>
      </c>
      <c r="W61" s="34">
        <v>34714</v>
      </c>
      <c r="X61" s="32">
        <v>43579</v>
      </c>
      <c r="Y61" s="11" t="s">
        <v>2574</v>
      </c>
      <c r="Z61" s="2"/>
      <c r="AA61" s="2"/>
      <c r="AD61" t="s">
        <v>1158</v>
      </c>
      <c r="AE61"/>
      <c r="AH61" s="34"/>
      <c r="AK61" s="34"/>
      <c r="AL61"/>
    </row>
    <row r="62" spans="1:38" s="31" customFormat="1">
      <c r="A62" s="1">
        <v>61</v>
      </c>
      <c r="B62" s="31" t="s">
        <v>260</v>
      </c>
      <c r="C62" s="32">
        <v>43579</v>
      </c>
      <c r="D62" s="31" t="s">
        <v>2464</v>
      </c>
      <c r="E62" t="s">
        <v>2465</v>
      </c>
      <c r="F62" s="31" t="s">
        <v>188</v>
      </c>
      <c r="G62" s="33" t="s">
        <v>220</v>
      </c>
      <c r="H62" s="31" t="s">
        <v>92</v>
      </c>
      <c r="K62" s="31" t="s">
        <v>2464</v>
      </c>
      <c r="L62" s="3">
        <v>43585</v>
      </c>
      <c r="M62" s="31" t="s">
        <v>35</v>
      </c>
      <c r="N62" s="14" t="s">
        <v>2498</v>
      </c>
      <c r="O62" s="36">
        <v>60</v>
      </c>
      <c r="P62" s="30">
        <v>1</v>
      </c>
      <c r="Q62" s="37">
        <v>0.21</v>
      </c>
      <c r="R62" s="38">
        <v>0</v>
      </c>
      <c r="S62" s="31" t="s">
        <v>36</v>
      </c>
      <c r="T62" s="213">
        <f t="shared" si="0"/>
        <v>72.599999999999994</v>
      </c>
      <c r="U62" t="s">
        <v>136</v>
      </c>
      <c r="V62" s="5" t="s">
        <v>2499</v>
      </c>
      <c r="W62" s="34">
        <v>32204</v>
      </c>
      <c r="X62" s="32">
        <v>43579</v>
      </c>
      <c r="Y62" s="11" t="s">
        <v>2574</v>
      </c>
      <c r="Z62" s="2"/>
      <c r="AA62" s="2"/>
      <c r="AD62" t="s">
        <v>1158</v>
      </c>
      <c r="AE62"/>
      <c r="AH62" s="34"/>
      <c r="AK62" s="34"/>
      <c r="AL62"/>
    </row>
    <row r="63" spans="1:38" s="31" customFormat="1">
      <c r="A63" s="1">
        <v>62</v>
      </c>
      <c r="B63" s="31" t="s">
        <v>260</v>
      </c>
      <c r="C63" s="32">
        <v>43578</v>
      </c>
      <c r="D63" s="31" t="s">
        <v>2464</v>
      </c>
      <c r="E63" t="s">
        <v>2465</v>
      </c>
      <c r="F63" s="31" t="s">
        <v>188</v>
      </c>
      <c r="G63" s="33" t="s">
        <v>220</v>
      </c>
      <c r="H63" s="31" t="s">
        <v>92</v>
      </c>
      <c r="K63" s="31" t="s">
        <v>2464</v>
      </c>
      <c r="L63" s="3">
        <v>43585</v>
      </c>
      <c r="M63" s="31" t="s">
        <v>35</v>
      </c>
      <c r="N63" s="14" t="s">
        <v>2500</v>
      </c>
      <c r="O63" s="36">
        <v>60</v>
      </c>
      <c r="P63" s="30">
        <v>1</v>
      </c>
      <c r="Q63" s="37">
        <v>0.21</v>
      </c>
      <c r="R63" s="38">
        <v>0</v>
      </c>
      <c r="S63" s="31" t="s">
        <v>36</v>
      </c>
      <c r="T63" s="213">
        <f t="shared" si="0"/>
        <v>72.599999999999994</v>
      </c>
      <c r="U63" t="s">
        <v>284</v>
      </c>
      <c r="V63" s="5" t="s">
        <v>2501</v>
      </c>
      <c r="W63" s="34">
        <v>31155</v>
      </c>
      <c r="X63" s="32">
        <v>43578</v>
      </c>
      <c r="Y63" s="11" t="s">
        <v>2574</v>
      </c>
      <c r="Z63" s="2"/>
      <c r="AA63" s="2"/>
      <c r="AD63" t="s">
        <v>1158</v>
      </c>
      <c r="AE63"/>
      <c r="AH63" s="34"/>
      <c r="AK63" s="34"/>
      <c r="AL63"/>
    </row>
    <row r="64" spans="1:38" s="31" customFormat="1">
      <c r="A64" s="1">
        <v>63</v>
      </c>
      <c r="B64" s="31" t="s">
        <v>260</v>
      </c>
      <c r="C64" s="32">
        <v>43578</v>
      </c>
      <c r="D64" s="31" t="s">
        <v>2464</v>
      </c>
      <c r="E64" t="s">
        <v>2465</v>
      </c>
      <c r="F64" s="31" t="s">
        <v>188</v>
      </c>
      <c r="G64" s="33" t="s">
        <v>220</v>
      </c>
      <c r="H64" s="31" t="s">
        <v>92</v>
      </c>
      <c r="K64" s="31" t="s">
        <v>2464</v>
      </c>
      <c r="L64" s="3">
        <v>43585</v>
      </c>
      <c r="M64" s="31" t="s">
        <v>35</v>
      </c>
      <c r="N64" s="14" t="s">
        <v>2502</v>
      </c>
      <c r="O64" s="36">
        <v>60</v>
      </c>
      <c r="P64" s="30">
        <v>1</v>
      </c>
      <c r="Q64" s="37">
        <v>0.21</v>
      </c>
      <c r="R64" s="38">
        <v>0</v>
      </c>
      <c r="S64" s="31" t="s">
        <v>36</v>
      </c>
      <c r="T64" s="213">
        <f t="shared" si="0"/>
        <v>72.599999999999994</v>
      </c>
      <c r="U64" t="s">
        <v>279</v>
      </c>
      <c r="V64" s="5" t="s">
        <v>2503</v>
      </c>
      <c r="W64" s="34">
        <v>30805</v>
      </c>
      <c r="X64" s="32">
        <v>43578</v>
      </c>
      <c r="Y64" s="11" t="s">
        <v>2574</v>
      </c>
      <c r="Z64" s="2"/>
      <c r="AA64" s="2"/>
      <c r="AD64" t="s">
        <v>1158</v>
      </c>
      <c r="AE64"/>
      <c r="AH64" s="34"/>
      <c r="AK64" s="34"/>
      <c r="AL64"/>
    </row>
    <row r="65" spans="1:38" s="31" customFormat="1">
      <c r="A65" s="1">
        <v>64</v>
      </c>
      <c r="B65" s="31" t="s">
        <v>260</v>
      </c>
      <c r="C65" s="32">
        <v>43578</v>
      </c>
      <c r="D65" s="31" t="s">
        <v>2464</v>
      </c>
      <c r="E65" t="s">
        <v>2465</v>
      </c>
      <c r="F65" s="31" t="s">
        <v>188</v>
      </c>
      <c r="G65" s="33" t="s">
        <v>220</v>
      </c>
      <c r="H65" s="31" t="s">
        <v>92</v>
      </c>
      <c r="K65" s="31" t="s">
        <v>2464</v>
      </c>
      <c r="L65" s="3">
        <v>43585</v>
      </c>
      <c r="M65" s="31" t="s">
        <v>35</v>
      </c>
      <c r="N65" s="14" t="s">
        <v>2504</v>
      </c>
      <c r="O65" s="36">
        <v>60</v>
      </c>
      <c r="P65" s="30">
        <v>1</v>
      </c>
      <c r="Q65" s="37">
        <v>0.21</v>
      </c>
      <c r="R65" s="38">
        <v>0</v>
      </c>
      <c r="S65" s="31" t="s">
        <v>36</v>
      </c>
      <c r="T65" s="213">
        <f t="shared" si="0"/>
        <v>72.599999999999994</v>
      </c>
      <c r="U65" t="s">
        <v>511</v>
      </c>
      <c r="V65" s="5" t="s">
        <v>2505</v>
      </c>
      <c r="W65" s="34">
        <v>26947</v>
      </c>
      <c r="X65" s="32">
        <v>43578</v>
      </c>
      <c r="Y65" s="11" t="s">
        <v>2574</v>
      </c>
      <c r="Z65" s="2"/>
      <c r="AA65" s="2"/>
      <c r="AD65" t="s">
        <v>1158</v>
      </c>
      <c r="AE65"/>
      <c r="AH65" s="34"/>
      <c r="AK65" s="34"/>
      <c r="AL65"/>
    </row>
    <row r="66" spans="1:38" s="31" customFormat="1">
      <c r="A66" s="1">
        <v>65</v>
      </c>
      <c r="B66" s="31" t="s">
        <v>260</v>
      </c>
      <c r="C66" s="32">
        <v>43578</v>
      </c>
      <c r="D66" s="31" t="s">
        <v>2464</v>
      </c>
      <c r="E66" t="s">
        <v>2465</v>
      </c>
      <c r="F66" s="31" t="s">
        <v>188</v>
      </c>
      <c r="G66" s="33" t="s">
        <v>220</v>
      </c>
      <c r="H66" s="31" t="s">
        <v>92</v>
      </c>
      <c r="K66" s="31" t="s">
        <v>2464</v>
      </c>
      <c r="L66" s="3">
        <v>43585</v>
      </c>
      <c r="M66" s="31" t="s">
        <v>35</v>
      </c>
      <c r="N66" s="14" t="s">
        <v>2506</v>
      </c>
      <c r="O66" s="36">
        <v>60</v>
      </c>
      <c r="P66" s="30">
        <v>1</v>
      </c>
      <c r="Q66" s="37">
        <v>0.21</v>
      </c>
      <c r="R66" s="38">
        <v>0</v>
      </c>
      <c r="S66" s="31" t="s">
        <v>36</v>
      </c>
      <c r="T66" s="213">
        <f t="shared" ref="T66:T128" si="1">(O66*P66)*Q66+O66*P66</f>
        <v>72.599999999999994</v>
      </c>
      <c r="U66" t="s">
        <v>530</v>
      </c>
      <c r="V66" s="5" t="s">
        <v>2507</v>
      </c>
      <c r="W66" s="34">
        <v>32480</v>
      </c>
      <c r="X66" s="32">
        <v>43578</v>
      </c>
      <c r="Y66" s="11" t="s">
        <v>2574</v>
      </c>
      <c r="Z66" s="2"/>
      <c r="AA66" s="2"/>
      <c r="AD66" t="s">
        <v>1158</v>
      </c>
      <c r="AE66"/>
      <c r="AH66" s="34"/>
      <c r="AK66" s="34"/>
      <c r="AL66"/>
    </row>
    <row r="67" spans="1:38" s="31" customFormat="1">
      <c r="A67" s="1">
        <v>66</v>
      </c>
      <c r="B67" s="31" t="s">
        <v>260</v>
      </c>
      <c r="C67" s="32">
        <v>43578</v>
      </c>
      <c r="D67" s="31" t="s">
        <v>2464</v>
      </c>
      <c r="E67" t="s">
        <v>2465</v>
      </c>
      <c r="F67" s="31" t="s">
        <v>188</v>
      </c>
      <c r="G67" s="33" t="s">
        <v>220</v>
      </c>
      <c r="H67" s="31" t="s">
        <v>92</v>
      </c>
      <c r="K67" s="31" t="s">
        <v>2464</v>
      </c>
      <c r="L67" s="3">
        <v>43585</v>
      </c>
      <c r="M67" s="31" t="s">
        <v>35</v>
      </c>
      <c r="N67" s="14" t="s">
        <v>2508</v>
      </c>
      <c r="O67" s="36">
        <v>60</v>
      </c>
      <c r="P67" s="30">
        <v>1</v>
      </c>
      <c r="Q67" s="37">
        <v>0.21</v>
      </c>
      <c r="R67" s="38">
        <v>0</v>
      </c>
      <c r="S67" s="31" t="s">
        <v>36</v>
      </c>
      <c r="T67" s="213">
        <f t="shared" si="1"/>
        <v>72.599999999999994</v>
      </c>
      <c r="U67" t="s">
        <v>96</v>
      </c>
      <c r="V67" s="5" t="s">
        <v>2509</v>
      </c>
      <c r="W67" s="3">
        <v>31280</v>
      </c>
      <c r="X67" s="32">
        <v>43578</v>
      </c>
      <c r="Y67" s="11" t="s">
        <v>2574</v>
      </c>
      <c r="Z67" s="2"/>
      <c r="AA67" s="2"/>
      <c r="AD67" t="s">
        <v>1158</v>
      </c>
      <c r="AE67"/>
      <c r="AH67" s="34"/>
      <c r="AK67" s="34"/>
      <c r="AL67"/>
    </row>
    <row r="68" spans="1:38" s="31" customFormat="1">
      <c r="A68" s="1">
        <v>67</v>
      </c>
      <c r="B68" s="31" t="s">
        <v>260</v>
      </c>
      <c r="C68" s="32">
        <v>43578</v>
      </c>
      <c r="D68" s="31" t="s">
        <v>2464</v>
      </c>
      <c r="E68" t="s">
        <v>2465</v>
      </c>
      <c r="F68" s="31" t="s">
        <v>188</v>
      </c>
      <c r="G68" s="33" t="s">
        <v>220</v>
      </c>
      <c r="H68" s="31" t="s">
        <v>92</v>
      </c>
      <c r="K68" s="31" t="s">
        <v>2464</v>
      </c>
      <c r="L68" s="3">
        <v>43585</v>
      </c>
      <c r="M68" s="31" t="s">
        <v>35</v>
      </c>
      <c r="N68" s="14" t="s">
        <v>2510</v>
      </c>
      <c r="O68" s="36">
        <v>60</v>
      </c>
      <c r="P68" s="30">
        <v>1</v>
      </c>
      <c r="Q68" s="37">
        <v>0.21</v>
      </c>
      <c r="R68" s="38">
        <v>0</v>
      </c>
      <c r="S68" s="31" t="s">
        <v>36</v>
      </c>
      <c r="T68" s="213">
        <f t="shared" si="1"/>
        <v>72.599999999999994</v>
      </c>
      <c r="U68" t="s">
        <v>128</v>
      </c>
      <c r="V68" s="5" t="s">
        <v>2511</v>
      </c>
      <c r="W68" s="34">
        <v>29961</v>
      </c>
      <c r="X68" s="32">
        <v>43578</v>
      </c>
      <c r="Y68" s="11" t="s">
        <v>2574</v>
      </c>
      <c r="Z68" s="2"/>
      <c r="AA68" s="2"/>
      <c r="AD68" t="s">
        <v>1158</v>
      </c>
      <c r="AE68"/>
      <c r="AH68" s="34"/>
      <c r="AK68" s="34"/>
      <c r="AL68"/>
    </row>
    <row r="69" spans="1:38" s="31" customFormat="1">
      <c r="A69" s="1">
        <v>68</v>
      </c>
      <c r="B69" s="31" t="s">
        <v>260</v>
      </c>
      <c r="C69" s="32">
        <v>43578</v>
      </c>
      <c r="D69" s="31" t="s">
        <v>2464</v>
      </c>
      <c r="E69" t="s">
        <v>2465</v>
      </c>
      <c r="F69" s="31" t="s">
        <v>188</v>
      </c>
      <c r="G69" s="33" t="s">
        <v>220</v>
      </c>
      <c r="H69" s="31" t="s">
        <v>92</v>
      </c>
      <c r="K69" s="31" t="s">
        <v>2464</v>
      </c>
      <c r="L69" s="3">
        <v>43585</v>
      </c>
      <c r="M69" s="31" t="s">
        <v>35</v>
      </c>
      <c r="N69" s="14" t="s">
        <v>2512</v>
      </c>
      <c r="O69" s="36">
        <v>60</v>
      </c>
      <c r="P69" s="30">
        <v>1</v>
      </c>
      <c r="Q69" s="37">
        <v>0.21</v>
      </c>
      <c r="R69" s="38">
        <v>0</v>
      </c>
      <c r="S69" s="31" t="s">
        <v>36</v>
      </c>
      <c r="T69" s="213">
        <f t="shared" si="1"/>
        <v>72.599999999999994</v>
      </c>
      <c r="U69" t="s">
        <v>191</v>
      </c>
      <c r="V69" s="5" t="s">
        <v>2513</v>
      </c>
      <c r="W69" s="34">
        <v>32608</v>
      </c>
      <c r="X69" s="32">
        <v>43578</v>
      </c>
      <c r="Y69" s="11" t="s">
        <v>2574</v>
      </c>
      <c r="Z69" s="2"/>
      <c r="AA69" s="2"/>
      <c r="AD69" t="s">
        <v>1158</v>
      </c>
      <c r="AE69"/>
      <c r="AH69" s="34"/>
      <c r="AK69" s="34"/>
      <c r="AL69"/>
    </row>
    <row r="70" spans="1:38" s="31" customFormat="1">
      <c r="A70" s="1">
        <v>69</v>
      </c>
      <c r="B70" s="31" t="s">
        <v>260</v>
      </c>
      <c r="C70" s="32">
        <v>43578</v>
      </c>
      <c r="D70" s="31" t="s">
        <v>2464</v>
      </c>
      <c r="E70" t="s">
        <v>2465</v>
      </c>
      <c r="F70" s="31" t="s">
        <v>188</v>
      </c>
      <c r="G70" s="33" t="s">
        <v>220</v>
      </c>
      <c r="H70" s="31" t="s">
        <v>92</v>
      </c>
      <c r="K70" s="31" t="s">
        <v>2464</v>
      </c>
      <c r="L70" s="3">
        <v>43585</v>
      </c>
      <c r="M70" s="31" t="s">
        <v>35</v>
      </c>
      <c r="N70" s="14" t="s">
        <v>2514</v>
      </c>
      <c r="O70" s="36">
        <v>60</v>
      </c>
      <c r="P70" s="30">
        <v>1</v>
      </c>
      <c r="Q70" s="37">
        <v>0.21</v>
      </c>
      <c r="R70" s="38">
        <v>0</v>
      </c>
      <c r="S70" s="31" t="s">
        <v>36</v>
      </c>
      <c r="T70" s="213">
        <f t="shared" si="1"/>
        <v>72.599999999999994</v>
      </c>
      <c r="U70" t="s">
        <v>277</v>
      </c>
      <c r="V70" s="5" t="s">
        <v>2515</v>
      </c>
      <c r="W70" s="34">
        <v>31899</v>
      </c>
      <c r="X70" s="32">
        <v>43578</v>
      </c>
      <c r="Y70" s="11" t="s">
        <v>2574</v>
      </c>
      <c r="Z70" s="2"/>
      <c r="AA70" s="2"/>
      <c r="AD70" t="s">
        <v>1158</v>
      </c>
      <c r="AE70"/>
      <c r="AH70" s="34"/>
      <c r="AK70" s="34"/>
      <c r="AL70"/>
    </row>
    <row r="71" spans="1:38" s="31" customFormat="1">
      <c r="A71" s="1">
        <v>70</v>
      </c>
      <c r="B71" s="31" t="s">
        <v>260</v>
      </c>
      <c r="C71" s="32">
        <v>43578</v>
      </c>
      <c r="D71" s="31" t="s">
        <v>2464</v>
      </c>
      <c r="E71" t="s">
        <v>2465</v>
      </c>
      <c r="F71" s="31" t="s">
        <v>188</v>
      </c>
      <c r="G71" s="33" t="s">
        <v>220</v>
      </c>
      <c r="H71" s="31" t="s">
        <v>92</v>
      </c>
      <c r="K71" s="31" t="s">
        <v>2464</v>
      </c>
      <c r="L71" s="3">
        <v>43585</v>
      </c>
      <c r="M71" s="31" t="s">
        <v>35</v>
      </c>
      <c r="N71" s="14" t="s">
        <v>2516</v>
      </c>
      <c r="O71" s="36">
        <v>60</v>
      </c>
      <c r="P71" s="30">
        <v>1</v>
      </c>
      <c r="Q71" s="37">
        <v>0.21</v>
      </c>
      <c r="R71" s="38">
        <v>0</v>
      </c>
      <c r="S71" s="31" t="s">
        <v>36</v>
      </c>
      <c r="T71" s="213">
        <f t="shared" si="1"/>
        <v>72.599999999999994</v>
      </c>
      <c r="U71" t="s">
        <v>275</v>
      </c>
      <c r="V71" s="5" t="s">
        <v>2517</v>
      </c>
      <c r="W71" s="34">
        <v>34788</v>
      </c>
      <c r="X71" s="32">
        <v>43578</v>
      </c>
      <c r="Y71" s="11" t="s">
        <v>2574</v>
      </c>
      <c r="Z71" s="2"/>
      <c r="AA71" s="2"/>
      <c r="AD71" t="s">
        <v>1158</v>
      </c>
      <c r="AE71"/>
      <c r="AH71" s="34"/>
      <c r="AK71" s="34"/>
      <c r="AL71"/>
    </row>
    <row r="72" spans="1:38" s="31" customFormat="1">
      <c r="A72" s="1">
        <v>71</v>
      </c>
      <c r="B72" s="31" t="s">
        <v>260</v>
      </c>
      <c r="C72" s="32">
        <v>43578</v>
      </c>
      <c r="D72" s="31" t="s">
        <v>2464</v>
      </c>
      <c r="E72" t="s">
        <v>2465</v>
      </c>
      <c r="F72" s="31" t="s">
        <v>188</v>
      </c>
      <c r="G72" s="33" t="s">
        <v>220</v>
      </c>
      <c r="H72" s="31" t="s">
        <v>92</v>
      </c>
      <c r="K72" s="31" t="s">
        <v>2464</v>
      </c>
      <c r="L72" s="3">
        <v>43585</v>
      </c>
      <c r="M72" s="31" t="s">
        <v>35</v>
      </c>
      <c r="N72" s="14" t="s">
        <v>2518</v>
      </c>
      <c r="O72" s="36">
        <v>60</v>
      </c>
      <c r="P72" s="30">
        <v>1</v>
      </c>
      <c r="Q72" s="37">
        <v>0.21</v>
      </c>
      <c r="R72" s="38">
        <v>0</v>
      </c>
      <c r="S72" s="31" t="s">
        <v>36</v>
      </c>
      <c r="T72" s="213">
        <f t="shared" si="1"/>
        <v>72.599999999999994</v>
      </c>
      <c r="U72" t="s">
        <v>129</v>
      </c>
      <c r="V72" s="5" t="s">
        <v>2519</v>
      </c>
      <c r="W72" s="34">
        <v>28804</v>
      </c>
      <c r="X72" s="32">
        <v>43578</v>
      </c>
      <c r="Y72" s="11" t="s">
        <v>2574</v>
      </c>
      <c r="Z72" s="2"/>
      <c r="AA72" s="2"/>
      <c r="AD72" t="s">
        <v>1158</v>
      </c>
      <c r="AE72"/>
      <c r="AH72" s="34"/>
      <c r="AK72" s="34"/>
      <c r="AL72"/>
    </row>
    <row r="73" spans="1:38" s="31" customFormat="1">
      <c r="A73" s="1">
        <v>72</v>
      </c>
      <c r="B73" s="31" t="s">
        <v>260</v>
      </c>
      <c r="C73" s="32">
        <v>43578</v>
      </c>
      <c r="D73" s="31" t="s">
        <v>2464</v>
      </c>
      <c r="E73" t="s">
        <v>2465</v>
      </c>
      <c r="F73" s="31" t="s">
        <v>188</v>
      </c>
      <c r="G73" s="33" t="s">
        <v>220</v>
      </c>
      <c r="H73" s="31" t="s">
        <v>92</v>
      </c>
      <c r="K73" s="31" t="s">
        <v>2464</v>
      </c>
      <c r="L73" s="3">
        <v>43585</v>
      </c>
      <c r="M73" s="31" t="s">
        <v>35</v>
      </c>
      <c r="N73" s="14" t="s">
        <v>2520</v>
      </c>
      <c r="O73" s="36">
        <v>60</v>
      </c>
      <c r="P73" s="30">
        <v>1</v>
      </c>
      <c r="Q73" s="37">
        <v>0.21</v>
      </c>
      <c r="R73" s="38">
        <v>0</v>
      </c>
      <c r="S73" s="31" t="s">
        <v>36</v>
      </c>
      <c r="T73" s="213">
        <f t="shared" si="1"/>
        <v>72.599999999999994</v>
      </c>
      <c r="U73" t="s">
        <v>273</v>
      </c>
      <c r="V73" s="5" t="s">
        <v>2521</v>
      </c>
      <c r="W73" s="34">
        <v>30535</v>
      </c>
      <c r="X73" s="32">
        <v>43578</v>
      </c>
      <c r="Y73" s="11" t="s">
        <v>2574</v>
      </c>
      <c r="Z73" s="2"/>
      <c r="AA73" s="2"/>
      <c r="AD73" t="s">
        <v>1158</v>
      </c>
      <c r="AE73"/>
      <c r="AH73" s="34"/>
      <c r="AK73" s="34"/>
      <c r="AL73"/>
    </row>
    <row r="74" spans="1:38" s="31" customFormat="1">
      <c r="A74" s="1">
        <v>73</v>
      </c>
      <c r="B74" s="31" t="s">
        <v>260</v>
      </c>
      <c r="C74" s="32">
        <v>43578</v>
      </c>
      <c r="D74" s="31" t="s">
        <v>2464</v>
      </c>
      <c r="E74" t="s">
        <v>2465</v>
      </c>
      <c r="F74" s="31" t="s">
        <v>188</v>
      </c>
      <c r="G74" s="33" t="s">
        <v>220</v>
      </c>
      <c r="H74" s="31" t="s">
        <v>92</v>
      </c>
      <c r="K74" s="31" t="s">
        <v>2464</v>
      </c>
      <c r="L74" s="3">
        <v>43585</v>
      </c>
      <c r="M74" s="31" t="s">
        <v>35</v>
      </c>
      <c r="N74" s="14" t="s">
        <v>2522</v>
      </c>
      <c r="O74" s="36">
        <v>60</v>
      </c>
      <c r="P74" s="30">
        <v>1</v>
      </c>
      <c r="Q74" s="37">
        <v>0.21</v>
      </c>
      <c r="R74" s="38">
        <v>0</v>
      </c>
      <c r="S74" s="31" t="s">
        <v>36</v>
      </c>
      <c r="T74" s="213">
        <f t="shared" si="1"/>
        <v>72.599999999999994</v>
      </c>
      <c r="U74" t="s">
        <v>192</v>
      </c>
      <c r="V74" s="5" t="s">
        <v>2523</v>
      </c>
      <c r="W74" s="34">
        <v>32957</v>
      </c>
      <c r="X74" s="32">
        <v>43578</v>
      </c>
      <c r="Y74" s="11" t="s">
        <v>2574</v>
      </c>
      <c r="Z74" s="2"/>
      <c r="AA74" s="2"/>
      <c r="AD74" t="s">
        <v>1158</v>
      </c>
      <c r="AE74"/>
      <c r="AH74" s="34"/>
      <c r="AK74" s="34"/>
      <c r="AL74"/>
    </row>
    <row r="75" spans="1:38" s="31" customFormat="1">
      <c r="A75" s="1">
        <v>74</v>
      </c>
      <c r="B75" s="31" t="s">
        <v>260</v>
      </c>
      <c r="C75" s="32">
        <v>43578</v>
      </c>
      <c r="D75" s="31" t="s">
        <v>2464</v>
      </c>
      <c r="E75" t="s">
        <v>2465</v>
      </c>
      <c r="F75" s="31" t="s">
        <v>188</v>
      </c>
      <c r="G75" s="33" t="s">
        <v>220</v>
      </c>
      <c r="H75" s="31" t="s">
        <v>92</v>
      </c>
      <c r="K75" s="31" t="s">
        <v>2464</v>
      </c>
      <c r="L75" s="3">
        <v>43585</v>
      </c>
      <c r="M75" s="31" t="s">
        <v>35</v>
      </c>
      <c r="N75" s="14" t="s">
        <v>2524</v>
      </c>
      <c r="O75" s="36">
        <v>60</v>
      </c>
      <c r="P75" s="30">
        <v>1</v>
      </c>
      <c r="Q75" s="37">
        <v>0.21</v>
      </c>
      <c r="R75" s="38">
        <v>0</v>
      </c>
      <c r="S75" s="31" t="s">
        <v>36</v>
      </c>
      <c r="T75" s="213">
        <f t="shared" si="1"/>
        <v>72.599999999999994</v>
      </c>
      <c r="U75" t="s">
        <v>195</v>
      </c>
      <c r="V75" s="5" t="s">
        <v>2525</v>
      </c>
      <c r="W75" s="34">
        <v>29235</v>
      </c>
      <c r="X75" s="32">
        <v>43578</v>
      </c>
      <c r="Y75" s="11" t="s">
        <v>2574</v>
      </c>
      <c r="Z75" s="2"/>
      <c r="AA75" s="2"/>
      <c r="AD75" t="s">
        <v>1158</v>
      </c>
      <c r="AE75"/>
      <c r="AH75" s="34"/>
      <c r="AK75" s="34"/>
      <c r="AL75"/>
    </row>
    <row r="76" spans="1:38" s="31" customFormat="1">
      <c r="A76" s="1">
        <v>75</v>
      </c>
      <c r="B76" s="31" t="s">
        <v>260</v>
      </c>
      <c r="C76" s="32">
        <v>43578</v>
      </c>
      <c r="D76" s="31" t="s">
        <v>2464</v>
      </c>
      <c r="E76" t="s">
        <v>2465</v>
      </c>
      <c r="F76" s="31" t="s">
        <v>188</v>
      </c>
      <c r="G76" s="33" t="s">
        <v>220</v>
      </c>
      <c r="H76" s="31" t="s">
        <v>92</v>
      </c>
      <c r="K76" s="31" t="s">
        <v>2464</v>
      </c>
      <c r="L76" s="3">
        <v>43585</v>
      </c>
      <c r="M76" s="31" t="s">
        <v>35</v>
      </c>
      <c r="N76" s="14" t="s">
        <v>2526</v>
      </c>
      <c r="O76" s="36">
        <v>60</v>
      </c>
      <c r="P76" s="30">
        <v>1</v>
      </c>
      <c r="Q76" s="37">
        <v>0.21</v>
      </c>
      <c r="R76" s="38">
        <v>0</v>
      </c>
      <c r="S76" s="31" t="s">
        <v>36</v>
      </c>
      <c r="T76" s="213">
        <f t="shared" si="1"/>
        <v>72.599999999999994</v>
      </c>
      <c r="U76" t="s">
        <v>274</v>
      </c>
      <c r="V76" s="5" t="s">
        <v>2527</v>
      </c>
      <c r="W76" s="34">
        <v>31536</v>
      </c>
      <c r="X76" s="32">
        <v>43578</v>
      </c>
      <c r="Y76" s="11" t="s">
        <v>2574</v>
      </c>
      <c r="Z76" s="2"/>
      <c r="AA76" s="2"/>
      <c r="AD76" t="s">
        <v>1158</v>
      </c>
      <c r="AE76"/>
      <c r="AH76" s="34"/>
      <c r="AK76" s="34"/>
      <c r="AL76"/>
    </row>
    <row r="77" spans="1:38" s="31" customFormat="1">
      <c r="A77" s="1">
        <v>76</v>
      </c>
      <c r="B77" s="31" t="s">
        <v>260</v>
      </c>
      <c r="C77" s="2">
        <v>43578</v>
      </c>
      <c r="D77" s="31" t="s">
        <v>2464</v>
      </c>
      <c r="E77" t="s">
        <v>2465</v>
      </c>
      <c r="F77" s="31" t="s">
        <v>188</v>
      </c>
      <c r="G77" s="33" t="s">
        <v>220</v>
      </c>
      <c r="H77" s="31" t="s">
        <v>92</v>
      </c>
      <c r="K77" s="31" t="s">
        <v>2464</v>
      </c>
      <c r="L77" s="3">
        <v>43585</v>
      </c>
      <c r="M77" s="31" t="s">
        <v>35</v>
      </c>
      <c r="N77" s="14" t="s">
        <v>2528</v>
      </c>
      <c r="O77" s="36">
        <v>60</v>
      </c>
      <c r="P77" s="30">
        <v>1</v>
      </c>
      <c r="Q77" s="37">
        <v>0.21</v>
      </c>
      <c r="R77" s="38">
        <v>0</v>
      </c>
      <c r="S77" s="31" t="s">
        <v>36</v>
      </c>
      <c r="T77" s="213">
        <f t="shared" si="1"/>
        <v>72.599999999999994</v>
      </c>
      <c r="U77" t="s">
        <v>190</v>
      </c>
      <c r="V77" s="5" t="s">
        <v>2529</v>
      </c>
      <c r="W77" s="34">
        <v>27779</v>
      </c>
      <c r="X77" s="32">
        <v>43578</v>
      </c>
      <c r="Y77" s="11" t="s">
        <v>2574</v>
      </c>
      <c r="Z77" s="2"/>
      <c r="AA77" s="2"/>
      <c r="AD77" t="s">
        <v>1158</v>
      </c>
      <c r="AE77"/>
      <c r="AH77" s="34"/>
      <c r="AK77" s="34"/>
      <c r="AL77"/>
    </row>
    <row r="78" spans="1:38" s="31" customFormat="1">
      <c r="A78" s="1">
        <v>77</v>
      </c>
      <c r="B78" s="31" t="s">
        <v>260</v>
      </c>
      <c r="C78" s="32">
        <v>43578</v>
      </c>
      <c r="D78" s="31" t="s">
        <v>2464</v>
      </c>
      <c r="E78" t="s">
        <v>2465</v>
      </c>
      <c r="F78" s="31" t="s">
        <v>188</v>
      </c>
      <c r="G78" s="33" t="s">
        <v>220</v>
      </c>
      <c r="H78" s="31" t="s">
        <v>92</v>
      </c>
      <c r="K78" s="31" t="s">
        <v>2464</v>
      </c>
      <c r="L78" s="3">
        <v>43585</v>
      </c>
      <c r="M78" s="31" t="s">
        <v>35</v>
      </c>
      <c r="N78" s="14" t="s">
        <v>2530</v>
      </c>
      <c r="O78" s="36">
        <v>60</v>
      </c>
      <c r="P78" s="30">
        <v>1</v>
      </c>
      <c r="Q78" s="37">
        <v>0.21</v>
      </c>
      <c r="R78" s="38">
        <v>0</v>
      </c>
      <c r="S78" s="31" t="s">
        <v>36</v>
      </c>
      <c r="T78" s="213">
        <f t="shared" si="1"/>
        <v>72.599999999999994</v>
      </c>
      <c r="U78" t="s">
        <v>98</v>
      </c>
      <c r="V78" s="5" t="s">
        <v>2531</v>
      </c>
      <c r="W78" s="34">
        <v>31022</v>
      </c>
      <c r="X78" s="32">
        <v>43578</v>
      </c>
      <c r="Y78" s="11" t="s">
        <v>2574</v>
      </c>
      <c r="Z78" s="2"/>
      <c r="AA78" s="2"/>
      <c r="AD78" t="s">
        <v>1158</v>
      </c>
      <c r="AE78"/>
      <c r="AH78" s="34"/>
      <c r="AK78" s="34"/>
      <c r="AL78"/>
    </row>
    <row r="79" spans="1:38" s="31" customFormat="1">
      <c r="A79" s="1">
        <v>78</v>
      </c>
      <c r="B79" s="31" t="s">
        <v>260</v>
      </c>
      <c r="C79" s="32">
        <v>43577</v>
      </c>
      <c r="D79" s="31" t="s">
        <v>2464</v>
      </c>
      <c r="E79" t="s">
        <v>2465</v>
      </c>
      <c r="F79" s="31" t="s">
        <v>188</v>
      </c>
      <c r="G79" s="33" t="s">
        <v>220</v>
      </c>
      <c r="H79" s="31" t="s">
        <v>92</v>
      </c>
      <c r="K79" s="31" t="s">
        <v>2464</v>
      </c>
      <c r="L79" s="3">
        <v>43585</v>
      </c>
      <c r="M79" s="31" t="s">
        <v>35</v>
      </c>
      <c r="N79" s="14" t="s">
        <v>2532</v>
      </c>
      <c r="O79" s="36">
        <v>60</v>
      </c>
      <c r="P79" s="30">
        <v>1</v>
      </c>
      <c r="Q79" s="37">
        <v>0.21</v>
      </c>
      <c r="R79" s="38">
        <v>0</v>
      </c>
      <c r="S79" s="31" t="s">
        <v>36</v>
      </c>
      <c r="T79" s="213">
        <f t="shared" si="1"/>
        <v>72.599999999999994</v>
      </c>
      <c r="U79" t="s">
        <v>97</v>
      </c>
      <c r="V79" s="5" t="s">
        <v>2533</v>
      </c>
      <c r="W79" s="34">
        <v>29820</v>
      </c>
      <c r="X79" s="32">
        <v>43577</v>
      </c>
      <c r="Y79" s="11" t="s">
        <v>2574</v>
      </c>
      <c r="Z79" s="2"/>
      <c r="AA79" s="2"/>
      <c r="AD79" t="s">
        <v>1158</v>
      </c>
      <c r="AE79"/>
      <c r="AH79" s="34"/>
      <c r="AK79" s="34"/>
      <c r="AL79"/>
    </row>
    <row r="80" spans="1:38" s="31" customFormat="1">
      <c r="A80" s="1">
        <v>79</v>
      </c>
      <c r="B80" s="31" t="s">
        <v>260</v>
      </c>
      <c r="C80" s="32">
        <v>43577</v>
      </c>
      <c r="D80" s="31" t="s">
        <v>2464</v>
      </c>
      <c r="E80" t="s">
        <v>2465</v>
      </c>
      <c r="F80" s="31" t="s">
        <v>188</v>
      </c>
      <c r="G80" s="33" t="s">
        <v>220</v>
      </c>
      <c r="H80" s="31" t="s">
        <v>92</v>
      </c>
      <c r="K80" s="31" t="s">
        <v>2464</v>
      </c>
      <c r="L80" s="3">
        <v>43585</v>
      </c>
      <c r="M80" s="31" t="s">
        <v>35</v>
      </c>
      <c r="N80" s="14" t="s">
        <v>2534</v>
      </c>
      <c r="O80" s="36">
        <v>60</v>
      </c>
      <c r="P80" s="30">
        <v>1</v>
      </c>
      <c r="Q80" s="37">
        <v>0.21</v>
      </c>
      <c r="R80" s="38">
        <v>0</v>
      </c>
      <c r="S80" s="31" t="s">
        <v>36</v>
      </c>
      <c r="T80" s="213">
        <f t="shared" si="1"/>
        <v>72.599999999999994</v>
      </c>
      <c r="U80" t="s">
        <v>189</v>
      </c>
      <c r="V80" s="5" t="s">
        <v>2535</v>
      </c>
      <c r="W80" s="34">
        <v>29652</v>
      </c>
      <c r="X80" s="32">
        <v>43577</v>
      </c>
      <c r="Y80" s="11" t="s">
        <v>2574</v>
      </c>
      <c r="Z80" s="2"/>
      <c r="AA80" s="2"/>
      <c r="AD80" t="s">
        <v>1158</v>
      </c>
      <c r="AE80"/>
      <c r="AH80" s="34"/>
      <c r="AK80" s="34"/>
      <c r="AL80"/>
    </row>
    <row r="81" spans="1:38" s="31" customFormat="1">
      <c r="A81" s="1">
        <v>80</v>
      </c>
      <c r="B81" s="31" t="s">
        <v>260</v>
      </c>
      <c r="C81" s="32">
        <v>43577</v>
      </c>
      <c r="D81" s="31" t="s">
        <v>2464</v>
      </c>
      <c r="E81" t="s">
        <v>2465</v>
      </c>
      <c r="F81" s="31" t="s">
        <v>188</v>
      </c>
      <c r="G81" s="33" t="s">
        <v>220</v>
      </c>
      <c r="H81" s="31" t="s">
        <v>92</v>
      </c>
      <c r="K81" s="31" t="s">
        <v>2464</v>
      </c>
      <c r="L81" s="3">
        <v>43585</v>
      </c>
      <c r="M81" s="31" t="s">
        <v>35</v>
      </c>
      <c r="N81" s="14" t="s">
        <v>2536</v>
      </c>
      <c r="O81" s="36">
        <v>60</v>
      </c>
      <c r="P81" s="30">
        <v>1</v>
      </c>
      <c r="Q81" s="37">
        <v>0.21</v>
      </c>
      <c r="R81" s="38">
        <v>0</v>
      </c>
      <c r="S81" s="31" t="s">
        <v>36</v>
      </c>
      <c r="T81" s="213">
        <f t="shared" si="1"/>
        <v>72.599999999999994</v>
      </c>
      <c r="U81" t="s">
        <v>94</v>
      </c>
      <c r="V81" s="5" t="s">
        <v>2537</v>
      </c>
      <c r="W81" s="34">
        <v>26463</v>
      </c>
      <c r="X81" s="32">
        <v>43577</v>
      </c>
      <c r="Y81" s="11" t="s">
        <v>2574</v>
      </c>
      <c r="Z81" s="2"/>
      <c r="AA81" s="2"/>
      <c r="AD81" t="s">
        <v>1158</v>
      </c>
      <c r="AE81"/>
      <c r="AH81" s="34"/>
      <c r="AK81" s="34"/>
      <c r="AL81"/>
    </row>
    <row r="82" spans="1:38" s="31" customFormat="1">
      <c r="A82" s="1">
        <v>81</v>
      </c>
      <c r="B82" s="31" t="s">
        <v>260</v>
      </c>
      <c r="C82" s="32">
        <v>43577</v>
      </c>
      <c r="D82" s="31" t="s">
        <v>2464</v>
      </c>
      <c r="E82" t="s">
        <v>2465</v>
      </c>
      <c r="F82" s="31" t="s">
        <v>188</v>
      </c>
      <c r="G82" s="33" t="s">
        <v>220</v>
      </c>
      <c r="H82" s="31" t="s">
        <v>92</v>
      </c>
      <c r="K82" s="31" t="s">
        <v>2464</v>
      </c>
      <c r="L82" s="3">
        <v>43585</v>
      </c>
      <c r="M82" s="31" t="s">
        <v>35</v>
      </c>
      <c r="N82" s="14" t="s">
        <v>2538</v>
      </c>
      <c r="O82" s="36">
        <v>60</v>
      </c>
      <c r="P82" s="30">
        <v>1</v>
      </c>
      <c r="Q82" s="37">
        <v>0.21</v>
      </c>
      <c r="R82" s="38">
        <v>0</v>
      </c>
      <c r="S82" s="31" t="s">
        <v>36</v>
      </c>
      <c r="T82" s="213">
        <f t="shared" si="1"/>
        <v>72.599999999999994</v>
      </c>
      <c r="U82" t="s">
        <v>127</v>
      </c>
      <c r="V82" s="5" t="s">
        <v>2539</v>
      </c>
      <c r="W82" s="34">
        <v>31299</v>
      </c>
      <c r="X82" s="32">
        <v>43577</v>
      </c>
      <c r="Y82" s="11" t="s">
        <v>2574</v>
      </c>
      <c r="Z82" s="2"/>
      <c r="AA82" s="2"/>
      <c r="AD82" t="s">
        <v>1158</v>
      </c>
      <c r="AE82"/>
      <c r="AH82" s="34"/>
      <c r="AK82" s="34"/>
      <c r="AL82"/>
    </row>
    <row r="83" spans="1:38" s="31" customFormat="1">
      <c r="A83" s="1">
        <v>82</v>
      </c>
      <c r="B83" s="31" t="s">
        <v>260</v>
      </c>
      <c r="C83" s="32">
        <v>43577</v>
      </c>
      <c r="D83" s="31" t="s">
        <v>2464</v>
      </c>
      <c r="E83" t="s">
        <v>2465</v>
      </c>
      <c r="F83" s="31" t="s">
        <v>188</v>
      </c>
      <c r="G83" s="33" t="s">
        <v>220</v>
      </c>
      <c r="H83" s="31" t="s">
        <v>92</v>
      </c>
      <c r="K83" s="31" t="s">
        <v>2464</v>
      </c>
      <c r="L83" s="3">
        <v>43585</v>
      </c>
      <c r="M83" s="31" t="s">
        <v>35</v>
      </c>
      <c r="N83" s="14" t="s">
        <v>2540</v>
      </c>
      <c r="O83" s="36">
        <v>60</v>
      </c>
      <c r="P83" s="30">
        <v>1</v>
      </c>
      <c r="Q83" s="37">
        <v>0.21</v>
      </c>
      <c r="R83" s="38">
        <v>0</v>
      </c>
      <c r="S83" s="31" t="s">
        <v>36</v>
      </c>
      <c r="T83" s="213">
        <f t="shared" si="1"/>
        <v>72.599999999999994</v>
      </c>
      <c r="U83" t="s">
        <v>280</v>
      </c>
      <c r="V83" s="5" t="s">
        <v>2541</v>
      </c>
      <c r="W83" s="34">
        <v>34815</v>
      </c>
      <c r="X83" s="32">
        <v>43577</v>
      </c>
      <c r="Y83" s="11" t="s">
        <v>2574</v>
      </c>
      <c r="Z83" s="2"/>
      <c r="AA83" s="2"/>
      <c r="AD83" t="s">
        <v>1158</v>
      </c>
      <c r="AE83"/>
      <c r="AH83" s="34"/>
      <c r="AK83" s="34"/>
      <c r="AL83"/>
    </row>
    <row r="84" spans="1:38" s="31" customFormat="1">
      <c r="A84" s="1">
        <v>83</v>
      </c>
      <c r="B84" s="31" t="s">
        <v>260</v>
      </c>
      <c r="C84" s="32">
        <v>43577</v>
      </c>
      <c r="D84" s="31" t="s">
        <v>2464</v>
      </c>
      <c r="E84" t="s">
        <v>2465</v>
      </c>
      <c r="F84" s="31" t="s">
        <v>188</v>
      </c>
      <c r="G84" s="33" t="s">
        <v>220</v>
      </c>
      <c r="H84" s="31" t="s">
        <v>92</v>
      </c>
      <c r="K84" s="31" t="s">
        <v>2464</v>
      </c>
      <c r="L84" s="3">
        <v>43585</v>
      </c>
      <c r="M84" s="31" t="s">
        <v>35</v>
      </c>
      <c r="N84" s="14" t="s">
        <v>2542</v>
      </c>
      <c r="O84" s="36">
        <v>60</v>
      </c>
      <c r="P84" s="30">
        <v>1</v>
      </c>
      <c r="Q84" s="37">
        <v>0.21</v>
      </c>
      <c r="R84" s="38">
        <v>0</v>
      </c>
      <c r="S84" s="31" t="s">
        <v>36</v>
      </c>
      <c r="T84" s="213">
        <f t="shared" si="1"/>
        <v>72.599999999999994</v>
      </c>
      <c r="U84" t="s">
        <v>520</v>
      </c>
      <c r="V84" s="5" t="s">
        <v>2543</v>
      </c>
      <c r="W84" s="34">
        <v>31464</v>
      </c>
      <c r="X84" s="32">
        <v>43577</v>
      </c>
      <c r="Y84" s="11" t="s">
        <v>2574</v>
      </c>
      <c r="Z84" s="2"/>
      <c r="AA84" s="2"/>
      <c r="AD84" t="s">
        <v>1158</v>
      </c>
      <c r="AE84"/>
      <c r="AH84" s="34"/>
      <c r="AK84" s="34"/>
      <c r="AL84"/>
    </row>
    <row r="85" spans="1:38" s="31" customFormat="1">
      <c r="A85" s="1">
        <v>84</v>
      </c>
      <c r="B85" s="31" t="s">
        <v>260</v>
      </c>
      <c r="C85" s="32">
        <v>43577</v>
      </c>
      <c r="D85" s="31" t="s">
        <v>2464</v>
      </c>
      <c r="E85" t="s">
        <v>2465</v>
      </c>
      <c r="F85" s="31" t="s">
        <v>188</v>
      </c>
      <c r="G85" s="33" t="s">
        <v>220</v>
      </c>
      <c r="H85" s="31" t="s">
        <v>92</v>
      </c>
      <c r="K85" s="31" t="s">
        <v>2464</v>
      </c>
      <c r="L85" s="3">
        <v>43585</v>
      </c>
      <c r="M85" s="31" t="s">
        <v>35</v>
      </c>
      <c r="N85" s="14" t="s">
        <v>2544</v>
      </c>
      <c r="O85" s="36">
        <v>60</v>
      </c>
      <c r="P85" s="30">
        <v>1</v>
      </c>
      <c r="Q85" s="37">
        <v>0.21</v>
      </c>
      <c r="R85" s="38">
        <v>0</v>
      </c>
      <c r="S85" s="31" t="s">
        <v>36</v>
      </c>
      <c r="T85" s="213">
        <f t="shared" si="1"/>
        <v>72.599999999999994</v>
      </c>
      <c r="U85" t="s">
        <v>2545</v>
      </c>
      <c r="V85" s="5" t="s">
        <v>2546</v>
      </c>
      <c r="W85" s="34">
        <v>28946</v>
      </c>
      <c r="X85" s="32">
        <v>43577</v>
      </c>
      <c r="Y85" s="11" t="s">
        <v>2574</v>
      </c>
      <c r="Z85" s="2"/>
      <c r="AA85" s="2"/>
      <c r="AD85" t="s">
        <v>1158</v>
      </c>
      <c r="AE85"/>
      <c r="AH85" s="34"/>
      <c r="AK85" s="34"/>
      <c r="AL85"/>
    </row>
    <row r="86" spans="1:38" s="31" customFormat="1">
      <c r="A86" s="1">
        <v>85</v>
      </c>
      <c r="B86" s="31" t="s">
        <v>260</v>
      </c>
      <c r="C86" s="32">
        <v>43577</v>
      </c>
      <c r="D86" s="31" t="s">
        <v>2464</v>
      </c>
      <c r="E86" t="s">
        <v>2465</v>
      </c>
      <c r="F86" s="31" t="s">
        <v>188</v>
      </c>
      <c r="G86" s="33" t="s">
        <v>220</v>
      </c>
      <c r="H86" s="31" t="s">
        <v>92</v>
      </c>
      <c r="K86" s="31" t="s">
        <v>2464</v>
      </c>
      <c r="L86" s="3">
        <v>43585</v>
      </c>
      <c r="M86" s="31" t="s">
        <v>35</v>
      </c>
      <c r="N86" s="14" t="s">
        <v>2547</v>
      </c>
      <c r="O86" s="36">
        <v>60</v>
      </c>
      <c r="P86" s="30">
        <v>1</v>
      </c>
      <c r="Q86" s="37">
        <v>0.21</v>
      </c>
      <c r="R86" s="38">
        <v>0</v>
      </c>
      <c r="S86" s="31" t="s">
        <v>36</v>
      </c>
      <c r="T86" s="213">
        <f t="shared" si="1"/>
        <v>72.599999999999994</v>
      </c>
      <c r="U86" t="s">
        <v>95</v>
      </c>
      <c r="V86" s="5" t="s">
        <v>2548</v>
      </c>
      <c r="W86" s="34">
        <v>27312</v>
      </c>
      <c r="X86" s="32">
        <v>43577</v>
      </c>
      <c r="Y86" s="11" t="s">
        <v>2574</v>
      </c>
      <c r="Z86" s="2"/>
      <c r="AA86" s="2"/>
      <c r="AD86" t="s">
        <v>1158</v>
      </c>
      <c r="AE86"/>
      <c r="AH86" s="34"/>
      <c r="AK86" s="34"/>
      <c r="AL86"/>
    </row>
    <row r="87" spans="1:38" s="31" customFormat="1">
      <c r="A87" s="1">
        <v>86</v>
      </c>
      <c r="B87" s="31" t="s">
        <v>260</v>
      </c>
      <c r="C87" s="32">
        <v>43577</v>
      </c>
      <c r="D87" s="31" t="s">
        <v>2464</v>
      </c>
      <c r="E87" t="s">
        <v>2465</v>
      </c>
      <c r="F87" s="31" t="s">
        <v>188</v>
      </c>
      <c r="G87" s="33" t="s">
        <v>220</v>
      </c>
      <c r="H87" s="31" t="s">
        <v>92</v>
      </c>
      <c r="K87" s="31" t="s">
        <v>2464</v>
      </c>
      <c r="L87" s="3">
        <v>43585</v>
      </c>
      <c r="M87" s="31" t="s">
        <v>35</v>
      </c>
      <c r="N87" s="14" t="s">
        <v>2549</v>
      </c>
      <c r="O87" s="36">
        <v>60</v>
      </c>
      <c r="P87" s="30">
        <v>1</v>
      </c>
      <c r="Q87" s="37">
        <v>0.21</v>
      </c>
      <c r="R87" s="38">
        <v>0</v>
      </c>
      <c r="S87" s="31" t="s">
        <v>36</v>
      </c>
      <c r="T87" s="213">
        <f t="shared" si="1"/>
        <v>72.599999999999994</v>
      </c>
      <c r="U87" t="s">
        <v>2550</v>
      </c>
      <c r="V87" s="5" t="s">
        <v>2551</v>
      </c>
      <c r="W87" s="34">
        <v>32143</v>
      </c>
      <c r="X87" s="32">
        <v>43577</v>
      </c>
      <c r="Y87" s="11" t="s">
        <v>2574</v>
      </c>
      <c r="Z87" s="2"/>
      <c r="AA87" s="2"/>
      <c r="AD87" t="s">
        <v>1158</v>
      </c>
      <c r="AE87"/>
      <c r="AH87" s="34"/>
      <c r="AK87" s="34"/>
      <c r="AL87"/>
    </row>
    <row r="88" spans="1:38" s="31" customFormat="1">
      <c r="A88" s="1">
        <v>87</v>
      </c>
      <c r="B88" s="31" t="s">
        <v>260</v>
      </c>
      <c r="C88" s="32">
        <v>43577</v>
      </c>
      <c r="D88" s="31" t="s">
        <v>2464</v>
      </c>
      <c r="E88" t="s">
        <v>2465</v>
      </c>
      <c r="F88" s="31" t="s">
        <v>188</v>
      </c>
      <c r="G88" s="33" t="s">
        <v>220</v>
      </c>
      <c r="H88" s="31" t="s">
        <v>92</v>
      </c>
      <c r="K88" s="31" t="s">
        <v>2464</v>
      </c>
      <c r="L88" s="3">
        <v>43585</v>
      </c>
      <c r="M88" s="31" t="s">
        <v>35</v>
      </c>
      <c r="N88" s="14" t="s">
        <v>2552</v>
      </c>
      <c r="O88" s="36">
        <v>60</v>
      </c>
      <c r="P88" s="30">
        <v>1</v>
      </c>
      <c r="Q88" s="37">
        <v>0.21</v>
      </c>
      <c r="R88" s="38">
        <v>0</v>
      </c>
      <c r="S88" s="31" t="s">
        <v>36</v>
      </c>
      <c r="T88" s="213">
        <f t="shared" si="1"/>
        <v>72.599999999999994</v>
      </c>
      <c r="U88" t="s">
        <v>2553</v>
      </c>
      <c r="V88" s="5" t="s">
        <v>2554</v>
      </c>
      <c r="W88" s="34">
        <v>29649</v>
      </c>
      <c r="X88" s="32">
        <v>43577</v>
      </c>
      <c r="Y88" s="11" t="s">
        <v>2574</v>
      </c>
      <c r="Z88" s="2"/>
      <c r="AA88" s="2"/>
      <c r="AD88" t="s">
        <v>1158</v>
      </c>
      <c r="AE88"/>
      <c r="AH88" s="34"/>
      <c r="AK88" s="34"/>
      <c r="AL88"/>
    </row>
    <row r="89" spans="1:38" s="31" customFormat="1">
      <c r="A89" s="1">
        <v>88</v>
      </c>
      <c r="B89" s="31" t="s">
        <v>260</v>
      </c>
      <c r="C89" s="32">
        <v>43577</v>
      </c>
      <c r="D89" s="31" t="s">
        <v>2464</v>
      </c>
      <c r="E89" t="s">
        <v>2465</v>
      </c>
      <c r="F89" s="31" t="s">
        <v>188</v>
      </c>
      <c r="G89" s="33" t="s">
        <v>220</v>
      </c>
      <c r="H89" s="31" t="s">
        <v>92</v>
      </c>
      <c r="K89" s="31" t="s">
        <v>2464</v>
      </c>
      <c r="L89" s="3">
        <v>43585</v>
      </c>
      <c r="M89" s="31" t="s">
        <v>35</v>
      </c>
      <c r="N89" s="14" t="s">
        <v>2555</v>
      </c>
      <c r="O89" s="36">
        <v>60</v>
      </c>
      <c r="P89" s="30">
        <v>1</v>
      </c>
      <c r="Q89" s="37">
        <v>0.21</v>
      </c>
      <c r="R89" s="38">
        <v>0</v>
      </c>
      <c r="S89" s="31" t="s">
        <v>36</v>
      </c>
      <c r="T89" s="213">
        <f t="shared" si="1"/>
        <v>72.599999999999994</v>
      </c>
      <c r="U89" t="s">
        <v>2556</v>
      </c>
      <c r="V89" s="5" t="s">
        <v>2557</v>
      </c>
      <c r="W89" s="34">
        <v>28455</v>
      </c>
      <c r="X89" s="32">
        <v>43577</v>
      </c>
      <c r="Y89" s="11" t="s">
        <v>2574</v>
      </c>
      <c r="Z89" s="2"/>
      <c r="AA89" s="2"/>
      <c r="AD89" t="s">
        <v>1158</v>
      </c>
      <c r="AE89"/>
      <c r="AH89" s="34"/>
      <c r="AK89" s="34"/>
      <c r="AL89"/>
    </row>
    <row r="90" spans="1:38" s="31" customFormat="1">
      <c r="A90" s="1">
        <v>89</v>
      </c>
      <c r="B90" s="31" t="s">
        <v>260</v>
      </c>
      <c r="C90" s="32">
        <v>43577</v>
      </c>
      <c r="D90" s="31" t="s">
        <v>2464</v>
      </c>
      <c r="E90" t="s">
        <v>2465</v>
      </c>
      <c r="F90" s="31" t="s">
        <v>188</v>
      </c>
      <c r="G90" s="33" t="s">
        <v>220</v>
      </c>
      <c r="H90" s="31" t="s">
        <v>92</v>
      </c>
      <c r="K90" s="31" t="s">
        <v>2464</v>
      </c>
      <c r="L90" s="3">
        <v>43585</v>
      </c>
      <c r="M90" s="31" t="s">
        <v>35</v>
      </c>
      <c r="N90" s="14" t="s">
        <v>2558</v>
      </c>
      <c r="O90" s="36">
        <v>60</v>
      </c>
      <c r="P90" s="30">
        <v>1</v>
      </c>
      <c r="Q90" s="37">
        <v>0.21</v>
      </c>
      <c r="R90" s="38">
        <v>0</v>
      </c>
      <c r="S90" s="31" t="s">
        <v>36</v>
      </c>
      <c r="T90" s="213">
        <f t="shared" si="1"/>
        <v>72.599999999999994</v>
      </c>
      <c r="U90" t="s">
        <v>2559</v>
      </c>
      <c r="V90" s="5" t="s">
        <v>2560</v>
      </c>
      <c r="W90" s="34">
        <v>34054</v>
      </c>
      <c r="X90" s="32">
        <v>43577</v>
      </c>
      <c r="Y90" s="11" t="s">
        <v>2574</v>
      </c>
      <c r="Z90" s="2"/>
      <c r="AA90" s="2"/>
      <c r="AD90" t="s">
        <v>1158</v>
      </c>
      <c r="AE90"/>
      <c r="AH90" s="34"/>
      <c r="AK90" s="34"/>
      <c r="AL90"/>
    </row>
    <row r="91" spans="1:38" s="31" customFormat="1">
      <c r="A91" s="1">
        <v>90</v>
      </c>
      <c r="B91" s="31" t="s">
        <v>260</v>
      </c>
      <c r="C91" s="32">
        <v>43577</v>
      </c>
      <c r="D91" s="31" t="s">
        <v>2464</v>
      </c>
      <c r="E91" t="s">
        <v>2465</v>
      </c>
      <c r="F91" s="31" t="s">
        <v>188</v>
      </c>
      <c r="G91" s="33" t="s">
        <v>220</v>
      </c>
      <c r="H91" s="31" t="s">
        <v>92</v>
      </c>
      <c r="K91" s="31" t="s">
        <v>2464</v>
      </c>
      <c r="L91" s="3">
        <v>43585</v>
      </c>
      <c r="M91" s="31" t="s">
        <v>35</v>
      </c>
      <c r="N91" s="14" t="s">
        <v>2561</v>
      </c>
      <c r="O91" s="36">
        <v>60</v>
      </c>
      <c r="P91" s="30">
        <v>1</v>
      </c>
      <c r="Q91" s="37">
        <v>0.21</v>
      </c>
      <c r="R91" s="38">
        <v>0</v>
      </c>
      <c r="S91" s="31" t="s">
        <v>36</v>
      </c>
      <c r="T91" s="213">
        <f t="shared" si="1"/>
        <v>72.599999999999994</v>
      </c>
      <c r="U91" t="s">
        <v>2562</v>
      </c>
      <c r="V91" s="5" t="s">
        <v>2563</v>
      </c>
      <c r="W91" s="34">
        <v>33239</v>
      </c>
      <c r="X91" s="32">
        <v>43577</v>
      </c>
      <c r="Y91" s="11" t="s">
        <v>2574</v>
      </c>
      <c r="Z91" s="2"/>
      <c r="AA91" s="2"/>
      <c r="AD91" t="s">
        <v>1158</v>
      </c>
      <c r="AE91"/>
      <c r="AH91" s="34"/>
      <c r="AK91" s="34"/>
      <c r="AL91"/>
    </row>
    <row r="92" spans="1:38" s="31" customFormat="1">
      <c r="A92" s="1">
        <v>91</v>
      </c>
      <c r="B92" s="31" t="s">
        <v>260</v>
      </c>
      <c r="C92" s="32">
        <v>43577</v>
      </c>
      <c r="D92" s="31" t="s">
        <v>2464</v>
      </c>
      <c r="E92" t="s">
        <v>2465</v>
      </c>
      <c r="F92" s="31" t="s">
        <v>188</v>
      </c>
      <c r="G92" s="33" t="s">
        <v>220</v>
      </c>
      <c r="H92" s="31" t="s">
        <v>92</v>
      </c>
      <c r="K92" s="31" t="s">
        <v>2464</v>
      </c>
      <c r="L92" s="3">
        <v>43585</v>
      </c>
      <c r="M92" s="31" t="s">
        <v>35</v>
      </c>
      <c r="N92" s="14" t="s">
        <v>2564</v>
      </c>
      <c r="O92" s="36">
        <v>60</v>
      </c>
      <c r="P92" s="30">
        <v>1</v>
      </c>
      <c r="Q92" s="37">
        <v>0.21</v>
      </c>
      <c r="R92" s="38">
        <v>0</v>
      </c>
      <c r="S92" s="31" t="s">
        <v>36</v>
      </c>
      <c r="T92" s="213">
        <f t="shared" si="1"/>
        <v>72.599999999999994</v>
      </c>
      <c r="U92" t="s">
        <v>2565</v>
      </c>
      <c r="V92" s="5" t="s">
        <v>2566</v>
      </c>
      <c r="W92" s="34">
        <v>26897</v>
      </c>
      <c r="X92" s="32">
        <v>43577</v>
      </c>
      <c r="Y92" s="11" t="s">
        <v>2574</v>
      </c>
      <c r="Z92" s="2"/>
      <c r="AA92" s="2"/>
      <c r="AD92" t="s">
        <v>1158</v>
      </c>
      <c r="AE92"/>
      <c r="AH92" s="34"/>
      <c r="AK92" s="34"/>
      <c r="AL92"/>
    </row>
    <row r="93" spans="1:38" s="31" customFormat="1">
      <c r="A93" s="1">
        <v>92</v>
      </c>
      <c r="B93" s="31" t="s">
        <v>260</v>
      </c>
      <c r="C93" s="32">
        <v>43572</v>
      </c>
      <c r="D93" s="31" t="s">
        <v>2464</v>
      </c>
      <c r="E93" t="s">
        <v>2465</v>
      </c>
      <c r="F93" s="31" t="s">
        <v>188</v>
      </c>
      <c r="G93" s="33" t="s">
        <v>220</v>
      </c>
      <c r="H93" s="31" t="s">
        <v>92</v>
      </c>
      <c r="K93" s="31" t="s">
        <v>2464</v>
      </c>
      <c r="L93" s="3">
        <v>43585</v>
      </c>
      <c r="M93" s="31" t="s">
        <v>35</v>
      </c>
      <c r="N93" s="14" t="s">
        <v>2567</v>
      </c>
      <c r="O93" s="36">
        <v>60</v>
      </c>
      <c r="P93" s="30">
        <v>1</v>
      </c>
      <c r="Q93" s="37">
        <v>0.21</v>
      </c>
      <c r="R93" s="38">
        <v>0</v>
      </c>
      <c r="S93" s="31" t="s">
        <v>36</v>
      </c>
      <c r="T93" s="213">
        <f t="shared" si="1"/>
        <v>72.599999999999994</v>
      </c>
      <c r="U93" t="s">
        <v>93</v>
      </c>
      <c r="V93" s="5" t="s">
        <v>2568</v>
      </c>
      <c r="W93" s="34">
        <v>28235</v>
      </c>
      <c r="X93" s="32">
        <v>43572</v>
      </c>
      <c r="Y93" s="11" t="s">
        <v>2574</v>
      </c>
      <c r="Z93" s="2"/>
      <c r="AA93" s="2"/>
      <c r="AD93" t="s">
        <v>1158</v>
      </c>
      <c r="AE93"/>
      <c r="AH93" s="34"/>
      <c r="AK93" s="34"/>
      <c r="AL93"/>
    </row>
    <row r="94" spans="1:38" s="31" customFormat="1">
      <c r="A94" s="1">
        <v>94</v>
      </c>
      <c r="B94" t="s">
        <v>37</v>
      </c>
      <c r="C94" s="32">
        <v>43572</v>
      </c>
      <c r="D94" t="s">
        <v>2466</v>
      </c>
      <c r="E94" t="s">
        <v>2467</v>
      </c>
      <c r="F94" t="s">
        <v>2468</v>
      </c>
      <c r="G94" s="6" t="s">
        <v>219</v>
      </c>
      <c r="H94" t="s">
        <v>38</v>
      </c>
      <c r="I94" s="31">
        <v>631048036</v>
      </c>
      <c r="K94" t="s">
        <v>2466</v>
      </c>
      <c r="L94" s="3">
        <v>43585</v>
      </c>
      <c r="M94" t="s">
        <v>35</v>
      </c>
      <c r="N94" s="14" t="s">
        <v>2469</v>
      </c>
      <c r="O94" s="36">
        <v>60</v>
      </c>
      <c r="P94" s="30">
        <v>1</v>
      </c>
      <c r="Q94" s="37">
        <v>0.21</v>
      </c>
      <c r="R94" s="38">
        <v>0</v>
      </c>
      <c r="S94" t="s">
        <v>36</v>
      </c>
      <c r="T94" s="213">
        <f t="shared" si="1"/>
        <v>72.599999999999994</v>
      </c>
      <c r="U94" t="s">
        <v>2470</v>
      </c>
      <c r="V94" s="5" t="s">
        <v>2471</v>
      </c>
      <c r="W94" s="34">
        <v>27163</v>
      </c>
      <c r="X94" s="32">
        <v>43572</v>
      </c>
      <c r="Y94" s="11" t="s">
        <v>2597</v>
      </c>
      <c r="Z94" s="2">
        <v>43616</v>
      </c>
      <c r="AA94" s="2"/>
      <c r="AD94" t="s">
        <v>1158</v>
      </c>
      <c r="AE94"/>
      <c r="AG94" t="s">
        <v>2475</v>
      </c>
      <c r="AH94" s="34">
        <v>43572</v>
      </c>
      <c r="AK94" s="34">
        <v>43587</v>
      </c>
      <c r="AL94"/>
    </row>
    <row r="95" spans="1:38" s="31" customFormat="1">
      <c r="A95" s="1">
        <v>95</v>
      </c>
      <c r="B95" t="s">
        <v>37</v>
      </c>
      <c r="C95" s="32">
        <v>43572</v>
      </c>
      <c r="D95" t="s">
        <v>2466</v>
      </c>
      <c r="E95" t="s">
        <v>2467</v>
      </c>
      <c r="F95" t="s">
        <v>2468</v>
      </c>
      <c r="G95" s="6" t="s">
        <v>219</v>
      </c>
      <c r="H95" t="s">
        <v>38</v>
      </c>
      <c r="I95" s="31">
        <v>631048036</v>
      </c>
      <c r="K95" t="s">
        <v>2466</v>
      </c>
      <c r="L95" s="3">
        <v>43585</v>
      </c>
      <c r="M95" t="s">
        <v>35</v>
      </c>
      <c r="N95" s="14" t="s">
        <v>2472</v>
      </c>
      <c r="O95" s="36">
        <v>60</v>
      </c>
      <c r="P95" s="30">
        <v>1</v>
      </c>
      <c r="Q95" s="37">
        <v>0.21</v>
      </c>
      <c r="R95" s="38">
        <v>0</v>
      </c>
      <c r="S95" t="s">
        <v>36</v>
      </c>
      <c r="T95" s="213">
        <f t="shared" si="1"/>
        <v>72.599999999999994</v>
      </c>
      <c r="U95" t="s">
        <v>2473</v>
      </c>
      <c r="V95" s="5" t="s">
        <v>2474</v>
      </c>
      <c r="W95" s="34">
        <v>37389</v>
      </c>
      <c r="X95" s="32">
        <v>43572</v>
      </c>
      <c r="Y95" s="11" t="s">
        <v>2597</v>
      </c>
      <c r="Z95" s="2">
        <v>43616</v>
      </c>
      <c r="AA95" s="2"/>
      <c r="AD95" t="s">
        <v>1158</v>
      </c>
      <c r="AE95"/>
      <c r="AG95" t="s">
        <v>2475</v>
      </c>
      <c r="AH95" s="34">
        <v>43572</v>
      </c>
      <c r="AK95" s="34">
        <v>43587</v>
      </c>
      <c r="AL95"/>
    </row>
    <row r="96" spans="1:38">
      <c r="A96" s="1">
        <v>96</v>
      </c>
      <c r="B96" t="s">
        <v>37</v>
      </c>
      <c r="C96" s="2">
        <v>43578</v>
      </c>
      <c r="D96" t="s">
        <v>75</v>
      </c>
      <c r="E96" t="s">
        <v>76</v>
      </c>
      <c r="F96" t="s">
        <v>2462</v>
      </c>
      <c r="G96" s="6" t="s">
        <v>219</v>
      </c>
      <c r="H96" t="s">
        <v>38</v>
      </c>
      <c r="I96">
        <v>602350022</v>
      </c>
      <c r="K96" t="s">
        <v>75</v>
      </c>
      <c r="L96" s="3">
        <v>43585</v>
      </c>
      <c r="M96" t="s">
        <v>35</v>
      </c>
      <c r="N96" t="s">
        <v>2463</v>
      </c>
      <c r="O96" s="7">
        <v>30</v>
      </c>
      <c r="P96" s="1">
        <v>1</v>
      </c>
      <c r="Q96" s="58">
        <v>0.21</v>
      </c>
      <c r="R96" s="7">
        <v>0</v>
      </c>
      <c r="S96" t="s">
        <v>36</v>
      </c>
      <c r="T96" s="213">
        <f t="shared" si="1"/>
        <v>36.299999999999997</v>
      </c>
      <c r="U96" t="s">
        <v>75</v>
      </c>
      <c r="W96" s="3">
        <v>30333</v>
      </c>
      <c r="X96" s="2">
        <v>43578</v>
      </c>
      <c r="Y96" s="11" t="s">
        <v>2635</v>
      </c>
      <c r="Z96" s="2">
        <v>43628</v>
      </c>
      <c r="AA96" s="2"/>
      <c r="AD96" t="s">
        <v>1158</v>
      </c>
    </row>
    <row r="97" spans="1:37">
      <c r="A97" s="1">
        <v>97</v>
      </c>
      <c r="B97" t="s">
        <v>2643</v>
      </c>
      <c r="C97" s="2">
        <v>43594</v>
      </c>
      <c r="D97" t="s">
        <v>2644</v>
      </c>
      <c r="E97" t="s">
        <v>2645</v>
      </c>
      <c r="F97" t="s">
        <v>2646</v>
      </c>
      <c r="G97" s="6" t="s">
        <v>245</v>
      </c>
      <c r="H97" t="s">
        <v>54</v>
      </c>
      <c r="I97">
        <v>642137212</v>
      </c>
      <c r="K97" t="s">
        <v>2644</v>
      </c>
      <c r="L97" s="3">
        <v>43616</v>
      </c>
      <c r="M97" t="s">
        <v>35</v>
      </c>
      <c r="N97" s="14" t="s">
        <v>2647</v>
      </c>
      <c r="O97" s="7">
        <v>60</v>
      </c>
      <c r="P97" s="1">
        <v>1</v>
      </c>
      <c r="Q97" s="58">
        <v>0.21</v>
      </c>
      <c r="R97" s="7">
        <v>0</v>
      </c>
      <c r="S97" t="s">
        <v>36</v>
      </c>
      <c r="T97" s="213">
        <f t="shared" si="1"/>
        <v>72.599999999999994</v>
      </c>
      <c r="U97" t="s">
        <v>2644</v>
      </c>
      <c r="V97" s="5" t="s">
        <v>2648</v>
      </c>
      <c r="W97" s="3">
        <v>33203</v>
      </c>
      <c r="X97" s="2">
        <v>43594</v>
      </c>
      <c r="Y97" s="13" t="s">
        <v>2709</v>
      </c>
      <c r="Z97" s="2">
        <v>43651</v>
      </c>
      <c r="AA97" s="2"/>
      <c r="AB97" t="s">
        <v>2932</v>
      </c>
      <c r="AD97" t="s">
        <v>1158</v>
      </c>
      <c r="AG97" t="s">
        <v>1553</v>
      </c>
      <c r="AH97" s="3">
        <v>43594</v>
      </c>
    </row>
    <row r="98" spans="1:37">
      <c r="A98" s="1">
        <v>98</v>
      </c>
      <c r="B98" t="s">
        <v>82</v>
      </c>
      <c r="C98" s="2">
        <v>43594</v>
      </c>
      <c r="D98" t="s">
        <v>2637</v>
      </c>
      <c r="E98" s="14" t="s">
        <v>2638</v>
      </c>
      <c r="F98" t="s">
        <v>2639</v>
      </c>
      <c r="G98" s="6" t="s">
        <v>239</v>
      </c>
      <c r="H98" t="s">
        <v>2585</v>
      </c>
      <c r="I98">
        <v>642261487</v>
      </c>
      <c r="K98" t="s">
        <v>2637</v>
      </c>
      <c r="L98" s="3">
        <v>43616</v>
      </c>
      <c r="M98" t="s">
        <v>35</v>
      </c>
      <c r="N98" s="14" t="s">
        <v>2640</v>
      </c>
      <c r="O98" s="7">
        <v>60</v>
      </c>
      <c r="P98" s="1">
        <v>1</v>
      </c>
      <c r="Q98" s="58">
        <v>0.21</v>
      </c>
      <c r="R98" s="7">
        <v>0</v>
      </c>
      <c r="S98" t="s">
        <v>36</v>
      </c>
      <c r="T98" s="213">
        <f t="shared" si="1"/>
        <v>72.599999999999994</v>
      </c>
      <c r="U98" t="s">
        <v>2641</v>
      </c>
      <c r="V98" s="5" t="s">
        <v>2642</v>
      </c>
      <c r="W98" s="3">
        <v>29587</v>
      </c>
      <c r="X98" s="2">
        <v>43594</v>
      </c>
      <c r="Y98" s="11" t="s">
        <v>2770</v>
      </c>
      <c r="Z98" s="2">
        <v>43691</v>
      </c>
      <c r="AA98" s="2"/>
      <c r="AC98" s="3">
        <v>43657</v>
      </c>
      <c r="AD98" t="s">
        <v>1158</v>
      </c>
      <c r="AG98" t="s">
        <v>77</v>
      </c>
      <c r="AH98" s="3">
        <v>43594</v>
      </c>
      <c r="AK98" s="3">
        <v>43620</v>
      </c>
    </row>
    <row r="99" spans="1:37">
      <c r="A99" s="1">
        <v>99</v>
      </c>
      <c r="B99" t="s">
        <v>33</v>
      </c>
      <c r="C99" s="2">
        <v>43594</v>
      </c>
      <c r="D99" t="s">
        <v>2629</v>
      </c>
      <c r="E99" s="14" t="s">
        <v>2630</v>
      </c>
      <c r="F99" t="s">
        <v>2631</v>
      </c>
      <c r="G99" s="6" t="s">
        <v>304</v>
      </c>
      <c r="H99" t="s">
        <v>68</v>
      </c>
      <c r="I99">
        <v>675937317</v>
      </c>
      <c r="K99" s="31" t="s">
        <v>237</v>
      </c>
      <c r="L99" s="3">
        <v>43616</v>
      </c>
      <c r="M99" t="s">
        <v>35</v>
      </c>
      <c r="N99" s="14" t="s">
        <v>2632</v>
      </c>
      <c r="O99" s="7">
        <v>60</v>
      </c>
      <c r="P99" s="1">
        <v>1</v>
      </c>
      <c r="Q99" s="58">
        <v>0.21</v>
      </c>
      <c r="R99" s="7">
        <v>0</v>
      </c>
      <c r="S99" t="s">
        <v>36</v>
      </c>
      <c r="T99" s="213">
        <f t="shared" si="1"/>
        <v>72.599999999999994</v>
      </c>
      <c r="U99" t="s">
        <v>2633</v>
      </c>
      <c r="V99" s="5" t="s">
        <v>2634</v>
      </c>
      <c r="W99" s="3">
        <v>31360</v>
      </c>
      <c r="X99" s="2">
        <v>43594</v>
      </c>
      <c r="Y99" s="11" t="s">
        <v>2635</v>
      </c>
    </row>
    <row r="100" spans="1:37">
      <c r="A100" s="1">
        <v>100</v>
      </c>
      <c r="B100" t="s">
        <v>33</v>
      </c>
      <c r="C100" s="2">
        <v>43594</v>
      </c>
      <c r="D100" t="s">
        <v>2623</v>
      </c>
      <c r="E100" s="14" t="s">
        <v>2624</v>
      </c>
      <c r="F100" t="s">
        <v>2625</v>
      </c>
      <c r="G100" s="6" t="s">
        <v>304</v>
      </c>
      <c r="H100" t="s">
        <v>68</v>
      </c>
      <c r="I100">
        <v>650392670</v>
      </c>
      <c r="K100" s="31" t="s">
        <v>237</v>
      </c>
      <c r="L100" s="3">
        <v>43616</v>
      </c>
      <c r="M100" t="s">
        <v>35</v>
      </c>
      <c r="N100" s="14" t="s">
        <v>2626</v>
      </c>
      <c r="O100" s="7">
        <v>60</v>
      </c>
      <c r="P100" s="1">
        <v>1</v>
      </c>
      <c r="Q100" s="58">
        <v>0.21</v>
      </c>
      <c r="R100" s="7">
        <v>0</v>
      </c>
      <c r="S100" t="s">
        <v>36</v>
      </c>
      <c r="T100" s="213">
        <f t="shared" si="1"/>
        <v>72.599999999999994</v>
      </c>
      <c r="U100" t="s">
        <v>2627</v>
      </c>
      <c r="V100" s="5" t="s">
        <v>2628</v>
      </c>
      <c r="W100" s="3">
        <v>32960</v>
      </c>
      <c r="X100" s="2">
        <v>43594</v>
      </c>
      <c r="Y100" s="11" t="s">
        <v>2933</v>
      </c>
      <c r="AD100" t="s">
        <v>1158</v>
      </c>
    </row>
    <row r="101" spans="1:37">
      <c r="A101" s="1">
        <v>101</v>
      </c>
      <c r="B101" t="s">
        <v>40</v>
      </c>
      <c r="C101" s="2">
        <v>43595</v>
      </c>
      <c r="D101" t="s">
        <v>2617</v>
      </c>
      <c r="E101" s="14" t="s">
        <v>2618</v>
      </c>
      <c r="F101" t="s">
        <v>2619</v>
      </c>
      <c r="G101" s="6" t="s">
        <v>221</v>
      </c>
      <c r="H101" t="s">
        <v>34</v>
      </c>
      <c r="I101">
        <v>635541396</v>
      </c>
      <c r="K101" t="s">
        <v>2617</v>
      </c>
      <c r="L101" s="3">
        <v>43616</v>
      </c>
      <c r="M101" t="s">
        <v>35</v>
      </c>
      <c r="N101" s="14" t="s">
        <v>2620</v>
      </c>
      <c r="O101" s="9">
        <v>60</v>
      </c>
      <c r="P101" s="1">
        <v>1</v>
      </c>
      <c r="Q101" s="58">
        <v>0.21</v>
      </c>
      <c r="R101" s="7">
        <v>0</v>
      </c>
      <c r="S101" t="s">
        <v>36</v>
      </c>
      <c r="T101" s="213">
        <f t="shared" si="1"/>
        <v>72.599999999999994</v>
      </c>
      <c r="U101" t="s">
        <v>2621</v>
      </c>
      <c r="V101" s="5" t="s">
        <v>2622</v>
      </c>
      <c r="W101" s="3">
        <v>36690</v>
      </c>
      <c r="X101" s="2">
        <v>43595</v>
      </c>
      <c r="Y101" s="13" t="s">
        <v>2692</v>
      </c>
      <c r="Z101" s="2">
        <v>43625</v>
      </c>
      <c r="AA101" s="2"/>
      <c r="AB101" t="s">
        <v>2693</v>
      </c>
      <c r="AD101" t="s">
        <v>1158</v>
      </c>
    </row>
    <row r="102" spans="1:37">
      <c r="A102" s="1">
        <v>102</v>
      </c>
      <c r="B102" t="s">
        <v>40</v>
      </c>
      <c r="C102" s="2">
        <v>43595</v>
      </c>
      <c r="D102" t="s">
        <v>2591</v>
      </c>
      <c r="E102" s="14" t="s">
        <v>2592</v>
      </c>
      <c r="F102" t="s">
        <v>2593</v>
      </c>
      <c r="G102" s="6" t="s">
        <v>230</v>
      </c>
      <c r="H102" t="s">
        <v>1262</v>
      </c>
      <c r="I102">
        <v>670596932</v>
      </c>
      <c r="K102" t="s">
        <v>2591</v>
      </c>
      <c r="L102" s="3">
        <v>43616</v>
      </c>
      <c r="M102" t="s">
        <v>35</v>
      </c>
      <c r="N102" s="14" t="s">
        <v>2594</v>
      </c>
      <c r="O102" s="9">
        <v>60</v>
      </c>
      <c r="P102" s="1">
        <v>1</v>
      </c>
      <c r="Q102" s="58">
        <v>0.21</v>
      </c>
      <c r="R102" s="7">
        <v>0</v>
      </c>
      <c r="S102" t="s">
        <v>36</v>
      </c>
      <c r="T102" s="213">
        <f t="shared" si="1"/>
        <v>72.599999999999994</v>
      </c>
      <c r="U102" t="s">
        <v>2595</v>
      </c>
      <c r="V102" s="5" t="s">
        <v>2596</v>
      </c>
      <c r="W102" s="3">
        <v>33368</v>
      </c>
      <c r="X102" s="2">
        <v>43595</v>
      </c>
      <c r="Y102" s="11" t="s">
        <v>1326</v>
      </c>
      <c r="Z102" s="2">
        <v>43625</v>
      </c>
      <c r="AA102" s="2"/>
      <c r="AD102" t="s">
        <v>1158</v>
      </c>
    </row>
    <row r="103" spans="1:37">
      <c r="A103" s="1">
        <v>103</v>
      </c>
      <c r="B103" t="s">
        <v>37</v>
      </c>
      <c r="C103" s="2">
        <v>43598</v>
      </c>
      <c r="D103" t="s">
        <v>149</v>
      </c>
      <c r="E103" s="14" t="s">
        <v>150</v>
      </c>
      <c r="F103" t="s">
        <v>538</v>
      </c>
      <c r="G103" s="6" t="s">
        <v>221</v>
      </c>
      <c r="H103" t="s">
        <v>34</v>
      </c>
      <c r="I103">
        <v>612533373</v>
      </c>
      <c r="K103" t="s">
        <v>149</v>
      </c>
      <c r="L103" s="3">
        <v>43616</v>
      </c>
      <c r="M103" t="s">
        <v>35</v>
      </c>
      <c r="N103" s="14" t="s">
        <v>539</v>
      </c>
      <c r="O103" s="9">
        <v>30</v>
      </c>
      <c r="P103" s="1">
        <v>1</v>
      </c>
      <c r="Q103" s="58">
        <v>0.21</v>
      </c>
      <c r="R103" s="7">
        <v>0</v>
      </c>
      <c r="S103" t="s">
        <v>36</v>
      </c>
      <c r="T103" s="213">
        <f t="shared" si="1"/>
        <v>36.299999999999997</v>
      </c>
      <c r="U103" t="s">
        <v>149</v>
      </c>
      <c r="V103" s="5" t="s">
        <v>2658</v>
      </c>
      <c r="W103" s="3">
        <v>30290</v>
      </c>
      <c r="X103" s="2">
        <v>43598</v>
      </c>
      <c r="Y103" s="11" t="s">
        <v>2659</v>
      </c>
      <c r="Z103" s="2">
        <v>43642</v>
      </c>
      <c r="AA103" s="2"/>
    </row>
    <row r="104" spans="1:37">
      <c r="A104" s="1">
        <v>104</v>
      </c>
      <c r="B104" t="s">
        <v>2575</v>
      </c>
      <c r="C104" s="2">
        <v>43601</v>
      </c>
      <c r="D104" t="s">
        <v>2576</v>
      </c>
      <c r="E104" s="14" t="s">
        <v>2577</v>
      </c>
      <c r="F104" t="s">
        <v>2578</v>
      </c>
      <c r="G104" s="6" t="s">
        <v>2579</v>
      </c>
      <c r="H104" t="s">
        <v>2580</v>
      </c>
      <c r="K104" t="s">
        <v>2576</v>
      </c>
      <c r="L104" s="3">
        <v>43616</v>
      </c>
      <c r="M104" t="s">
        <v>35</v>
      </c>
      <c r="N104" s="14" t="s">
        <v>2581</v>
      </c>
      <c r="O104" s="9">
        <v>60</v>
      </c>
      <c r="P104" s="1">
        <v>1</v>
      </c>
      <c r="Q104" s="58">
        <v>0.21</v>
      </c>
      <c r="R104" s="7">
        <v>0</v>
      </c>
      <c r="S104" t="s">
        <v>36</v>
      </c>
      <c r="T104" s="213">
        <f t="shared" si="1"/>
        <v>72.599999999999994</v>
      </c>
      <c r="U104" t="s">
        <v>2582</v>
      </c>
      <c r="V104" s="5" t="s">
        <v>2583</v>
      </c>
      <c r="W104" s="3">
        <v>30682</v>
      </c>
      <c r="X104" s="2">
        <v>43601</v>
      </c>
      <c r="Y104" s="11" t="s">
        <v>2934</v>
      </c>
      <c r="AD104" t="s">
        <v>1158</v>
      </c>
      <c r="AG104" t="s">
        <v>2584</v>
      </c>
      <c r="AH104" s="3">
        <v>43601</v>
      </c>
      <c r="AK104" s="3">
        <v>43606</v>
      </c>
    </row>
    <row r="105" spans="1:37">
      <c r="A105" s="1">
        <v>105</v>
      </c>
      <c r="B105" t="s">
        <v>82</v>
      </c>
      <c r="C105" s="2">
        <v>43601</v>
      </c>
      <c r="D105" t="s">
        <v>772</v>
      </c>
      <c r="E105" s="14" t="s">
        <v>773</v>
      </c>
      <c r="F105" t="s">
        <v>1872</v>
      </c>
      <c r="G105" s="6" t="s">
        <v>239</v>
      </c>
      <c r="H105" t="s">
        <v>2585</v>
      </c>
      <c r="K105" t="s">
        <v>772</v>
      </c>
      <c r="L105" s="3">
        <v>43616</v>
      </c>
      <c r="M105" t="s">
        <v>35</v>
      </c>
      <c r="N105" s="14" t="s">
        <v>2586</v>
      </c>
      <c r="O105" s="9">
        <v>60</v>
      </c>
      <c r="P105" s="1">
        <v>1</v>
      </c>
      <c r="Q105" s="58">
        <v>0.21</v>
      </c>
      <c r="R105" s="7">
        <v>0</v>
      </c>
      <c r="S105" t="s">
        <v>36</v>
      </c>
      <c r="T105" s="213">
        <f t="shared" si="1"/>
        <v>72.599999999999994</v>
      </c>
      <c r="U105" t="s">
        <v>2587</v>
      </c>
      <c r="V105" s="5" t="s">
        <v>2588</v>
      </c>
      <c r="W105" s="3">
        <v>34005</v>
      </c>
      <c r="X105" s="2">
        <v>43601</v>
      </c>
      <c r="Y105" s="11" t="s">
        <v>2854</v>
      </c>
      <c r="Z105" s="2">
        <v>43707</v>
      </c>
      <c r="AA105" s="2"/>
      <c r="AC105" s="3">
        <v>43669</v>
      </c>
      <c r="AD105" t="s">
        <v>1158</v>
      </c>
      <c r="AG105" t="s">
        <v>2589</v>
      </c>
      <c r="AH105" s="3">
        <v>43601</v>
      </c>
    </row>
    <row r="106" spans="1:37">
      <c r="A106" s="1">
        <v>106</v>
      </c>
      <c r="B106" t="s">
        <v>119</v>
      </c>
      <c r="C106" s="2">
        <v>43615</v>
      </c>
      <c r="D106" t="s">
        <v>2598</v>
      </c>
      <c r="E106" s="14" t="s">
        <v>2599</v>
      </c>
      <c r="F106" t="s">
        <v>2600</v>
      </c>
      <c r="G106" s="6" t="s">
        <v>242</v>
      </c>
      <c r="H106" t="s">
        <v>2585</v>
      </c>
      <c r="I106">
        <v>639218070</v>
      </c>
      <c r="K106" t="s">
        <v>174</v>
      </c>
      <c r="L106" s="3">
        <v>43616</v>
      </c>
      <c r="M106" t="s">
        <v>35</v>
      </c>
      <c r="N106" s="14" t="s">
        <v>2601</v>
      </c>
      <c r="O106" s="9">
        <v>60</v>
      </c>
      <c r="P106" s="1">
        <v>1</v>
      </c>
      <c r="Q106" s="58">
        <v>0.21</v>
      </c>
      <c r="R106" s="7">
        <v>0</v>
      </c>
      <c r="S106" t="s">
        <v>36</v>
      </c>
      <c r="T106" s="213">
        <f t="shared" si="1"/>
        <v>72.599999999999994</v>
      </c>
      <c r="U106" t="s">
        <v>2602</v>
      </c>
      <c r="V106" s="5" t="s">
        <v>2603</v>
      </c>
      <c r="W106" s="3">
        <v>32009</v>
      </c>
      <c r="X106" s="2">
        <v>43615</v>
      </c>
      <c r="Y106" s="11" t="s">
        <v>2694</v>
      </c>
      <c r="Z106" s="2">
        <v>43644</v>
      </c>
      <c r="AA106" s="2"/>
      <c r="AD106" t="s">
        <v>1158</v>
      </c>
    </row>
    <row r="107" spans="1:37">
      <c r="A107" s="1">
        <v>107</v>
      </c>
      <c r="B107" t="s">
        <v>2216</v>
      </c>
      <c r="C107" s="2">
        <v>43615</v>
      </c>
      <c r="D107" t="s">
        <v>2604</v>
      </c>
      <c r="E107" s="14" t="s">
        <v>2605</v>
      </c>
      <c r="F107" t="s">
        <v>2606</v>
      </c>
      <c r="G107" s="6" t="s">
        <v>219</v>
      </c>
      <c r="H107" t="s">
        <v>38</v>
      </c>
      <c r="I107">
        <v>633382377</v>
      </c>
      <c r="K107" t="s">
        <v>2604</v>
      </c>
      <c r="L107" s="3">
        <v>43616</v>
      </c>
      <c r="M107" t="s">
        <v>35</v>
      </c>
      <c r="N107" s="14" t="s">
        <v>2607</v>
      </c>
      <c r="O107" s="9">
        <v>60</v>
      </c>
      <c r="P107" s="1">
        <v>1</v>
      </c>
      <c r="Q107" s="58">
        <v>0.21</v>
      </c>
      <c r="R107" s="7">
        <v>0</v>
      </c>
      <c r="S107" t="s">
        <v>36</v>
      </c>
      <c r="T107" s="213">
        <f t="shared" si="1"/>
        <v>72.599999999999994</v>
      </c>
      <c r="U107" t="s">
        <v>2608</v>
      </c>
      <c r="V107" s="5" t="s">
        <v>2609</v>
      </c>
      <c r="W107" s="3">
        <v>35064</v>
      </c>
      <c r="X107" s="2">
        <v>43615</v>
      </c>
      <c r="Y107" s="11" t="s">
        <v>2694</v>
      </c>
      <c r="Z107" s="2">
        <v>43644</v>
      </c>
      <c r="AA107" s="2"/>
      <c r="AD107" t="s">
        <v>1158</v>
      </c>
      <c r="AG107" t="s">
        <v>2610</v>
      </c>
      <c r="AH107" s="3">
        <v>43615</v>
      </c>
      <c r="AK107" s="3">
        <v>43643</v>
      </c>
    </row>
    <row r="108" spans="1:37">
      <c r="A108" s="1">
        <v>108</v>
      </c>
      <c r="B108" t="s">
        <v>40</v>
      </c>
      <c r="C108" s="2">
        <v>43616</v>
      </c>
      <c r="D108" t="s">
        <v>2611</v>
      </c>
      <c r="E108" t="s">
        <v>2612</v>
      </c>
      <c r="F108" t="s">
        <v>2613</v>
      </c>
      <c r="G108" s="6" t="s">
        <v>236</v>
      </c>
      <c r="H108" t="s">
        <v>110</v>
      </c>
      <c r="I108">
        <v>697501300</v>
      </c>
      <c r="K108" t="s">
        <v>2611</v>
      </c>
      <c r="L108" s="3">
        <v>43616</v>
      </c>
      <c r="M108" t="s">
        <v>35</v>
      </c>
      <c r="N108" s="14" t="s">
        <v>2614</v>
      </c>
      <c r="O108" s="9">
        <v>60</v>
      </c>
      <c r="P108" s="1">
        <v>1</v>
      </c>
      <c r="Q108" s="58">
        <v>0.21</v>
      </c>
      <c r="R108" s="7">
        <v>0</v>
      </c>
      <c r="S108" t="s">
        <v>36</v>
      </c>
      <c r="T108" s="213">
        <f t="shared" si="1"/>
        <v>72.599999999999994</v>
      </c>
      <c r="U108" t="s">
        <v>2615</v>
      </c>
      <c r="V108" s="5" t="s">
        <v>2616</v>
      </c>
      <c r="W108" s="3">
        <v>31893</v>
      </c>
      <c r="X108" s="2">
        <v>43616</v>
      </c>
      <c r="Y108" s="11" t="s">
        <v>2694</v>
      </c>
      <c r="Z108" s="2">
        <v>43644</v>
      </c>
      <c r="AA108" s="2"/>
      <c r="AD108" t="s">
        <v>1158</v>
      </c>
    </row>
    <row r="109" spans="1:37">
      <c r="A109" s="1">
        <v>109</v>
      </c>
      <c r="B109" t="s">
        <v>37</v>
      </c>
      <c r="C109" s="2">
        <v>43620</v>
      </c>
      <c r="D109" s="61" t="s">
        <v>255</v>
      </c>
      <c r="E109" t="s">
        <v>677</v>
      </c>
      <c r="F109" t="s">
        <v>2636</v>
      </c>
      <c r="G109" s="6" t="s">
        <v>304</v>
      </c>
      <c r="H109" t="s">
        <v>68</v>
      </c>
      <c r="I109">
        <v>632940230</v>
      </c>
      <c r="K109" t="s">
        <v>255</v>
      </c>
      <c r="L109" s="3">
        <v>43646</v>
      </c>
      <c r="M109" t="s">
        <v>35</v>
      </c>
      <c r="N109" s="14" t="s">
        <v>679</v>
      </c>
      <c r="O109" s="9">
        <v>30</v>
      </c>
      <c r="P109" s="1">
        <v>1</v>
      </c>
      <c r="Q109" s="58">
        <v>0.21</v>
      </c>
      <c r="R109" s="7">
        <v>0</v>
      </c>
      <c r="S109" t="s">
        <v>36</v>
      </c>
      <c r="T109" s="213">
        <f t="shared" si="1"/>
        <v>36.299999999999997</v>
      </c>
      <c r="U109" t="s">
        <v>255</v>
      </c>
      <c r="W109" s="3">
        <v>32215</v>
      </c>
      <c r="X109" s="2">
        <v>43620</v>
      </c>
      <c r="Y109" s="11" t="s">
        <v>2746</v>
      </c>
      <c r="Z109" s="2">
        <v>43658</v>
      </c>
      <c r="AA109" s="2"/>
      <c r="AD109" t="s">
        <v>1158</v>
      </c>
    </row>
    <row r="110" spans="1:37">
      <c r="A110" s="1">
        <v>110</v>
      </c>
      <c r="B110" t="s">
        <v>59</v>
      </c>
      <c r="C110" s="2">
        <v>43623</v>
      </c>
      <c r="D110" t="s">
        <v>2651</v>
      </c>
      <c r="E110" s="14" t="s">
        <v>2652</v>
      </c>
      <c r="F110" t="s">
        <v>2653</v>
      </c>
      <c r="G110" s="6" t="s">
        <v>2654</v>
      </c>
      <c r="H110" t="s">
        <v>2359</v>
      </c>
      <c r="I110">
        <v>671467820</v>
      </c>
      <c r="K110" t="s">
        <v>2651</v>
      </c>
      <c r="L110" s="3">
        <v>43646</v>
      </c>
      <c r="M110" t="s">
        <v>35</v>
      </c>
      <c r="N110" s="14" t="s">
        <v>2655</v>
      </c>
      <c r="O110" s="9">
        <v>60</v>
      </c>
      <c r="P110" s="1">
        <v>1</v>
      </c>
      <c r="Q110" s="58">
        <v>0.21</v>
      </c>
      <c r="R110" s="7">
        <v>0</v>
      </c>
      <c r="S110" t="s">
        <v>36</v>
      </c>
      <c r="T110" s="213">
        <f t="shared" si="1"/>
        <v>72.599999999999994</v>
      </c>
      <c r="U110" t="s">
        <v>2656</v>
      </c>
      <c r="V110" s="5" t="s">
        <v>2657</v>
      </c>
      <c r="W110" s="3">
        <v>32899</v>
      </c>
      <c r="X110" s="2">
        <v>43623</v>
      </c>
      <c r="Y110" s="11" t="s">
        <v>2766</v>
      </c>
      <c r="Z110" s="2">
        <v>43675</v>
      </c>
      <c r="AA110" s="2"/>
      <c r="AD110" t="s">
        <v>1158</v>
      </c>
      <c r="AG110" t="s">
        <v>1547</v>
      </c>
      <c r="AH110" s="3">
        <v>43623</v>
      </c>
      <c r="AK110" s="3">
        <v>43642</v>
      </c>
    </row>
    <row r="111" spans="1:37">
      <c r="A111" s="1">
        <v>111</v>
      </c>
      <c r="B111" t="s">
        <v>33</v>
      </c>
      <c r="C111" s="2">
        <v>43630</v>
      </c>
      <c r="D111" t="s">
        <v>2669</v>
      </c>
      <c r="E111" s="14" t="s">
        <v>2670</v>
      </c>
      <c r="F111" t="s">
        <v>2671</v>
      </c>
      <c r="G111" s="6" t="s">
        <v>304</v>
      </c>
      <c r="H111" t="s">
        <v>68</v>
      </c>
      <c r="K111" s="31" t="s">
        <v>237</v>
      </c>
      <c r="L111" s="3">
        <v>43646</v>
      </c>
      <c r="M111" t="s">
        <v>35</v>
      </c>
      <c r="N111" s="14" t="s">
        <v>2672</v>
      </c>
      <c r="O111" s="9">
        <v>60</v>
      </c>
      <c r="P111" s="1">
        <v>1</v>
      </c>
      <c r="Q111" s="58">
        <v>0.21</v>
      </c>
      <c r="R111" s="7">
        <v>0</v>
      </c>
      <c r="S111" t="s">
        <v>36</v>
      </c>
      <c r="T111" s="213">
        <f t="shared" si="1"/>
        <v>72.599999999999994</v>
      </c>
      <c r="U111" t="s">
        <v>2673</v>
      </c>
      <c r="V111" s="5" t="s">
        <v>2674</v>
      </c>
      <c r="W111" s="3">
        <v>27604</v>
      </c>
      <c r="X111" s="2">
        <v>43630</v>
      </c>
      <c r="Y111" s="13" t="s">
        <v>2771</v>
      </c>
      <c r="Z111" s="2">
        <v>43697</v>
      </c>
      <c r="AA111" s="2"/>
      <c r="AB111" t="s">
        <v>2935</v>
      </c>
      <c r="AD111" t="s">
        <v>1158</v>
      </c>
      <c r="AG111" t="s">
        <v>87</v>
      </c>
      <c r="AH111" s="3">
        <v>43630</v>
      </c>
      <c r="AK111" s="3">
        <v>43642</v>
      </c>
    </row>
    <row r="112" spans="1:37">
      <c r="A112" s="1">
        <v>112</v>
      </c>
      <c r="B112" t="s">
        <v>37</v>
      </c>
      <c r="C112" s="2">
        <v>43630</v>
      </c>
      <c r="D112" t="s">
        <v>2675</v>
      </c>
      <c r="E112" s="14" t="s">
        <v>2676</v>
      </c>
      <c r="F112" t="s">
        <v>2677</v>
      </c>
      <c r="G112" s="6" t="s">
        <v>219</v>
      </c>
      <c r="H112" t="s">
        <v>38</v>
      </c>
      <c r="K112" t="s">
        <v>2675</v>
      </c>
      <c r="L112" s="3">
        <v>43646</v>
      </c>
      <c r="M112" t="s">
        <v>35</v>
      </c>
      <c r="N112" s="14" t="s">
        <v>2678</v>
      </c>
      <c r="O112" s="9">
        <v>60</v>
      </c>
      <c r="P112" s="1">
        <v>1</v>
      </c>
      <c r="Q112" s="58">
        <v>0.21</v>
      </c>
      <c r="R112" s="7">
        <v>0</v>
      </c>
      <c r="S112" t="s">
        <v>36</v>
      </c>
      <c r="T112" s="213">
        <f t="shared" si="1"/>
        <v>72.599999999999994</v>
      </c>
      <c r="U112" t="s">
        <v>2679</v>
      </c>
      <c r="V112" s="5" t="s">
        <v>2680</v>
      </c>
      <c r="W112" s="3">
        <v>28188</v>
      </c>
      <c r="X112" s="2">
        <v>43630</v>
      </c>
      <c r="Y112" s="13" t="s">
        <v>2930</v>
      </c>
      <c r="Z112" s="2">
        <v>43720</v>
      </c>
      <c r="AA112" s="2"/>
      <c r="AD112" t="s">
        <v>1158</v>
      </c>
      <c r="AG112" t="s">
        <v>2442</v>
      </c>
      <c r="AH112" s="3">
        <v>43630</v>
      </c>
      <c r="AK112" s="3"/>
    </row>
    <row r="113" spans="1:38">
      <c r="A113" s="1">
        <v>113</v>
      </c>
      <c r="B113" t="s">
        <v>111</v>
      </c>
      <c r="C113" s="2">
        <v>43630</v>
      </c>
      <c r="D113" t="s">
        <v>2681</v>
      </c>
      <c r="E113" s="14" t="s">
        <v>2682</v>
      </c>
      <c r="F113" t="s">
        <v>2683</v>
      </c>
      <c r="G113" s="6" t="s">
        <v>220</v>
      </c>
      <c r="H113" t="s">
        <v>39</v>
      </c>
      <c r="K113" t="s">
        <v>2681</v>
      </c>
      <c r="L113" s="3">
        <v>43646</v>
      </c>
      <c r="M113" t="s">
        <v>35</v>
      </c>
      <c r="N113" s="14" t="s">
        <v>2684</v>
      </c>
      <c r="O113" s="9">
        <v>60</v>
      </c>
      <c r="P113" s="1">
        <v>1</v>
      </c>
      <c r="Q113" s="58">
        <v>0.21</v>
      </c>
      <c r="R113" s="7">
        <v>0</v>
      </c>
      <c r="S113" t="s">
        <v>36</v>
      </c>
      <c r="T113" s="213">
        <f t="shared" si="1"/>
        <v>72.599999999999994</v>
      </c>
      <c r="U113" t="s">
        <v>2685</v>
      </c>
      <c r="V113" s="5" t="s">
        <v>2686</v>
      </c>
      <c r="W113" s="3">
        <v>32509</v>
      </c>
      <c r="X113" s="2">
        <v>43630</v>
      </c>
      <c r="Y113" s="11" t="s">
        <v>2772</v>
      </c>
      <c r="Z113" s="2">
        <v>43697</v>
      </c>
      <c r="AA113" s="2"/>
      <c r="AD113" t="s">
        <v>1158</v>
      </c>
      <c r="AG113" t="s">
        <v>2687</v>
      </c>
      <c r="AH113" s="3">
        <v>43630</v>
      </c>
      <c r="AK113" s="3">
        <v>43647</v>
      </c>
    </row>
    <row r="114" spans="1:38">
      <c r="A114" s="1">
        <v>114</v>
      </c>
      <c r="B114" t="s">
        <v>52</v>
      </c>
      <c r="C114" s="2">
        <v>43635</v>
      </c>
      <c r="D114" t="s">
        <v>2663</v>
      </c>
      <c r="E114" s="14" t="s">
        <v>2664</v>
      </c>
      <c r="F114" t="s">
        <v>2665</v>
      </c>
      <c r="G114" s="6" t="s">
        <v>219</v>
      </c>
      <c r="H114" t="s">
        <v>38</v>
      </c>
      <c r="K114" s="31" t="s">
        <v>53</v>
      </c>
      <c r="L114" s="3">
        <v>43646</v>
      </c>
      <c r="M114" t="s">
        <v>35</v>
      </c>
      <c r="N114" s="14" t="s">
        <v>2666</v>
      </c>
      <c r="O114" s="9">
        <v>60</v>
      </c>
      <c r="P114" s="1">
        <v>1</v>
      </c>
      <c r="Q114" s="58">
        <v>0.21</v>
      </c>
      <c r="R114" s="7">
        <v>0</v>
      </c>
      <c r="S114" t="s">
        <v>36</v>
      </c>
      <c r="T114" s="213">
        <f t="shared" si="1"/>
        <v>72.599999999999994</v>
      </c>
      <c r="U114" t="s">
        <v>2667</v>
      </c>
      <c r="V114" s="5" t="s">
        <v>2668</v>
      </c>
      <c r="W114" s="3">
        <v>26901</v>
      </c>
      <c r="X114" s="2">
        <v>43635</v>
      </c>
      <c r="Y114" s="11" t="s">
        <v>3478</v>
      </c>
      <c r="Z114" s="2">
        <v>43847</v>
      </c>
      <c r="AA114" s="80" t="s">
        <v>1339</v>
      </c>
      <c r="AD114" t="s">
        <v>1158</v>
      </c>
      <c r="AH114" s="3"/>
      <c r="AK114" s="3"/>
      <c r="AL114" t="s">
        <v>3208</v>
      </c>
    </row>
    <row r="115" spans="1:38">
      <c r="A115" s="1">
        <v>115</v>
      </c>
      <c r="B115" t="s">
        <v>82</v>
      </c>
      <c r="C115" s="2">
        <v>43636</v>
      </c>
      <c r="D115" t="s">
        <v>263</v>
      </c>
      <c r="E115" s="14" t="s">
        <v>264</v>
      </c>
      <c r="F115" t="s">
        <v>2384</v>
      </c>
      <c r="G115" s="6" t="s">
        <v>250</v>
      </c>
      <c r="H115" t="s">
        <v>86</v>
      </c>
      <c r="K115" t="s">
        <v>263</v>
      </c>
      <c r="L115" s="3">
        <v>43646</v>
      </c>
      <c r="M115" t="s">
        <v>35</v>
      </c>
      <c r="N115" s="14" t="s">
        <v>2660</v>
      </c>
      <c r="O115" s="9">
        <v>50</v>
      </c>
      <c r="P115" s="1">
        <v>1</v>
      </c>
      <c r="Q115" s="58">
        <v>0.21</v>
      </c>
      <c r="R115" s="7">
        <v>0</v>
      </c>
      <c r="S115" t="s">
        <v>36</v>
      </c>
      <c r="T115" s="213">
        <f t="shared" si="1"/>
        <v>60.5</v>
      </c>
      <c r="U115" t="s">
        <v>2661</v>
      </c>
      <c r="V115" s="5" t="s">
        <v>2662</v>
      </c>
      <c r="W115" s="3">
        <v>32736</v>
      </c>
      <c r="X115" s="2">
        <v>43636</v>
      </c>
      <c r="Y115" s="11" t="s">
        <v>2746</v>
      </c>
      <c r="Z115" s="2">
        <v>43658</v>
      </c>
      <c r="AA115" s="2"/>
      <c r="AD115" t="s">
        <v>1158</v>
      </c>
      <c r="AG115" t="s">
        <v>1128</v>
      </c>
      <c r="AH115" s="3">
        <v>43636</v>
      </c>
      <c r="AK115" s="3">
        <v>43643</v>
      </c>
    </row>
    <row r="116" spans="1:38">
      <c r="A116" s="1">
        <v>116</v>
      </c>
      <c r="B116" t="s">
        <v>1414</v>
      </c>
      <c r="C116" s="2">
        <v>43642</v>
      </c>
      <c r="D116" t="s">
        <v>113</v>
      </c>
      <c r="E116" s="14" t="s">
        <v>99</v>
      </c>
      <c r="F116" t="s">
        <v>114</v>
      </c>
      <c r="G116" s="6" t="s">
        <v>221</v>
      </c>
      <c r="H116" t="s">
        <v>34</v>
      </c>
      <c r="K116" t="s">
        <v>2688</v>
      </c>
      <c r="L116" s="3">
        <v>43646</v>
      </c>
      <c r="M116" t="s">
        <v>35</v>
      </c>
      <c r="N116" s="14" t="s">
        <v>2689</v>
      </c>
      <c r="O116" s="9">
        <v>30</v>
      </c>
      <c r="P116" s="1">
        <v>1</v>
      </c>
      <c r="Q116" s="58">
        <v>0.21</v>
      </c>
      <c r="R116" s="7">
        <v>0</v>
      </c>
      <c r="S116" t="s">
        <v>36</v>
      </c>
      <c r="T116" s="213">
        <f t="shared" si="1"/>
        <v>36.299999999999997</v>
      </c>
      <c r="U116" t="s">
        <v>2690</v>
      </c>
      <c r="V116" s="5" t="s">
        <v>2691</v>
      </c>
      <c r="X116" s="2">
        <v>43619</v>
      </c>
      <c r="Y116" s="11" t="s">
        <v>2800</v>
      </c>
      <c r="Z116" s="2">
        <v>43700</v>
      </c>
      <c r="AA116" s="2"/>
      <c r="AC116" s="3">
        <v>43675</v>
      </c>
      <c r="AD116" t="s">
        <v>366</v>
      </c>
    </row>
    <row r="117" spans="1:38">
      <c r="A117" s="1">
        <v>117</v>
      </c>
      <c r="B117" t="s">
        <v>45</v>
      </c>
      <c r="C117" s="2">
        <v>43643</v>
      </c>
      <c r="D117" t="s">
        <v>1965</v>
      </c>
      <c r="E117" s="14" t="s">
        <v>795</v>
      </c>
      <c r="F117" t="s">
        <v>2696</v>
      </c>
      <c r="G117" s="6" t="s">
        <v>221</v>
      </c>
      <c r="H117" t="s">
        <v>34</v>
      </c>
      <c r="I117">
        <v>615165042</v>
      </c>
      <c r="K117" t="s">
        <v>1965</v>
      </c>
      <c r="L117" s="3">
        <v>43646</v>
      </c>
      <c r="M117" t="s">
        <v>35</v>
      </c>
      <c r="N117" s="14" t="s">
        <v>2697</v>
      </c>
      <c r="O117" s="9">
        <v>60</v>
      </c>
      <c r="P117" s="1">
        <v>1</v>
      </c>
      <c r="Q117" s="58">
        <v>0.21</v>
      </c>
      <c r="R117" s="7">
        <v>0</v>
      </c>
      <c r="S117" t="s">
        <v>36</v>
      </c>
      <c r="T117" s="213">
        <f t="shared" si="1"/>
        <v>72.599999999999994</v>
      </c>
      <c r="U117" t="s">
        <v>2698</v>
      </c>
      <c r="V117" s="5" t="s">
        <v>2699</v>
      </c>
      <c r="W117" s="3">
        <v>32912</v>
      </c>
      <c r="X117" s="2">
        <v>43643</v>
      </c>
      <c r="Y117" s="11" t="s">
        <v>2914</v>
      </c>
      <c r="Z117" s="1" t="s">
        <v>2916</v>
      </c>
      <c r="AD117" t="s">
        <v>1158</v>
      </c>
      <c r="AG117" t="s">
        <v>2700</v>
      </c>
      <c r="AH117" s="3">
        <v>43643</v>
      </c>
      <c r="AK117" s="3">
        <v>43657</v>
      </c>
    </row>
    <row r="118" spans="1:38">
      <c r="A118" s="1">
        <v>118</v>
      </c>
      <c r="B118" t="s">
        <v>119</v>
      </c>
      <c r="C118" s="2">
        <v>43643</v>
      </c>
      <c r="D118" t="s">
        <v>2701</v>
      </c>
      <c r="E118" s="14" t="s">
        <v>2915</v>
      </c>
      <c r="F118" t="s">
        <v>2702</v>
      </c>
      <c r="G118" s="6" t="s">
        <v>2654</v>
      </c>
      <c r="H118" t="s">
        <v>49</v>
      </c>
      <c r="I118">
        <v>602377386</v>
      </c>
      <c r="K118" t="s">
        <v>174</v>
      </c>
      <c r="L118" s="3">
        <v>43646</v>
      </c>
      <c r="M118" t="s">
        <v>35</v>
      </c>
      <c r="N118" s="14" t="s">
        <v>2703</v>
      </c>
      <c r="O118" s="9">
        <v>60</v>
      </c>
      <c r="P118" s="1">
        <v>1</v>
      </c>
      <c r="Q118" s="58">
        <v>0.21</v>
      </c>
      <c r="R118" s="7">
        <v>0</v>
      </c>
      <c r="S118" t="s">
        <v>36</v>
      </c>
      <c r="T118" s="213">
        <f t="shared" si="1"/>
        <v>72.599999999999994</v>
      </c>
      <c r="U118" t="s">
        <v>2704</v>
      </c>
      <c r="V118" s="5" t="s">
        <v>2705</v>
      </c>
      <c r="W118" s="3">
        <v>30317</v>
      </c>
      <c r="X118" s="2">
        <v>43643</v>
      </c>
      <c r="Y118" s="13" t="s">
        <v>3183</v>
      </c>
      <c r="Z118" s="2">
        <v>43721</v>
      </c>
      <c r="AA118" s="2"/>
      <c r="AD118" t="s">
        <v>1158</v>
      </c>
    </row>
    <row r="119" spans="1:38">
      <c r="A119" s="1">
        <v>119</v>
      </c>
      <c r="B119" t="s">
        <v>80</v>
      </c>
      <c r="C119" s="2">
        <v>43647</v>
      </c>
      <c r="D119" t="s">
        <v>1353</v>
      </c>
      <c r="E119" t="s">
        <v>1354</v>
      </c>
      <c r="F119" t="s">
        <v>1842</v>
      </c>
      <c r="G119" s="6" t="s">
        <v>294</v>
      </c>
      <c r="H119" t="s">
        <v>103</v>
      </c>
      <c r="K119" t="s">
        <v>1353</v>
      </c>
      <c r="L119" s="3">
        <v>43677</v>
      </c>
      <c r="M119" t="s">
        <v>35</v>
      </c>
      <c r="N119" s="14" t="s">
        <v>2706</v>
      </c>
      <c r="O119" s="9">
        <v>30</v>
      </c>
      <c r="P119" s="1">
        <v>1</v>
      </c>
      <c r="Q119" s="58">
        <v>0.21</v>
      </c>
      <c r="R119" s="7">
        <v>0</v>
      </c>
      <c r="S119" t="s">
        <v>36</v>
      </c>
      <c r="T119" s="213">
        <f t="shared" si="1"/>
        <v>36.299999999999997</v>
      </c>
      <c r="U119" t="s">
        <v>1357</v>
      </c>
      <c r="W119" s="3">
        <v>25913</v>
      </c>
      <c r="X119" s="2">
        <v>43647</v>
      </c>
      <c r="Y119" s="11" t="s">
        <v>2936</v>
      </c>
      <c r="Z119" s="2"/>
      <c r="AA119" s="2"/>
      <c r="AB119" s="1"/>
    </row>
    <row r="120" spans="1:38">
      <c r="A120" s="1">
        <v>120</v>
      </c>
      <c r="B120" t="s">
        <v>37</v>
      </c>
      <c r="C120" s="2">
        <v>43650</v>
      </c>
      <c r="D120" t="s">
        <v>2712</v>
      </c>
      <c r="E120" s="14" t="s">
        <v>2713</v>
      </c>
      <c r="F120" t="s">
        <v>2714</v>
      </c>
      <c r="G120" s="6" t="s">
        <v>220</v>
      </c>
      <c r="H120" t="s">
        <v>39</v>
      </c>
      <c r="I120">
        <v>642699741</v>
      </c>
      <c r="K120" t="s">
        <v>2712</v>
      </c>
      <c r="L120" s="3">
        <v>43677</v>
      </c>
      <c r="M120" t="s">
        <v>35</v>
      </c>
      <c r="N120" s="14" t="s">
        <v>2715</v>
      </c>
      <c r="O120" s="9">
        <v>60</v>
      </c>
      <c r="P120" s="1">
        <v>1</v>
      </c>
      <c r="Q120" s="58">
        <v>0.21</v>
      </c>
      <c r="R120" s="7">
        <v>0</v>
      </c>
      <c r="S120" t="s">
        <v>36</v>
      </c>
      <c r="T120" s="213">
        <f t="shared" si="1"/>
        <v>72.599999999999994</v>
      </c>
      <c r="U120" t="s">
        <v>2712</v>
      </c>
      <c r="V120" s="5" t="s">
        <v>2716</v>
      </c>
      <c r="W120" s="3">
        <v>33707</v>
      </c>
      <c r="X120" s="2">
        <v>43650</v>
      </c>
      <c r="Y120" s="13" t="s">
        <v>2955</v>
      </c>
      <c r="Z120" s="2">
        <v>43735</v>
      </c>
      <c r="AA120" s="2"/>
      <c r="AB120" s="1"/>
      <c r="AD120" t="s">
        <v>1158</v>
      </c>
    </row>
    <row r="121" spans="1:38">
      <c r="A121" s="1">
        <v>121</v>
      </c>
      <c r="B121" t="s">
        <v>82</v>
      </c>
      <c r="C121" s="2">
        <v>43650</v>
      </c>
      <c r="D121" t="s">
        <v>167</v>
      </c>
      <c r="E121" s="14" t="s">
        <v>168</v>
      </c>
      <c r="F121" t="s">
        <v>2717</v>
      </c>
      <c r="G121" s="6" t="s">
        <v>239</v>
      </c>
      <c r="H121" t="s">
        <v>108</v>
      </c>
      <c r="I121">
        <v>658794983</v>
      </c>
      <c r="K121" t="s">
        <v>167</v>
      </c>
      <c r="L121" s="3">
        <v>43677</v>
      </c>
      <c r="M121" t="s">
        <v>35</v>
      </c>
      <c r="N121" s="14" t="s">
        <v>2718</v>
      </c>
      <c r="O121" s="9">
        <v>60</v>
      </c>
      <c r="P121" s="1">
        <v>1</v>
      </c>
      <c r="Q121" s="58">
        <v>0.21</v>
      </c>
      <c r="R121" s="7">
        <v>0</v>
      </c>
      <c r="S121" t="s">
        <v>36</v>
      </c>
      <c r="T121" s="213">
        <f t="shared" si="1"/>
        <v>72.599999999999994</v>
      </c>
      <c r="U121" t="s">
        <v>2719</v>
      </c>
      <c r="V121" s="5" t="s">
        <v>2720</v>
      </c>
      <c r="W121" s="3">
        <v>33828</v>
      </c>
      <c r="X121" s="2">
        <v>43650</v>
      </c>
      <c r="Y121" s="11" t="s">
        <v>2914</v>
      </c>
      <c r="Z121" s="2">
        <v>43718</v>
      </c>
      <c r="AA121" s="2"/>
      <c r="AB121" s="1"/>
      <c r="AD121" t="s">
        <v>1158</v>
      </c>
    </row>
    <row r="122" spans="1:38">
      <c r="A122" s="1">
        <v>122</v>
      </c>
      <c r="B122" t="s">
        <v>1414</v>
      </c>
      <c r="C122" s="2">
        <v>43654</v>
      </c>
      <c r="D122" t="s">
        <v>113</v>
      </c>
      <c r="E122" s="14" t="s">
        <v>99</v>
      </c>
      <c r="F122" t="s">
        <v>114</v>
      </c>
      <c r="G122" s="6" t="s">
        <v>221</v>
      </c>
      <c r="H122" t="s">
        <v>34</v>
      </c>
      <c r="K122" t="s">
        <v>2688</v>
      </c>
      <c r="L122" s="3">
        <v>43677</v>
      </c>
      <c r="M122" t="s">
        <v>35</v>
      </c>
      <c r="N122" s="14" t="s">
        <v>2710</v>
      </c>
      <c r="O122" s="9">
        <v>30</v>
      </c>
      <c r="P122" s="1">
        <v>1</v>
      </c>
      <c r="Q122" s="58">
        <v>0.21</v>
      </c>
      <c r="R122" s="7">
        <v>0</v>
      </c>
      <c r="S122" t="s">
        <v>36</v>
      </c>
      <c r="T122" s="213">
        <f t="shared" si="1"/>
        <v>36.299999999999997</v>
      </c>
      <c r="U122" t="s">
        <v>1830</v>
      </c>
      <c r="V122" s="5" t="s">
        <v>2711</v>
      </c>
      <c r="X122" s="2">
        <v>43636</v>
      </c>
      <c r="Y122" s="11" t="s">
        <v>3317</v>
      </c>
    </row>
    <row r="123" spans="1:38">
      <c r="A123" s="1">
        <v>123</v>
      </c>
      <c r="B123" t="s">
        <v>37</v>
      </c>
      <c r="C123" s="2">
        <v>43657</v>
      </c>
      <c r="D123" t="s">
        <v>2721</v>
      </c>
      <c r="E123" s="14" t="s">
        <v>2722</v>
      </c>
      <c r="F123" t="s">
        <v>2723</v>
      </c>
      <c r="G123" s="6" t="s">
        <v>2724</v>
      </c>
      <c r="H123" t="s">
        <v>2725</v>
      </c>
      <c r="I123">
        <v>600720348</v>
      </c>
      <c r="K123" t="s">
        <v>2721</v>
      </c>
      <c r="L123" s="3">
        <v>43677</v>
      </c>
      <c r="M123" t="s">
        <v>35</v>
      </c>
      <c r="N123" s="14" t="s">
        <v>2726</v>
      </c>
      <c r="O123" s="9">
        <v>57.85</v>
      </c>
      <c r="P123" s="1">
        <v>1</v>
      </c>
      <c r="Q123" s="58">
        <v>0.21</v>
      </c>
      <c r="R123" s="7">
        <v>0</v>
      </c>
      <c r="S123" t="s">
        <v>36</v>
      </c>
      <c r="T123" s="213">
        <f t="shared" si="1"/>
        <v>69.998500000000007</v>
      </c>
      <c r="U123" t="s">
        <v>2727</v>
      </c>
      <c r="V123" s="5" t="s">
        <v>2728</v>
      </c>
      <c r="W123" s="3">
        <v>36140</v>
      </c>
      <c r="X123" s="2">
        <v>43657</v>
      </c>
      <c r="Y123" s="11" t="s">
        <v>3211</v>
      </c>
      <c r="Z123" s="2">
        <v>43795</v>
      </c>
      <c r="AA123" s="2"/>
      <c r="AD123" t="s">
        <v>1158</v>
      </c>
      <c r="AG123" t="s">
        <v>2763</v>
      </c>
      <c r="AK123" s="3">
        <v>43664</v>
      </c>
    </row>
    <row r="124" spans="1:38">
      <c r="A124" s="1">
        <v>124</v>
      </c>
      <c r="B124" t="s">
        <v>82</v>
      </c>
      <c r="C124" s="2">
        <v>43657</v>
      </c>
      <c r="D124" t="s">
        <v>772</v>
      </c>
      <c r="E124" s="14" t="s">
        <v>773</v>
      </c>
      <c r="F124" t="s">
        <v>1872</v>
      </c>
      <c r="G124" s="6" t="s">
        <v>239</v>
      </c>
      <c r="H124" t="s">
        <v>108</v>
      </c>
      <c r="K124" t="s">
        <v>772</v>
      </c>
      <c r="L124" s="3">
        <v>43677</v>
      </c>
      <c r="M124" t="s">
        <v>35</v>
      </c>
      <c r="N124" s="14" t="s">
        <v>2729</v>
      </c>
      <c r="O124" s="9">
        <v>60</v>
      </c>
      <c r="P124" s="1">
        <v>1</v>
      </c>
      <c r="Q124" s="58">
        <v>0.21</v>
      </c>
      <c r="R124" s="7">
        <v>0</v>
      </c>
      <c r="S124" t="s">
        <v>36</v>
      </c>
      <c r="T124" s="213">
        <f t="shared" si="1"/>
        <v>72.599999999999994</v>
      </c>
      <c r="U124" t="s">
        <v>2730</v>
      </c>
      <c r="V124" s="5" t="s">
        <v>2731</v>
      </c>
      <c r="W124" s="3">
        <v>36708</v>
      </c>
      <c r="X124" s="2">
        <v>43657</v>
      </c>
      <c r="Y124" s="13" t="s">
        <v>2767</v>
      </c>
      <c r="Z124" s="2">
        <v>43675</v>
      </c>
      <c r="AA124" s="2"/>
      <c r="AD124" t="s">
        <v>1158</v>
      </c>
      <c r="AG124" t="s">
        <v>2732</v>
      </c>
      <c r="AH124" s="3">
        <v>43657</v>
      </c>
      <c r="AK124" s="3">
        <v>43671</v>
      </c>
    </row>
    <row r="125" spans="1:38">
      <c r="A125" s="1">
        <v>125</v>
      </c>
      <c r="B125" t="s">
        <v>59</v>
      </c>
      <c r="C125" s="2">
        <v>43657</v>
      </c>
      <c r="D125" t="s">
        <v>2733</v>
      </c>
      <c r="E125" s="14" t="s">
        <v>2734</v>
      </c>
      <c r="F125" t="s">
        <v>2735</v>
      </c>
      <c r="G125" s="6" t="s">
        <v>294</v>
      </c>
      <c r="H125" t="s">
        <v>103</v>
      </c>
      <c r="I125">
        <v>667652994</v>
      </c>
      <c r="K125" t="s">
        <v>2733</v>
      </c>
      <c r="L125" s="3">
        <v>43677</v>
      </c>
      <c r="M125" t="s">
        <v>35</v>
      </c>
      <c r="N125" s="14" t="s">
        <v>2736</v>
      </c>
      <c r="O125" s="9">
        <v>60</v>
      </c>
      <c r="P125" s="1">
        <v>1</v>
      </c>
      <c r="Q125" s="58">
        <v>0.21</v>
      </c>
      <c r="R125" s="7">
        <v>0</v>
      </c>
      <c r="S125" t="s">
        <v>36</v>
      </c>
      <c r="T125" s="213">
        <f t="shared" si="1"/>
        <v>72.599999999999994</v>
      </c>
      <c r="U125" t="s">
        <v>2737</v>
      </c>
      <c r="V125" s="5" t="s">
        <v>2738</v>
      </c>
      <c r="W125" s="3">
        <v>36197</v>
      </c>
      <c r="X125" s="2">
        <v>43657</v>
      </c>
      <c r="Y125" s="11" t="s">
        <v>2765</v>
      </c>
      <c r="Z125" s="2">
        <v>43671</v>
      </c>
      <c r="AA125" s="2"/>
      <c r="AD125" t="s">
        <v>1158</v>
      </c>
    </row>
    <row r="126" spans="1:38">
      <c r="A126" s="1">
        <v>126</v>
      </c>
      <c r="B126" t="s">
        <v>52</v>
      </c>
      <c r="C126" s="2">
        <v>43657</v>
      </c>
      <c r="D126" t="s">
        <v>70</v>
      </c>
      <c r="E126" s="14" t="s">
        <v>71</v>
      </c>
      <c r="F126" t="s">
        <v>72</v>
      </c>
      <c r="G126" s="6" t="s">
        <v>221</v>
      </c>
      <c r="H126" t="s">
        <v>34</v>
      </c>
      <c r="K126" s="31" t="s">
        <v>53</v>
      </c>
      <c r="L126" s="3">
        <v>43677</v>
      </c>
      <c r="M126" t="s">
        <v>35</v>
      </c>
      <c r="N126" s="14" t="s">
        <v>2739</v>
      </c>
      <c r="O126" s="9">
        <v>60</v>
      </c>
      <c r="P126" s="1">
        <v>1</v>
      </c>
      <c r="Q126" s="58">
        <v>0.21</v>
      </c>
      <c r="R126" s="7">
        <v>0</v>
      </c>
      <c r="S126" t="s">
        <v>36</v>
      </c>
      <c r="T126" s="213">
        <f t="shared" si="1"/>
        <v>72.599999999999994</v>
      </c>
      <c r="U126" t="s">
        <v>1890</v>
      </c>
      <c r="V126" s="5" t="s">
        <v>2740</v>
      </c>
      <c r="W126" s="3">
        <v>35886</v>
      </c>
      <c r="X126" s="2">
        <v>43657</v>
      </c>
      <c r="Y126" s="11" t="s">
        <v>2913</v>
      </c>
      <c r="Z126" s="2">
        <v>43717</v>
      </c>
      <c r="AA126" s="2"/>
      <c r="AC126" s="3">
        <v>43677</v>
      </c>
      <c r="AD126" t="s">
        <v>1158</v>
      </c>
      <c r="AG126" t="s">
        <v>2741</v>
      </c>
      <c r="AH126" s="3">
        <v>43657</v>
      </c>
      <c r="AI126" t="s">
        <v>2742</v>
      </c>
    </row>
    <row r="127" spans="1:38">
      <c r="A127" s="1">
        <v>127</v>
      </c>
      <c r="B127" t="s">
        <v>82</v>
      </c>
      <c r="C127" s="2">
        <v>43657</v>
      </c>
      <c r="D127" t="s">
        <v>1554</v>
      </c>
      <c r="E127" s="14" t="s">
        <v>1555</v>
      </c>
      <c r="F127" t="s">
        <v>1556</v>
      </c>
      <c r="G127" s="6" t="s">
        <v>250</v>
      </c>
      <c r="H127" t="s">
        <v>86</v>
      </c>
      <c r="I127">
        <v>628005046</v>
      </c>
      <c r="K127" t="s">
        <v>1554</v>
      </c>
      <c r="L127" s="3">
        <v>43677</v>
      </c>
      <c r="M127" t="s">
        <v>35</v>
      </c>
      <c r="N127" s="14" t="s">
        <v>2743</v>
      </c>
      <c r="O127" s="9">
        <v>60</v>
      </c>
      <c r="P127" s="1">
        <v>1</v>
      </c>
      <c r="Q127" s="58">
        <v>0.21</v>
      </c>
      <c r="R127" s="7">
        <v>0</v>
      </c>
      <c r="S127" t="s">
        <v>36</v>
      </c>
      <c r="T127" s="213">
        <f t="shared" si="1"/>
        <v>72.599999999999994</v>
      </c>
      <c r="U127" t="s">
        <v>2744</v>
      </c>
      <c r="V127" s="5" t="s">
        <v>2745</v>
      </c>
      <c r="W127" s="3">
        <v>33569</v>
      </c>
      <c r="X127" s="2">
        <v>43657</v>
      </c>
      <c r="Y127" s="11" t="s">
        <v>2948</v>
      </c>
      <c r="Z127" s="2">
        <v>43728</v>
      </c>
      <c r="AA127" s="2"/>
      <c r="AD127" t="s">
        <v>1158</v>
      </c>
    </row>
    <row r="128" spans="1:38">
      <c r="A128" s="1">
        <v>128</v>
      </c>
      <c r="B128" t="s">
        <v>40</v>
      </c>
      <c r="C128" s="2">
        <v>43658</v>
      </c>
      <c r="D128" t="s">
        <v>2748</v>
      </c>
      <c r="E128" s="14" t="s">
        <v>2749</v>
      </c>
      <c r="F128" t="s">
        <v>2750</v>
      </c>
      <c r="G128" s="6" t="s">
        <v>221</v>
      </c>
      <c r="H128" t="s">
        <v>34</v>
      </c>
      <c r="I128">
        <v>674547035</v>
      </c>
      <c r="K128" t="s">
        <v>2748</v>
      </c>
      <c r="L128" s="3">
        <v>43677</v>
      </c>
      <c r="M128" t="s">
        <v>35</v>
      </c>
      <c r="N128" s="14" t="s">
        <v>2751</v>
      </c>
      <c r="O128" s="9">
        <v>60</v>
      </c>
      <c r="P128" s="1">
        <v>1</v>
      </c>
      <c r="Q128" s="58">
        <v>0.21</v>
      </c>
      <c r="R128" s="7">
        <v>0</v>
      </c>
      <c r="S128" t="s">
        <v>36</v>
      </c>
      <c r="T128" s="213">
        <f t="shared" si="1"/>
        <v>72.599999999999994</v>
      </c>
      <c r="U128" t="s">
        <v>2752</v>
      </c>
      <c r="V128" s="5" t="s">
        <v>2753</v>
      </c>
      <c r="W128" s="3">
        <v>28279</v>
      </c>
      <c r="X128" s="2">
        <v>43658</v>
      </c>
      <c r="Y128" s="11" t="s">
        <v>2770</v>
      </c>
      <c r="Z128" s="2">
        <v>43691</v>
      </c>
      <c r="AA128" s="2"/>
      <c r="AD128" t="s">
        <v>1158</v>
      </c>
    </row>
    <row r="129" spans="1:37">
      <c r="A129" s="1">
        <v>129</v>
      </c>
      <c r="B129" t="s">
        <v>82</v>
      </c>
      <c r="C129" s="2">
        <v>43663</v>
      </c>
      <c r="D129" t="s">
        <v>1471</v>
      </c>
      <c r="E129" s="14" t="s">
        <v>1472</v>
      </c>
      <c r="F129" t="s">
        <v>2754</v>
      </c>
      <c r="G129" s="6" t="s">
        <v>242</v>
      </c>
      <c r="H129" t="s">
        <v>1474</v>
      </c>
      <c r="I129">
        <v>697491106</v>
      </c>
      <c r="K129" t="s">
        <v>1471</v>
      </c>
      <c r="L129" s="3">
        <v>43677</v>
      </c>
      <c r="M129" t="s">
        <v>35</v>
      </c>
      <c r="N129" s="14" t="s">
        <v>2957</v>
      </c>
      <c r="O129" s="9">
        <v>60</v>
      </c>
      <c r="P129" s="1">
        <v>1</v>
      </c>
      <c r="Q129" s="58">
        <v>0.21</v>
      </c>
      <c r="R129" s="7">
        <v>0</v>
      </c>
      <c r="S129" t="s">
        <v>36</v>
      </c>
      <c r="T129" s="213">
        <f t="shared" ref="T129:T192" si="2">(O129*P129)*Q129+O129*P129</f>
        <v>72.599999999999994</v>
      </c>
      <c r="U129" t="s">
        <v>2755</v>
      </c>
      <c r="V129" s="5" t="s">
        <v>2756</v>
      </c>
      <c r="W129" s="3">
        <v>31149</v>
      </c>
      <c r="X129" s="2">
        <v>43663</v>
      </c>
      <c r="Y129" s="11" t="s">
        <v>2956</v>
      </c>
      <c r="Z129" s="2">
        <v>43735</v>
      </c>
      <c r="AA129" s="2"/>
      <c r="AD129" t="s">
        <v>1158</v>
      </c>
      <c r="AG129" t="s">
        <v>1547</v>
      </c>
      <c r="AH129" s="3">
        <v>43663</v>
      </c>
    </row>
    <row r="130" spans="1:37">
      <c r="A130" s="1">
        <v>130</v>
      </c>
      <c r="B130" t="s">
        <v>37</v>
      </c>
      <c r="C130" s="2">
        <v>43664</v>
      </c>
      <c r="D130" t="s">
        <v>2758</v>
      </c>
      <c r="E130" s="14" t="s">
        <v>2759</v>
      </c>
      <c r="F130" t="s">
        <v>2760</v>
      </c>
      <c r="G130" s="6" t="s">
        <v>221</v>
      </c>
      <c r="H130" t="s">
        <v>34</v>
      </c>
      <c r="I130">
        <v>661219847</v>
      </c>
      <c r="K130" t="s">
        <v>2758</v>
      </c>
      <c r="L130" s="3">
        <v>43677</v>
      </c>
      <c r="M130" t="s">
        <v>35</v>
      </c>
      <c r="N130" s="14" t="s">
        <v>2761</v>
      </c>
      <c r="O130" s="9">
        <v>60</v>
      </c>
      <c r="P130" s="1">
        <v>1</v>
      </c>
      <c r="Q130" s="58">
        <v>0.21</v>
      </c>
      <c r="R130" s="7">
        <v>0</v>
      </c>
      <c r="S130" t="s">
        <v>36</v>
      </c>
      <c r="T130" s="213">
        <f t="shared" si="2"/>
        <v>72.599999999999994</v>
      </c>
      <c r="U130" t="s">
        <v>2758</v>
      </c>
      <c r="V130" s="5" t="s">
        <v>2762</v>
      </c>
      <c r="W130" s="3">
        <v>31594</v>
      </c>
      <c r="X130" s="2">
        <v>43664</v>
      </c>
      <c r="Y130" s="11" t="s">
        <v>3026</v>
      </c>
      <c r="Z130" s="2">
        <v>43747</v>
      </c>
      <c r="AA130" s="2"/>
      <c r="AD130" t="s">
        <v>1158</v>
      </c>
      <c r="AG130" t="s">
        <v>77</v>
      </c>
      <c r="AH130" s="3">
        <v>43664</v>
      </c>
      <c r="AK130" s="3">
        <v>43671</v>
      </c>
    </row>
    <row r="131" spans="1:37" s="31" customFormat="1">
      <c r="A131" s="30">
        <v>131</v>
      </c>
      <c r="B131" s="31" t="s">
        <v>37</v>
      </c>
      <c r="C131" s="32">
        <v>43665</v>
      </c>
      <c r="D131" s="31" t="s">
        <v>868</v>
      </c>
      <c r="E131" s="31" t="s">
        <v>869</v>
      </c>
      <c r="F131" s="31" t="s">
        <v>870</v>
      </c>
      <c r="G131" s="63" t="s">
        <v>219</v>
      </c>
      <c r="H131" s="31" t="s">
        <v>38</v>
      </c>
      <c r="K131" s="31" t="s">
        <v>868</v>
      </c>
      <c r="L131" s="34">
        <v>43677</v>
      </c>
      <c r="M131" s="31" t="s">
        <v>35</v>
      </c>
      <c r="N131" s="14" t="s">
        <v>2764</v>
      </c>
      <c r="O131" s="36">
        <v>30</v>
      </c>
      <c r="P131" s="30">
        <v>1</v>
      </c>
      <c r="Q131" s="37">
        <v>0.21</v>
      </c>
      <c r="R131" s="38">
        <v>0</v>
      </c>
      <c r="S131" s="31" t="s">
        <v>36</v>
      </c>
      <c r="T131" s="213">
        <f t="shared" si="2"/>
        <v>36.299999999999997</v>
      </c>
      <c r="U131" t="s">
        <v>872</v>
      </c>
      <c r="V131" s="5" t="s">
        <v>2769</v>
      </c>
      <c r="W131" s="34">
        <v>33239</v>
      </c>
      <c r="X131" s="32">
        <v>43665</v>
      </c>
      <c r="Y131" s="11" t="s">
        <v>2768</v>
      </c>
      <c r="Z131" s="2">
        <v>43676</v>
      </c>
      <c r="AA131" s="2"/>
      <c r="AB131" s="2"/>
      <c r="AD131" t="s">
        <v>1158</v>
      </c>
      <c r="AE131"/>
      <c r="AH131" s="34"/>
      <c r="AK131" s="34"/>
    </row>
    <row r="132" spans="1:37">
      <c r="A132" s="1">
        <v>132</v>
      </c>
      <c r="B132" t="s">
        <v>131</v>
      </c>
      <c r="C132" s="2">
        <v>43676</v>
      </c>
      <c r="D132" t="s">
        <v>2448</v>
      </c>
      <c r="E132" t="s">
        <v>2449</v>
      </c>
      <c r="F132" t="s">
        <v>2450</v>
      </c>
      <c r="G132" s="6" t="s">
        <v>2451</v>
      </c>
      <c r="H132" t="s">
        <v>49</v>
      </c>
      <c r="I132" t="s">
        <v>2570</v>
      </c>
      <c r="K132" t="s">
        <v>2448</v>
      </c>
      <c r="L132" s="3">
        <v>43708</v>
      </c>
      <c r="M132" t="s">
        <v>35</v>
      </c>
      <c r="N132" t="s">
        <v>2773</v>
      </c>
      <c r="O132" s="7">
        <v>60</v>
      </c>
      <c r="P132" s="1">
        <v>1</v>
      </c>
      <c r="Q132" s="58">
        <v>0.21</v>
      </c>
      <c r="R132" s="7">
        <v>0</v>
      </c>
      <c r="S132" t="s">
        <v>36</v>
      </c>
      <c r="T132" s="213">
        <f t="shared" si="2"/>
        <v>72.599999999999994</v>
      </c>
      <c r="U132" t="s">
        <v>2774</v>
      </c>
      <c r="V132" s="5" t="s">
        <v>2775</v>
      </c>
      <c r="W132" s="3">
        <v>28038</v>
      </c>
      <c r="X132" s="2">
        <v>43676</v>
      </c>
      <c r="Y132" s="13" t="s">
        <v>3050</v>
      </c>
      <c r="Z132" s="2">
        <v>43749</v>
      </c>
      <c r="AA132" s="2"/>
      <c r="AB132" t="s">
        <v>3184</v>
      </c>
      <c r="AC132" s="3"/>
      <c r="AD132" t="s">
        <v>1158</v>
      </c>
      <c r="AG132" t="s">
        <v>87</v>
      </c>
      <c r="AH132" s="3">
        <v>43676</v>
      </c>
      <c r="AK132" s="3">
        <v>43677</v>
      </c>
    </row>
    <row r="133" spans="1:37">
      <c r="A133" s="1">
        <v>133</v>
      </c>
      <c r="B133" t="s">
        <v>1414</v>
      </c>
      <c r="C133" s="2">
        <v>43677</v>
      </c>
      <c r="D133" t="s">
        <v>2776</v>
      </c>
      <c r="E133" s="14" t="s">
        <v>997</v>
      </c>
      <c r="F133" t="s">
        <v>2777</v>
      </c>
      <c r="G133" s="6" t="s">
        <v>230</v>
      </c>
      <c r="H133" t="s">
        <v>1262</v>
      </c>
      <c r="K133" t="s">
        <v>2776</v>
      </c>
      <c r="L133" s="3">
        <v>43708</v>
      </c>
      <c r="M133" t="s">
        <v>35</v>
      </c>
      <c r="N133" s="14" t="s">
        <v>2778</v>
      </c>
      <c r="O133" s="9">
        <v>60</v>
      </c>
      <c r="P133" s="1">
        <v>1</v>
      </c>
      <c r="Q133" s="58">
        <v>0.21</v>
      </c>
      <c r="R133" s="7">
        <v>0</v>
      </c>
      <c r="S133" t="s">
        <v>36</v>
      </c>
      <c r="T133" s="213">
        <f t="shared" si="2"/>
        <v>72.599999999999994</v>
      </c>
      <c r="U133" t="s">
        <v>2779</v>
      </c>
      <c r="V133" s="5" t="s">
        <v>2780</v>
      </c>
      <c r="W133" s="3">
        <v>33604</v>
      </c>
      <c r="X133" s="2">
        <v>43677</v>
      </c>
      <c r="Y133" s="11" t="s">
        <v>2828</v>
      </c>
      <c r="Z133" s="2">
        <v>43704</v>
      </c>
      <c r="AA133" s="2"/>
      <c r="AD133" t="s">
        <v>1158</v>
      </c>
    </row>
    <row r="134" spans="1:37">
      <c r="A134" s="1">
        <v>134</v>
      </c>
      <c r="B134" t="s">
        <v>80</v>
      </c>
      <c r="C134" s="2">
        <v>43679</v>
      </c>
      <c r="D134" t="s">
        <v>1353</v>
      </c>
      <c r="E134" s="14" t="s">
        <v>1354</v>
      </c>
      <c r="F134" t="s">
        <v>2839</v>
      </c>
      <c r="G134" s="6" t="s">
        <v>294</v>
      </c>
      <c r="H134" t="s">
        <v>103</v>
      </c>
      <c r="K134" t="s">
        <v>1353</v>
      </c>
      <c r="L134" s="3">
        <v>43708</v>
      </c>
      <c r="M134" t="s">
        <v>35</v>
      </c>
      <c r="N134" s="14" t="s">
        <v>2840</v>
      </c>
      <c r="O134" s="9">
        <v>60</v>
      </c>
      <c r="P134" s="1">
        <v>1</v>
      </c>
      <c r="Q134" s="58">
        <v>0.21</v>
      </c>
      <c r="R134" s="7">
        <v>0</v>
      </c>
      <c r="S134" t="s">
        <v>36</v>
      </c>
      <c r="T134" s="213">
        <f t="shared" si="2"/>
        <v>72.599999999999994</v>
      </c>
      <c r="U134" t="s">
        <v>2841</v>
      </c>
      <c r="V134" s="5" t="s">
        <v>2842</v>
      </c>
      <c r="W134" s="3">
        <v>33604</v>
      </c>
      <c r="X134" s="2">
        <v>43679</v>
      </c>
      <c r="Y134" s="11" t="s">
        <v>3026</v>
      </c>
      <c r="Z134" s="2">
        <v>43746</v>
      </c>
      <c r="AA134" s="2"/>
      <c r="AD134" t="s">
        <v>1158</v>
      </c>
    </row>
    <row r="135" spans="1:37">
      <c r="A135" s="1">
        <v>135</v>
      </c>
      <c r="B135" t="s">
        <v>2575</v>
      </c>
      <c r="C135" s="2">
        <v>43679</v>
      </c>
      <c r="D135" t="s">
        <v>2576</v>
      </c>
      <c r="E135" s="14" t="s">
        <v>2577</v>
      </c>
      <c r="F135" t="s">
        <v>2578</v>
      </c>
      <c r="G135" s="6" t="s">
        <v>2579</v>
      </c>
      <c r="H135" t="s">
        <v>2580</v>
      </c>
      <c r="K135" t="s">
        <v>2576</v>
      </c>
      <c r="L135" s="3">
        <v>43708</v>
      </c>
      <c r="M135" t="s">
        <v>35</v>
      </c>
      <c r="N135" s="14" t="s">
        <v>2843</v>
      </c>
      <c r="O135" s="9">
        <v>60</v>
      </c>
      <c r="P135" s="1">
        <v>1</v>
      </c>
      <c r="Q135" s="58">
        <v>0.21</v>
      </c>
      <c r="R135" s="7">
        <v>0</v>
      </c>
      <c r="S135" t="s">
        <v>36</v>
      </c>
      <c r="T135" s="213">
        <f t="shared" si="2"/>
        <v>72.599999999999994</v>
      </c>
      <c r="U135" t="s">
        <v>2844</v>
      </c>
      <c r="V135" s="5" t="s">
        <v>2845</v>
      </c>
      <c r="W135" s="3">
        <v>37496</v>
      </c>
      <c r="X135" s="2">
        <v>43679</v>
      </c>
      <c r="Y135" s="11" t="s">
        <v>3051</v>
      </c>
      <c r="Z135" s="2">
        <v>43749</v>
      </c>
      <c r="AA135" s="2"/>
      <c r="AD135" t="s">
        <v>1158</v>
      </c>
      <c r="AG135" t="s">
        <v>2846</v>
      </c>
      <c r="AH135" s="3">
        <v>43679</v>
      </c>
      <c r="AK135" s="3">
        <v>43686</v>
      </c>
    </row>
    <row r="136" spans="1:37">
      <c r="A136" s="30">
        <v>136</v>
      </c>
      <c r="B136" t="s">
        <v>82</v>
      </c>
      <c r="C136" s="2">
        <v>43679</v>
      </c>
      <c r="D136" t="s">
        <v>772</v>
      </c>
      <c r="E136" s="14" t="s">
        <v>773</v>
      </c>
      <c r="F136" t="s">
        <v>1872</v>
      </c>
      <c r="G136" s="6" t="s">
        <v>239</v>
      </c>
      <c r="H136" t="s">
        <v>108</v>
      </c>
      <c r="K136" t="s">
        <v>772</v>
      </c>
      <c r="L136" s="3">
        <v>43708</v>
      </c>
      <c r="M136" t="s">
        <v>35</v>
      </c>
      <c r="N136" s="14" t="s">
        <v>1873</v>
      </c>
      <c r="O136" s="9">
        <v>60</v>
      </c>
      <c r="P136" s="1">
        <v>1</v>
      </c>
      <c r="Q136" s="58">
        <v>0.21</v>
      </c>
      <c r="R136" s="7">
        <v>0</v>
      </c>
      <c r="S136" t="s">
        <v>36</v>
      </c>
      <c r="T136" s="213">
        <f t="shared" si="2"/>
        <v>72.599999999999994</v>
      </c>
      <c r="U136" t="s">
        <v>1874</v>
      </c>
      <c r="V136" s="5" t="s">
        <v>2829</v>
      </c>
      <c r="W136" s="3">
        <v>32593</v>
      </c>
      <c r="X136" s="2">
        <v>43679</v>
      </c>
      <c r="Y136" s="11" t="s">
        <v>3026</v>
      </c>
      <c r="Z136" s="2">
        <v>43746</v>
      </c>
      <c r="AA136" s="2"/>
      <c r="AD136" t="s">
        <v>1158</v>
      </c>
      <c r="AG136" t="s">
        <v>2830</v>
      </c>
      <c r="AH136" s="3">
        <v>43679</v>
      </c>
      <c r="AK136" s="3">
        <v>43682</v>
      </c>
    </row>
    <row r="137" spans="1:37">
      <c r="A137" s="1">
        <v>137</v>
      </c>
      <c r="B137" t="s">
        <v>1242</v>
      </c>
      <c r="C137" s="2">
        <v>43679</v>
      </c>
      <c r="D137" t="s">
        <v>2831</v>
      </c>
      <c r="E137" s="14" t="s">
        <v>2832</v>
      </c>
      <c r="F137" t="s">
        <v>2833</v>
      </c>
      <c r="G137" s="6" t="s">
        <v>221</v>
      </c>
      <c r="H137" t="s">
        <v>34</v>
      </c>
      <c r="I137">
        <v>609171350</v>
      </c>
      <c r="K137" s="31" t="s">
        <v>1250</v>
      </c>
      <c r="L137" s="3">
        <v>43708</v>
      </c>
      <c r="M137" t="s">
        <v>35</v>
      </c>
      <c r="N137" s="14" t="s">
        <v>2834</v>
      </c>
      <c r="O137" s="9">
        <v>60</v>
      </c>
      <c r="P137" s="1">
        <v>1</v>
      </c>
      <c r="Q137" s="58">
        <v>0.21</v>
      </c>
      <c r="R137" s="7">
        <v>0</v>
      </c>
      <c r="S137" t="s">
        <v>36</v>
      </c>
      <c r="T137" s="213">
        <f t="shared" si="2"/>
        <v>72.599999999999994</v>
      </c>
      <c r="U137" t="s">
        <v>2835</v>
      </c>
      <c r="V137" s="5" t="s">
        <v>2836</v>
      </c>
      <c r="W137" s="3">
        <v>33439</v>
      </c>
      <c r="X137" s="2">
        <v>43679</v>
      </c>
      <c r="Y137" s="11" t="s">
        <v>3532</v>
      </c>
      <c r="Z137" s="2">
        <v>43865</v>
      </c>
      <c r="AA137" s="78" t="s">
        <v>1339</v>
      </c>
      <c r="AC137" s="116">
        <v>43778</v>
      </c>
      <c r="AD137" t="s">
        <v>1158</v>
      </c>
      <c r="AH137" s="3"/>
      <c r="AK137" s="3"/>
    </row>
    <row r="138" spans="1:37">
      <c r="A138" s="1">
        <v>138</v>
      </c>
      <c r="B138" t="s">
        <v>1414</v>
      </c>
      <c r="C138" s="2">
        <v>43684</v>
      </c>
      <c r="D138" t="s">
        <v>2794</v>
      </c>
      <c r="E138" s="14" t="s">
        <v>2795</v>
      </c>
      <c r="F138" t="s">
        <v>2796</v>
      </c>
      <c r="G138" s="6" t="s">
        <v>230</v>
      </c>
      <c r="H138" t="s">
        <v>34</v>
      </c>
      <c r="K138" t="s">
        <v>2794</v>
      </c>
      <c r="L138" s="3">
        <v>43708</v>
      </c>
      <c r="M138" t="s">
        <v>35</v>
      </c>
      <c r="N138" s="14" t="s">
        <v>2797</v>
      </c>
      <c r="O138" s="9">
        <v>60</v>
      </c>
      <c r="P138" s="1">
        <v>1</v>
      </c>
      <c r="Q138" s="58">
        <v>0.21</v>
      </c>
      <c r="R138" s="7">
        <v>0</v>
      </c>
      <c r="S138" t="s">
        <v>36</v>
      </c>
      <c r="T138" s="213">
        <f t="shared" si="2"/>
        <v>72.599999999999994</v>
      </c>
      <c r="U138" t="s">
        <v>2798</v>
      </c>
      <c r="V138" s="5" t="s">
        <v>2799</v>
      </c>
      <c r="W138" s="3">
        <v>37113</v>
      </c>
      <c r="X138" s="2">
        <v>43684</v>
      </c>
      <c r="Y138" s="13" t="s">
        <v>2937</v>
      </c>
      <c r="Z138" s="2">
        <v>43704</v>
      </c>
      <c r="AA138" s="2"/>
      <c r="AD138" t="s">
        <v>1158</v>
      </c>
      <c r="AG138" t="s">
        <v>1547</v>
      </c>
      <c r="AH138" s="3">
        <v>43684</v>
      </c>
      <c r="AK138" s="3">
        <v>43691</v>
      </c>
    </row>
    <row r="139" spans="1:37">
      <c r="A139" s="1">
        <v>139</v>
      </c>
      <c r="B139" t="s">
        <v>1414</v>
      </c>
      <c r="C139" s="2">
        <v>43684</v>
      </c>
      <c r="D139" t="s">
        <v>2787</v>
      </c>
      <c r="E139" s="14" t="s">
        <v>2788</v>
      </c>
      <c r="F139" t="s">
        <v>2789</v>
      </c>
      <c r="G139" s="6" t="s">
        <v>230</v>
      </c>
      <c r="H139" t="s">
        <v>1262</v>
      </c>
      <c r="K139" t="s">
        <v>2787</v>
      </c>
      <c r="L139" s="3">
        <v>43708</v>
      </c>
      <c r="M139" t="s">
        <v>35</v>
      </c>
      <c r="N139" s="14" t="s">
        <v>2790</v>
      </c>
      <c r="O139" s="9">
        <v>60</v>
      </c>
      <c r="P139" s="1">
        <v>1</v>
      </c>
      <c r="Q139" s="58">
        <v>0.21</v>
      </c>
      <c r="R139" s="7">
        <v>0</v>
      </c>
      <c r="S139" t="s">
        <v>36</v>
      </c>
      <c r="T139" s="213">
        <f t="shared" si="2"/>
        <v>72.599999999999994</v>
      </c>
      <c r="U139" t="s">
        <v>2791</v>
      </c>
      <c r="V139" s="5" t="s">
        <v>2792</v>
      </c>
      <c r="W139" s="3">
        <v>31009</v>
      </c>
      <c r="X139" s="2">
        <v>43684</v>
      </c>
      <c r="Y139" s="13" t="s">
        <v>2937</v>
      </c>
      <c r="Z139" s="2">
        <v>43704</v>
      </c>
      <c r="AA139" s="2"/>
      <c r="AD139" t="s">
        <v>1158</v>
      </c>
      <c r="AG139" t="s">
        <v>2793</v>
      </c>
      <c r="AH139" s="3">
        <v>43684</v>
      </c>
      <c r="AK139" s="3">
        <v>43691</v>
      </c>
    </row>
    <row r="140" spans="1:37">
      <c r="A140" s="1">
        <v>140</v>
      </c>
      <c r="B140" t="s">
        <v>1414</v>
      </c>
      <c r="C140" s="2">
        <v>43685</v>
      </c>
      <c r="D140" t="s">
        <v>2781</v>
      </c>
      <c r="E140" s="14" t="s">
        <v>229</v>
      </c>
      <c r="F140" t="s">
        <v>2782</v>
      </c>
      <c r="G140" s="6" t="s">
        <v>230</v>
      </c>
      <c r="H140" t="s">
        <v>1262</v>
      </c>
      <c r="K140" t="s">
        <v>2781</v>
      </c>
      <c r="L140" s="3">
        <v>43708</v>
      </c>
      <c r="M140" t="s">
        <v>35</v>
      </c>
      <c r="N140" s="14" t="s">
        <v>2783</v>
      </c>
      <c r="O140" s="9">
        <v>60</v>
      </c>
      <c r="P140" s="1">
        <v>1</v>
      </c>
      <c r="Q140" s="58">
        <v>0.21</v>
      </c>
      <c r="R140" s="7">
        <v>0</v>
      </c>
      <c r="S140" t="s">
        <v>36</v>
      </c>
      <c r="T140" s="213">
        <f t="shared" si="2"/>
        <v>72.599999999999994</v>
      </c>
      <c r="U140" t="s">
        <v>1810</v>
      </c>
      <c r="V140" s="5" t="s">
        <v>2784</v>
      </c>
      <c r="W140" s="3">
        <v>28126</v>
      </c>
      <c r="X140" s="2">
        <v>43685</v>
      </c>
      <c r="Y140" s="11" t="s">
        <v>2828</v>
      </c>
      <c r="AD140" t="s">
        <v>1158</v>
      </c>
      <c r="AG140" t="s">
        <v>87</v>
      </c>
      <c r="AH140" s="3">
        <v>43685</v>
      </c>
      <c r="AK140" s="3">
        <v>43686</v>
      </c>
    </row>
    <row r="141" spans="1:37">
      <c r="A141" s="30">
        <v>141</v>
      </c>
      <c r="B141" t="s">
        <v>1414</v>
      </c>
      <c r="C141" s="2">
        <v>43685</v>
      </c>
      <c r="D141" t="s">
        <v>1299</v>
      </c>
      <c r="E141" s="14" t="s">
        <v>2785</v>
      </c>
      <c r="F141" t="s">
        <v>1301</v>
      </c>
      <c r="G141" s="6" t="s">
        <v>221</v>
      </c>
      <c r="H141" t="s">
        <v>34</v>
      </c>
      <c r="K141" t="s">
        <v>1299</v>
      </c>
      <c r="L141" s="3">
        <v>43708</v>
      </c>
      <c r="M141" t="s">
        <v>35</v>
      </c>
      <c r="N141" s="14" t="s">
        <v>442</v>
      </c>
      <c r="O141" s="9">
        <v>60</v>
      </c>
      <c r="P141" s="1">
        <v>1</v>
      </c>
      <c r="Q141" s="58">
        <v>0.21</v>
      </c>
      <c r="R141" s="7">
        <v>0</v>
      </c>
      <c r="S141" t="s">
        <v>36</v>
      </c>
      <c r="T141" s="213">
        <f t="shared" si="2"/>
        <v>72.599999999999994</v>
      </c>
      <c r="U141" t="s">
        <v>443</v>
      </c>
      <c r="V141" s="5" t="s">
        <v>2786</v>
      </c>
      <c r="W141" s="3">
        <v>34048</v>
      </c>
      <c r="X141" s="2">
        <v>43685</v>
      </c>
      <c r="Y141" s="13" t="s">
        <v>2937</v>
      </c>
      <c r="Z141" s="2">
        <v>43704</v>
      </c>
      <c r="AA141" s="2"/>
      <c r="AD141" t="s">
        <v>1158</v>
      </c>
      <c r="AG141" t="s">
        <v>87</v>
      </c>
      <c r="AH141" s="3">
        <v>43685</v>
      </c>
      <c r="AK141" s="3">
        <v>43686</v>
      </c>
    </row>
    <row r="142" spans="1:37">
      <c r="A142" s="1">
        <v>142</v>
      </c>
      <c r="B142" t="s">
        <v>82</v>
      </c>
      <c r="C142" s="2">
        <v>43685</v>
      </c>
      <c r="D142" t="s">
        <v>263</v>
      </c>
      <c r="E142" s="14" t="s">
        <v>264</v>
      </c>
      <c r="F142" t="s">
        <v>2384</v>
      </c>
      <c r="G142" s="6" t="s">
        <v>250</v>
      </c>
      <c r="H142" t="s">
        <v>86</v>
      </c>
      <c r="K142" t="s">
        <v>263</v>
      </c>
      <c r="L142" s="3">
        <v>43708</v>
      </c>
      <c r="M142" t="s">
        <v>35</v>
      </c>
      <c r="N142" s="14" t="s">
        <v>2826</v>
      </c>
      <c r="O142" s="9">
        <v>49.59</v>
      </c>
      <c r="P142" s="1">
        <v>1</v>
      </c>
      <c r="Q142" s="58">
        <v>0.21</v>
      </c>
      <c r="R142" s="7">
        <v>0</v>
      </c>
      <c r="S142" t="s">
        <v>36</v>
      </c>
      <c r="T142" s="213">
        <f t="shared" si="2"/>
        <v>60.003900000000002</v>
      </c>
      <c r="U142" t="s">
        <v>3180</v>
      </c>
      <c r="V142" s="5" t="s">
        <v>2827</v>
      </c>
      <c r="W142" s="3">
        <v>30536</v>
      </c>
      <c r="X142" s="2">
        <v>43685</v>
      </c>
      <c r="Y142" s="13" t="s">
        <v>3181</v>
      </c>
      <c r="Z142" s="2">
        <v>43769</v>
      </c>
      <c r="AA142" s="2"/>
      <c r="AB142" t="s">
        <v>3182</v>
      </c>
      <c r="AD142" t="s">
        <v>1158</v>
      </c>
      <c r="AG142" t="s">
        <v>1876</v>
      </c>
      <c r="AH142" s="3">
        <v>43685</v>
      </c>
      <c r="AK142" s="3">
        <v>43693</v>
      </c>
    </row>
    <row r="143" spans="1:37">
      <c r="A143" s="1">
        <v>143</v>
      </c>
      <c r="B143" t="s">
        <v>82</v>
      </c>
      <c r="C143" s="2">
        <v>43685</v>
      </c>
      <c r="D143" t="s">
        <v>251</v>
      </c>
      <c r="E143" s="14" t="s">
        <v>252</v>
      </c>
      <c r="F143" t="s">
        <v>253</v>
      </c>
      <c r="G143" s="6" t="s">
        <v>239</v>
      </c>
      <c r="H143" t="s">
        <v>2585</v>
      </c>
      <c r="K143" t="s">
        <v>251</v>
      </c>
      <c r="L143" s="3">
        <v>43708</v>
      </c>
      <c r="M143" t="s">
        <v>35</v>
      </c>
      <c r="N143" s="14" t="s">
        <v>2822</v>
      </c>
      <c r="O143" s="9">
        <v>60</v>
      </c>
      <c r="P143" s="1">
        <v>1</v>
      </c>
      <c r="Q143" s="58">
        <v>0.21</v>
      </c>
      <c r="R143" s="7">
        <v>0</v>
      </c>
      <c r="S143" t="s">
        <v>36</v>
      </c>
      <c r="T143" s="213">
        <f t="shared" si="2"/>
        <v>72.599999999999994</v>
      </c>
      <c r="U143" t="s">
        <v>2823</v>
      </c>
      <c r="V143" s="5" t="s">
        <v>2824</v>
      </c>
      <c r="W143" s="3">
        <v>32232</v>
      </c>
      <c r="X143" s="2">
        <v>43685</v>
      </c>
      <c r="Y143" s="11" t="s">
        <v>3053</v>
      </c>
      <c r="Z143" s="2">
        <v>43755</v>
      </c>
      <c r="AA143" s="2"/>
      <c r="AD143" t="s">
        <v>1158</v>
      </c>
      <c r="AG143" t="s">
        <v>2825</v>
      </c>
      <c r="AH143" s="3">
        <v>43685</v>
      </c>
      <c r="AK143" s="3">
        <v>43686</v>
      </c>
    </row>
    <row r="144" spans="1:37">
      <c r="A144" s="1">
        <v>144</v>
      </c>
      <c r="B144" t="s">
        <v>131</v>
      </c>
      <c r="C144" s="2">
        <v>43685</v>
      </c>
      <c r="D144" t="s">
        <v>2847</v>
      </c>
      <c r="E144" s="14" t="s">
        <v>2848</v>
      </c>
      <c r="F144" t="s">
        <v>2849</v>
      </c>
      <c r="G144" s="6" t="s">
        <v>293</v>
      </c>
      <c r="H144" t="s">
        <v>1380</v>
      </c>
      <c r="K144" t="s">
        <v>2850</v>
      </c>
      <c r="L144" s="3">
        <v>43708</v>
      </c>
      <c r="M144" t="s">
        <v>35</v>
      </c>
      <c r="N144" s="14" t="s">
        <v>2851</v>
      </c>
      <c r="O144" s="9">
        <v>60</v>
      </c>
      <c r="P144" s="1">
        <v>1</v>
      </c>
      <c r="Q144" s="58">
        <v>0.21</v>
      </c>
      <c r="R144" s="7">
        <v>0</v>
      </c>
      <c r="S144" t="s">
        <v>36</v>
      </c>
      <c r="T144" s="213">
        <f t="shared" si="2"/>
        <v>72.599999999999994</v>
      </c>
      <c r="U144" t="s">
        <v>2852</v>
      </c>
      <c r="V144" s="5" t="s">
        <v>2853</v>
      </c>
      <c r="W144" s="3">
        <v>29646</v>
      </c>
      <c r="X144" s="2">
        <v>43685</v>
      </c>
      <c r="Y144" s="13" t="s">
        <v>3122</v>
      </c>
      <c r="Z144" s="2">
        <v>43761</v>
      </c>
      <c r="AA144" s="2"/>
      <c r="AB144" t="s">
        <v>3123</v>
      </c>
      <c r="AD144" t="s">
        <v>1158</v>
      </c>
      <c r="AG144" t="s">
        <v>612</v>
      </c>
      <c r="AH144" s="3">
        <v>43685</v>
      </c>
      <c r="AK144" s="3">
        <v>43686</v>
      </c>
    </row>
    <row r="145" spans="1:37">
      <c r="A145" s="1">
        <v>145</v>
      </c>
      <c r="B145" t="s">
        <v>37</v>
      </c>
      <c r="C145" s="2">
        <v>43689</v>
      </c>
      <c r="D145" t="s">
        <v>2875</v>
      </c>
      <c r="E145" s="14" t="s">
        <v>2876</v>
      </c>
      <c r="F145" t="s">
        <v>2877</v>
      </c>
      <c r="G145" s="6" t="s">
        <v>221</v>
      </c>
      <c r="H145" t="s">
        <v>34</v>
      </c>
      <c r="K145" t="s">
        <v>2875</v>
      </c>
      <c r="L145" s="3">
        <v>43708</v>
      </c>
      <c r="M145" t="s">
        <v>35</v>
      </c>
      <c r="N145" s="14" t="s">
        <v>2882</v>
      </c>
      <c r="O145" s="9">
        <v>60</v>
      </c>
      <c r="P145" s="1">
        <v>1</v>
      </c>
      <c r="Q145" s="58">
        <v>0.21</v>
      </c>
      <c r="R145" s="7">
        <v>0</v>
      </c>
      <c r="S145" t="s">
        <v>36</v>
      </c>
      <c r="T145" s="213">
        <f t="shared" si="2"/>
        <v>72.599999999999994</v>
      </c>
      <c r="U145" t="s">
        <v>2878</v>
      </c>
      <c r="V145" s="5" t="s">
        <v>2879</v>
      </c>
      <c r="W145" s="3">
        <v>27030</v>
      </c>
      <c r="X145" s="2">
        <v>43689</v>
      </c>
      <c r="Y145" s="11" t="s">
        <v>2913</v>
      </c>
      <c r="Z145" s="2">
        <v>43717</v>
      </c>
      <c r="AA145" s="2"/>
      <c r="AD145" t="s">
        <v>1158</v>
      </c>
      <c r="AG145" t="s">
        <v>77</v>
      </c>
      <c r="AH145" s="3">
        <v>43689</v>
      </c>
      <c r="AK145" s="3">
        <v>43705</v>
      </c>
    </row>
    <row r="146" spans="1:37">
      <c r="A146" s="1">
        <v>146</v>
      </c>
      <c r="B146" t="s">
        <v>37</v>
      </c>
      <c r="C146" s="2">
        <v>43689</v>
      </c>
      <c r="D146" t="s">
        <v>2875</v>
      </c>
      <c r="E146" s="14" t="s">
        <v>2876</v>
      </c>
      <c r="F146" t="s">
        <v>2877</v>
      </c>
      <c r="G146" s="6" t="s">
        <v>221</v>
      </c>
      <c r="H146" t="s">
        <v>34</v>
      </c>
      <c r="K146" t="s">
        <v>2875</v>
      </c>
      <c r="L146" s="3">
        <v>43708</v>
      </c>
      <c r="M146" t="s">
        <v>35</v>
      </c>
      <c r="N146" s="14" t="s">
        <v>2883</v>
      </c>
      <c r="O146" s="9">
        <v>60</v>
      </c>
      <c r="P146" s="1">
        <v>1</v>
      </c>
      <c r="Q146" s="58">
        <v>0.21</v>
      </c>
      <c r="R146" s="7">
        <v>0</v>
      </c>
      <c r="S146" t="s">
        <v>36</v>
      </c>
      <c r="T146" s="213">
        <f t="shared" si="2"/>
        <v>72.599999999999994</v>
      </c>
      <c r="U146" t="s">
        <v>2880</v>
      </c>
      <c r="V146" s="5" t="s">
        <v>2881</v>
      </c>
      <c r="W146" s="3">
        <v>27760</v>
      </c>
      <c r="X146" s="2">
        <v>43689</v>
      </c>
      <c r="Y146" s="11" t="s">
        <v>2913</v>
      </c>
      <c r="Z146" s="2">
        <v>43717</v>
      </c>
      <c r="AA146" s="2"/>
      <c r="AD146" t="s">
        <v>1158</v>
      </c>
      <c r="AG146" t="s">
        <v>77</v>
      </c>
      <c r="AH146" s="3">
        <v>43689</v>
      </c>
      <c r="AK146" s="3">
        <v>43705</v>
      </c>
    </row>
    <row r="147" spans="1:37">
      <c r="A147" s="1">
        <v>147</v>
      </c>
      <c r="B147" t="s">
        <v>37</v>
      </c>
      <c r="C147" s="2">
        <v>43689</v>
      </c>
      <c r="D147" t="s">
        <v>2875</v>
      </c>
      <c r="E147" s="14" t="s">
        <v>2876</v>
      </c>
      <c r="F147" t="s">
        <v>2877</v>
      </c>
      <c r="G147" s="6" t="s">
        <v>221</v>
      </c>
      <c r="H147" t="s">
        <v>34</v>
      </c>
      <c r="K147" t="s">
        <v>2875</v>
      </c>
      <c r="L147" s="3">
        <v>43708</v>
      </c>
      <c r="M147" t="s">
        <v>35</v>
      </c>
      <c r="N147" s="14" t="s">
        <v>2884</v>
      </c>
      <c r="O147" s="9">
        <v>60</v>
      </c>
      <c r="P147" s="1">
        <v>1</v>
      </c>
      <c r="Q147" s="58">
        <v>0.21</v>
      </c>
      <c r="R147" s="7">
        <v>0</v>
      </c>
      <c r="S147" t="s">
        <v>36</v>
      </c>
      <c r="T147" s="213">
        <f t="shared" si="2"/>
        <v>72.599999999999994</v>
      </c>
      <c r="U147" t="s">
        <v>2885</v>
      </c>
      <c r="V147" s="5" t="s">
        <v>2886</v>
      </c>
      <c r="W147" s="3">
        <v>28357</v>
      </c>
      <c r="X147" s="2">
        <v>43689</v>
      </c>
      <c r="Y147" s="11" t="s">
        <v>2913</v>
      </c>
      <c r="Z147" s="2">
        <v>43717</v>
      </c>
      <c r="AA147" s="2"/>
      <c r="AD147" t="s">
        <v>1158</v>
      </c>
      <c r="AG147" t="s">
        <v>77</v>
      </c>
      <c r="AH147" s="3">
        <v>43689</v>
      </c>
      <c r="AK147" s="3">
        <v>43705</v>
      </c>
    </row>
    <row r="148" spans="1:37">
      <c r="A148" s="1">
        <v>148</v>
      </c>
      <c r="B148" t="s">
        <v>37</v>
      </c>
      <c r="C148" s="2">
        <v>43689</v>
      </c>
      <c r="D148" t="s">
        <v>2875</v>
      </c>
      <c r="E148" s="14" t="s">
        <v>2876</v>
      </c>
      <c r="F148" t="s">
        <v>2877</v>
      </c>
      <c r="G148" s="6" t="s">
        <v>221</v>
      </c>
      <c r="H148" t="s">
        <v>34</v>
      </c>
      <c r="K148" t="s">
        <v>2875</v>
      </c>
      <c r="L148" s="3">
        <v>43708</v>
      </c>
      <c r="M148" t="s">
        <v>35</v>
      </c>
      <c r="N148" s="14" t="s">
        <v>2887</v>
      </c>
      <c r="O148" s="9">
        <v>60</v>
      </c>
      <c r="P148" s="1">
        <v>1</v>
      </c>
      <c r="Q148" s="58">
        <v>0.21</v>
      </c>
      <c r="R148" s="7">
        <v>0</v>
      </c>
      <c r="S148" t="s">
        <v>36</v>
      </c>
      <c r="T148" s="213">
        <f t="shared" si="2"/>
        <v>72.599999999999994</v>
      </c>
      <c r="U148" t="s">
        <v>2888</v>
      </c>
      <c r="V148" s="5" t="s">
        <v>2889</v>
      </c>
      <c r="W148" s="3">
        <v>27395</v>
      </c>
      <c r="X148" s="2">
        <v>43689</v>
      </c>
      <c r="Y148" s="11" t="s">
        <v>2913</v>
      </c>
      <c r="Z148" s="2">
        <v>43717</v>
      </c>
      <c r="AA148" s="2"/>
      <c r="AD148" t="s">
        <v>1158</v>
      </c>
      <c r="AG148" t="s">
        <v>77</v>
      </c>
      <c r="AH148" s="3">
        <v>43689</v>
      </c>
      <c r="AK148" s="3">
        <v>43705</v>
      </c>
    </row>
    <row r="149" spans="1:37">
      <c r="A149" s="30">
        <v>149</v>
      </c>
      <c r="B149" t="s">
        <v>37</v>
      </c>
      <c r="C149" s="2">
        <v>43689</v>
      </c>
      <c r="D149" t="s">
        <v>2875</v>
      </c>
      <c r="E149" s="14" t="s">
        <v>2876</v>
      </c>
      <c r="F149" t="s">
        <v>2877</v>
      </c>
      <c r="G149" s="6" t="s">
        <v>221</v>
      </c>
      <c r="H149" t="s">
        <v>34</v>
      </c>
      <c r="K149" t="s">
        <v>2875</v>
      </c>
      <c r="L149" s="3">
        <v>43708</v>
      </c>
      <c r="M149" t="s">
        <v>35</v>
      </c>
      <c r="N149" s="14" t="s">
        <v>2890</v>
      </c>
      <c r="O149" s="9">
        <v>60</v>
      </c>
      <c r="P149" s="1">
        <v>1</v>
      </c>
      <c r="Q149" s="58">
        <v>0.21</v>
      </c>
      <c r="R149" s="7">
        <v>0</v>
      </c>
      <c r="S149" t="s">
        <v>36</v>
      </c>
      <c r="T149" s="213">
        <f t="shared" si="2"/>
        <v>72.599999999999994</v>
      </c>
      <c r="U149" t="s">
        <v>2891</v>
      </c>
      <c r="V149" s="5" t="s">
        <v>2892</v>
      </c>
      <c r="W149" s="3">
        <v>24473</v>
      </c>
      <c r="X149" s="2">
        <v>43689</v>
      </c>
      <c r="Y149" s="11" t="s">
        <v>2913</v>
      </c>
      <c r="Z149" s="2">
        <v>43717</v>
      </c>
      <c r="AA149" s="2"/>
      <c r="AD149" t="s">
        <v>1158</v>
      </c>
      <c r="AG149" t="s">
        <v>77</v>
      </c>
      <c r="AH149" s="3">
        <v>43689</v>
      </c>
      <c r="AK149" s="3">
        <v>43705</v>
      </c>
    </row>
    <row r="150" spans="1:37">
      <c r="A150" s="1">
        <v>150</v>
      </c>
      <c r="B150" t="s">
        <v>37</v>
      </c>
      <c r="C150" s="2">
        <v>43689</v>
      </c>
      <c r="D150" t="s">
        <v>2875</v>
      </c>
      <c r="E150" s="14" t="s">
        <v>2876</v>
      </c>
      <c r="F150" t="s">
        <v>2877</v>
      </c>
      <c r="G150" s="6" t="s">
        <v>221</v>
      </c>
      <c r="H150" t="s">
        <v>34</v>
      </c>
      <c r="K150" t="s">
        <v>2875</v>
      </c>
      <c r="L150" s="3">
        <v>43708</v>
      </c>
      <c r="M150" t="s">
        <v>35</v>
      </c>
      <c r="N150" s="14" t="s">
        <v>2893</v>
      </c>
      <c r="O150" s="9">
        <v>60</v>
      </c>
      <c r="P150" s="1">
        <v>1</v>
      </c>
      <c r="Q150" s="58">
        <v>0.21</v>
      </c>
      <c r="R150" s="7">
        <v>0</v>
      </c>
      <c r="S150" t="s">
        <v>36</v>
      </c>
      <c r="T150" s="213">
        <f t="shared" si="2"/>
        <v>72.599999999999994</v>
      </c>
      <c r="U150" t="s">
        <v>2894</v>
      </c>
      <c r="V150" s="5" t="s">
        <v>2895</v>
      </c>
      <c r="W150" s="3">
        <v>23743</v>
      </c>
      <c r="X150" s="2">
        <v>43689</v>
      </c>
      <c r="Y150" s="11" t="s">
        <v>2913</v>
      </c>
      <c r="Z150" s="2">
        <v>43717</v>
      </c>
      <c r="AA150" s="2"/>
      <c r="AD150" t="s">
        <v>1158</v>
      </c>
      <c r="AG150" t="s">
        <v>77</v>
      </c>
      <c r="AH150" s="3">
        <v>43689</v>
      </c>
      <c r="AK150" s="3">
        <v>43705</v>
      </c>
    </row>
    <row r="151" spans="1:37">
      <c r="A151" s="1">
        <v>151</v>
      </c>
      <c r="B151" t="s">
        <v>37</v>
      </c>
      <c r="C151" s="2">
        <v>43689</v>
      </c>
      <c r="D151" t="s">
        <v>2875</v>
      </c>
      <c r="E151" s="14" t="s">
        <v>2876</v>
      </c>
      <c r="F151" t="s">
        <v>2877</v>
      </c>
      <c r="G151" s="6" t="s">
        <v>221</v>
      </c>
      <c r="H151" t="s">
        <v>34</v>
      </c>
      <c r="K151" t="s">
        <v>2875</v>
      </c>
      <c r="L151" s="3">
        <v>43708</v>
      </c>
      <c r="M151" t="s">
        <v>35</v>
      </c>
      <c r="N151" s="14" t="s">
        <v>2896</v>
      </c>
      <c r="O151" s="9">
        <v>60</v>
      </c>
      <c r="P151" s="1">
        <v>1</v>
      </c>
      <c r="Q151" s="58">
        <v>0.21</v>
      </c>
      <c r="R151" s="7">
        <v>0</v>
      </c>
      <c r="S151" t="s">
        <v>36</v>
      </c>
      <c r="T151" s="213">
        <f t="shared" si="2"/>
        <v>72.599999999999994</v>
      </c>
      <c r="U151" t="s">
        <v>2897</v>
      </c>
      <c r="V151" s="5" t="s">
        <v>2898</v>
      </c>
      <c r="W151" s="3">
        <v>27065</v>
      </c>
      <c r="X151" s="2">
        <v>43689</v>
      </c>
      <c r="Y151" s="11" t="s">
        <v>2913</v>
      </c>
      <c r="Z151" s="2">
        <v>43717</v>
      </c>
      <c r="AA151" s="2"/>
      <c r="AD151" t="s">
        <v>1158</v>
      </c>
      <c r="AG151" t="s">
        <v>77</v>
      </c>
      <c r="AH151" s="3">
        <v>43689</v>
      </c>
      <c r="AK151" s="3">
        <v>43705</v>
      </c>
    </row>
    <row r="152" spans="1:37">
      <c r="A152" s="1">
        <v>152</v>
      </c>
      <c r="B152" t="s">
        <v>37</v>
      </c>
      <c r="C152" s="2">
        <v>43689</v>
      </c>
      <c r="D152" t="s">
        <v>2875</v>
      </c>
      <c r="E152" s="14" t="s">
        <v>2876</v>
      </c>
      <c r="F152" t="s">
        <v>2877</v>
      </c>
      <c r="G152" s="6" t="s">
        <v>221</v>
      </c>
      <c r="H152" t="s">
        <v>34</v>
      </c>
      <c r="K152" t="s">
        <v>2875</v>
      </c>
      <c r="L152" s="3">
        <v>43708</v>
      </c>
      <c r="M152" t="s">
        <v>35</v>
      </c>
      <c r="N152" s="14" t="s">
        <v>2899</v>
      </c>
      <c r="O152" s="9">
        <v>60</v>
      </c>
      <c r="P152" s="1">
        <v>1</v>
      </c>
      <c r="Q152" s="58">
        <v>0.21</v>
      </c>
      <c r="R152" s="7">
        <v>0</v>
      </c>
      <c r="S152" t="s">
        <v>36</v>
      </c>
      <c r="T152" s="213">
        <f t="shared" si="2"/>
        <v>72.599999999999994</v>
      </c>
      <c r="U152" t="s">
        <v>2900</v>
      </c>
      <c r="V152" s="5" t="s">
        <v>2901</v>
      </c>
      <c r="W152" s="3">
        <v>27668</v>
      </c>
      <c r="X152" s="2">
        <v>43689</v>
      </c>
      <c r="Y152" s="11" t="s">
        <v>2913</v>
      </c>
      <c r="Z152" s="2">
        <v>43717</v>
      </c>
      <c r="AA152" s="2"/>
      <c r="AD152" t="s">
        <v>1158</v>
      </c>
      <c r="AG152" t="s">
        <v>77</v>
      </c>
      <c r="AH152" s="3">
        <v>43689</v>
      </c>
      <c r="AK152" s="3">
        <v>43705</v>
      </c>
    </row>
    <row r="153" spans="1:37">
      <c r="A153" s="1">
        <v>153</v>
      </c>
      <c r="B153" t="s">
        <v>37</v>
      </c>
      <c r="C153" s="2">
        <v>43689</v>
      </c>
      <c r="D153" t="s">
        <v>2875</v>
      </c>
      <c r="E153" s="14" t="s">
        <v>2876</v>
      </c>
      <c r="F153" t="s">
        <v>2877</v>
      </c>
      <c r="G153" s="6" t="s">
        <v>221</v>
      </c>
      <c r="H153" t="s">
        <v>34</v>
      </c>
      <c r="K153" t="s">
        <v>2875</v>
      </c>
      <c r="L153" s="3">
        <v>43708</v>
      </c>
      <c r="M153" t="s">
        <v>35</v>
      </c>
      <c r="N153" s="14" t="s">
        <v>2902</v>
      </c>
      <c r="O153" s="9">
        <v>60</v>
      </c>
      <c r="P153" s="1">
        <v>1</v>
      </c>
      <c r="Q153" s="58">
        <v>0.21</v>
      </c>
      <c r="R153" s="7">
        <v>0</v>
      </c>
      <c r="S153" t="s">
        <v>36</v>
      </c>
      <c r="T153" s="213">
        <f t="shared" si="2"/>
        <v>72.599999999999994</v>
      </c>
      <c r="U153" t="s">
        <v>2903</v>
      </c>
      <c r="V153" s="5" t="s">
        <v>2904</v>
      </c>
      <c r="W153" s="3">
        <v>27030</v>
      </c>
      <c r="X153" s="2">
        <v>43689</v>
      </c>
      <c r="Y153" s="11" t="s">
        <v>2913</v>
      </c>
      <c r="Z153" s="2">
        <v>43717</v>
      </c>
      <c r="AA153" s="2"/>
      <c r="AD153" t="s">
        <v>1158</v>
      </c>
      <c r="AG153" t="s">
        <v>77</v>
      </c>
      <c r="AH153" s="3">
        <v>43689</v>
      </c>
      <c r="AK153" s="3">
        <v>43705</v>
      </c>
    </row>
    <row r="154" spans="1:37">
      <c r="A154" s="1">
        <v>154</v>
      </c>
      <c r="B154" t="s">
        <v>37</v>
      </c>
      <c r="C154" s="2">
        <v>43689</v>
      </c>
      <c r="D154" t="s">
        <v>2875</v>
      </c>
      <c r="E154" s="14" t="s">
        <v>2876</v>
      </c>
      <c r="F154" t="s">
        <v>2877</v>
      </c>
      <c r="G154" s="6" t="s">
        <v>221</v>
      </c>
      <c r="H154" t="s">
        <v>34</v>
      </c>
      <c r="K154" t="s">
        <v>2875</v>
      </c>
      <c r="L154" s="3">
        <v>43708</v>
      </c>
      <c r="M154" t="s">
        <v>35</v>
      </c>
      <c r="N154" s="14" t="s">
        <v>2905</v>
      </c>
      <c r="O154" s="9">
        <v>60</v>
      </c>
      <c r="P154" s="1">
        <v>1</v>
      </c>
      <c r="Q154" s="58">
        <v>0.21</v>
      </c>
      <c r="R154" s="7">
        <v>0</v>
      </c>
      <c r="S154" t="s">
        <v>36</v>
      </c>
      <c r="T154" s="213">
        <f t="shared" si="2"/>
        <v>72.599999999999994</v>
      </c>
      <c r="U154" t="s">
        <v>2906</v>
      </c>
      <c r="V154" s="5" t="s">
        <v>2907</v>
      </c>
      <c r="W154" s="3">
        <v>26665</v>
      </c>
      <c r="X154" s="2">
        <v>43689</v>
      </c>
      <c r="Y154" s="11" t="s">
        <v>2913</v>
      </c>
      <c r="Z154" s="2">
        <v>43717</v>
      </c>
      <c r="AA154" s="2"/>
      <c r="AD154" t="s">
        <v>1158</v>
      </c>
      <c r="AG154" t="s">
        <v>77</v>
      </c>
      <c r="AH154" s="3">
        <v>43689</v>
      </c>
      <c r="AK154" s="3">
        <v>43705</v>
      </c>
    </row>
    <row r="155" spans="1:37">
      <c r="A155" s="1">
        <v>155</v>
      </c>
      <c r="B155" t="s">
        <v>37</v>
      </c>
      <c r="C155" s="2">
        <v>43699</v>
      </c>
      <c r="D155" t="s">
        <v>2801</v>
      </c>
      <c r="E155" s="14" t="s">
        <v>2802</v>
      </c>
      <c r="F155" t="s">
        <v>2803</v>
      </c>
      <c r="G155" s="6" t="s">
        <v>2451</v>
      </c>
      <c r="H155" t="s">
        <v>49</v>
      </c>
      <c r="I155">
        <v>634705132</v>
      </c>
      <c r="K155" t="s">
        <v>2801</v>
      </c>
      <c r="L155" s="3">
        <v>43708</v>
      </c>
      <c r="M155" t="s">
        <v>35</v>
      </c>
      <c r="N155" s="14" t="s">
        <v>2804</v>
      </c>
      <c r="O155" s="9">
        <v>0</v>
      </c>
      <c r="P155" s="1">
        <v>1</v>
      </c>
      <c r="Q155" s="58">
        <v>0.21</v>
      </c>
      <c r="R155" s="7">
        <v>0</v>
      </c>
      <c r="S155" t="s">
        <v>36</v>
      </c>
      <c r="T155" s="213">
        <f t="shared" si="2"/>
        <v>0</v>
      </c>
      <c r="U155" t="s">
        <v>2801</v>
      </c>
      <c r="V155" s="5" t="s">
        <v>2805</v>
      </c>
      <c r="W155" s="3">
        <v>31256</v>
      </c>
      <c r="X155" s="2">
        <v>43699</v>
      </c>
      <c r="Y155" s="11" t="s">
        <v>1326</v>
      </c>
      <c r="AD155" t="s">
        <v>1158</v>
      </c>
    </row>
    <row r="156" spans="1:37">
      <c r="A156" s="1">
        <v>156</v>
      </c>
      <c r="B156" t="s">
        <v>37</v>
      </c>
      <c r="C156" s="2">
        <v>43699</v>
      </c>
      <c r="D156" t="s">
        <v>2357</v>
      </c>
      <c r="E156" t="s">
        <v>297</v>
      </c>
      <c r="F156" t="s">
        <v>2358</v>
      </c>
      <c r="G156" s="6" t="s">
        <v>259</v>
      </c>
      <c r="H156" t="s">
        <v>2359</v>
      </c>
      <c r="K156" t="s">
        <v>2357</v>
      </c>
      <c r="L156" s="3">
        <v>43708</v>
      </c>
      <c r="M156" t="s">
        <v>35</v>
      </c>
      <c r="N156" t="s">
        <v>2360</v>
      </c>
      <c r="O156" s="7">
        <v>0</v>
      </c>
      <c r="P156" s="1">
        <v>1</v>
      </c>
      <c r="Q156" s="58">
        <v>0.21</v>
      </c>
      <c r="R156" s="7">
        <v>0</v>
      </c>
      <c r="S156" t="s">
        <v>36</v>
      </c>
      <c r="T156" s="213">
        <f t="shared" si="2"/>
        <v>0</v>
      </c>
      <c r="U156" t="s">
        <v>2361</v>
      </c>
      <c r="V156" s="5" t="s">
        <v>2806</v>
      </c>
      <c r="W156" s="3">
        <v>36160</v>
      </c>
      <c r="X156" s="2">
        <v>43699</v>
      </c>
      <c r="Y156" s="11" t="s">
        <v>1326</v>
      </c>
      <c r="Z156" s="2"/>
      <c r="AA156" s="2"/>
      <c r="AD156" t="s">
        <v>1158</v>
      </c>
      <c r="AF156" t="s">
        <v>1858</v>
      </c>
      <c r="AG156" t="s">
        <v>77</v>
      </c>
      <c r="AH156" s="3">
        <v>43699</v>
      </c>
      <c r="AK156" s="3">
        <v>43710</v>
      </c>
    </row>
    <row r="157" spans="1:37">
      <c r="A157" s="30">
        <v>157</v>
      </c>
      <c r="B157" t="s">
        <v>37</v>
      </c>
      <c r="C157" s="2">
        <v>43699</v>
      </c>
      <c r="D157" t="s">
        <v>2357</v>
      </c>
      <c r="E157" t="s">
        <v>297</v>
      </c>
      <c r="F157" t="s">
        <v>2358</v>
      </c>
      <c r="G157" s="6" t="s">
        <v>259</v>
      </c>
      <c r="H157" t="s">
        <v>2359</v>
      </c>
      <c r="K157" t="s">
        <v>2357</v>
      </c>
      <c r="L157" s="3">
        <v>43708</v>
      </c>
      <c r="M157" t="s">
        <v>35</v>
      </c>
      <c r="N157" t="s">
        <v>2364</v>
      </c>
      <c r="O157" s="7">
        <v>0</v>
      </c>
      <c r="P157" s="1">
        <v>1</v>
      </c>
      <c r="Q157" s="58">
        <v>0.21</v>
      </c>
      <c r="R157" s="7">
        <v>0</v>
      </c>
      <c r="S157" t="s">
        <v>36</v>
      </c>
      <c r="T157" s="213">
        <f t="shared" si="2"/>
        <v>0</v>
      </c>
      <c r="U157" t="s">
        <v>2365</v>
      </c>
      <c r="V157" s="5" t="s">
        <v>2807</v>
      </c>
      <c r="W157" s="3">
        <v>37149</v>
      </c>
      <c r="X157" s="2">
        <v>43699</v>
      </c>
      <c r="Y157" s="11" t="s">
        <v>3212</v>
      </c>
      <c r="Z157" s="2">
        <v>43790</v>
      </c>
      <c r="AA157" s="2"/>
      <c r="AD157" t="s">
        <v>1158</v>
      </c>
      <c r="AF157" t="s">
        <v>1858</v>
      </c>
      <c r="AG157" t="s">
        <v>77</v>
      </c>
      <c r="AH157" s="3">
        <v>43699</v>
      </c>
      <c r="AK157" s="3">
        <v>43710</v>
      </c>
    </row>
    <row r="158" spans="1:37">
      <c r="A158" s="1">
        <v>158</v>
      </c>
      <c r="B158" t="s">
        <v>1414</v>
      </c>
      <c r="C158" s="2">
        <v>43699</v>
      </c>
      <c r="D158" t="s">
        <v>2059</v>
      </c>
      <c r="E158" s="14" t="s">
        <v>2060</v>
      </c>
      <c r="F158" t="s">
        <v>2808</v>
      </c>
      <c r="G158" s="6" t="s">
        <v>221</v>
      </c>
      <c r="H158" t="s">
        <v>34</v>
      </c>
      <c r="K158" t="s">
        <v>2059</v>
      </c>
      <c r="L158" s="3">
        <v>43708</v>
      </c>
      <c r="M158" t="s">
        <v>35</v>
      </c>
      <c r="N158" s="14" t="s">
        <v>2062</v>
      </c>
      <c r="O158" s="9">
        <v>60</v>
      </c>
      <c r="P158" s="1">
        <v>1</v>
      </c>
      <c r="Q158" s="58">
        <v>0.21</v>
      </c>
      <c r="R158" s="7">
        <v>0</v>
      </c>
      <c r="S158" t="s">
        <v>36</v>
      </c>
      <c r="T158" s="213">
        <f t="shared" si="2"/>
        <v>72.599999999999994</v>
      </c>
      <c r="U158" t="s">
        <v>2063</v>
      </c>
      <c r="V158" s="5" t="s">
        <v>2809</v>
      </c>
      <c r="W158" s="3">
        <v>37047</v>
      </c>
      <c r="X158" s="2">
        <v>43699</v>
      </c>
      <c r="Y158" s="13" t="s">
        <v>2917</v>
      </c>
      <c r="Z158" s="2">
        <v>43717</v>
      </c>
      <c r="AA158" s="2"/>
      <c r="AD158" t="s">
        <v>1158</v>
      </c>
    </row>
    <row r="159" spans="1:37">
      <c r="A159" s="1">
        <v>159</v>
      </c>
      <c r="B159" t="s">
        <v>33</v>
      </c>
      <c r="C159" s="2">
        <v>43699</v>
      </c>
      <c r="D159" t="s">
        <v>2810</v>
      </c>
      <c r="E159" s="14" t="s">
        <v>2811</v>
      </c>
      <c r="F159" t="s">
        <v>2812</v>
      </c>
      <c r="G159" s="6" t="s">
        <v>219</v>
      </c>
      <c r="H159" t="s">
        <v>38</v>
      </c>
      <c r="I159">
        <v>645798309</v>
      </c>
      <c r="K159" s="31" t="s">
        <v>237</v>
      </c>
      <c r="L159" s="3">
        <v>43708</v>
      </c>
      <c r="M159" t="s">
        <v>35</v>
      </c>
      <c r="N159" s="14" t="s">
        <v>2813</v>
      </c>
      <c r="O159" s="9">
        <v>60</v>
      </c>
      <c r="P159" s="1">
        <v>1</v>
      </c>
      <c r="Q159" s="58">
        <v>0.21</v>
      </c>
      <c r="R159" s="7">
        <v>0</v>
      </c>
      <c r="S159" t="s">
        <v>36</v>
      </c>
      <c r="T159" s="213">
        <f t="shared" si="2"/>
        <v>72.599999999999994</v>
      </c>
      <c r="U159" t="s">
        <v>2814</v>
      </c>
      <c r="V159" s="5" t="s">
        <v>2815</v>
      </c>
      <c r="W159" s="3">
        <v>34053</v>
      </c>
      <c r="X159" s="2">
        <v>43699</v>
      </c>
      <c r="Y159" s="11" t="s">
        <v>2913</v>
      </c>
      <c r="Z159" s="2">
        <v>43717</v>
      </c>
      <c r="AA159" s="2"/>
      <c r="AD159" t="s">
        <v>1158</v>
      </c>
      <c r="AG159" t="s">
        <v>2838</v>
      </c>
      <c r="AH159" s="3">
        <v>43699</v>
      </c>
      <c r="AK159" s="3">
        <v>43710</v>
      </c>
    </row>
    <row r="160" spans="1:37">
      <c r="A160" s="1">
        <v>160</v>
      </c>
      <c r="B160" t="s">
        <v>33</v>
      </c>
      <c r="C160" s="2">
        <v>43699</v>
      </c>
      <c r="D160" t="s">
        <v>2816</v>
      </c>
      <c r="E160" s="14" t="s">
        <v>2817</v>
      </c>
      <c r="F160" t="s">
        <v>2818</v>
      </c>
      <c r="G160" s="6" t="s">
        <v>221</v>
      </c>
      <c r="H160" t="s">
        <v>34</v>
      </c>
      <c r="I160">
        <v>650392626</v>
      </c>
      <c r="K160" t="s">
        <v>237</v>
      </c>
      <c r="L160" s="3">
        <v>43708</v>
      </c>
      <c r="M160" t="s">
        <v>35</v>
      </c>
      <c r="N160" s="14" t="s">
        <v>2819</v>
      </c>
      <c r="O160" s="9">
        <v>60</v>
      </c>
      <c r="P160" s="1">
        <v>1</v>
      </c>
      <c r="Q160" s="58">
        <v>0.21</v>
      </c>
      <c r="R160" s="7">
        <v>0</v>
      </c>
      <c r="S160" t="s">
        <v>36</v>
      </c>
      <c r="T160" s="213">
        <f t="shared" si="2"/>
        <v>72.599999999999994</v>
      </c>
      <c r="U160" t="s">
        <v>2820</v>
      </c>
      <c r="V160" s="5" t="s">
        <v>2821</v>
      </c>
      <c r="W160" s="3">
        <v>35340</v>
      </c>
      <c r="X160" s="2">
        <v>43699</v>
      </c>
      <c r="Y160" s="11" t="s">
        <v>2913</v>
      </c>
      <c r="Z160" s="2">
        <v>43717</v>
      </c>
      <c r="AA160" s="2"/>
      <c r="AD160" t="s">
        <v>1158</v>
      </c>
      <c r="AG160" t="s">
        <v>2837</v>
      </c>
      <c r="AH160" s="3">
        <v>43699</v>
      </c>
      <c r="AK160" s="3">
        <v>43705</v>
      </c>
    </row>
    <row r="161" spans="1:37">
      <c r="A161" s="1">
        <v>161</v>
      </c>
      <c r="B161" t="s">
        <v>82</v>
      </c>
      <c r="C161" s="2">
        <v>43705</v>
      </c>
      <c r="D161" t="s">
        <v>2855</v>
      </c>
      <c r="E161" s="14" t="s">
        <v>2856</v>
      </c>
      <c r="F161" t="s">
        <v>2857</v>
      </c>
      <c r="G161" s="6" t="s">
        <v>239</v>
      </c>
      <c r="H161" t="s">
        <v>86</v>
      </c>
      <c r="K161" t="s">
        <v>2855</v>
      </c>
      <c r="L161" s="3">
        <v>43708</v>
      </c>
      <c r="M161" t="s">
        <v>35</v>
      </c>
      <c r="N161" s="14" t="s">
        <v>2858</v>
      </c>
      <c r="O161" s="9">
        <v>60</v>
      </c>
      <c r="P161" s="1">
        <v>1</v>
      </c>
      <c r="Q161" s="58">
        <v>0.21</v>
      </c>
      <c r="R161" s="7">
        <v>0</v>
      </c>
      <c r="S161" t="s">
        <v>36</v>
      </c>
      <c r="T161" s="95">
        <f t="shared" si="2"/>
        <v>72.599999999999994</v>
      </c>
      <c r="U161" t="s">
        <v>2859</v>
      </c>
      <c r="V161" s="5" t="s">
        <v>2860</v>
      </c>
      <c r="W161" s="3">
        <v>37081</v>
      </c>
      <c r="X161" s="2">
        <v>43705</v>
      </c>
      <c r="Y161" s="11" t="s">
        <v>2939</v>
      </c>
      <c r="Z161" s="2">
        <v>43727</v>
      </c>
      <c r="AA161" s="2"/>
      <c r="AD161" t="s">
        <v>1158</v>
      </c>
      <c r="AG161" t="s">
        <v>73</v>
      </c>
      <c r="AH161" s="3">
        <v>43705</v>
      </c>
      <c r="AK161" s="3">
        <v>43707</v>
      </c>
    </row>
    <row r="162" spans="1:37">
      <c r="A162" s="1">
        <v>162</v>
      </c>
      <c r="B162" t="s">
        <v>52</v>
      </c>
      <c r="C162" s="2">
        <v>43705</v>
      </c>
      <c r="D162" t="s">
        <v>919</v>
      </c>
      <c r="E162" s="14" t="s">
        <v>139</v>
      </c>
      <c r="F162" t="s">
        <v>2866</v>
      </c>
      <c r="G162" s="6" t="s">
        <v>221</v>
      </c>
      <c r="H162" t="s">
        <v>34</v>
      </c>
      <c r="I162">
        <v>675091651</v>
      </c>
      <c r="K162" s="31" t="s">
        <v>53</v>
      </c>
      <c r="L162" s="3">
        <v>43708</v>
      </c>
      <c r="M162" t="s">
        <v>35</v>
      </c>
      <c r="N162" s="14" t="s">
        <v>2867</v>
      </c>
      <c r="O162" s="9">
        <v>60</v>
      </c>
      <c r="P162" s="1">
        <v>1</v>
      </c>
      <c r="Q162" s="58">
        <v>0.21</v>
      </c>
      <c r="R162" s="7">
        <v>0</v>
      </c>
      <c r="S162" t="s">
        <v>36</v>
      </c>
      <c r="T162" s="95">
        <f t="shared" si="2"/>
        <v>72.599999999999994</v>
      </c>
      <c r="U162" t="s">
        <v>2868</v>
      </c>
      <c r="V162" s="5" t="s">
        <v>2869</v>
      </c>
      <c r="W162" s="3">
        <v>31778</v>
      </c>
      <c r="X162" s="2">
        <v>43705</v>
      </c>
      <c r="Y162" s="11" t="s">
        <v>2939</v>
      </c>
      <c r="Z162" s="2">
        <v>43728</v>
      </c>
      <c r="AA162" s="2"/>
      <c r="AD162" t="s">
        <v>1158</v>
      </c>
      <c r="AG162" t="s">
        <v>2870</v>
      </c>
      <c r="AH162" s="3">
        <v>43705</v>
      </c>
      <c r="AK162" s="3">
        <v>43713</v>
      </c>
    </row>
    <row r="163" spans="1:37">
      <c r="A163" s="1">
        <v>163</v>
      </c>
      <c r="B163" t="s">
        <v>143</v>
      </c>
      <c r="C163" s="2">
        <v>43705</v>
      </c>
      <c r="D163" t="s">
        <v>984</v>
      </c>
      <c r="E163" t="s">
        <v>985</v>
      </c>
      <c r="F163" t="s">
        <v>2140</v>
      </c>
      <c r="G163" s="6" t="s">
        <v>220</v>
      </c>
      <c r="H163" t="s">
        <v>39</v>
      </c>
      <c r="K163" t="s">
        <v>984</v>
      </c>
      <c r="L163" s="3">
        <v>43708</v>
      </c>
      <c r="M163" t="s">
        <v>35</v>
      </c>
      <c r="N163" s="14" t="s">
        <v>3466</v>
      </c>
      <c r="O163" s="9">
        <v>30</v>
      </c>
      <c r="P163" s="1">
        <v>1</v>
      </c>
      <c r="Q163" s="58">
        <v>0.21</v>
      </c>
      <c r="R163" s="7">
        <v>0</v>
      </c>
      <c r="S163" t="s">
        <v>36</v>
      </c>
      <c r="T163" s="213">
        <f t="shared" si="2"/>
        <v>36.299999999999997</v>
      </c>
      <c r="U163" t="s">
        <v>2864</v>
      </c>
      <c r="V163" s="5" t="s">
        <v>2865</v>
      </c>
      <c r="W163" s="3">
        <v>29587</v>
      </c>
      <c r="X163" s="3">
        <v>43705</v>
      </c>
      <c r="Y163" s="11" t="s">
        <v>3510</v>
      </c>
      <c r="Z163" s="2">
        <v>43864</v>
      </c>
      <c r="AA163" s="78" t="s">
        <v>1339</v>
      </c>
      <c r="AB163" s="1"/>
      <c r="AC163" s="115">
        <v>43784</v>
      </c>
    </row>
    <row r="164" spans="1:37">
      <c r="A164" s="1">
        <v>164</v>
      </c>
      <c r="B164" t="s">
        <v>33</v>
      </c>
      <c r="C164" s="2">
        <v>43705</v>
      </c>
      <c r="D164" t="s">
        <v>2669</v>
      </c>
      <c r="E164" s="14" t="s">
        <v>2670</v>
      </c>
      <c r="F164" t="s">
        <v>2871</v>
      </c>
      <c r="G164" s="6" t="s">
        <v>304</v>
      </c>
      <c r="H164" t="s">
        <v>68</v>
      </c>
      <c r="K164" t="s">
        <v>237</v>
      </c>
      <c r="L164" s="3">
        <v>43708</v>
      </c>
      <c r="M164" t="s">
        <v>35</v>
      </c>
      <c r="N164" s="14" t="s">
        <v>2872</v>
      </c>
      <c r="O164" s="9">
        <v>60</v>
      </c>
      <c r="P164" s="1">
        <v>1</v>
      </c>
      <c r="Q164" s="58">
        <v>0.21</v>
      </c>
      <c r="R164" s="7">
        <v>0</v>
      </c>
      <c r="S164" t="s">
        <v>36</v>
      </c>
      <c r="T164" s="213">
        <f t="shared" si="2"/>
        <v>72.599999999999994</v>
      </c>
      <c r="U164" t="s">
        <v>2873</v>
      </c>
      <c r="V164" s="5" t="s">
        <v>2874</v>
      </c>
      <c r="W164" s="3">
        <v>31521</v>
      </c>
      <c r="X164" s="3">
        <v>43705</v>
      </c>
      <c r="Y164" s="11" t="s">
        <v>3121</v>
      </c>
      <c r="Z164" s="2">
        <v>43761</v>
      </c>
      <c r="AA164" s="2"/>
      <c r="AB164" s="1"/>
      <c r="AC164" s="3"/>
      <c r="AD164" t="s">
        <v>1158</v>
      </c>
      <c r="AG164" t="s">
        <v>612</v>
      </c>
      <c r="AH164" s="3">
        <v>43705</v>
      </c>
      <c r="AK164" s="3">
        <v>43710</v>
      </c>
    </row>
    <row r="165" spans="1:37">
      <c r="A165" s="30">
        <v>165</v>
      </c>
      <c r="B165" t="s">
        <v>37</v>
      </c>
      <c r="C165" s="2">
        <v>43707</v>
      </c>
      <c r="D165" t="s">
        <v>1913</v>
      </c>
      <c r="E165" s="14" t="s">
        <v>2861</v>
      </c>
      <c r="F165" t="s">
        <v>2862</v>
      </c>
      <c r="G165" s="6" t="s">
        <v>221</v>
      </c>
      <c r="H165" t="s">
        <v>34</v>
      </c>
      <c r="I165">
        <v>698219802</v>
      </c>
      <c r="K165" t="s">
        <v>1913</v>
      </c>
      <c r="L165" s="3">
        <v>43708</v>
      </c>
      <c r="M165" t="s">
        <v>35</v>
      </c>
      <c r="N165" s="14" t="s">
        <v>2863</v>
      </c>
      <c r="O165" s="9">
        <v>30</v>
      </c>
      <c r="P165" s="1">
        <v>1</v>
      </c>
      <c r="Q165" s="58">
        <v>0.21</v>
      </c>
      <c r="R165" s="7">
        <v>0</v>
      </c>
      <c r="S165" t="s">
        <v>36</v>
      </c>
      <c r="T165" s="95">
        <f t="shared" si="2"/>
        <v>36.299999999999997</v>
      </c>
      <c r="U165" t="s">
        <v>1913</v>
      </c>
      <c r="W165" s="3">
        <v>32567</v>
      </c>
      <c r="X165" s="2">
        <v>43707</v>
      </c>
      <c r="Y165" s="11" t="s">
        <v>3022</v>
      </c>
      <c r="Z165" s="2">
        <v>43742</v>
      </c>
      <c r="AA165" s="2"/>
      <c r="AD165" t="s">
        <v>1158</v>
      </c>
    </row>
    <row r="166" spans="1:37">
      <c r="A166" s="1">
        <v>166</v>
      </c>
      <c r="B166" t="s">
        <v>37</v>
      </c>
      <c r="C166" s="2">
        <v>43711</v>
      </c>
      <c r="D166" t="s">
        <v>2908</v>
      </c>
      <c r="E166" s="14" t="s">
        <v>2909</v>
      </c>
      <c r="F166" t="s">
        <v>2910</v>
      </c>
      <c r="G166" s="6" t="s">
        <v>221</v>
      </c>
      <c r="H166" t="s">
        <v>34</v>
      </c>
      <c r="I166" t="s">
        <v>2938</v>
      </c>
      <c r="K166" t="s">
        <v>2908</v>
      </c>
      <c r="L166" s="3">
        <v>43738</v>
      </c>
      <c r="M166" t="s">
        <v>35</v>
      </c>
      <c r="N166" s="14" t="s">
        <v>2911</v>
      </c>
      <c r="O166" s="9">
        <v>0</v>
      </c>
      <c r="P166" s="1">
        <v>1</v>
      </c>
      <c r="Q166" s="58">
        <v>0.21</v>
      </c>
      <c r="R166" s="7">
        <v>0</v>
      </c>
      <c r="S166" t="s">
        <v>36</v>
      </c>
      <c r="T166" s="95">
        <f t="shared" si="2"/>
        <v>0</v>
      </c>
      <c r="U166" t="s">
        <v>2908</v>
      </c>
      <c r="V166" s="5" t="s">
        <v>2912</v>
      </c>
      <c r="W166" s="3">
        <v>32429</v>
      </c>
      <c r="X166" s="2">
        <v>43657</v>
      </c>
      <c r="Y166" s="11" t="s">
        <v>3052</v>
      </c>
      <c r="AD166" t="s">
        <v>1158</v>
      </c>
    </row>
    <row r="167" spans="1:37">
      <c r="A167" s="1">
        <v>167</v>
      </c>
      <c r="B167" t="s">
        <v>37</v>
      </c>
      <c r="C167" s="2">
        <v>43720</v>
      </c>
      <c r="D167" t="s">
        <v>1548</v>
      </c>
      <c r="E167" s="14" t="s">
        <v>1549</v>
      </c>
      <c r="F167" t="s">
        <v>2918</v>
      </c>
      <c r="G167" s="6" t="s">
        <v>270</v>
      </c>
      <c r="H167" t="s">
        <v>49</v>
      </c>
      <c r="I167">
        <v>643258500</v>
      </c>
      <c r="K167" t="s">
        <v>1548</v>
      </c>
      <c r="L167" s="3">
        <v>43738</v>
      </c>
      <c r="M167" t="s">
        <v>35</v>
      </c>
      <c r="N167" s="14" t="s">
        <v>2919</v>
      </c>
      <c r="O167" s="9">
        <v>30</v>
      </c>
      <c r="P167" s="1">
        <v>1</v>
      </c>
      <c r="Q167" s="58">
        <v>0.21</v>
      </c>
      <c r="R167" s="7">
        <v>0</v>
      </c>
      <c r="S167" t="s">
        <v>36</v>
      </c>
      <c r="T167" s="95">
        <f t="shared" si="2"/>
        <v>36.299999999999997</v>
      </c>
      <c r="U167" t="s">
        <v>1548</v>
      </c>
      <c r="W167" s="3">
        <v>29916</v>
      </c>
      <c r="X167" s="2">
        <v>43720</v>
      </c>
      <c r="Y167" s="11" t="s">
        <v>3055</v>
      </c>
      <c r="Z167" s="2">
        <v>43759</v>
      </c>
      <c r="AA167" s="2"/>
      <c r="AD167" t="s">
        <v>1158</v>
      </c>
    </row>
    <row r="168" spans="1:37">
      <c r="A168" s="1">
        <v>168</v>
      </c>
      <c r="B168" t="s">
        <v>111</v>
      </c>
      <c r="C168" s="2">
        <v>43720</v>
      </c>
      <c r="D168" t="s">
        <v>2920</v>
      </c>
      <c r="E168" s="14" t="s">
        <v>2921</v>
      </c>
      <c r="F168" t="s">
        <v>2922</v>
      </c>
      <c r="G168" s="6" t="s">
        <v>220</v>
      </c>
      <c r="H168" t="s">
        <v>39</v>
      </c>
      <c r="I168">
        <v>686382523</v>
      </c>
      <c r="K168" t="s">
        <v>2920</v>
      </c>
      <c r="L168" s="3">
        <v>43738</v>
      </c>
      <c r="M168" t="s">
        <v>35</v>
      </c>
      <c r="N168" s="14" t="s">
        <v>2923</v>
      </c>
      <c r="O168" s="9">
        <v>60</v>
      </c>
      <c r="P168" s="1">
        <v>1</v>
      </c>
      <c r="Q168" s="58">
        <v>0.21</v>
      </c>
      <c r="R168" s="7">
        <v>0</v>
      </c>
      <c r="S168" t="s">
        <v>36</v>
      </c>
      <c r="T168" s="95">
        <f t="shared" si="2"/>
        <v>72.599999999999994</v>
      </c>
      <c r="U168" t="s">
        <v>2924</v>
      </c>
      <c r="V168" s="5" t="s">
        <v>2925</v>
      </c>
      <c r="W168" s="3">
        <v>35201</v>
      </c>
      <c r="X168" s="2">
        <v>43720</v>
      </c>
      <c r="Y168" s="11" t="s">
        <v>3132</v>
      </c>
      <c r="Z168" s="2">
        <v>43769</v>
      </c>
      <c r="AA168" s="2"/>
      <c r="AD168" t="s">
        <v>1158</v>
      </c>
    </row>
    <row r="169" spans="1:37">
      <c r="A169" s="1">
        <v>169</v>
      </c>
      <c r="B169" t="s">
        <v>1242</v>
      </c>
      <c r="C169" s="2">
        <v>43720</v>
      </c>
      <c r="D169" t="s">
        <v>2926</v>
      </c>
      <c r="E169" s="14" t="s">
        <v>2927</v>
      </c>
      <c r="F169" t="s">
        <v>2928</v>
      </c>
      <c r="G169" s="6" t="s">
        <v>221</v>
      </c>
      <c r="H169" t="s">
        <v>34</v>
      </c>
      <c r="K169" s="31" t="s">
        <v>1250</v>
      </c>
      <c r="L169" s="3">
        <v>43738</v>
      </c>
      <c r="M169" t="s">
        <v>35</v>
      </c>
      <c r="N169" s="14" t="s">
        <v>2929</v>
      </c>
      <c r="O169" s="9">
        <v>30</v>
      </c>
      <c r="P169" s="1">
        <v>1</v>
      </c>
      <c r="Q169" s="58">
        <v>0.21</v>
      </c>
      <c r="R169" s="7">
        <v>0</v>
      </c>
      <c r="S169" t="s">
        <v>36</v>
      </c>
      <c r="T169" s="95">
        <f t="shared" si="2"/>
        <v>36.299999999999997</v>
      </c>
      <c r="U169" t="s">
        <v>2926</v>
      </c>
      <c r="V169" s="5" t="s">
        <v>3473</v>
      </c>
      <c r="W169" s="3">
        <v>37483</v>
      </c>
      <c r="X169" s="2">
        <v>43720</v>
      </c>
      <c r="Y169" s="13" t="s">
        <v>3344</v>
      </c>
      <c r="Z169" s="2">
        <v>43777</v>
      </c>
      <c r="AD169" t="s">
        <v>1158</v>
      </c>
    </row>
    <row r="170" spans="1:37">
      <c r="A170" s="1">
        <v>170</v>
      </c>
      <c r="B170" t="s">
        <v>37</v>
      </c>
      <c r="C170" s="2">
        <v>43726</v>
      </c>
      <c r="D170" t="s">
        <v>2940</v>
      </c>
      <c r="E170" s="14" t="s">
        <v>2941</v>
      </c>
      <c r="F170" t="s">
        <v>1256</v>
      </c>
      <c r="G170" s="6" t="s">
        <v>245</v>
      </c>
      <c r="H170" t="s">
        <v>54</v>
      </c>
      <c r="I170">
        <v>631785705</v>
      </c>
      <c r="K170" t="s">
        <v>2940</v>
      </c>
      <c r="L170" s="3">
        <v>43738</v>
      </c>
      <c r="M170" t="s">
        <v>35</v>
      </c>
      <c r="N170" s="14" t="s">
        <v>2942</v>
      </c>
      <c r="O170" s="9">
        <v>30</v>
      </c>
      <c r="P170" s="1">
        <v>1</v>
      </c>
      <c r="Q170" s="58">
        <v>0.21</v>
      </c>
      <c r="R170" s="7">
        <v>0</v>
      </c>
      <c r="S170" t="s">
        <v>36</v>
      </c>
      <c r="T170" s="95">
        <f t="shared" si="2"/>
        <v>36.299999999999997</v>
      </c>
      <c r="U170" t="s">
        <v>2940</v>
      </c>
      <c r="W170" s="3">
        <v>26250</v>
      </c>
      <c r="X170" s="2">
        <v>43726</v>
      </c>
      <c r="Y170" s="11" t="s">
        <v>3186</v>
      </c>
      <c r="Z170" s="2">
        <v>43780</v>
      </c>
      <c r="AA170" s="2"/>
      <c r="AB170" t="s">
        <v>2943</v>
      </c>
      <c r="AD170" t="s">
        <v>1158</v>
      </c>
    </row>
    <row r="171" spans="1:37">
      <c r="A171" s="1">
        <v>171</v>
      </c>
      <c r="B171" t="s">
        <v>37</v>
      </c>
      <c r="C171" s="2">
        <v>43727</v>
      </c>
      <c r="D171" t="s">
        <v>2944</v>
      </c>
      <c r="E171" s="14" t="s">
        <v>2945</v>
      </c>
      <c r="F171" t="s">
        <v>2946</v>
      </c>
      <c r="G171" s="6" t="s">
        <v>245</v>
      </c>
      <c r="H171" t="s">
        <v>54</v>
      </c>
      <c r="K171" t="s">
        <v>2944</v>
      </c>
      <c r="L171" s="3">
        <v>43738</v>
      </c>
      <c r="M171" t="s">
        <v>35</v>
      </c>
      <c r="N171" s="14" t="s">
        <v>2947</v>
      </c>
      <c r="O171" s="9">
        <v>30</v>
      </c>
      <c r="P171" s="1">
        <v>1</v>
      </c>
      <c r="Q171" s="58">
        <v>0.21</v>
      </c>
      <c r="R171" s="7">
        <v>0</v>
      </c>
      <c r="S171" t="s">
        <v>36</v>
      </c>
      <c r="T171" s="95">
        <f t="shared" si="2"/>
        <v>36.299999999999997</v>
      </c>
      <c r="U171" t="s">
        <v>2944</v>
      </c>
      <c r="W171" s="3">
        <v>25990</v>
      </c>
      <c r="X171" s="2">
        <v>43727</v>
      </c>
      <c r="Y171" s="11" t="s">
        <v>3186</v>
      </c>
      <c r="Z171" s="2">
        <v>43780</v>
      </c>
      <c r="AA171" s="2"/>
      <c r="AB171" t="s">
        <v>2943</v>
      </c>
      <c r="AD171" t="s">
        <v>1158</v>
      </c>
    </row>
    <row r="172" spans="1:37">
      <c r="A172" s="1">
        <v>172</v>
      </c>
      <c r="B172" t="s">
        <v>37</v>
      </c>
      <c r="C172" s="2">
        <v>43731</v>
      </c>
      <c r="D172" t="s">
        <v>1836</v>
      </c>
      <c r="E172" s="14" t="s">
        <v>2949</v>
      </c>
      <c r="F172" t="s">
        <v>2950</v>
      </c>
      <c r="G172" s="6" t="s">
        <v>245</v>
      </c>
      <c r="H172" t="s">
        <v>54</v>
      </c>
      <c r="I172">
        <v>612522887</v>
      </c>
      <c r="K172" t="s">
        <v>1836</v>
      </c>
      <c r="L172" s="3">
        <v>43738</v>
      </c>
      <c r="M172" t="s">
        <v>35</v>
      </c>
      <c r="N172" s="14" t="s">
        <v>2951</v>
      </c>
      <c r="O172" s="9">
        <v>30</v>
      </c>
      <c r="P172" s="1">
        <v>1</v>
      </c>
      <c r="Q172" s="58">
        <v>0.21</v>
      </c>
      <c r="R172" s="7">
        <v>0</v>
      </c>
      <c r="S172" t="s">
        <v>36</v>
      </c>
      <c r="T172" s="95">
        <f t="shared" si="2"/>
        <v>36.299999999999997</v>
      </c>
      <c r="U172" t="s">
        <v>1836</v>
      </c>
      <c r="W172" s="3">
        <v>32184</v>
      </c>
      <c r="X172" s="2">
        <v>43731</v>
      </c>
      <c r="Y172" s="11" t="s">
        <v>3132</v>
      </c>
      <c r="Z172" s="2">
        <v>43769</v>
      </c>
      <c r="AA172" s="2"/>
      <c r="AD172" t="s">
        <v>1158</v>
      </c>
    </row>
    <row r="173" spans="1:37">
      <c r="A173" s="1">
        <v>173</v>
      </c>
      <c r="B173" t="s">
        <v>1414</v>
      </c>
      <c r="C173" s="2">
        <v>43732</v>
      </c>
      <c r="D173" t="s">
        <v>2781</v>
      </c>
      <c r="E173" s="14" t="s">
        <v>229</v>
      </c>
      <c r="F173" t="s">
        <v>2782</v>
      </c>
      <c r="G173" s="6" t="s">
        <v>230</v>
      </c>
      <c r="H173" t="s">
        <v>1262</v>
      </c>
      <c r="K173" t="s">
        <v>2781</v>
      </c>
      <c r="L173" s="3">
        <v>43738</v>
      </c>
      <c r="M173" t="s">
        <v>35</v>
      </c>
      <c r="N173" s="14" t="s">
        <v>2952</v>
      </c>
      <c r="O173" s="9">
        <v>60</v>
      </c>
      <c r="P173" s="1">
        <v>1</v>
      </c>
      <c r="Q173" s="58">
        <v>0.21</v>
      </c>
      <c r="R173" s="7">
        <v>0</v>
      </c>
      <c r="S173" t="s">
        <v>36</v>
      </c>
      <c r="T173" s="213">
        <f t="shared" si="2"/>
        <v>72.599999999999994</v>
      </c>
      <c r="U173" t="s">
        <v>2953</v>
      </c>
      <c r="V173" s="5" t="s">
        <v>2954</v>
      </c>
      <c r="W173" s="3">
        <v>34700</v>
      </c>
      <c r="X173" s="2">
        <v>43732</v>
      </c>
      <c r="Y173" s="11" t="s">
        <v>3185</v>
      </c>
      <c r="Z173" s="2">
        <v>43785</v>
      </c>
      <c r="AA173" s="79" t="s">
        <v>1339</v>
      </c>
      <c r="AB173" t="s">
        <v>3316</v>
      </c>
      <c r="AD173" t="s">
        <v>1158</v>
      </c>
      <c r="AG173" t="s">
        <v>87</v>
      </c>
      <c r="AH173" s="3">
        <v>43732</v>
      </c>
      <c r="AK173" s="3">
        <v>43734</v>
      </c>
    </row>
    <row r="174" spans="1:37">
      <c r="A174" s="1">
        <v>174</v>
      </c>
      <c r="B174" t="s">
        <v>1414</v>
      </c>
      <c r="C174" s="2">
        <v>43734</v>
      </c>
      <c r="D174" t="s">
        <v>2963</v>
      </c>
      <c r="E174" s="14" t="s">
        <v>2964</v>
      </c>
      <c r="F174" t="s">
        <v>2115</v>
      </c>
      <c r="G174" s="6" t="s">
        <v>230</v>
      </c>
      <c r="H174" t="s">
        <v>1262</v>
      </c>
      <c r="K174" t="s">
        <v>2963</v>
      </c>
      <c r="L174" s="3">
        <v>43738</v>
      </c>
      <c r="M174" t="s">
        <v>35</v>
      </c>
      <c r="N174" s="14" t="s">
        <v>2965</v>
      </c>
      <c r="O174" s="9">
        <v>60</v>
      </c>
      <c r="P174" s="1">
        <v>1</v>
      </c>
      <c r="Q174" s="58">
        <v>0.21</v>
      </c>
      <c r="R174" s="7">
        <v>0</v>
      </c>
      <c r="S174" t="s">
        <v>36</v>
      </c>
      <c r="T174" s="213">
        <f t="shared" si="2"/>
        <v>72.599999999999994</v>
      </c>
      <c r="U174" t="s">
        <v>2966</v>
      </c>
      <c r="V174" s="5" t="s">
        <v>2967</v>
      </c>
      <c r="W174" s="3">
        <v>35477</v>
      </c>
      <c r="X174" s="2">
        <v>43734</v>
      </c>
      <c r="Y174" s="11" t="s">
        <v>3022</v>
      </c>
      <c r="Z174" s="2">
        <v>43742</v>
      </c>
      <c r="AA174" s="2"/>
      <c r="AD174" t="s">
        <v>1158</v>
      </c>
      <c r="AG174" t="s">
        <v>2442</v>
      </c>
      <c r="AH174" s="3">
        <v>43734</v>
      </c>
      <c r="AK174" s="3">
        <v>43738</v>
      </c>
    </row>
    <row r="175" spans="1:37">
      <c r="A175" s="1">
        <v>175</v>
      </c>
      <c r="B175" t="s">
        <v>37</v>
      </c>
      <c r="C175" s="2">
        <v>43734</v>
      </c>
      <c r="D175" t="s">
        <v>2968</v>
      </c>
      <c r="E175" s="14" t="s">
        <v>2969</v>
      </c>
      <c r="F175" t="s">
        <v>2970</v>
      </c>
      <c r="G175" s="6" t="s">
        <v>219</v>
      </c>
      <c r="H175" t="s">
        <v>38</v>
      </c>
      <c r="I175">
        <v>632288537</v>
      </c>
      <c r="K175" t="s">
        <v>2968</v>
      </c>
      <c r="L175" s="3">
        <v>43738</v>
      </c>
      <c r="M175" t="s">
        <v>35</v>
      </c>
      <c r="N175" s="14" t="s">
        <v>2971</v>
      </c>
      <c r="O175" s="71">
        <v>57.85</v>
      </c>
      <c r="P175" s="72">
        <v>1</v>
      </c>
      <c r="Q175" s="73">
        <v>0.21</v>
      </c>
      <c r="R175" s="67">
        <v>0</v>
      </c>
      <c r="S175" s="14" t="s">
        <v>36</v>
      </c>
      <c r="T175" s="213">
        <f>(O175*P175)*Q175+O175*P175</f>
        <v>69.998500000000007</v>
      </c>
      <c r="U175" t="s">
        <v>2968</v>
      </c>
      <c r="V175" s="5" t="s">
        <v>2972</v>
      </c>
      <c r="W175" s="3">
        <v>32978</v>
      </c>
      <c r="X175" s="2">
        <v>43734</v>
      </c>
      <c r="Y175" s="11" t="s">
        <v>3567</v>
      </c>
      <c r="Z175" s="2">
        <v>43867</v>
      </c>
      <c r="AA175" s="78" t="s">
        <v>1339</v>
      </c>
      <c r="AC175" s="115">
        <v>43790</v>
      </c>
      <c r="AD175" t="s">
        <v>1158</v>
      </c>
      <c r="AG175" t="s">
        <v>2973</v>
      </c>
      <c r="AH175" s="3">
        <v>43734</v>
      </c>
      <c r="AK175" s="3">
        <v>43749</v>
      </c>
    </row>
    <row r="176" spans="1:37">
      <c r="A176" s="1">
        <v>176</v>
      </c>
      <c r="B176" t="s">
        <v>131</v>
      </c>
      <c r="C176" s="2">
        <v>43734</v>
      </c>
      <c r="D176" t="s">
        <v>2974</v>
      </c>
      <c r="E176" s="14" t="s">
        <v>2975</v>
      </c>
      <c r="F176" t="s">
        <v>2976</v>
      </c>
      <c r="G176" s="6" t="s">
        <v>293</v>
      </c>
      <c r="H176" t="s">
        <v>1380</v>
      </c>
      <c r="I176">
        <v>607635869</v>
      </c>
      <c r="K176" t="s">
        <v>2974</v>
      </c>
      <c r="L176" s="3">
        <v>43738</v>
      </c>
      <c r="M176" t="s">
        <v>35</v>
      </c>
      <c r="N176" s="14" t="s">
        <v>2977</v>
      </c>
      <c r="O176" s="9">
        <v>60</v>
      </c>
      <c r="P176" s="1">
        <v>1</v>
      </c>
      <c r="Q176" s="58">
        <v>0.21</v>
      </c>
      <c r="R176" s="7">
        <v>0</v>
      </c>
      <c r="S176" t="s">
        <v>36</v>
      </c>
      <c r="T176" s="213">
        <f t="shared" si="2"/>
        <v>72.599999999999994</v>
      </c>
      <c r="U176" t="s">
        <v>2978</v>
      </c>
      <c r="V176" s="5" t="s">
        <v>2979</v>
      </c>
      <c r="W176" s="3">
        <v>37658</v>
      </c>
      <c r="X176" s="2">
        <v>43734</v>
      </c>
      <c r="Y176" s="11" t="s">
        <v>3021</v>
      </c>
      <c r="Z176" s="2">
        <v>43741</v>
      </c>
      <c r="AA176" s="78"/>
      <c r="AD176" t="s">
        <v>1158</v>
      </c>
      <c r="AG176" t="s">
        <v>2980</v>
      </c>
      <c r="AH176" s="3">
        <v>43734</v>
      </c>
      <c r="AK176" s="3">
        <v>43738</v>
      </c>
    </row>
    <row r="177" spans="1:37">
      <c r="A177" s="1">
        <v>177</v>
      </c>
      <c r="B177" t="s">
        <v>1511</v>
      </c>
      <c r="C177" s="2">
        <v>43734</v>
      </c>
      <c r="D177" t="s">
        <v>1512</v>
      </c>
      <c r="E177" t="s">
        <v>1513</v>
      </c>
      <c r="F177" t="s">
        <v>1514</v>
      </c>
      <c r="G177" s="6" t="s">
        <v>219</v>
      </c>
      <c r="H177" t="s">
        <v>38</v>
      </c>
      <c r="K177" t="s">
        <v>1512</v>
      </c>
      <c r="L177" s="3">
        <v>43738</v>
      </c>
      <c r="M177" t="s">
        <v>35</v>
      </c>
      <c r="N177" s="14" t="s">
        <v>1515</v>
      </c>
      <c r="O177" s="9">
        <v>0</v>
      </c>
      <c r="P177" s="1">
        <v>1</v>
      </c>
      <c r="Q177" s="58">
        <v>0.21</v>
      </c>
      <c r="R177" s="7">
        <v>0</v>
      </c>
      <c r="S177" t="s">
        <v>36</v>
      </c>
      <c r="T177" s="213">
        <f>(O177*P177)*Q177+O177*P177</f>
        <v>0</v>
      </c>
      <c r="U177" t="s">
        <v>1517</v>
      </c>
      <c r="V177" s="5" t="s">
        <v>2981</v>
      </c>
      <c r="W177" s="3">
        <v>36220</v>
      </c>
      <c r="X177" s="2">
        <v>43734</v>
      </c>
      <c r="Y177" s="11" t="s">
        <v>3212</v>
      </c>
      <c r="Z177" s="2">
        <v>43794</v>
      </c>
      <c r="AA177" s="78" t="s">
        <v>1339</v>
      </c>
      <c r="AB177" s="61"/>
      <c r="AC177" s="115">
        <v>43752</v>
      </c>
      <c r="AD177" t="s">
        <v>1158</v>
      </c>
      <c r="AH177" s="3"/>
    </row>
    <row r="178" spans="1:37">
      <c r="A178" s="1">
        <v>178</v>
      </c>
      <c r="B178" t="s">
        <v>82</v>
      </c>
      <c r="C178" s="2">
        <v>43734</v>
      </c>
      <c r="D178" t="s">
        <v>2982</v>
      </c>
      <c r="E178" s="14" t="s">
        <v>2983</v>
      </c>
      <c r="F178" t="s">
        <v>2984</v>
      </c>
      <c r="G178" s="6" t="s">
        <v>242</v>
      </c>
      <c r="H178" t="s">
        <v>1474</v>
      </c>
      <c r="K178" t="s">
        <v>2982</v>
      </c>
      <c r="L178" s="3">
        <v>43738</v>
      </c>
      <c r="M178" t="s">
        <v>35</v>
      </c>
      <c r="N178" s="14" t="s">
        <v>2985</v>
      </c>
      <c r="O178" s="9">
        <v>60</v>
      </c>
      <c r="P178" s="1">
        <v>1</v>
      </c>
      <c r="Q178" s="58">
        <v>0.21</v>
      </c>
      <c r="R178" s="7">
        <v>0</v>
      </c>
      <c r="S178" t="s">
        <v>36</v>
      </c>
      <c r="T178" s="213">
        <f t="shared" si="2"/>
        <v>72.599999999999994</v>
      </c>
      <c r="U178" t="s">
        <v>2986</v>
      </c>
      <c r="V178" s="5" t="s">
        <v>2987</v>
      </c>
      <c r="W178" s="3">
        <v>37051</v>
      </c>
      <c r="X178" s="2">
        <v>43734</v>
      </c>
      <c r="Y178" s="11" t="s">
        <v>3022</v>
      </c>
      <c r="Z178" s="2">
        <v>43742</v>
      </c>
      <c r="AA178" s="2"/>
      <c r="AB178" s="61"/>
      <c r="AD178" t="s">
        <v>1158</v>
      </c>
      <c r="AH178" s="3"/>
    </row>
    <row r="179" spans="1:37">
      <c r="A179" s="1">
        <v>179</v>
      </c>
      <c r="B179" t="s">
        <v>40</v>
      </c>
      <c r="C179" s="2">
        <v>43734</v>
      </c>
      <c r="D179" t="s">
        <v>2988</v>
      </c>
      <c r="E179" s="14" t="s">
        <v>2989</v>
      </c>
      <c r="F179" t="s">
        <v>2990</v>
      </c>
      <c r="G179" s="6" t="s">
        <v>221</v>
      </c>
      <c r="H179" t="s">
        <v>34</v>
      </c>
      <c r="K179" t="s">
        <v>2988</v>
      </c>
      <c r="L179" s="3">
        <v>43738</v>
      </c>
      <c r="M179" t="s">
        <v>35</v>
      </c>
      <c r="N179" s="14" t="s">
        <v>2991</v>
      </c>
      <c r="O179" s="9">
        <v>60</v>
      </c>
      <c r="P179" s="1">
        <v>1</v>
      </c>
      <c r="Q179" s="58">
        <v>0.21</v>
      </c>
      <c r="R179" s="7">
        <v>0</v>
      </c>
      <c r="S179" t="s">
        <v>36</v>
      </c>
      <c r="T179" s="213">
        <f t="shared" si="2"/>
        <v>72.599999999999994</v>
      </c>
      <c r="U179" t="s">
        <v>2992</v>
      </c>
      <c r="V179" s="5" t="s">
        <v>2993</v>
      </c>
      <c r="W179" s="3">
        <v>32112</v>
      </c>
      <c r="X179" s="2">
        <v>43734</v>
      </c>
      <c r="Y179" s="11" t="s">
        <v>3277</v>
      </c>
      <c r="Z179" s="2">
        <v>43798</v>
      </c>
      <c r="AA179" s="2"/>
      <c r="AB179" s="61"/>
      <c r="AD179" t="s">
        <v>1158</v>
      </c>
      <c r="AH179" s="3"/>
    </row>
    <row r="180" spans="1:37">
      <c r="A180" s="1">
        <v>180</v>
      </c>
      <c r="B180" t="s">
        <v>33</v>
      </c>
      <c r="C180" s="2">
        <v>43734</v>
      </c>
      <c r="D180" t="s">
        <v>2995</v>
      </c>
      <c r="E180" s="14" t="s">
        <v>2996</v>
      </c>
      <c r="F180" t="s">
        <v>2997</v>
      </c>
      <c r="G180" s="6" t="s">
        <v>219</v>
      </c>
      <c r="H180" t="s">
        <v>38</v>
      </c>
      <c r="K180" t="s">
        <v>237</v>
      </c>
      <c r="L180" s="3">
        <v>43738</v>
      </c>
      <c r="M180" t="s">
        <v>35</v>
      </c>
      <c r="N180" s="14" t="s">
        <v>2998</v>
      </c>
      <c r="O180" s="9">
        <v>60</v>
      </c>
      <c r="P180" s="1">
        <v>1</v>
      </c>
      <c r="Q180" s="58">
        <v>0.21</v>
      </c>
      <c r="R180" s="7">
        <v>0</v>
      </c>
      <c r="S180" t="s">
        <v>36</v>
      </c>
      <c r="T180" s="213">
        <f t="shared" si="2"/>
        <v>72.599999999999994</v>
      </c>
      <c r="U180" t="s">
        <v>2999</v>
      </c>
      <c r="V180" s="5" t="s">
        <v>3000</v>
      </c>
      <c r="W180" s="3">
        <v>35916</v>
      </c>
      <c r="X180" s="2">
        <v>43734</v>
      </c>
      <c r="Y180" s="11" t="s">
        <v>3124</v>
      </c>
      <c r="Z180" s="2">
        <v>43766</v>
      </c>
      <c r="AA180" s="2"/>
      <c r="AB180" s="61"/>
      <c r="AD180" t="s">
        <v>1158</v>
      </c>
      <c r="AG180" t="s">
        <v>3001</v>
      </c>
      <c r="AH180" s="3">
        <v>43734</v>
      </c>
    </row>
    <row r="181" spans="1:37">
      <c r="A181" s="1">
        <v>181</v>
      </c>
      <c r="B181" t="s">
        <v>33</v>
      </c>
      <c r="C181" s="2">
        <v>43734</v>
      </c>
      <c r="D181" t="s">
        <v>3002</v>
      </c>
      <c r="E181" s="14" t="s">
        <v>3003</v>
      </c>
      <c r="F181" t="s">
        <v>3004</v>
      </c>
      <c r="G181" s="6" t="s">
        <v>219</v>
      </c>
      <c r="H181" t="s">
        <v>38</v>
      </c>
      <c r="K181" t="s">
        <v>237</v>
      </c>
      <c r="L181" s="3">
        <v>43738</v>
      </c>
      <c r="M181" t="s">
        <v>35</v>
      </c>
      <c r="N181" s="14" t="s">
        <v>3005</v>
      </c>
      <c r="O181" s="9">
        <v>60</v>
      </c>
      <c r="P181" s="1">
        <v>1</v>
      </c>
      <c r="Q181" s="58">
        <v>0.21</v>
      </c>
      <c r="R181" s="7">
        <v>0</v>
      </c>
      <c r="S181" t="s">
        <v>36</v>
      </c>
      <c r="T181" s="213">
        <f t="shared" si="2"/>
        <v>72.599999999999994</v>
      </c>
      <c r="U181" t="s">
        <v>3006</v>
      </c>
      <c r="V181" s="5" t="s">
        <v>3007</v>
      </c>
      <c r="W181" s="3">
        <v>31929</v>
      </c>
      <c r="X181" s="2">
        <v>43734</v>
      </c>
      <c r="Y181" s="11" t="s">
        <v>3511</v>
      </c>
      <c r="Z181" s="2">
        <v>43833</v>
      </c>
      <c r="AA181" s="78" t="s">
        <v>1339</v>
      </c>
      <c r="AB181" s="61"/>
      <c r="AC181" s="115">
        <v>43784</v>
      </c>
      <c r="AD181" t="s">
        <v>1158</v>
      </c>
      <c r="AG181" t="s">
        <v>3008</v>
      </c>
      <c r="AH181" s="3">
        <v>43734</v>
      </c>
      <c r="AK181" s="3">
        <v>43749</v>
      </c>
    </row>
    <row r="182" spans="1:37">
      <c r="A182" s="1">
        <v>182</v>
      </c>
      <c r="B182" t="s">
        <v>52</v>
      </c>
      <c r="C182" s="2">
        <v>43734</v>
      </c>
      <c r="D182" t="s">
        <v>919</v>
      </c>
      <c r="E182" s="14" t="s">
        <v>139</v>
      </c>
      <c r="F182" t="s">
        <v>2866</v>
      </c>
      <c r="G182" s="6" t="s">
        <v>221</v>
      </c>
      <c r="H182" t="s">
        <v>34</v>
      </c>
      <c r="K182" s="31" t="s">
        <v>53</v>
      </c>
      <c r="L182" s="3">
        <v>43738</v>
      </c>
      <c r="M182" t="s">
        <v>35</v>
      </c>
      <c r="N182" s="14" t="s">
        <v>3009</v>
      </c>
      <c r="O182" s="9">
        <v>60</v>
      </c>
      <c r="P182" s="1">
        <v>1</v>
      </c>
      <c r="Q182" s="58">
        <v>0.21</v>
      </c>
      <c r="R182" s="7">
        <v>0</v>
      </c>
      <c r="S182" t="s">
        <v>36</v>
      </c>
      <c r="T182" s="95">
        <f t="shared" si="2"/>
        <v>72.599999999999994</v>
      </c>
      <c r="U182" t="s">
        <v>3010</v>
      </c>
      <c r="V182" s="5" t="s">
        <v>3011</v>
      </c>
      <c r="W182" s="3">
        <v>31896</v>
      </c>
      <c r="X182" s="2">
        <v>43734</v>
      </c>
      <c r="Y182" s="11" t="s">
        <v>3209</v>
      </c>
      <c r="Z182" s="2">
        <v>43783</v>
      </c>
      <c r="AA182" s="2"/>
      <c r="AD182" t="s">
        <v>1158</v>
      </c>
      <c r="AG182" t="s">
        <v>3012</v>
      </c>
      <c r="AH182" s="3">
        <v>43734</v>
      </c>
      <c r="AK182" s="3">
        <v>43745</v>
      </c>
    </row>
    <row r="183" spans="1:37">
      <c r="A183" s="1">
        <v>183</v>
      </c>
      <c r="B183" t="s">
        <v>1414</v>
      </c>
      <c r="C183" s="2">
        <v>43735</v>
      </c>
      <c r="D183" t="s">
        <v>3013</v>
      </c>
      <c r="E183" s="14" t="s">
        <v>3014</v>
      </c>
      <c r="F183" t="s">
        <v>3015</v>
      </c>
      <c r="G183" s="6" t="s">
        <v>3016</v>
      </c>
      <c r="H183" t="s">
        <v>3017</v>
      </c>
      <c r="I183">
        <v>644683038</v>
      </c>
      <c r="K183" t="s">
        <v>3013</v>
      </c>
      <c r="L183" s="3">
        <v>43738</v>
      </c>
      <c r="M183" t="s">
        <v>35</v>
      </c>
      <c r="N183" s="14" t="s">
        <v>3018</v>
      </c>
      <c r="O183" s="9">
        <v>30</v>
      </c>
      <c r="P183" s="1">
        <v>1</v>
      </c>
      <c r="Q183" s="58">
        <v>0.21</v>
      </c>
      <c r="R183" s="7">
        <v>0</v>
      </c>
      <c r="S183" t="s">
        <v>36</v>
      </c>
      <c r="T183" s="95">
        <f t="shared" si="2"/>
        <v>36.299999999999997</v>
      </c>
      <c r="U183" t="s">
        <v>3013</v>
      </c>
      <c r="W183" s="3">
        <v>22402</v>
      </c>
      <c r="X183" s="2">
        <v>43735</v>
      </c>
      <c r="Y183" s="11" t="s">
        <v>3303</v>
      </c>
      <c r="Z183" s="2">
        <v>43809</v>
      </c>
      <c r="AA183" s="2"/>
      <c r="AD183" t="s">
        <v>1158</v>
      </c>
      <c r="AG183" t="s">
        <v>3273</v>
      </c>
      <c r="AH183" s="3">
        <v>43791</v>
      </c>
      <c r="AK183" s="3"/>
    </row>
    <row r="184" spans="1:37">
      <c r="A184" s="1">
        <v>184</v>
      </c>
      <c r="B184" t="s">
        <v>59</v>
      </c>
      <c r="C184" s="2">
        <v>43738</v>
      </c>
      <c r="D184" t="s">
        <v>2958</v>
      </c>
      <c r="E184" s="14" t="s">
        <v>2959</v>
      </c>
      <c r="F184" t="s">
        <v>2960</v>
      </c>
      <c r="G184" s="6" t="s">
        <v>294</v>
      </c>
      <c r="H184" t="s">
        <v>103</v>
      </c>
      <c r="I184">
        <v>649920319</v>
      </c>
      <c r="K184" t="s">
        <v>2958</v>
      </c>
      <c r="L184" s="3">
        <v>43738</v>
      </c>
      <c r="M184" t="s">
        <v>35</v>
      </c>
      <c r="N184" s="14" t="s">
        <v>2961</v>
      </c>
      <c r="O184" s="9">
        <v>30</v>
      </c>
      <c r="P184" s="1">
        <v>1</v>
      </c>
      <c r="Q184" s="58">
        <v>0.21</v>
      </c>
      <c r="R184" s="7">
        <v>0</v>
      </c>
      <c r="S184" t="s">
        <v>36</v>
      </c>
      <c r="T184" s="95">
        <f t="shared" si="2"/>
        <v>36.299999999999997</v>
      </c>
      <c r="U184" t="s">
        <v>2962</v>
      </c>
      <c r="W184" s="3">
        <v>30081</v>
      </c>
      <c r="X184" s="2">
        <v>43738</v>
      </c>
      <c r="Y184" s="11" t="s">
        <v>3318</v>
      </c>
      <c r="AA184" s="77" t="s">
        <v>3319</v>
      </c>
      <c r="AD184" t="s">
        <v>1158</v>
      </c>
    </row>
    <row r="185" spans="1:37">
      <c r="A185" s="1">
        <v>185</v>
      </c>
      <c r="B185" t="s">
        <v>37</v>
      </c>
      <c r="C185" s="2">
        <v>43738</v>
      </c>
      <c r="D185" t="s">
        <v>1944</v>
      </c>
      <c r="E185" s="14" t="s">
        <v>1945</v>
      </c>
      <c r="F185" t="s">
        <v>1946</v>
      </c>
      <c r="G185" s="6" t="s">
        <v>219</v>
      </c>
      <c r="H185" t="s">
        <v>38</v>
      </c>
      <c r="I185">
        <v>632886664</v>
      </c>
      <c r="K185" t="s">
        <v>1944</v>
      </c>
      <c r="L185" s="3">
        <v>43738</v>
      </c>
      <c r="M185" t="s">
        <v>35</v>
      </c>
      <c r="N185" s="14" t="s">
        <v>2994</v>
      </c>
      <c r="O185" s="9">
        <v>30</v>
      </c>
      <c r="P185" s="1">
        <v>1</v>
      </c>
      <c r="Q185" s="58">
        <v>0.21</v>
      </c>
      <c r="R185" s="7">
        <v>0</v>
      </c>
      <c r="S185" t="s">
        <v>36</v>
      </c>
      <c r="T185" s="95">
        <f t="shared" si="2"/>
        <v>36.299999999999997</v>
      </c>
      <c r="U185" t="s">
        <v>1944</v>
      </c>
      <c r="W185" s="3">
        <v>29587</v>
      </c>
      <c r="X185" s="2">
        <v>43738</v>
      </c>
      <c r="Y185" s="11" t="s">
        <v>3185</v>
      </c>
      <c r="Z185" s="2">
        <v>43778</v>
      </c>
      <c r="AA185" s="2"/>
      <c r="AD185" t="s">
        <v>1158</v>
      </c>
    </row>
    <row r="186" spans="1:37">
      <c r="A186" s="1">
        <v>186</v>
      </c>
      <c r="B186" t="s">
        <v>37</v>
      </c>
      <c r="C186" s="2">
        <v>43740</v>
      </c>
      <c r="D186" t="s">
        <v>158</v>
      </c>
      <c r="E186" s="14" t="s">
        <v>159</v>
      </c>
      <c r="F186" t="s">
        <v>3019</v>
      </c>
      <c r="G186" s="6" t="s">
        <v>245</v>
      </c>
      <c r="H186" t="s">
        <v>54</v>
      </c>
      <c r="I186">
        <v>643136917</v>
      </c>
      <c r="K186" t="s">
        <v>158</v>
      </c>
      <c r="L186" s="3">
        <v>43769</v>
      </c>
      <c r="M186" t="s">
        <v>35</v>
      </c>
      <c r="N186" s="14" t="s">
        <v>3020</v>
      </c>
      <c r="O186" s="9">
        <v>30</v>
      </c>
      <c r="P186" s="1">
        <v>1</v>
      </c>
      <c r="Q186" s="58">
        <v>0.21</v>
      </c>
      <c r="R186" s="7">
        <v>0</v>
      </c>
      <c r="S186" t="s">
        <v>36</v>
      </c>
      <c r="T186" s="95">
        <f t="shared" si="2"/>
        <v>36.299999999999997</v>
      </c>
      <c r="U186" t="s">
        <v>158</v>
      </c>
      <c r="W186" s="3">
        <v>31122</v>
      </c>
      <c r="X186" s="2">
        <v>43740</v>
      </c>
      <c r="Y186" s="11" t="s">
        <v>3200</v>
      </c>
      <c r="Z186" s="2">
        <v>43783</v>
      </c>
      <c r="AA186" s="2"/>
      <c r="AB186" t="s">
        <v>2943</v>
      </c>
      <c r="AD186" t="s">
        <v>1158</v>
      </c>
    </row>
    <row r="187" spans="1:37">
      <c r="A187" s="1">
        <v>187</v>
      </c>
      <c r="B187" t="s">
        <v>37</v>
      </c>
      <c r="C187" s="2">
        <v>43745</v>
      </c>
      <c r="D187" t="s">
        <v>3023</v>
      </c>
      <c r="E187" s="14" t="s">
        <v>3024</v>
      </c>
      <c r="F187" t="s">
        <v>3275</v>
      </c>
      <c r="G187" s="6" t="s">
        <v>238</v>
      </c>
      <c r="H187" t="s">
        <v>48</v>
      </c>
      <c r="I187">
        <v>692349430</v>
      </c>
      <c r="K187" t="s">
        <v>3023</v>
      </c>
      <c r="L187" s="3">
        <v>43769</v>
      </c>
      <c r="M187" t="s">
        <v>35</v>
      </c>
      <c r="N187" s="14" t="s">
        <v>3025</v>
      </c>
      <c r="O187" s="9">
        <v>30</v>
      </c>
      <c r="P187" s="1">
        <v>1</v>
      </c>
      <c r="Q187" s="58">
        <v>0.21</v>
      </c>
      <c r="R187" s="7">
        <v>0</v>
      </c>
      <c r="S187" t="s">
        <v>36</v>
      </c>
      <c r="T187" s="95">
        <f t="shared" si="2"/>
        <v>36.299999999999997</v>
      </c>
      <c r="U187" t="s">
        <v>3023</v>
      </c>
      <c r="W187" s="3">
        <v>29974</v>
      </c>
      <c r="X187" s="2">
        <v>43745</v>
      </c>
      <c r="Y187" s="11" t="s">
        <v>3274</v>
      </c>
      <c r="Z187" s="2">
        <v>43797</v>
      </c>
      <c r="AD187" t="s">
        <v>1158</v>
      </c>
    </row>
    <row r="188" spans="1:37">
      <c r="A188" s="1">
        <v>188</v>
      </c>
      <c r="B188" t="s">
        <v>131</v>
      </c>
      <c r="C188" s="2">
        <v>43748</v>
      </c>
      <c r="D188" t="s">
        <v>246</v>
      </c>
      <c r="E188" t="s">
        <v>115</v>
      </c>
      <c r="F188" t="s">
        <v>1212</v>
      </c>
      <c r="G188" s="6" t="s">
        <v>242</v>
      </c>
      <c r="H188" t="s">
        <v>154</v>
      </c>
      <c r="K188" t="s">
        <v>1910</v>
      </c>
      <c r="L188" s="3">
        <v>43769</v>
      </c>
      <c r="M188" t="s">
        <v>35</v>
      </c>
      <c r="N188" s="14" t="s">
        <v>3027</v>
      </c>
      <c r="O188" s="9">
        <v>60</v>
      </c>
      <c r="P188" s="1">
        <v>1</v>
      </c>
      <c r="Q188" s="58">
        <v>0.21</v>
      </c>
      <c r="R188" s="7">
        <v>0</v>
      </c>
      <c r="S188" t="s">
        <v>36</v>
      </c>
      <c r="T188" s="213">
        <f t="shared" si="2"/>
        <v>72.599999999999994</v>
      </c>
      <c r="U188" t="s">
        <v>3028</v>
      </c>
      <c r="V188" s="5" t="s">
        <v>3029</v>
      </c>
      <c r="W188" s="3">
        <v>28099</v>
      </c>
      <c r="X188" s="2">
        <v>43748</v>
      </c>
      <c r="Y188" s="11" t="s">
        <v>3274</v>
      </c>
      <c r="Z188" s="2">
        <v>43795</v>
      </c>
      <c r="AA188" s="2"/>
      <c r="AB188" s="1"/>
      <c r="AD188" t="s">
        <v>1158</v>
      </c>
    </row>
    <row r="189" spans="1:37">
      <c r="A189" s="1">
        <v>189</v>
      </c>
      <c r="B189" t="s">
        <v>33</v>
      </c>
      <c r="C189" s="2">
        <v>43748</v>
      </c>
      <c r="D189" t="s">
        <v>3030</v>
      </c>
      <c r="E189" s="14" t="s">
        <v>3031</v>
      </c>
      <c r="F189" t="s">
        <v>3032</v>
      </c>
      <c r="G189" s="6" t="s">
        <v>304</v>
      </c>
      <c r="H189" t="s">
        <v>68</v>
      </c>
      <c r="K189" t="s">
        <v>237</v>
      </c>
      <c r="L189" s="3">
        <v>43769</v>
      </c>
      <c r="M189" t="s">
        <v>35</v>
      </c>
      <c r="N189" s="14" t="s">
        <v>3033</v>
      </c>
      <c r="O189" s="9">
        <v>60</v>
      </c>
      <c r="P189" s="1">
        <v>1</v>
      </c>
      <c r="Q189" s="58">
        <v>0.21</v>
      </c>
      <c r="R189" s="7">
        <v>0</v>
      </c>
      <c r="S189" t="s">
        <v>36</v>
      </c>
      <c r="T189" s="95">
        <f t="shared" si="2"/>
        <v>72.599999999999994</v>
      </c>
      <c r="U189" t="s">
        <v>3034</v>
      </c>
      <c r="V189" s="5" t="s">
        <v>3035</v>
      </c>
      <c r="W189" s="3">
        <v>30920</v>
      </c>
      <c r="X189" s="2">
        <v>43748</v>
      </c>
      <c r="Y189" s="11" t="s">
        <v>3274</v>
      </c>
      <c r="Z189" s="2">
        <v>43795</v>
      </c>
      <c r="AA189" s="2"/>
      <c r="AD189" t="s">
        <v>1158</v>
      </c>
      <c r="AG189" t="s">
        <v>1888</v>
      </c>
      <c r="AH189" s="3">
        <v>43748</v>
      </c>
      <c r="AK189" s="3">
        <v>43752</v>
      </c>
    </row>
    <row r="190" spans="1:37">
      <c r="A190" s="1">
        <v>190</v>
      </c>
      <c r="B190" t="s">
        <v>119</v>
      </c>
      <c r="C190" s="2">
        <v>43748</v>
      </c>
      <c r="D190" t="s">
        <v>3036</v>
      </c>
      <c r="E190" s="14" t="s">
        <v>3037</v>
      </c>
      <c r="F190" t="s">
        <v>3038</v>
      </c>
      <c r="G190" s="6" t="s">
        <v>250</v>
      </c>
      <c r="H190" t="s">
        <v>86</v>
      </c>
      <c r="K190" t="s">
        <v>174</v>
      </c>
      <c r="L190" s="3">
        <v>43769</v>
      </c>
      <c r="M190" t="s">
        <v>35</v>
      </c>
      <c r="N190" s="14" t="s">
        <v>3039</v>
      </c>
      <c r="O190" s="9">
        <v>60</v>
      </c>
      <c r="P190" s="1">
        <v>1</v>
      </c>
      <c r="Q190" s="58">
        <v>0.21</v>
      </c>
      <c r="R190" s="7">
        <v>0</v>
      </c>
      <c r="S190" t="s">
        <v>36</v>
      </c>
      <c r="T190" s="95">
        <f t="shared" si="2"/>
        <v>72.599999999999994</v>
      </c>
      <c r="U190" t="s">
        <v>3040</v>
      </c>
      <c r="V190" s="5" t="s">
        <v>3041</v>
      </c>
      <c r="W190" s="3">
        <v>35034</v>
      </c>
      <c r="X190" s="2">
        <v>43748</v>
      </c>
      <c r="Y190" s="11" t="s">
        <v>3274</v>
      </c>
      <c r="Z190" s="2">
        <v>43795</v>
      </c>
      <c r="AA190" s="2"/>
      <c r="AD190" t="s">
        <v>1158</v>
      </c>
      <c r="AG190" t="s">
        <v>3042</v>
      </c>
      <c r="AH190" s="3">
        <v>43748</v>
      </c>
      <c r="AK190" s="3">
        <v>43752</v>
      </c>
    </row>
    <row r="191" spans="1:37">
      <c r="A191" s="1">
        <v>191</v>
      </c>
      <c r="B191" t="s">
        <v>33</v>
      </c>
      <c r="C191" s="2">
        <v>43748</v>
      </c>
      <c r="D191" t="s">
        <v>3043</v>
      </c>
      <c r="E191" s="14" t="s">
        <v>3044</v>
      </c>
      <c r="F191" t="s">
        <v>3045</v>
      </c>
      <c r="G191" s="6" t="s">
        <v>304</v>
      </c>
      <c r="H191" t="s">
        <v>68</v>
      </c>
      <c r="K191" t="s">
        <v>237</v>
      </c>
      <c r="L191" s="3">
        <v>43769</v>
      </c>
      <c r="M191" t="s">
        <v>35</v>
      </c>
      <c r="N191" s="14" t="s">
        <v>3046</v>
      </c>
      <c r="O191" s="9">
        <v>60</v>
      </c>
      <c r="P191" s="1">
        <v>1</v>
      </c>
      <c r="Q191" s="58">
        <v>0.21</v>
      </c>
      <c r="R191" s="7">
        <v>0</v>
      </c>
      <c r="S191" t="s">
        <v>36</v>
      </c>
      <c r="T191" s="95">
        <f t="shared" si="2"/>
        <v>72.599999999999994</v>
      </c>
      <c r="U191" t="s">
        <v>3047</v>
      </c>
      <c r="V191" s="5" t="s">
        <v>3048</v>
      </c>
      <c r="W191" s="3">
        <v>35180</v>
      </c>
      <c r="X191" s="2">
        <v>43748</v>
      </c>
      <c r="Y191" s="11" t="s">
        <v>3125</v>
      </c>
      <c r="Z191" s="2">
        <v>43766</v>
      </c>
      <c r="AA191" s="2"/>
      <c r="AD191" t="s">
        <v>1158</v>
      </c>
      <c r="AG191" t="s">
        <v>3049</v>
      </c>
      <c r="AH191" s="3">
        <v>43748</v>
      </c>
      <c r="AK191" s="3">
        <v>43762</v>
      </c>
    </row>
    <row r="192" spans="1:37">
      <c r="A192" s="1">
        <v>192</v>
      </c>
      <c r="B192" t="s">
        <v>423</v>
      </c>
      <c r="C192" s="2">
        <v>43755</v>
      </c>
      <c r="D192" t="s">
        <v>424</v>
      </c>
      <c r="E192" t="s">
        <v>91</v>
      </c>
      <c r="F192" t="s">
        <v>2126</v>
      </c>
      <c r="G192" s="6" t="s">
        <v>219</v>
      </c>
      <c r="H192" t="s">
        <v>38</v>
      </c>
      <c r="K192" t="s">
        <v>424</v>
      </c>
      <c r="L192" s="3">
        <v>43769</v>
      </c>
      <c r="M192" t="s">
        <v>35</v>
      </c>
      <c r="N192" s="14" t="s">
        <v>3056</v>
      </c>
      <c r="O192" s="9">
        <v>60</v>
      </c>
      <c r="P192" s="1">
        <v>1</v>
      </c>
      <c r="Q192" s="58">
        <v>0.21</v>
      </c>
      <c r="R192" s="7">
        <v>0</v>
      </c>
      <c r="S192" t="s">
        <v>36</v>
      </c>
      <c r="T192" s="213">
        <f t="shared" si="2"/>
        <v>72.599999999999994</v>
      </c>
      <c r="U192" t="s">
        <v>3059</v>
      </c>
      <c r="W192" s="3">
        <v>26910</v>
      </c>
      <c r="X192" s="2">
        <v>43755</v>
      </c>
      <c r="Y192" s="11" t="s">
        <v>151</v>
      </c>
      <c r="Z192" s="64" t="s">
        <v>3070</v>
      </c>
      <c r="AA192" s="64"/>
      <c r="AB192" s="1"/>
      <c r="AH192" s="3"/>
      <c r="AI192" s="3"/>
      <c r="AK192" s="3"/>
    </row>
    <row r="193" spans="1:37">
      <c r="A193" s="1">
        <v>193</v>
      </c>
      <c r="B193" t="s">
        <v>423</v>
      </c>
      <c r="C193" s="2">
        <v>43755</v>
      </c>
      <c r="D193" t="s">
        <v>424</v>
      </c>
      <c r="E193" t="s">
        <v>91</v>
      </c>
      <c r="F193" t="s">
        <v>2126</v>
      </c>
      <c r="G193" s="6" t="s">
        <v>219</v>
      </c>
      <c r="H193" t="s">
        <v>38</v>
      </c>
      <c r="K193" t="s">
        <v>424</v>
      </c>
      <c r="L193" s="3">
        <v>43769</v>
      </c>
      <c r="M193" t="s">
        <v>35</v>
      </c>
      <c r="N193" s="14" t="s">
        <v>3057</v>
      </c>
      <c r="O193" s="9">
        <v>60</v>
      </c>
      <c r="P193" s="1">
        <v>1</v>
      </c>
      <c r="Q193" s="58">
        <v>0.21</v>
      </c>
      <c r="R193" s="7">
        <v>0</v>
      </c>
      <c r="S193" t="s">
        <v>36</v>
      </c>
      <c r="T193" s="213">
        <f t="shared" ref="T193:T237" si="3">(O193*P193)*Q193+O193*P193</f>
        <v>72.599999999999994</v>
      </c>
      <c r="U193" t="s">
        <v>3058</v>
      </c>
      <c r="W193" s="3">
        <v>25035</v>
      </c>
      <c r="X193" s="2">
        <v>43755</v>
      </c>
      <c r="Y193" s="11" t="s">
        <v>151</v>
      </c>
      <c r="Z193" s="64" t="s">
        <v>3070</v>
      </c>
      <c r="AA193" s="64"/>
      <c r="AB193" s="1"/>
      <c r="AH193" s="3"/>
      <c r="AK193" s="3"/>
    </row>
    <row r="194" spans="1:37">
      <c r="A194" s="1">
        <v>194</v>
      </c>
      <c r="B194" t="s">
        <v>438</v>
      </c>
      <c r="C194" s="2">
        <v>43755</v>
      </c>
      <c r="D194" t="s">
        <v>1812</v>
      </c>
      <c r="E194" t="s">
        <v>1813</v>
      </c>
      <c r="F194" t="s">
        <v>1994</v>
      </c>
      <c r="G194" s="6" t="s">
        <v>221</v>
      </c>
      <c r="H194" t="s">
        <v>34</v>
      </c>
      <c r="K194" t="s">
        <v>1812</v>
      </c>
      <c r="L194" s="3">
        <v>43769</v>
      </c>
      <c r="M194" t="s">
        <v>35</v>
      </c>
      <c r="N194" s="14" t="s">
        <v>1995</v>
      </c>
      <c r="O194" s="9">
        <v>60</v>
      </c>
      <c r="P194" s="1">
        <v>1</v>
      </c>
      <c r="Q194" s="58">
        <v>0.21</v>
      </c>
      <c r="R194" s="7">
        <v>0</v>
      </c>
      <c r="S194" t="s">
        <v>36</v>
      </c>
      <c r="T194" s="213">
        <f t="shared" si="3"/>
        <v>72.599999999999994</v>
      </c>
      <c r="U194" t="s">
        <v>1996</v>
      </c>
      <c r="V194" s="5" t="s">
        <v>3060</v>
      </c>
      <c r="W194" s="3">
        <v>27116</v>
      </c>
      <c r="X194" s="2">
        <v>43755</v>
      </c>
      <c r="Y194" s="11" t="s">
        <v>3197</v>
      </c>
      <c r="Z194" s="2">
        <v>43779</v>
      </c>
      <c r="AA194" s="2"/>
      <c r="AB194" s="1"/>
      <c r="AD194" t="s">
        <v>1158</v>
      </c>
      <c r="AF194" t="s">
        <v>3064</v>
      </c>
      <c r="AG194" t="s">
        <v>3061</v>
      </c>
      <c r="AH194" s="3">
        <v>43755</v>
      </c>
    </row>
    <row r="195" spans="1:37">
      <c r="A195" s="1">
        <v>195</v>
      </c>
      <c r="B195" t="s">
        <v>438</v>
      </c>
      <c r="C195" s="2">
        <v>43755</v>
      </c>
      <c r="D195" t="s">
        <v>1407</v>
      </c>
      <c r="E195" t="s">
        <v>1408</v>
      </c>
      <c r="F195" t="s">
        <v>1409</v>
      </c>
      <c r="G195" s="6" t="s">
        <v>227</v>
      </c>
      <c r="H195" t="s">
        <v>203</v>
      </c>
      <c r="K195" t="s">
        <v>1407</v>
      </c>
      <c r="L195" s="3">
        <v>43769</v>
      </c>
      <c r="M195" t="s">
        <v>35</v>
      </c>
      <c r="N195" s="14" t="s">
        <v>1410</v>
      </c>
      <c r="O195" s="7">
        <v>60</v>
      </c>
      <c r="P195" s="1">
        <v>1</v>
      </c>
      <c r="Q195" s="58">
        <v>0.21</v>
      </c>
      <c r="R195" s="7">
        <v>0</v>
      </c>
      <c r="S195" t="s">
        <v>36</v>
      </c>
      <c r="T195" s="213">
        <f t="shared" si="3"/>
        <v>72.599999999999994</v>
      </c>
      <c r="U195" t="s">
        <v>1411</v>
      </c>
      <c r="V195" s="5" t="s">
        <v>3062</v>
      </c>
      <c r="W195" s="3">
        <v>32980</v>
      </c>
      <c r="X195" s="3">
        <v>43755</v>
      </c>
      <c r="Y195" s="13" t="s">
        <v>3575</v>
      </c>
      <c r="Z195" s="2">
        <v>43872</v>
      </c>
      <c r="AA195" s="2"/>
      <c r="AB195" s="2" t="s">
        <v>3296</v>
      </c>
      <c r="AC195" s="117">
        <v>43798</v>
      </c>
      <c r="AD195" t="s">
        <v>3198</v>
      </c>
      <c r="AF195" t="s">
        <v>1414</v>
      </c>
      <c r="AG195" t="s">
        <v>87</v>
      </c>
      <c r="AH195" s="3">
        <v>43755</v>
      </c>
      <c r="AK195" s="3"/>
    </row>
    <row r="196" spans="1:37">
      <c r="A196" s="1">
        <v>196</v>
      </c>
      <c r="B196" t="s">
        <v>2000</v>
      </c>
      <c r="C196" s="2">
        <v>43755</v>
      </c>
      <c r="D196" t="s">
        <v>2001</v>
      </c>
      <c r="E196" t="s">
        <v>2002</v>
      </c>
      <c r="F196" t="s">
        <v>2003</v>
      </c>
      <c r="G196" s="6" t="s">
        <v>230</v>
      </c>
      <c r="H196" t="s">
        <v>1262</v>
      </c>
      <c r="K196" t="s">
        <v>2001</v>
      </c>
      <c r="L196" s="3">
        <v>43769</v>
      </c>
      <c r="M196" t="s">
        <v>35</v>
      </c>
      <c r="N196" s="14" t="s">
        <v>2004</v>
      </c>
      <c r="O196" s="9">
        <v>60</v>
      </c>
      <c r="P196" s="1">
        <v>1</v>
      </c>
      <c r="Q196" s="58">
        <v>0.21</v>
      </c>
      <c r="R196" s="7">
        <v>0</v>
      </c>
      <c r="S196" t="s">
        <v>36</v>
      </c>
      <c r="T196" s="213">
        <f t="shared" si="3"/>
        <v>72.599999999999994</v>
      </c>
      <c r="U196" t="s">
        <v>2005</v>
      </c>
      <c r="V196" s="5" t="s">
        <v>3063</v>
      </c>
      <c r="W196" s="3">
        <v>27760</v>
      </c>
      <c r="X196" s="3">
        <v>43755</v>
      </c>
      <c r="Y196" s="11" t="s">
        <v>3197</v>
      </c>
      <c r="Z196" s="2">
        <v>43779</v>
      </c>
      <c r="AA196" s="2"/>
      <c r="AB196" s="1"/>
      <c r="AC196" s="3"/>
      <c r="AD196" t="s">
        <v>1158</v>
      </c>
      <c r="AF196" t="s">
        <v>3064</v>
      </c>
      <c r="AH196" s="3"/>
    </row>
    <row r="197" spans="1:37">
      <c r="A197" s="1">
        <v>197</v>
      </c>
      <c r="B197" t="s">
        <v>37</v>
      </c>
      <c r="C197" s="2">
        <v>43755</v>
      </c>
      <c r="D197" t="s">
        <v>3065</v>
      </c>
      <c r="E197" t="s">
        <v>3066</v>
      </c>
      <c r="F197" t="s">
        <v>3067</v>
      </c>
      <c r="G197" s="6" t="s">
        <v>221</v>
      </c>
      <c r="H197" t="s">
        <v>34</v>
      </c>
      <c r="I197">
        <v>631894079</v>
      </c>
      <c r="K197" t="s">
        <v>3065</v>
      </c>
      <c r="L197" s="3">
        <v>43769</v>
      </c>
      <c r="M197" t="s">
        <v>35</v>
      </c>
      <c r="N197" s="14" t="s">
        <v>3068</v>
      </c>
      <c r="O197" s="71">
        <v>60</v>
      </c>
      <c r="P197" s="1">
        <v>1</v>
      </c>
      <c r="Q197" s="58">
        <v>0.21</v>
      </c>
      <c r="R197" s="7">
        <v>0</v>
      </c>
      <c r="S197" t="s">
        <v>36</v>
      </c>
      <c r="T197" s="213">
        <f>(O197*P197)*Q197+O197*P197</f>
        <v>72.599999999999994</v>
      </c>
      <c r="U197" t="s">
        <v>3065</v>
      </c>
      <c r="V197" s="5" t="s">
        <v>3069</v>
      </c>
      <c r="W197" s="3">
        <v>30240</v>
      </c>
      <c r="X197" s="2">
        <v>43755</v>
      </c>
      <c r="Y197" s="11" t="s">
        <v>3301</v>
      </c>
      <c r="Z197" s="2">
        <v>43809</v>
      </c>
      <c r="AA197" s="2"/>
      <c r="AD197" t="s">
        <v>1158</v>
      </c>
      <c r="AG197" t="s">
        <v>77</v>
      </c>
      <c r="AH197" s="3">
        <v>43755</v>
      </c>
      <c r="AK197" s="3">
        <v>43760</v>
      </c>
    </row>
    <row r="198" spans="1:37">
      <c r="A198" s="1">
        <v>198</v>
      </c>
      <c r="B198" t="s">
        <v>1414</v>
      </c>
      <c r="C198" s="2">
        <v>43755</v>
      </c>
      <c r="D198" t="s">
        <v>1079</v>
      </c>
      <c r="E198" t="s">
        <v>41</v>
      </c>
      <c r="F198" t="s">
        <v>2115</v>
      </c>
      <c r="G198" s="6" t="s">
        <v>230</v>
      </c>
      <c r="H198" t="s">
        <v>1262</v>
      </c>
      <c r="I198">
        <v>661982043</v>
      </c>
      <c r="K198" t="s">
        <v>1079</v>
      </c>
      <c r="L198" s="3">
        <v>43769</v>
      </c>
      <c r="M198" t="s">
        <v>35</v>
      </c>
      <c r="N198" s="14" t="s">
        <v>3073</v>
      </c>
      <c r="O198" s="9">
        <v>60</v>
      </c>
      <c r="P198" s="1">
        <v>1</v>
      </c>
      <c r="Q198" s="58">
        <v>0.21</v>
      </c>
      <c r="R198" s="7">
        <v>0</v>
      </c>
      <c r="S198" t="s">
        <v>36</v>
      </c>
      <c r="T198" s="213">
        <f t="shared" si="3"/>
        <v>72.599999999999994</v>
      </c>
      <c r="U198" t="s">
        <v>3071</v>
      </c>
      <c r="V198" s="5" t="s">
        <v>3072</v>
      </c>
      <c r="W198" s="3">
        <v>37356</v>
      </c>
      <c r="X198" s="2">
        <v>43755</v>
      </c>
      <c r="Y198" s="13" t="s">
        <v>3196</v>
      </c>
      <c r="Z198" s="2">
        <v>43779</v>
      </c>
      <c r="AA198" s="2"/>
      <c r="AC198" s="3">
        <v>43812</v>
      </c>
      <c r="AD198" t="s">
        <v>1158</v>
      </c>
      <c r="AF198" t="s">
        <v>1414</v>
      </c>
    </row>
    <row r="199" spans="1:37">
      <c r="A199" s="1">
        <v>199</v>
      </c>
      <c r="B199" t="s">
        <v>1414</v>
      </c>
      <c r="C199" s="2">
        <v>43755</v>
      </c>
      <c r="D199" t="s">
        <v>1079</v>
      </c>
      <c r="E199" t="s">
        <v>41</v>
      </c>
      <c r="F199" t="s">
        <v>2115</v>
      </c>
      <c r="G199" s="6" t="s">
        <v>230</v>
      </c>
      <c r="H199" t="s">
        <v>1262</v>
      </c>
      <c r="I199">
        <v>661982043</v>
      </c>
      <c r="K199" t="s">
        <v>1079</v>
      </c>
      <c r="L199" s="3">
        <v>43769</v>
      </c>
      <c r="M199" t="s">
        <v>35</v>
      </c>
      <c r="N199" s="14" t="s">
        <v>3074</v>
      </c>
      <c r="O199" s="9">
        <v>60</v>
      </c>
      <c r="P199" s="1">
        <v>1</v>
      </c>
      <c r="Q199" s="58">
        <v>0.21</v>
      </c>
      <c r="R199" s="7">
        <v>0</v>
      </c>
      <c r="S199" t="s">
        <v>36</v>
      </c>
      <c r="T199" s="95">
        <f t="shared" si="3"/>
        <v>72.599999999999994</v>
      </c>
      <c r="U199" t="s">
        <v>2117</v>
      </c>
      <c r="V199" s="5" t="s">
        <v>3075</v>
      </c>
      <c r="W199" s="3">
        <v>36758</v>
      </c>
      <c r="X199" s="2">
        <v>43755</v>
      </c>
      <c r="Y199" s="13" t="s">
        <v>3575</v>
      </c>
      <c r="Z199" s="2">
        <v>43872</v>
      </c>
      <c r="AA199" s="2"/>
      <c r="AB199" t="s">
        <v>3296</v>
      </c>
      <c r="AC199" s="117">
        <v>43798</v>
      </c>
      <c r="AD199" t="s">
        <v>3198</v>
      </c>
      <c r="AF199" t="s">
        <v>1414</v>
      </c>
    </row>
    <row r="200" spans="1:37">
      <c r="A200" s="1">
        <v>200</v>
      </c>
      <c r="B200" t="s">
        <v>438</v>
      </c>
      <c r="C200" s="2">
        <v>43755</v>
      </c>
      <c r="D200" t="s">
        <v>3076</v>
      </c>
      <c r="E200" t="s">
        <v>3077</v>
      </c>
      <c r="F200" t="s">
        <v>3078</v>
      </c>
      <c r="G200" s="6" t="s">
        <v>227</v>
      </c>
      <c r="H200" t="s">
        <v>203</v>
      </c>
      <c r="K200" t="s">
        <v>3076</v>
      </c>
      <c r="L200" s="3">
        <v>43769</v>
      </c>
      <c r="M200" t="s">
        <v>35</v>
      </c>
      <c r="N200" s="14" t="s">
        <v>3079</v>
      </c>
      <c r="O200" s="9">
        <v>60</v>
      </c>
      <c r="P200" s="1">
        <v>1</v>
      </c>
      <c r="Q200" s="58">
        <v>0.21</v>
      </c>
      <c r="R200" s="7">
        <v>0</v>
      </c>
      <c r="S200" t="s">
        <v>36</v>
      </c>
      <c r="T200" s="95">
        <f t="shared" si="3"/>
        <v>72.599999999999994</v>
      </c>
      <c r="U200" t="s">
        <v>3080</v>
      </c>
      <c r="V200" s="5" t="s">
        <v>3081</v>
      </c>
      <c r="W200" s="3">
        <v>34335</v>
      </c>
      <c r="X200" s="2">
        <v>43755</v>
      </c>
      <c r="Y200" s="11" t="s">
        <v>3351</v>
      </c>
      <c r="Z200" s="2">
        <v>43829</v>
      </c>
      <c r="AA200" s="78" t="s">
        <v>1339</v>
      </c>
      <c r="AC200" s="115">
        <v>43780</v>
      </c>
      <c r="AD200" t="s">
        <v>1158</v>
      </c>
      <c r="AF200" t="s">
        <v>1414</v>
      </c>
      <c r="AG200" t="s">
        <v>3082</v>
      </c>
      <c r="AH200" s="3">
        <v>43755</v>
      </c>
    </row>
    <row r="201" spans="1:37">
      <c r="A201" s="1">
        <v>201</v>
      </c>
      <c r="B201" t="s">
        <v>37</v>
      </c>
      <c r="C201" s="2">
        <v>43755</v>
      </c>
      <c r="D201" t="s">
        <v>1798</v>
      </c>
      <c r="E201" t="s">
        <v>3083</v>
      </c>
      <c r="F201" t="s">
        <v>3084</v>
      </c>
      <c r="G201" s="6" t="s">
        <v>1257</v>
      </c>
      <c r="H201" t="s">
        <v>1266</v>
      </c>
      <c r="K201" t="s">
        <v>1798</v>
      </c>
      <c r="L201" s="3">
        <v>43769</v>
      </c>
      <c r="M201" t="s">
        <v>35</v>
      </c>
      <c r="N201" s="14" t="s">
        <v>3085</v>
      </c>
      <c r="O201" s="9">
        <v>60</v>
      </c>
      <c r="P201" s="1">
        <v>1</v>
      </c>
      <c r="Q201" s="58">
        <v>0.21</v>
      </c>
      <c r="R201" s="7">
        <v>0</v>
      </c>
      <c r="S201" t="s">
        <v>36</v>
      </c>
      <c r="T201" s="95">
        <f t="shared" si="3"/>
        <v>72.599999999999994</v>
      </c>
      <c r="U201" t="s">
        <v>1798</v>
      </c>
      <c r="V201" s="5" t="s">
        <v>3086</v>
      </c>
      <c r="W201" s="3">
        <v>27347</v>
      </c>
      <c r="X201" s="2">
        <v>43755</v>
      </c>
      <c r="Y201" s="11" t="s">
        <v>3269</v>
      </c>
      <c r="Z201" s="2">
        <v>43791</v>
      </c>
      <c r="AA201" s="2"/>
      <c r="AD201" t="s">
        <v>1158</v>
      </c>
    </row>
    <row r="202" spans="1:37">
      <c r="A202" s="1">
        <v>202</v>
      </c>
      <c r="B202" t="s">
        <v>40</v>
      </c>
      <c r="C202" s="2">
        <v>43756</v>
      </c>
      <c r="D202" t="s">
        <v>3087</v>
      </c>
      <c r="E202" t="s">
        <v>3088</v>
      </c>
      <c r="F202" t="s">
        <v>783</v>
      </c>
      <c r="G202" s="6" t="s">
        <v>230</v>
      </c>
      <c r="H202" t="s">
        <v>1262</v>
      </c>
      <c r="K202" t="s">
        <v>3087</v>
      </c>
      <c r="L202" s="3">
        <v>43769</v>
      </c>
      <c r="M202" t="s">
        <v>35</v>
      </c>
      <c r="N202" s="14" t="s">
        <v>3089</v>
      </c>
      <c r="O202" s="9">
        <v>60</v>
      </c>
      <c r="P202" s="1">
        <v>1</v>
      </c>
      <c r="Q202" s="58">
        <v>0.21</v>
      </c>
      <c r="R202" s="7">
        <v>0</v>
      </c>
      <c r="S202" t="s">
        <v>36</v>
      </c>
      <c r="T202" s="95">
        <f t="shared" si="3"/>
        <v>72.599999999999994</v>
      </c>
      <c r="U202" t="s">
        <v>3090</v>
      </c>
      <c r="V202" s="5" t="s">
        <v>3091</v>
      </c>
      <c r="W202" s="3">
        <v>37101</v>
      </c>
      <c r="X202" s="2">
        <v>43756</v>
      </c>
      <c r="Y202" s="11" t="s">
        <v>3207</v>
      </c>
      <c r="Z202" s="2">
        <v>43782</v>
      </c>
      <c r="AA202" s="2"/>
      <c r="AD202" t="s">
        <v>1158</v>
      </c>
      <c r="AG202" t="s">
        <v>77</v>
      </c>
      <c r="AH202" s="3">
        <v>43756</v>
      </c>
    </row>
    <row r="203" spans="1:37">
      <c r="A203" s="1">
        <v>203</v>
      </c>
      <c r="B203" t="s">
        <v>59</v>
      </c>
      <c r="C203" s="2">
        <v>43756</v>
      </c>
      <c r="D203" t="s">
        <v>1073</v>
      </c>
      <c r="E203" t="s">
        <v>81</v>
      </c>
      <c r="F203" t="s">
        <v>3092</v>
      </c>
      <c r="G203" s="6" t="s">
        <v>294</v>
      </c>
      <c r="H203" t="s">
        <v>103</v>
      </c>
      <c r="K203" t="s">
        <v>1073</v>
      </c>
      <c r="L203" s="3">
        <v>43769</v>
      </c>
      <c r="M203" t="s">
        <v>35</v>
      </c>
      <c r="N203" s="14" t="s">
        <v>3093</v>
      </c>
      <c r="O203" s="9">
        <v>60</v>
      </c>
      <c r="P203" s="1">
        <v>1</v>
      </c>
      <c r="Q203" s="58">
        <v>0.21</v>
      </c>
      <c r="R203" s="7">
        <v>0</v>
      </c>
      <c r="S203" t="s">
        <v>36</v>
      </c>
      <c r="T203" s="95">
        <f t="shared" si="3"/>
        <v>72.599999999999994</v>
      </c>
      <c r="U203" t="s">
        <v>3094</v>
      </c>
      <c r="V203" s="5" t="s">
        <v>3095</v>
      </c>
      <c r="W203" s="3">
        <v>37338</v>
      </c>
      <c r="X203" s="2">
        <v>43756</v>
      </c>
      <c r="Y203" s="11" t="s">
        <v>3211</v>
      </c>
      <c r="Z203" s="2">
        <v>43789</v>
      </c>
      <c r="AA203" s="2"/>
      <c r="AC203" s="3">
        <v>43787</v>
      </c>
      <c r="AD203" t="s">
        <v>1158</v>
      </c>
      <c r="AG203" t="s">
        <v>3096</v>
      </c>
      <c r="AH203" s="3">
        <v>43756</v>
      </c>
      <c r="AK203" s="3">
        <v>43776</v>
      </c>
    </row>
    <row r="204" spans="1:37">
      <c r="A204" s="1">
        <v>204</v>
      </c>
      <c r="B204" t="s">
        <v>1242</v>
      </c>
      <c r="C204" s="2">
        <v>43756</v>
      </c>
      <c r="D204" t="s">
        <v>3097</v>
      </c>
      <c r="E204" t="s">
        <v>3098</v>
      </c>
      <c r="F204" t="s">
        <v>3099</v>
      </c>
      <c r="G204" s="6" t="s">
        <v>221</v>
      </c>
      <c r="H204" t="s">
        <v>34</v>
      </c>
      <c r="K204" s="31" t="s">
        <v>1250</v>
      </c>
      <c r="L204" s="3">
        <v>43769</v>
      </c>
      <c r="M204" t="s">
        <v>35</v>
      </c>
      <c r="N204" s="14" t="s">
        <v>3100</v>
      </c>
      <c r="O204" s="9">
        <v>60</v>
      </c>
      <c r="P204" s="1">
        <v>1</v>
      </c>
      <c r="Q204" s="58">
        <v>0.21</v>
      </c>
      <c r="R204" s="7">
        <v>0</v>
      </c>
      <c r="S204" t="s">
        <v>36</v>
      </c>
      <c r="T204" s="95">
        <f t="shared" si="3"/>
        <v>72.599999999999994</v>
      </c>
      <c r="U204" t="s">
        <v>3101</v>
      </c>
      <c r="V204" s="5" t="s">
        <v>3102</v>
      </c>
      <c r="W204" s="3">
        <v>32032</v>
      </c>
      <c r="X204" s="2">
        <v>43756</v>
      </c>
      <c r="Y204" s="11" t="s">
        <v>3303</v>
      </c>
      <c r="Z204" s="2">
        <v>43809</v>
      </c>
      <c r="AA204" s="2"/>
      <c r="AD204" t="s">
        <v>1158</v>
      </c>
      <c r="AG204" t="s">
        <v>612</v>
      </c>
      <c r="AH204" s="3">
        <v>43756</v>
      </c>
      <c r="AK204" s="3">
        <v>43762</v>
      </c>
    </row>
    <row r="205" spans="1:37">
      <c r="A205" s="1">
        <v>205</v>
      </c>
      <c r="B205" t="s">
        <v>1242</v>
      </c>
      <c r="C205" s="2">
        <v>43756</v>
      </c>
      <c r="D205" t="s">
        <v>3103</v>
      </c>
      <c r="E205" t="s">
        <v>3581</v>
      </c>
      <c r="F205" t="s">
        <v>3104</v>
      </c>
      <c r="G205" s="6" t="s">
        <v>227</v>
      </c>
      <c r="H205" t="s">
        <v>203</v>
      </c>
      <c r="K205" t="s">
        <v>1250</v>
      </c>
      <c r="L205" s="3">
        <v>43769</v>
      </c>
      <c r="M205" t="s">
        <v>35</v>
      </c>
      <c r="N205" s="14" t="s">
        <v>3105</v>
      </c>
      <c r="O205" s="9">
        <v>60</v>
      </c>
      <c r="P205" s="1">
        <v>1</v>
      </c>
      <c r="Q205" s="58">
        <v>0.21</v>
      </c>
      <c r="R205" s="7">
        <v>0</v>
      </c>
      <c r="S205" t="s">
        <v>36</v>
      </c>
      <c r="T205" s="95">
        <f t="shared" si="3"/>
        <v>72.599999999999994</v>
      </c>
      <c r="U205" t="s">
        <v>3106</v>
      </c>
      <c r="V205" s="5" t="s">
        <v>3107</v>
      </c>
      <c r="W205" s="3">
        <v>36222</v>
      </c>
      <c r="X205" s="2">
        <v>43756</v>
      </c>
      <c r="Y205" s="11" t="s">
        <v>3200</v>
      </c>
      <c r="Z205" s="2">
        <v>43781</v>
      </c>
      <c r="AA205" s="2"/>
      <c r="AD205" t="s">
        <v>1158</v>
      </c>
      <c r="AG205" t="s">
        <v>3108</v>
      </c>
      <c r="AH205" s="3">
        <v>43756</v>
      </c>
      <c r="AK205" s="3">
        <v>43777</v>
      </c>
    </row>
    <row r="206" spans="1:37">
      <c r="A206" s="1">
        <v>206</v>
      </c>
      <c r="B206" t="s">
        <v>2575</v>
      </c>
      <c r="C206" s="2">
        <v>43756</v>
      </c>
      <c r="D206" t="s">
        <v>3109</v>
      </c>
      <c r="E206" t="s">
        <v>3110</v>
      </c>
      <c r="F206" t="s">
        <v>3111</v>
      </c>
      <c r="G206" s="6" t="s">
        <v>2579</v>
      </c>
      <c r="H206" t="s">
        <v>2580</v>
      </c>
      <c r="K206" t="s">
        <v>3109</v>
      </c>
      <c r="L206" s="3">
        <v>43769</v>
      </c>
      <c r="M206" t="s">
        <v>35</v>
      </c>
      <c r="N206" s="14" t="s">
        <v>3112</v>
      </c>
      <c r="O206" s="9">
        <v>60</v>
      </c>
      <c r="P206" s="1">
        <v>1</v>
      </c>
      <c r="Q206" s="58">
        <v>0.21</v>
      </c>
      <c r="R206" s="7">
        <v>0</v>
      </c>
      <c r="S206" t="s">
        <v>36</v>
      </c>
      <c r="T206" s="95">
        <f t="shared" si="3"/>
        <v>72.599999999999994</v>
      </c>
      <c r="U206" t="s">
        <v>3113</v>
      </c>
      <c r="V206" s="5" t="s">
        <v>3114</v>
      </c>
      <c r="W206" s="3">
        <v>36876</v>
      </c>
      <c r="X206" s="2">
        <v>43756</v>
      </c>
      <c r="Y206" s="11" t="s">
        <v>3200</v>
      </c>
      <c r="Z206" s="2">
        <v>43782</v>
      </c>
      <c r="AA206" s="2"/>
      <c r="AD206" t="s">
        <v>1158</v>
      </c>
      <c r="AG206" t="s">
        <v>3115</v>
      </c>
      <c r="AH206" s="3">
        <v>43756</v>
      </c>
      <c r="AK206" s="3">
        <v>43777</v>
      </c>
    </row>
    <row r="207" spans="1:37">
      <c r="A207" s="1">
        <v>207</v>
      </c>
      <c r="B207" t="s">
        <v>119</v>
      </c>
      <c r="C207" s="2">
        <v>43760</v>
      </c>
      <c r="D207" t="s">
        <v>3116</v>
      </c>
      <c r="E207" t="s">
        <v>1770</v>
      </c>
      <c r="F207" t="s">
        <v>3117</v>
      </c>
      <c r="G207" s="6" t="s">
        <v>226</v>
      </c>
      <c r="H207" t="s">
        <v>3118</v>
      </c>
      <c r="K207" t="s">
        <v>174</v>
      </c>
      <c r="L207" s="3">
        <v>43769</v>
      </c>
      <c r="M207" t="s">
        <v>35</v>
      </c>
      <c r="N207" s="14" t="s">
        <v>3119</v>
      </c>
      <c r="O207" s="9">
        <v>30</v>
      </c>
      <c r="P207" s="1">
        <v>1</v>
      </c>
      <c r="Q207" s="58">
        <v>0.21</v>
      </c>
      <c r="R207" s="7">
        <v>0</v>
      </c>
      <c r="S207" t="s">
        <v>36</v>
      </c>
      <c r="T207" s="95">
        <f t="shared" si="3"/>
        <v>36.299999999999997</v>
      </c>
      <c r="U207" t="s">
        <v>3120</v>
      </c>
      <c r="W207" s="3">
        <v>30317</v>
      </c>
      <c r="X207" s="2">
        <v>43760</v>
      </c>
      <c r="Y207" s="11" t="s">
        <v>3277</v>
      </c>
      <c r="Z207" s="2">
        <v>43797</v>
      </c>
      <c r="AA207" s="78" t="s">
        <v>1339</v>
      </c>
      <c r="AD207" t="s">
        <v>1158</v>
      </c>
    </row>
    <row r="208" spans="1:37">
      <c r="A208" s="1">
        <v>208</v>
      </c>
      <c r="B208" t="s">
        <v>37</v>
      </c>
      <c r="C208" s="2">
        <v>43760</v>
      </c>
      <c r="D208" t="s">
        <v>306</v>
      </c>
      <c r="E208" t="s">
        <v>307</v>
      </c>
      <c r="F208" t="s">
        <v>876</v>
      </c>
      <c r="G208" s="6" t="s">
        <v>239</v>
      </c>
      <c r="H208" t="s">
        <v>108</v>
      </c>
      <c r="I208">
        <v>647107523</v>
      </c>
      <c r="K208" t="s">
        <v>306</v>
      </c>
      <c r="L208" s="3">
        <v>43769</v>
      </c>
      <c r="M208" t="s">
        <v>35</v>
      </c>
      <c r="N208" s="14" t="s">
        <v>877</v>
      </c>
      <c r="O208" s="9">
        <v>30</v>
      </c>
      <c r="P208" s="1">
        <v>1</v>
      </c>
      <c r="Q208" s="58">
        <v>0.21</v>
      </c>
      <c r="R208" s="7">
        <v>0</v>
      </c>
      <c r="S208" t="s">
        <v>36</v>
      </c>
      <c r="T208" s="95">
        <f t="shared" si="3"/>
        <v>36.299999999999997</v>
      </c>
      <c r="U208" t="s">
        <v>306</v>
      </c>
      <c r="W208" s="3">
        <v>34081</v>
      </c>
      <c r="X208" s="2">
        <v>43760</v>
      </c>
      <c r="Y208" s="11" t="s">
        <v>3277</v>
      </c>
      <c r="Z208" s="2">
        <v>43797</v>
      </c>
      <c r="AA208" s="2"/>
      <c r="AD208" t="s">
        <v>1158</v>
      </c>
    </row>
    <row r="209" spans="1:38">
      <c r="A209" s="1">
        <v>209</v>
      </c>
      <c r="B209" t="s">
        <v>40</v>
      </c>
      <c r="C209" s="2">
        <v>43763</v>
      </c>
      <c r="D209" t="s">
        <v>3126</v>
      </c>
      <c r="E209" t="s">
        <v>3127</v>
      </c>
      <c r="F209" t="s">
        <v>3128</v>
      </c>
      <c r="G209" s="6" t="s">
        <v>233</v>
      </c>
      <c r="H209" t="s">
        <v>74</v>
      </c>
      <c r="I209">
        <v>632889648</v>
      </c>
      <c r="K209" t="s">
        <v>3126</v>
      </c>
      <c r="L209" s="3">
        <v>43769</v>
      </c>
      <c r="M209" t="s">
        <v>35</v>
      </c>
      <c r="N209" s="14" t="s">
        <v>3129</v>
      </c>
      <c r="O209" s="9">
        <v>60</v>
      </c>
      <c r="P209" s="1">
        <v>1</v>
      </c>
      <c r="Q209" s="58">
        <v>0.21</v>
      </c>
      <c r="R209" s="7">
        <v>0</v>
      </c>
      <c r="S209" t="s">
        <v>36</v>
      </c>
      <c r="T209" s="95">
        <f t="shared" si="3"/>
        <v>72.599999999999994</v>
      </c>
      <c r="U209" t="s">
        <v>3130</v>
      </c>
      <c r="V209" s="5" t="s">
        <v>3131</v>
      </c>
      <c r="W209" s="3">
        <v>33246</v>
      </c>
      <c r="X209" s="2">
        <v>43763</v>
      </c>
      <c r="Y209" s="11" t="s">
        <v>3352</v>
      </c>
      <c r="Z209" s="2">
        <v>43829</v>
      </c>
      <c r="AA209" s="80" t="s">
        <v>1339</v>
      </c>
      <c r="AD209" t="s">
        <v>1158</v>
      </c>
    </row>
    <row r="210" spans="1:38">
      <c r="A210" s="1">
        <v>210</v>
      </c>
      <c r="B210" t="s">
        <v>119</v>
      </c>
      <c r="C210" s="2">
        <v>43768</v>
      </c>
      <c r="D210" t="s">
        <v>3116</v>
      </c>
      <c r="E210" t="s">
        <v>1770</v>
      </c>
      <c r="F210" t="s">
        <v>3117</v>
      </c>
      <c r="G210" s="6" t="s">
        <v>226</v>
      </c>
      <c r="H210" t="s">
        <v>3118</v>
      </c>
      <c r="I210">
        <v>647908077</v>
      </c>
      <c r="K210" t="s">
        <v>174</v>
      </c>
      <c r="L210" s="3">
        <v>43769</v>
      </c>
      <c r="M210" t="s">
        <v>35</v>
      </c>
      <c r="N210" s="14" t="s">
        <v>3133</v>
      </c>
      <c r="O210" s="9">
        <v>60</v>
      </c>
      <c r="P210" s="1">
        <v>1</v>
      </c>
      <c r="Q210" s="58">
        <v>0.21</v>
      </c>
      <c r="R210" s="7">
        <v>0</v>
      </c>
      <c r="S210" t="s">
        <v>36</v>
      </c>
      <c r="T210" s="95">
        <f t="shared" si="3"/>
        <v>72.599999999999994</v>
      </c>
      <c r="U210" t="s">
        <v>3134</v>
      </c>
      <c r="V210" s="5" t="s">
        <v>3135</v>
      </c>
      <c r="W210" s="3">
        <v>36665</v>
      </c>
      <c r="X210" s="2">
        <v>43768</v>
      </c>
      <c r="Y210" s="11" t="s">
        <v>3209</v>
      </c>
      <c r="Z210" s="2">
        <v>43783</v>
      </c>
      <c r="AA210" s="2"/>
      <c r="AD210" t="s">
        <v>1158</v>
      </c>
      <c r="AF210" t="s">
        <v>119</v>
      </c>
      <c r="AG210" t="s">
        <v>77</v>
      </c>
      <c r="AH210" s="3">
        <v>43768</v>
      </c>
      <c r="AK210" s="3">
        <v>43777</v>
      </c>
    </row>
    <row r="211" spans="1:38">
      <c r="A211" s="1">
        <v>211</v>
      </c>
      <c r="B211" t="s">
        <v>45</v>
      </c>
      <c r="C211" s="2">
        <v>43768</v>
      </c>
      <c r="D211" t="s">
        <v>3136</v>
      </c>
      <c r="E211" t="s">
        <v>3137</v>
      </c>
      <c r="F211" t="s">
        <v>3138</v>
      </c>
      <c r="G211" s="6" t="s">
        <v>220</v>
      </c>
      <c r="H211" t="s">
        <v>39</v>
      </c>
      <c r="I211">
        <v>647950202</v>
      </c>
      <c r="K211" t="s">
        <v>3139</v>
      </c>
      <c r="L211" s="3">
        <v>43769</v>
      </c>
      <c r="M211" t="s">
        <v>35</v>
      </c>
      <c r="N211" s="14" t="s">
        <v>3140</v>
      </c>
      <c r="O211" s="9">
        <v>60</v>
      </c>
      <c r="P211" s="1">
        <v>1</v>
      </c>
      <c r="Q211" s="58">
        <v>0.21</v>
      </c>
      <c r="R211" s="7">
        <v>0</v>
      </c>
      <c r="S211" t="s">
        <v>36</v>
      </c>
      <c r="T211" s="95">
        <f t="shared" si="3"/>
        <v>72.599999999999994</v>
      </c>
      <c r="U211" t="s">
        <v>3141</v>
      </c>
      <c r="V211" s="5" t="s">
        <v>3142</v>
      </c>
      <c r="W211" s="3">
        <v>34617</v>
      </c>
      <c r="X211" s="2">
        <v>43768</v>
      </c>
      <c r="Y211" s="11" t="s">
        <v>3209</v>
      </c>
      <c r="Z211" s="2">
        <v>43784</v>
      </c>
      <c r="AA211" s="2"/>
      <c r="AD211" t="s">
        <v>1158</v>
      </c>
      <c r="AF211" t="s">
        <v>45</v>
      </c>
      <c r="AG211" t="s">
        <v>3143</v>
      </c>
      <c r="AH211" s="3">
        <v>43768</v>
      </c>
      <c r="AK211" t="s">
        <v>3205</v>
      </c>
      <c r="AL211" t="s">
        <v>3206</v>
      </c>
    </row>
    <row r="212" spans="1:38">
      <c r="A212" s="1">
        <v>212</v>
      </c>
      <c r="B212" t="s">
        <v>40</v>
      </c>
      <c r="C212" s="2">
        <v>43768</v>
      </c>
      <c r="D212" t="s">
        <v>3146</v>
      </c>
      <c r="E212" t="s">
        <v>3145</v>
      </c>
      <c r="F212" t="s">
        <v>2613</v>
      </c>
      <c r="G212" s="6" t="s">
        <v>236</v>
      </c>
      <c r="H212" t="s">
        <v>110</v>
      </c>
      <c r="I212">
        <v>647671322</v>
      </c>
      <c r="K212" t="s">
        <v>3144</v>
      </c>
      <c r="L212" s="3">
        <v>43769</v>
      </c>
      <c r="M212" t="s">
        <v>35</v>
      </c>
      <c r="N212" s="14" t="s">
        <v>3147</v>
      </c>
      <c r="O212" s="9">
        <v>60</v>
      </c>
      <c r="P212" s="1">
        <v>1</v>
      </c>
      <c r="Q212" s="58">
        <v>0.21</v>
      </c>
      <c r="R212" s="7">
        <v>0</v>
      </c>
      <c r="S212" t="s">
        <v>36</v>
      </c>
      <c r="T212" s="95">
        <f t="shared" si="3"/>
        <v>72.599999999999994</v>
      </c>
      <c r="U212" t="s">
        <v>3144</v>
      </c>
      <c r="V212" s="5" t="s">
        <v>3148</v>
      </c>
      <c r="W212" s="3">
        <v>36800</v>
      </c>
      <c r="X212" s="2">
        <v>43768</v>
      </c>
      <c r="Y212" s="11" t="s">
        <v>3212</v>
      </c>
      <c r="Z212" s="2">
        <v>43789</v>
      </c>
      <c r="AA212" s="2"/>
      <c r="AD212" t="s">
        <v>1158</v>
      </c>
    </row>
    <row r="213" spans="1:38">
      <c r="A213" s="1">
        <v>213</v>
      </c>
      <c r="B213" t="s">
        <v>40</v>
      </c>
      <c r="C213" s="2">
        <v>43768</v>
      </c>
      <c r="D213" t="s">
        <v>3149</v>
      </c>
      <c r="E213" t="s">
        <v>3150</v>
      </c>
      <c r="F213" t="s">
        <v>3151</v>
      </c>
      <c r="G213" s="6" t="s">
        <v>221</v>
      </c>
      <c r="H213" t="s">
        <v>34</v>
      </c>
      <c r="I213">
        <v>637740308</v>
      </c>
      <c r="K213" t="s">
        <v>3149</v>
      </c>
      <c r="L213" s="3">
        <v>43769</v>
      </c>
      <c r="M213" t="s">
        <v>35</v>
      </c>
      <c r="N213" s="14" t="s">
        <v>3152</v>
      </c>
      <c r="O213" s="9">
        <v>60</v>
      </c>
      <c r="P213" s="1">
        <v>1</v>
      </c>
      <c r="Q213" s="58">
        <v>0.21</v>
      </c>
      <c r="R213" s="7">
        <v>0</v>
      </c>
      <c r="S213" t="s">
        <v>36</v>
      </c>
      <c r="T213" s="95">
        <f t="shared" si="3"/>
        <v>72.599999999999994</v>
      </c>
      <c r="U213" t="s">
        <v>3153</v>
      </c>
      <c r="V213" s="5" t="s">
        <v>3154</v>
      </c>
      <c r="W213" s="3">
        <v>33117</v>
      </c>
      <c r="X213" s="2">
        <v>43768</v>
      </c>
      <c r="Y213" s="11" t="s">
        <v>3343</v>
      </c>
      <c r="Z213" s="2">
        <v>43789</v>
      </c>
      <c r="AA213" s="80" t="s">
        <v>1339</v>
      </c>
      <c r="AD213" t="s">
        <v>1158</v>
      </c>
      <c r="AF213" t="s">
        <v>40</v>
      </c>
      <c r="AG213" t="s">
        <v>2442</v>
      </c>
      <c r="AH213" s="3">
        <v>43768</v>
      </c>
      <c r="AK213" s="3">
        <v>43782</v>
      </c>
    </row>
    <row r="214" spans="1:38">
      <c r="A214" s="1">
        <v>214</v>
      </c>
      <c r="B214" t="s">
        <v>40</v>
      </c>
      <c r="C214" s="2">
        <v>43768</v>
      </c>
      <c r="D214" t="s">
        <v>3155</v>
      </c>
      <c r="E214" t="s">
        <v>3156</v>
      </c>
      <c r="F214" t="s">
        <v>1942</v>
      </c>
      <c r="G214" s="6" t="s">
        <v>236</v>
      </c>
      <c r="H214" t="s">
        <v>110</v>
      </c>
      <c r="I214">
        <v>653848933</v>
      </c>
      <c r="K214" t="s">
        <v>3155</v>
      </c>
      <c r="L214" s="3">
        <v>43769</v>
      </c>
      <c r="M214" t="s">
        <v>35</v>
      </c>
      <c r="N214" s="14" t="s">
        <v>1943</v>
      </c>
      <c r="O214" s="9">
        <v>60</v>
      </c>
      <c r="P214" s="1">
        <v>1</v>
      </c>
      <c r="Q214" s="58">
        <v>0.21</v>
      </c>
      <c r="R214" s="7">
        <v>0</v>
      </c>
      <c r="S214" t="s">
        <v>36</v>
      </c>
      <c r="T214" s="95">
        <f t="shared" si="3"/>
        <v>72.599999999999994</v>
      </c>
      <c r="U214" t="s">
        <v>1952</v>
      </c>
      <c r="V214" s="5" t="s">
        <v>3157</v>
      </c>
      <c r="W214" s="3">
        <v>36056</v>
      </c>
      <c r="X214" s="2">
        <v>43768</v>
      </c>
      <c r="Y214" s="11" t="s">
        <v>3209</v>
      </c>
      <c r="Z214" s="2">
        <v>43783</v>
      </c>
      <c r="AA214" s="2"/>
      <c r="AD214" t="s">
        <v>1158</v>
      </c>
      <c r="AF214" t="s">
        <v>1858</v>
      </c>
      <c r="AG214" t="s">
        <v>1128</v>
      </c>
      <c r="AH214" s="3">
        <v>43768</v>
      </c>
      <c r="AK214" s="3">
        <v>43773</v>
      </c>
    </row>
    <row r="215" spans="1:38">
      <c r="A215" s="1">
        <v>215</v>
      </c>
      <c r="B215" t="s">
        <v>40</v>
      </c>
      <c r="C215" s="2">
        <v>43774</v>
      </c>
      <c r="D215" t="s">
        <v>3158</v>
      </c>
      <c r="E215" t="s">
        <v>3159</v>
      </c>
      <c r="F215" t="s">
        <v>3160</v>
      </c>
      <c r="G215" s="6" t="s">
        <v>227</v>
      </c>
      <c r="H215" t="s">
        <v>203</v>
      </c>
      <c r="K215" t="s">
        <v>3158</v>
      </c>
      <c r="L215" s="3">
        <v>43799</v>
      </c>
      <c r="M215" t="s">
        <v>35</v>
      </c>
      <c r="N215" s="14" t="s">
        <v>3161</v>
      </c>
      <c r="O215" s="9">
        <v>60</v>
      </c>
      <c r="P215" s="1">
        <v>1</v>
      </c>
      <c r="Q215" s="58">
        <v>0.21</v>
      </c>
      <c r="R215" s="7">
        <v>0</v>
      </c>
      <c r="S215" t="s">
        <v>36</v>
      </c>
      <c r="T215" s="95">
        <f t="shared" si="3"/>
        <v>72.599999999999994</v>
      </c>
      <c r="U215" t="s">
        <v>3162</v>
      </c>
      <c r="V215" s="5" t="s">
        <v>3163</v>
      </c>
      <c r="W215" s="3">
        <v>29487</v>
      </c>
      <c r="X215" s="2">
        <v>43774</v>
      </c>
      <c r="Y215" s="13" t="s">
        <v>3480</v>
      </c>
      <c r="Z215" s="2">
        <v>43847</v>
      </c>
      <c r="AA215" s="80" t="s">
        <v>1339</v>
      </c>
      <c r="AD215" t="s">
        <v>1158</v>
      </c>
      <c r="AG215" t="s">
        <v>77</v>
      </c>
      <c r="AH215" s="3">
        <v>43774</v>
      </c>
      <c r="AK215" s="3">
        <v>43777</v>
      </c>
    </row>
    <row r="216" spans="1:38">
      <c r="A216" s="1">
        <v>216</v>
      </c>
      <c r="B216" t="s">
        <v>37</v>
      </c>
      <c r="C216" s="2">
        <v>43774</v>
      </c>
      <c r="D216" t="s">
        <v>2437</v>
      </c>
      <c r="E216" t="s">
        <v>2438</v>
      </c>
      <c r="F216" t="s">
        <v>2439</v>
      </c>
      <c r="G216" s="6" t="s">
        <v>232</v>
      </c>
      <c r="H216" t="s">
        <v>144</v>
      </c>
      <c r="I216">
        <v>624961658</v>
      </c>
      <c r="K216" t="s">
        <v>2437</v>
      </c>
      <c r="L216" s="3">
        <v>43799</v>
      </c>
      <c r="M216" t="s">
        <v>35</v>
      </c>
      <c r="N216" t="s">
        <v>2440</v>
      </c>
      <c r="O216" s="7">
        <v>0</v>
      </c>
      <c r="P216" s="1">
        <v>1</v>
      </c>
      <c r="Q216" s="58">
        <v>0.21</v>
      </c>
      <c r="R216" s="7">
        <v>0</v>
      </c>
      <c r="S216" t="s">
        <v>36</v>
      </c>
      <c r="T216" s="213">
        <f t="shared" si="3"/>
        <v>0</v>
      </c>
      <c r="U216" t="s">
        <v>2437</v>
      </c>
      <c r="W216" s="3">
        <v>34120</v>
      </c>
      <c r="X216" s="2">
        <v>43774</v>
      </c>
      <c r="Y216" s="11" t="s">
        <v>151</v>
      </c>
      <c r="AG216" t="s">
        <v>2442</v>
      </c>
    </row>
    <row r="217" spans="1:38" s="31" customFormat="1">
      <c r="A217" s="1">
        <v>217</v>
      </c>
      <c r="B217" t="s">
        <v>52</v>
      </c>
      <c r="C217" s="32">
        <v>43774</v>
      </c>
      <c r="D217" s="31" t="s">
        <v>458</v>
      </c>
      <c r="E217" s="31" t="s">
        <v>84</v>
      </c>
      <c r="F217" s="31" t="s">
        <v>138</v>
      </c>
      <c r="G217" s="33" t="s">
        <v>227</v>
      </c>
      <c r="H217" s="31" t="s">
        <v>203</v>
      </c>
      <c r="K217" s="31" t="s">
        <v>53</v>
      </c>
      <c r="L217" s="34">
        <v>43799</v>
      </c>
      <c r="M217" s="31" t="s">
        <v>35</v>
      </c>
      <c r="N217" s="14" t="s">
        <v>3164</v>
      </c>
      <c r="O217" s="7">
        <v>41.32</v>
      </c>
      <c r="P217" s="30">
        <v>1</v>
      </c>
      <c r="Q217" s="37">
        <v>0.21</v>
      </c>
      <c r="R217" s="38">
        <v>0</v>
      </c>
      <c r="S217" s="31" t="s">
        <v>36</v>
      </c>
      <c r="T217" s="213">
        <f t="shared" si="3"/>
        <v>49.997199999999999</v>
      </c>
      <c r="U217"/>
      <c r="V217" s="5"/>
      <c r="W217" s="3">
        <v>36864</v>
      </c>
      <c r="X217" s="32">
        <v>43774</v>
      </c>
      <c r="Y217" s="11" t="s">
        <v>151</v>
      </c>
      <c r="Z217" s="2"/>
      <c r="AA217" s="2"/>
      <c r="AB217" s="1"/>
      <c r="AD217"/>
      <c r="AE217"/>
      <c r="AF217"/>
      <c r="AG217"/>
      <c r="AH217" s="34"/>
      <c r="AK217" s="34"/>
    </row>
    <row r="218" spans="1:38" s="31" customFormat="1">
      <c r="A218" s="1">
        <v>218</v>
      </c>
      <c r="B218" t="s">
        <v>2216</v>
      </c>
      <c r="C218" s="32">
        <v>43774</v>
      </c>
      <c r="D218" t="s">
        <v>3173</v>
      </c>
      <c r="E218" t="s">
        <v>3174</v>
      </c>
      <c r="F218" t="s">
        <v>3175</v>
      </c>
      <c r="G218" s="6" t="s">
        <v>219</v>
      </c>
      <c r="H218" t="s">
        <v>38</v>
      </c>
      <c r="I218">
        <v>626203349</v>
      </c>
      <c r="K218" t="s">
        <v>3173</v>
      </c>
      <c r="L218" s="34">
        <v>43799</v>
      </c>
      <c r="M218" t="s">
        <v>35</v>
      </c>
      <c r="N218" s="14" t="s">
        <v>3176</v>
      </c>
      <c r="O218" s="7">
        <v>60</v>
      </c>
      <c r="P218" s="30">
        <v>1</v>
      </c>
      <c r="Q218" s="37">
        <v>0.21</v>
      </c>
      <c r="R218" s="38">
        <v>0</v>
      </c>
      <c r="S218" t="s">
        <v>36</v>
      </c>
      <c r="T218" s="213">
        <f t="shared" si="3"/>
        <v>72.599999999999994</v>
      </c>
      <c r="U218" t="s">
        <v>3177</v>
      </c>
      <c r="V218" s="5" t="s">
        <v>3178</v>
      </c>
      <c r="W218" s="3">
        <v>35785</v>
      </c>
      <c r="X218" s="32">
        <v>43774</v>
      </c>
      <c r="Y218" s="11" t="s">
        <v>3726</v>
      </c>
      <c r="Z218" s="2">
        <v>43882</v>
      </c>
      <c r="AA218" s="78" t="s">
        <v>1339</v>
      </c>
      <c r="AB218" s="1"/>
      <c r="AC218" s="119">
        <v>43802</v>
      </c>
      <c r="AD218" t="s">
        <v>1158</v>
      </c>
      <c r="AE218"/>
      <c r="AF218" t="s">
        <v>1858</v>
      </c>
      <c r="AG218" t="s">
        <v>3179</v>
      </c>
      <c r="AH218" s="34">
        <v>43774</v>
      </c>
      <c r="AK218" s="34">
        <v>43784</v>
      </c>
    </row>
    <row r="219" spans="1:38" s="31" customFormat="1">
      <c r="A219" s="1">
        <v>219</v>
      </c>
      <c r="B219" t="s">
        <v>37</v>
      </c>
      <c r="C219" s="32">
        <v>43774</v>
      </c>
      <c r="D219" t="s">
        <v>3191</v>
      </c>
      <c r="E219" t="s">
        <v>3192</v>
      </c>
      <c r="F219" t="s">
        <v>3193</v>
      </c>
      <c r="G219" s="6" t="s">
        <v>2451</v>
      </c>
      <c r="H219" t="s">
        <v>49</v>
      </c>
      <c r="I219" t="s">
        <v>3302</v>
      </c>
      <c r="K219" t="s">
        <v>3191</v>
      </c>
      <c r="L219" s="34">
        <v>43799</v>
      </c>
      <c r="M219" t="s">
        <v>35</v>
      </c>
      <c r="N219" s="14" t="s">
        <v>3485</v>
      </c>
      <c r="O219" s="67">
        <v>60</v>
      </c>
      <c r="P219" s="72">
        <v>1</v>
      </c>
      <c r="Q219" s="73">
        <v>0.21</v>
      </c>
      <c r="R219" s="67">
        <v>0</v>
      </c>
      <c r="S219" s="14" t="s">
        <v>36</v>
      </c>
      <c r="T219" s="213">
        <f t="shared" si="3"/>
        <v>72.599999999999994</v>
      </c>
      <c r="U219" t="s">
        <v>3194</v>
      </c>
      <c r="V219" s="5" t="s">
        <v>3195</v>
      </c>
      <c r="W219" s="3">
        <v>26776</v>
      </c>
      <c r="X219" s="32">
        <v>43774</v>
      </c>
      <c r="Y219" s="13" t="s">
        <v>3723</v>
      </c>
      <c r="Z219" s="2">
        <v>43900</v>
      </c>
      <c r="AA219" s="78" t="s">
        <v>1339</v>
      </c>
      <c r="AB219" s="61" t="s">
        <v>3345</v>
      </c>
      <c r="AC219" s="123">
        <v>43843</v>
      </c>
      <c r="AD219" t="s">
        <v>1158</v>
      </c>
      <c r="AE219"/>
      <c r="AF219"/>
      <c r="AG219"/>
      <c r="AH219" s="34"/>
      <c r="AK219" s="34"/>
    </row>
    <row r="220" spans="1:38">
      <c r="A220" s="1">
        <v>220</v>
      </c>
      <c r="B220" t="s">
        <v>37</v>
      </c>
      <c r="C220" s="2">
        <v>43775</v>
      </c>
      <c r="D220" t="s">
        <v>2801</v>
      </c>
      <c r="E220" s="14" t="s">
        <v>2802</v>
      </c>
      <c r="F220" t="s">
        <v>2803</v>
      </c>
      <c r="G220" s="6" t="s">
        <v>2451</v>
      </c>
      <c r="H220" t="s">
        <v>49</v>
      </c>
      <c r="I220">
        <v>634705132</v>
      </c>
      <c r="K220" t="s">
        <v>2801</v>
      </c>
      <c r="L220" s="3">
        <v>43799</v>
      </c>
      <c r="M220" t="s">
        <v>35</v>
      </c>
      <c r="N220" s="14" t="s">
        <v>3165</v>
      </c>
      <c r="O220" s="9">
        <v>0</v>
      </c>
      <c r="P220" s="1">
        <v>1</v>
      </c>
      <c r="Q220" s="58">
        <v>0.21</v>
      </c>
      <c r="R220" s="7">
        <v>0</v>
      </c>
      <c r="S220" t="s">
        <v>36</v>
      </c>
      <c r="T220" s="213">
        <f t="shared" si="3"/>
        <v>0</v>
      </c>
      <c r="U220" t="s">
        <v>2801</v>
      </c>
      <c r="V220" s="5" t="s">
        <v>3166</v>
      </c>
      <c r="W220" s="3">
        <v>31256</v>
      </c>
      <c r="X220" s="2">
        <v>43775</v>
      </c>
      <c r="Y220" s="11" t="s">
        <v>3276</v>
      </c>
      <c r="Z220" s="2">
        <v>43797</v>
      </c>
      <c r="AA220" s="78" t="s">
        <v>1339</v>
      </c>
      <c r="AD220" t="s">
        <v>3199</v>
      </c>
    </row>
    <row r="221" spans="1:38">
      <c r="A221" s="1">
        <v>221</v>
      </c>
      <c r="B221" t="s">
        <v>40</v>
      </c>
      <c r="C221" s="2">
        <v>43776</v>
      </c>
      <c r="D221" t="s">
        <v>3167</v>
      </c>
      <c r="E221" t="s">
        <v>3168</v>
      </c>
      <c r="F221" t="s">
        <v>3169</v>
      </c>
      <c r="G221" s="6" t="s">
        <v>221</v>
      </c>
      <c r="H221" t="s">
        <v>34</v>
      </c>
      <c r="I221" t="s">
        <v>3437</v>
      </c>
      <c r="K221" t="s">
        <v>3167</v>
      </c>
      <c r="L221" s="3">
        <v>43799</v>
      </c>
      <c r="M221" t="s">
        <v>35</v>
      </c>
      <c r="N221" s="14" t="s">
        <v>3170</v>
      </c>
      <c r="O221" s="9">
        <v>60</v>
      </c>
      <c r="P221" s="1">
        <v>1</v>
      </c>
      <c r="Q221" s="58">
        <v>0.21</v>
      </c>
      <c r="R221" s="7">
        <v>0</v>
      </c>
      <c r="S221" t="s">
        <v>36</v>
      </c>
      <c r="T221" s="95">
        <f t="shared" si="3"/>
        <v>72.599999999999994</v>
      </c>
      <c r="U221" s="1" t="s">
        <v>3171</v>
      </c>
      <c r="V221" s="5" t="s">
        <v>3172</v>
      </c>
      <c r="W221" s="3">
        <v>31997</v>
      </c>
      <c r="X221" s="2">
        <v>43776</v>
      </c>
      <c r="Y221" s="11" t="s">
        <v>3488</v>
      </c>
      <c r="Z221" s="2">
        <v>43854</v>
      </c>
      <c r="AA221" s="78" t="s">
        <v>1339</v>
      </c>
      <c r="AD221" t="s">
        <v>1158</v>
      </c>
      <c r="AG221" t="s">
        <v>77</v>
      </c>
      <c r="AH221" s="3">
        <v>43776</v>
      </c>
      <c r="AK221" s="3">
        <v>43796</v>
      </c>
    </row>
    <row r="222" spans="1:38">
      <c r="A222" s="1">
        <v>222</v>
      </c>
      <c r="B222" t="s">
        <v>33</v>
      </c>
      <c r="C222" s="2">
        <v>43780</v>
      </c>
      <c r="D222" t="s">
        <v>1988</v>
      </c>
      <c r="E222" t="s">
        <v>1989</v>
      </c>
      <c r="F222" t="s">
        <v>3187</v>
      </c>
      <c r="G222" s="6" t="s">
        <v>219</v>
      </c>
      <c r="H222" t="s">
        <v>38</v>
      </c>
      <c r="I222">
        <v>676014031</v>
      </c>
      <c r="K222" t="s">
        <v>237</v>
      </c>
      <c r="L222" s="3">
        <v>43799</v>
      </c>
      <c r="M222" t="s">
        <v>35</v>
      </c>
      <c r="N222" s="14" t="s">
        <v>3188</v>
      </c>
      <c r="O222" s="7">
        <v>60</v>
      </c>
      <c r="P222" s="1">
        <v>1</v>
      </c>
      <c r="Q222" s="58">
        <v>0.21</v>
      </c>
      <c r="R222" s="7">
        <v>0</v>
      </c>
      <c r="S222" t="s">
        <v>36</v>
      </c>
      <c r="T222" s="95">
        <f t="shared" si="3"/>
        <v>72.599999999999994</v>
      </c>
      <c r="U222" s="1" t="s">
        <v>3189</v>
      </c>
      <c r="V222" s="5" t="s">
        <v>3190</v>
      </c>
      <c r="W222" s="3">
        <v>36525</v>
      </c>
      <c r="X222" s="2">
        <v>43780</v>
      </c>
      <c r="Y222" s="11" t="s">
        <v>3269</v>
      </c>
      <c r="Z222" s="2">
        <v>43794</v>
      </c>
      <c r="AA222" s="78" t="s">
        <v>1339</v>
      </c>
      <c r="AD222" t="s">
        <v>1158</v>
      </c>
      <c r="AF222" t="s">
        <v>1858</v>
      </c>
    </row>
    <row r="223" spans="1:38">
      <c r="A223" s="1">
        <v>223</v>
      </c>
      <c r="B223" t="s">
        <v>131</v>
      </c>
      <c r="C223" s="2">
        <v>43782</v>
      </c>
      <c r="D223" t="s">
        <v>3202</v>
      </c>
      <c r="E223" t="s">
        <v>1182</v>
      </c>
      <c r="F223" t="s">
        <v>3203</v>
      </c>
      <c r="G223" s="6" t="s">
        <v>239</v>
      </c>
      <c r="H223" t="s">
        <v>3204</v>
      </c>
      <c r="I223" t="s">
        <v>3507</v>
      </c>
      <c r="K223" t="s">
        <v>3202</v>
      </c>
      <c r="L223" s="3">
        <v>43799</v>
      </c>
      <c r="M223" t="s">
        <v>35</v>
      </c>
      <c r="N223" s="14" t="s">
        <v>1184</v>
      </c>
      <c r="O223" s="7">
        <v>60</v>
      </c>
      <c r="P223" s="1">
        <v>1</v>
      </c>
      <c r="Q223" s="69">
        <v>0.21</v>
      </c>
      <c r="R223" s="7">
        <v>0</v>
      </c>
      <c r="S223" t="s">
        <v>36</v>
      </c>
      <c r="T223" s="95">
        <f t="shared" si="3"/>
        <v>72.599999999999994</v>
      </c>
      <c r="U223" s="1" t="s">
        <v>1173</v>
      </c>
      <c r="V223" s="5" t="s">
        <v>3201</v>
      </c>
      <c r="W223" s="3">
        <v>27395</v>
      </c>
      <c r="X223" s="2">
        <v>43782</v>
      </c>
      <c r="Y223" s="11" t="s">
        <v>4364</v>
      </c>
      <c r="Z223" s="2">
        <v>43927</v>
      </c>
      <c r="AA223" s="80" t="s">
        <v>1339</v>
      </c>
      <c r="AC223" s="3">
        <v>43893</v>
      </c>
      <c r="AD223" t="s">
        <v>3198</v>
      </c>
    </row>
    <row r="224" spans="1:38">
      <c r="A224" s="1">
        <v>224</v>
      </c>
      <c r="B224" t="s">
        <v>37</v>
      </c>
      <c r="C224" s="2">
        <v>43789</v>
      </c>
      <c r="D224" t="s">
        <v>265</v>
      </c>
      <c r="E224" t="s">
        <v>266</v>
      </c>
      <c r="F224" t="s">
        <v>267</v>
      </c>
      <c r="G224" s="6" t="s">
        <v>238</v>
      </c>
      <c r="H224" t="s">
        <v>38</v>
      </c>
      <c r="I224">
        <v>665736578</v>
      </c>
      <c r="K224" t="s">
        <v>265</v>
      </c>
      <c r="L224" s="3">
        <v>43799</v>
      </c>
      <c r="M224" t="s">
        <v>35</v>
      </c>
      <c r="N224" t="s">
        <v>3210</v>
      </c>
      <c r="O224" s="9">
        <v>30</v>
      </c>
      <c r="P224" s="1">
        <v>1</v>
      </c>
      <c r="Q224" s="69">
        <v>0.21</v>
      </c>
      <c r="R224" s="7">
        <v>0</v>
      </c>
      <c r="S224" t="s">
        <v>36</v>
      </c>
      <c r="T224" s="95">
        <f t="shared" si="3"/>
        <v>36.299999999999997</v>
      </c>
      <c r="U224" s="1" t="s">
        <v>265</v>
      </c>
      <c r="V224" s="5" t="s">
        <v>3467</v>
      </c>
      <c r="W224" s="3">
        <v>31111</v>
      </c>
      <c r="X224" s="2">
        <v>43789</v>
      </c>
      <c r="Y224" s="11" t="s">
        <v>3468</v>
      </c>
      <c r="Z224" s="2">
        <v>43846</v>
      </c>
      <c r="AA224" s="80" t="s">
        <v>1339</v>
      </c>
      <c r="AD224" t="s">
        <v>3198</v>
      </c>
    </row>
    <row r="225" spans="1:37">
      <c r="A225" s="1">
        <v>225</v>
      </c>
      <c r="B225" t="s">
        <v>80</v>
      </c>
      <c r="C225" s="2">
        <v>43790</v>
      </c>
      <c r="D225" t="s">
        <v>1353</v>
      </c>
      <c r="E225" t="s">
        <v>1354</v>
      </c>
      <c r="F225" t="s">
        <v>1842</v>
      </c>
      <c r="G225" s="6" t="s">
        <v>294</v>
      </c>
      <c r="H225" t="s">
        <v>103</v>
      </c>
      <c r="I225">
        <v>632410883</v>
      </c>
      <c r="K225" t="s">
        <v>1353</v>
      </c>
      <c r="L225" s="3">
        <v>43799</v>
      </c>
      <c r="M225" t="s">
        <v>35</v>
      </c>
      <c r="N225" s="14" t="s">
        <v>3216</v>
      </c>
      <c r="O225" s="9">
        <v>60</v>
      </c>
      <c r="P225" s="1">
        <v>1</v>
      </c>
      <c r="Q225" s="58">
        <v>0.21</v>
      </c>
      <c r="R225" s="7">
        <v>0</v>
      </c>
      <c r="S225" t="s">
        <v>36</v>
      </c>
      <c r="T225" s="213">
        <f t="shared" si="3"/>
        <v>72.599999999999994</v>
      </c>
      <c r="U225" s="1" t="s">
        <v>3213</v>
      </c>
      <c r="V225" s="5" t="s">
        <v>3214</v>
      </c>
      <c r="W225" s="3">
        <v>33668</v>
      </c>
      <c r="X225" s="2">
        <v>43790</v>
      </c>
      <c r="Y225" s="11" t="s">
        <v>3698</v>
      </c>
      <c r="Z225" s="2">
        <v>43902</v>
      </c>
      <c r="AA225" s="80" t="s">
        <v>1339</v>
      </c>
      <c r="AB225" t="s">
        <v>3304</v>
      </c>
      <c r="AC225" s="115">
        <v>43832</v>
      </c>
      <c r="AD225" t="s">
        <v>3198</v>
      </c>
      <c r="AG225" t="s">
        <v>3215</v>
      </c>
      <c r="AH225" s="3">
        <v>43790</v>
      </c>
      <c r="AI225" s="3">
        <v>43802</v>
      </c>
      <c r="AK225" s="3">
        <v>43794</v>
      </c>
    </row>
    <row r="226" spans="1:37">
      <c r="A226" s="1">
        <v>226</v>
      </c>
      <c r="B226" t="s">
        <v>423</v>
      </c>
      <c r="C226" s="2">
        <v>43790</v>
      </c>
      <c r="D226" t="s">
        <v>3217</v>
      </c>
      <c r="E226" t="s">
        <v>91</v>
      </c>
      <c r="F226" t="s">
        <v>3218</v>
      </c>
      <c r="G226" s="6" t="s">
        <v>219</v>
      </c>
      <c r="H226" t="s">
        <v>38</v>
      </c>
      <c r="K226" t="s">
        <v>424</v>
      </c>
      <c r="L226" s="3">
        <v>43799</v>
      </c>
      <c r="M226" t="s">
        <v>35</v>
      </c>
      <c r="N226" s="14" t="s">
        <v>3219</v>
      </c>
      <c r="O226" s="9">
        <v>60</v>
      </c>
      <c r="P226" s="1">
        <v>1</v>
      </c>
      <c r="Q226" s="58">
        <v>0.21</v>
      </c>
      <c r="R226" s="7">
        <v>0</v>
      </c>
      <c r="S226" t="s">
        <v>36</v>
      </c>
      <c r="T226" s="213">
        <f t="shared" si="3"/>
        <v>72.599999999999994</v>
      </c>
      <c r="U226" s="1" t="s">
        <v>3220</v>
      </c>
      <c r="V226" s="5" t="s">
        <v>3226</v>
      </c>
      <c r="W226" s="3">
        <v>34177</v>
      </c>
      <c r="X226" s="2">
        <v>43790</v>
      </c>
      <c r="Y226" s="11" t="s">
        <v>3725</v>
      </c>
      <c r="Z226" s="2">
        <v>43906</v>
      </c>
      <c r="AA226" s="80" t="s">
        <v>1339</v>
      </c>
      <c r="AB226" t="s">
        <v>3296</v>
      </c>
      <c r="AC226" s="115">
        <v>43839</v>
      </c>
      <c r="AD226" t="s">
        <v>3198</v>
      </c>
      <c r="AG226" t="s">
        <v>3221</v>
      </c>
      <c r="AH226" s="3">
        <v>43790</v>
      </c>
      <c r="AI226" s="3">
        <v>43802</v>
      </c>
      <c r="AK226" s="3">
        <v>43794</v>
      </c>
    </row>
    <row r="227" spans="1:37">
      <c r="A227" s="1">
        <v>227</v>
      </c>
      <c r="B227" t="s">
        <v>82</v>
      </c>
      <c r="C227" s="2">
        <v>43790</v>
      </c>
      <c r="D227" t="s">
        <v>1204</v>
      </c>
      <c r="E227" t="s">
        <v>1205</v>
      </c>
      <c r="F227" t="s">
        <v>3222</v>
      </c>
      <c r="G227" s="6" t="s">
        <v>239</v>
      </c>
      <c r="H227" t="s">
        <v>3204</v>
      </c>
      <c r="I227">
        <v>632063544</v>
      </c>
      <c r="K227" t="s">
        <v>1204</v>
      </c>
      <c r="L227" s="3">
        <v>43799</v>
      </c>
      <c r="M227" t="s">
        <v>35</v>
      </c>
      <c r="N227" s="14" t="s">
        <v>3223</v>
      </c>
      <c r="O227" s="9">
        <v>60</v>
      </c>
      <c r="P227" s="1">
        <v>1</v>
      </c>
      <c r="Q227" s="58">
        <v>0.21</v>
      </c>
      <c r="R227" s="7">
        <v>0</v>
      </c>
      <c r="S227" t="s">
        <v>36</v>
      </c>
      <c r="T227" s="213">
        <f t="shared" si="3"/>
        <v>72.599999999999994</v>
      </c>
      <c r="U227" s="1" t="s">
        <v>3224</v>
      </c>
      <c r="V227" s="5" t="s">
        <v>3225</v>
      </c>
      <c r="W227" s="3">
        <v>26665</v>
      </c>
      <c r="X227" s="2">
        <v>43790</v>
      </c>
      <c r="Y227" s="13" t="s">
        <v>3688</v>
      </c>
      <c r="Z227" s="2">
        <v>43900</v>
      </c>
      <c r="AA227" s="80" t="s">
        <v>1339</v>
      </c>
      <c r="AB227" t="s">
        <v>3296</v>
      </c>
      <c r="AC227" s="121">
        <v>43830</v>
      </c>
      <c r="AD227" t="s">
        <v>3198</v>
      </c>
    </row>
    <row r="228" spans="1:37">
      <c r="A228" s="1">
        <v>228</v>
      </c>
      <c r="B228" t="s">
        <v>59</v>
      </c>
      <c r="C228" s="2">
        <v>43790</v>
      </c>
      <c r="D228" s="1" t="s">
        <v>3230</v>
      </c>
      <c r="E228" t="s">
        <v>3227</v>
      </c>
      <c r="F228" s="61" t="s">
        <v>3231</v>
      </c>
      <c r="G228" s="6" t="s">
        <v>270</v>
      </c>
      <c r="H228" s="61" t="s">
        <v>49</v>
      </c>
      <c r="I228" s="70">
        <v>676485005</v>
      </c>
      <c r="K228" s="1" t="s">
        <v>3230</v>
      </c>
      <c r="L228" s="3">
        <v>43799</v>
      </c>
      <c r="M228" t="s">
        <v>35</v>
      </c>
      <c r="N228" s="14" t="s">
        <v>3229</v>
      </c>
      <c r="O228" s="9">
        <v>41.32</v>
      </c>
      <c r="P228" s="1">
        <v>1</v>
      </c>
      <c r="Q228" s="58">
        <v>0.21</v>
      </c>
      <c r="R228" s="7">
        <v>0</v>
      </c>
      <c r="S228" t="s">
        <v>36</v>
      </c>
      <c r="T228" s="213">
        <f t="shared" si="3"/>
        <v>49.997199999999999</v>
      </c>
      <c r="U228" s="1" t="s">
        <v>3228</v>
      </c>
      <c r="W228" s="3">
        <v>34952</v>
      </c>
      <c r="X228" s="2">
        <v>43790</v>
      </c>
      <c r="Y228" s="11" t="s">
        <v>151</v>
      </c>
    </row>
    <row r="229" spans="1:37">
      <c r="A229" s="1">
        <v>229</v>
      </c>
      <c r="B229" t="s">
        <v>3232</v>
      </c>
      <c r="C229" s="2">
        <v>43791</v>
      </c>
      <c r="D229" t="s">
        <v>1522</v>
      </c>
      <c r="E229" t="s">
        <v>3233</v>
      </c>
      <c r="F229" t="s">
        <v>3241</v>
      </c>
      <c r="G229" s="6" t="s">
        <v>3234</v>
      </c>
      <c r="H229" t="s">
        <v>3235</v>
      </c>
      <c r="I229">
        <v>680761760</v>
      </c>
      <c r="K229" t="s">
        <v>1522</v>
      </c>
      <c r="L229" s="3">
        <v>43799</v>
      </c>
      <c r="M229" t="s">
        <v>35</v>
      </c>
      <c r="N229" s="14" t="s">
        <v>3236</v>
      </c>
      <c r="O229" s="9">
        <v>60</v>
      </c>
      <c r="P229" s="1">
        <v>1</v>
      </c>
      <c r="Q229" s="58">
        <v>0.21</v>
      </c>
      <c r="R229" s="7">
        <v>0</v>
      </c>
      <c r="S229" t="s">
        <v>36</v>
      </c>
      <c r="T229" s="95">
        <f t="shared" si="3"/>
        <v>72.599999999999994</v>
      </c>
      <c r="U229" s="1" t="s">
        <v>3237</v>
      </c>
      <c r="V229" s="5" t="s">
        <v>3238</v>
      </c>
      <c r="W229" s="3">
        <v>31475</v>
      </c>
      <c r="X229" s="2">
        <v>43791</v>
      </c>
      <c r="Y229" s="11" t="s">
        <v>3315</v>
      </c>
      <c r="Z229" s="2">
        <v>43815</v>
      </c>
      <c r="AA229" s="80" t="s">
        <v>1339</v>
      </c>
      <c r="AD229" t="s">
        <v>3198</v>
      </c>
      <c r="AG229" t="s">
        <v>3239</v>
      </c>
      <c r="AH229" s="3">
        <v>43791</v>
      </c>
      <c r="AI229" s="3">
        <v>43803</v>
      </c>
      <c r="AK229" s="3">
        <v>43795</v>
      </c>
    </row>
    <row r="230" spans="1:37">
      <c r="A230" s="1">
        <v>230</v>
      </c>
      <c r="B230" t="s">
        <v>33</v>
      </c>
      <c r="C230" s="2">
        <v>43791</v>
      </c>
      <c r="D230" t="s">
        <v>3247</v>
      </c>
      <c r="E230" t="s">
        <v>3240</v>
      </c>
      <c r="F230" t="s">
        <v>3242</v>
      </c>
      <c r="G230" s="6" t="s">
        <v>304</v>
      </c>
      <c r="H230" t="s">
        <v>38</v>
      </c>
      <c r="I230">
        <v>646181264</v>
      </c>
      <c r="K230" t="s">
        <v>237</v>
      </c>
      <c r="L230" s="3">
        <v>43799</v>
      </c>
      <c r="M230" t="s">
        <v>35</v>
      </c>
      <c r="N230" s="14" t="s">
        <v>3243</v>
      </c>
      <c r="O230" s="9">
        <v>60</v>
      </c>
      <c r="P230" s="1">
        <v>1</v>
      </c>
      <c r="Q230" s="58">
        <v>0.21</v>
      </c>
      <c r="R230" s="7">
        <v>0</v>
      </c>
      <c r="S230" t="s">
        <v>36</v>
      </c>
      <c r="T230" s="95">
        <f t="shared" si="3"/>
        <v>72.599999999999994</v>
      </c>
      <c r="U230" s="1" t="s">
        <v>3244</v>
      </c>
      <c r="V230" s="5" t="s">
        <v>3245</v>
      </c>
      <c r="W230" s="3">
        <v>35608</v>
      </c>
      <c r="X230" s="2">
        <v>43791</v>
      </c>
      <c r="Y230" s="11" t="s">
        <v>3698</v>
      </c>
      <c r="Z230" s="2">
        <v>43902</v>
      </c>
      <c r="AA230" s="80" t="s">
        <v>1339</v>
      </c>
      <c r="AB230" t="s">
        <v>3304</v>
      </c>
      <c r="AC230" s="115">
        <v>43832</v>
      </c>
      <c r="AD230" t="s">
        <v>3198</v>
      </c>
      <c r="AE230" t="s">
        <v>3383</v>
      </c>
      <c r="AG230" t="s">
        <v>3246</v>
      </c>
      <c r="AH230" s="3">
        <v>43791</v>
      </c>
      <c r="AI230" s="3">
        <v>43803</v>
      </c>
      <c r="AK230" s="3">
        <v>43794</v>
      </c>
    </row>
    <row r="231" spans="1:37">
      <c r="A231" s="1">
        <v>231</v>
      </c>
      <c r="B231" t="s">
        <v>33</v>
      </c>
      <c r="C231" s="2">
        <v>43791</v>
      </c>
      <c r="D231" t="s">
        <v>3248</v>
      </c>
      <c r="E231" t="s">
        <v>3249</v>
      </c>
      <c r="F231" t="s">
        <v>3250</v>
      </c>
      <c r="G231" s="6" t="s">
        <v>304</v>
      </c>
      <c r="H231" t="s">
        <v>38</v>
      </c>
      <c r="I231">
        <v>659956311</v>
      </c>
      <c r="K231" t="s">
        <v>237</v>
      </c>
      <c r="L231" s="3">
        <v>43799</v>
      </c>
      <c r="M231" t="s">
        <v>35</v>
      </c>
      <c r="N231" s="14" t="s">
        <v>3251</v>
      </c>
      <c r="O231" s="9">
        <v>60</v>
      </c>
      <c r="P231" s="1">
        <v>1</v>
      </c>
      <c r="Q231" s="69">
        <v>0.21</v>
      </c>
      <c r="R231" s="7">
        <v>0</v>
      </c>
      <c r="S231" t="s">
        <v>36</v>
      </c>
      <c r="T231" s="95">
        <f t="shared" si="3"/>
        <v>72.599999999999994</v>
      </c>
      <c r="U231" s="1" t="s">
        <v>3252</v>
      </c>
      <c r="V231" s="5" t="s">
        <v>3253</v>
      </c>
      <c r="W231" s="3">
        <v>28750</v>
      </c>
      <c r="X231" s="2">
        <v>43791</v>
      </c>
      <c r="Y231" s="11" t="s">
        <v>3301</v>
      </c>
      <c r="Z231" s="2">
        <v>43809</v>
      </c>
      <c r="AA231" s="78" t="s">
        <v>1339</v>
      </c>
      <c r="AD231" t="s">
        <v>3198</v>
      </c>
      <c r="AG231" t="s">
        <v>3254</v>
      </c>
      <c r="AH231" s="3">
        <v>43791</v>
      </c>
      <c r="AI231" s="3">
        <v>43803</v>
      </c>
      <c r="AK231" s="3">
        <v>43794</v>
      </c>
    </row>
    <row r="232" spans="1:37">
      <c r="A232" s="1">
        <v>232</v>
      </c>
      <c r="B232" t="s">
        <v>40</v>
      </c>
      <c r="C232" s="2">
        <v>43791</v>
      </c>
      <c r="D232" t="s">
        <v>3255</v>
      </c>
      <c r="E232" t="s">
        <v>3261</v>
      </c>
      <c r="F232" t="s">
        <v>3263</v>
      </c>
      <c r="G232" s="6" t="s">
        <v>230</v>
      </c>
      <c r="H232" t="s">
        <v>3265</v>
      </c>
      <c r="I232">
        <v>696577260</v>
      </c>
      <c r="K232" t="s">
        <v>3255</v>
      </c>
      <c r="L232" s="3">
        <v>43799</v>
      </c>
      <c r="M232" t="s">
        <v>35</v>
      </c>
      <c r="N232" s="14" t="s">
        <v>3256</v>
      </c>
      <c r="O232" s="9">
        <v>60</v>
      </c>
      <c r="P232" s="1">
        <v>1</v>
      </c>
      <c r="Q232" s="69">
        <v>0.21</v>
      </c>
      <c r="R232" s="7">
        <v>0</v>
      </c>
      <c r="S232" t="s">
        <v>36</v>
      </c>
      <c r="T232" s="95">
        <f t="shared" si="3"/>
        <v>72.599999999999994</v>
      </c>
      <c r="U232" s="1" t="s">
        <v>3257</v>
      </c>
      <c r="V232" s="5" t="s">
        <v>3258</v>
      </c>
      <c r="W232" s="3">
        <v>34483</v>
      </c>
      <c r="X232" s="2">
        <v>43791</v>
      </c>
      <c r="Y232" s="11" t="s">
        <v>3342</v>
      </c>
      <c r="Z232" s="2">
        <v>43815</v>
      </c>
      <c r="AA232" s="80" t="s">
        <v>1339</v>
      </c>
      <c r="AD232" t="s">
        <v>3198</v>
      </c>
      <c r="AG232" t="s">
        <v>3259</v>
      </c>
      <c r="AH232" s="3">
        <v>43791</v>
      </c>
      <c r="AI232" s="3">
        <v>43803</v>
      </c>
      <c r="AK232" s="3">
        <v>43809</v>
      </c>
    </row>
    <row r="233" spans="1:37">
      <c r="A233" s="1">
        <v>233</v>
      </c>
      <c r="B233" t="s">
        <v>40</v>
      </c>
      <c r="C233" s="2">
        <v>43791</v>
      </c>
      <c r="D233" t="s">
        <v>3260</v>
      </c>
      <c r="E233" t="s">
        <v>3262</v>
      </c>
      <c r="F233" t="s">
        <v>3264</v>
      </c>
      <c r="G233" s="6" t="s">
        <v>227</v>
      </c>
      <c r="H233" t="s">
        <v>203</v>
      </c>
      <c r="I233">
        <v>661226886</v>
      </c>
      <c r="K233" t="s">
        <v>3260</v>
      </c>
      <c r="L233" s="3">
        <v>43799</v>
      </c>
      <c r="M233" t="s">
        <v>35</v>
      </c>
      <c r="N233" s="14" t="s">
        <v>3266</v>
      </c>
      <c r="O233" s="9">
        <v>60</v>
      </c>
      <c r="P233" s="1">
        <v>1</v>
      </c>
      <c r="Q233" s="69">
        <v>0.21</v>
      </c>
      <c r="R233" s="7">
        <v>0</v>
      </c>
      <c r="S233" t="s">
        <v>36</v>
      </c>
      <c r="T233" s="95">
        <f t="shared" si="3"/>
        <v>72.599999999999994</v>
      </c>
      <c r="U233" s="1" t="s">
        <v>3267</v>
      </c>
      <c r="V233" s="5" t="s">
        <v>3268</v>
      </c>
      <c r="W233" s="3">
        <v>36901</v>
      </c>
      <c r="X233" s="2">
        <v>43791</v>
      </c>
      <c r="Y233" s="11" t="s">
        <v>3303</v>
      </c>
      <c r="Z233" s="2">
        <v>43809</v>
      </c>
      <c r="AA233" s="78" t="s">
        <v>1339</v>
      </c>
      <c r="AD233" t="s">
        <v>3198</v>
      </c>
    </row>
    <row r="234" spans="1:37">
      <c r="A234" s="1">
        <v>234</v>
      </c>
      <c r="B234" t="s">
        <v>1414</v>
      </c>
      <c r="C234" s="2">
        <v>43794</v>
      </c>
      <c r="D234" t="s">
        <v>2120</v>
      </c>
      <c r="E234" t="s">
        <v>3270</v>
      </c>
      <c r="F234" t="s">
        <v>3271</v>
      </c>
      <c r="G234" s="6" t="s">
        <v>221</v>
      </c>
      <c r="H234" t="s">
        <v>34</v>
      </c>
      <c r="I234">
        <v>607241211</v>
      </c>
      <c r="K234" t="s">
        <v>2120</v>
      </c>
      <c r="L234" s="3">
        <v>43799</v>
      </c>
      <c r="M234" t="s">
        <v>35</v>
      </c>
      <c r="N234" s="14" t="s">
        <v>2123</v>
      </c>
      <c r="O234" s="9">
        <v>60</v>
      </c>
      <c r="P234" s="1">
        <v>1</v>
      </c>
      <c r="Q234" s="69">
        <v>0.21</v>
      </c>
      <c r="R234" s="7">
        <v>0</v>
      </c>
      <c r="S234" t="s">
        <v>36</v>
      </c>
      <c r="T234" s="95">
        <f t="shared" si="3"/>
        <v>72.599999999999994</v>
      </c>
      <c r="U234" s="1" t="s">
        <v>2124</v>
      </c>
      <c r="V234" s="5" t="s">
        <v>3272</v>
      </c>
      <c r="W234" s="3">
        <v>35040</v>
      </c>
      <c r="X234" s="2">
        <v>43794</v>
      </c>
      <c r="Y234" s="13" t="s">
        <v>3724</v>
      </c>
      <c r="Z234" s="2">
        <v>43906</v>
      </c>
      <c r="AA234" s="78" t="s">
        <v>1339</v>
      </c>
      <c r="AB234" t="s">
        <v>3296</v>
      </c>
      <c r="AC234" s="124">
        <v>43840</v>
      </c>
      <c r="AD234" t="s">
        <v>3198</v>
      </c>
    </row>
    <row r="235" spans="1:37">
      <c r="A235" s="1">
        <v>235</v>
      </c>
      <c r="B235" t="s">
        <v>40</v>
      </c>
      <c r="C235" s="2">
        <v>43797</v>
      </c>
      <c r="D235" t="s">
        <v>1306</v>
      </c>
      <c r="E235" t="s">
        <v>1307</v>
      </c>
      <c r="F235" t="s">
        <v>3278</v>
      </c>
      <c r="G235" s="6" t="s">
        <v>221</v>
      </c>
      <c r="H235" t="s">
        <v>34</v>
      </c>
      <c r="I235" t="s">
        <v>3279</v>
      </c>
      <c r="K235" t="s">
        <v>1306</v>
      </c>
      <c r="L235" s="3">
        <v>43799</v>
      </c>
      <c r="M235" t="s">
        <v>35</v>
      </c>
      <c r="N235" s="14" t="s">
        <v>3280</v>
      </c>
      <c r="O235" s="9">
        <v>60</v>
      </c>
      <c r="P235" s="1">
        <v>1</v>
      </c>
      <c r="Q235" s="69">
        <v>0.21</v>
      </c>
      <c r="R235" s="7">
        <v>0</v>
      </c>
      <c r="S235" t="s">
        <v>36</v>
      </c>
      <c r="T235" s="95">
        <f t="shared" si="3"/>
        <v>72.599999999999994</v>
      </c>
      <c r="U235" s="1" t="s">
        <v>3281</v>
      </c>
      <c r="V235" s="5" t="s">
        <v>3282</v>
      </c>
      <c r="W235" s="3">
        <v>33637</v>
      </c>
      <c r="X235" s="2">
        <v>43797</v>
      </c>
      <c r="Y235" s="13" t="s">
        <v>3642</v>
      </c>
      <c r="Z235" s="2">
        <v>43887</v>
      </c>
      <c r="AA235" s="79" t="s">
        <v>1339</v>
      </c>
      <c r="AB235" t="s">
        <v>3643</v>
      </c>
      <c r="AD235" t="s">
        <v>3198</v>
      </c>
    </row>
    <row r="236" spans="1:37">
      <c r="A236" s="1">
        <v>236</v>
      </c>
      <c r="B236" t="s">
        <v>1414</v>
      </c>
      <c r="C236" s="2">
        <v>43797</v>
      </c>
      <c r="D236" t="s">
        <v>2776</v>
      </c>
      <c r="E236" t="s">
        <v>997</v>
      </c>
      <c r="F236" t="s">
        <v>998</v>
      </c>
      <c r="G236" s="6" t="s">
        <v>230</v>
      </c>
      <c r="H236" t="s">
        <v>3283</v>
      </c>
      <c r="I236">
        <v>6539155166</v>
      </c>
      <c r="K236" t="s">
        <v>2776</v>
      </c>
      <c r="L236" s="3">
        <v>43799</v>
      </c>
      <c r="M236" t="s">
        <v>35</v>
      </c>
      <c r="N236" s="14" t="s">
        <v>3284</v>
      </c>
      <c r="O236" s="9">
        <v>60</v>
      </c>
      <c r="P236" s="1">
        <v>1</v>
      </c>
      <c r="Q236" s="69">
        <v>0.21</v>
      </c>
      <c r="R236" s="7">
        <v>0</v>
      </c>
      <c r="S236" t="s">
        <v>36</v>
      </c>
      <c r="T236" s="95">
        <f t="shared" si="3"/>
        <v>72.599999999999994</v>
      </c>
      <c r="U236" s="1" t="s">
        <v>3285</v>
      </c>
      <c r="V236" s="5" t="s">
        <v>3286</v>
      </c>
      <c r="W236" s="3">
        <v>34580</v>
      </c>
      <c r="X236" s="2">
        <v>43797</v>
      </c>
      <c r="Y236" s="11" t="s">
        <v>3315</v>
      </c>
      <c r="Z236" s="2">
        <v>43812</v>
      </c>
      <c r="AA236" s="79" t="s">
        <v>1339</v>
      </c>
      <c r="AD236" t="s">
        <v>3198</v>
      </c>
    </row>
    <row r="237" spans="1:37">
      <c r="A237" s="1">
        <v>237</v>
      </c>
      <c r="B237" t="s">
        <v>45</v>
      </c>
      <c r="C237" s="2">
        <v>43797</v>
      </c>
      <c r="D237" t="s">
        <v>3287</v>
      </c>
      <c r="E237" t="s">
        <v>3288</v>
      </c>
      <c r="F237" t="s">
        <v>2696</v>
      </c>
      <c r="G237" s="6" t="s">
        <v>236</v>
      </c>
      <c r="H237" t="s">
        <v>3283</v>
      </c>
      <c r="I237">
        <v>615165042</v>
      </c>
      <c r="K237" t="s">
        <v>3287</v>
      </c>
      <c r="L237" s="3">
        <v>43799</v>
      </c>
      <c r="M237" t="s">
        <v>35</v>
      </c>
      <c r="N237" s="14" t="s">
        <v>3289</v>
      </c>
      <c r="O237" s="9">
        <v>60</v>
      </c>
      <c r="P237" s="1">
        <v>1</v>
      </c>
      <c r="Q237" s="69">
        <v>0.21</v>
      </c>
      <c r="R237" s="7">
        <v>0</v>
      </c>
      <c r="S237" t="s">
        <v>36</v>
      </c>
      <c r="T237" s="95">
        <f t="shared" si="3"/>
        <v>72.599999999999994</v>
      </c>
      <c r="U237" s="1" t="s">
        <v>3290</v>
      </c>
      <c r="V237" s="5" t="s">
        <v>3291</v>
      </c>
      <c r="W237" s="3">
        <v>32402</v>
      </c>
      <c r="X237" s="2">
        <v>43797</v>
      </c>
      <c r="Y237" s="11" t="s">
        <v>3342</v>
      </c>
      <c r="Z237" s="2">
        <v>43821</v>
      </c>
      <c r="AA237" s="79" t="s">
        <v>1339</v>
      </c>
      <c r="AD237" t="s">
        <v>3198</v>
      </c>
    </row>
    <row r="238" spans="1:37">
      <c r="A238" s="1">
        <v>238</v>
      </c>
      <c r="B238" t="s">
        <v>2575</v>
      </c>
      <c r="C238" s="2">
        <v>43803</v>
      </c>
      <c r="D238" t="s">
        <v>2576</v>
      </c>
      <c r="E238" s="14" t="s">
        <v>2577</v>
      </c>
      <c r="F238" t="s">
        <v>2578</v>
      </c>
      <c r="G238" s="6" t="s">
        <v>2579</v>
      </c>
      <c r="H238" t="s">
        <v>2580</v>
      </c>
      <c r="K238" t="s">
        <v>2576</v>
      </c>
      <c r="L238" s="10">
        <v>43830</v>
      </c>
      <c r="M238" t="s">
        <v>35</v>
      </c>
      <c r="N238" t="s">
        <v>3292</v>
      </c>
      <c r="O238" s="7">
        <v>41.32</v>
      </c>
      <c r="P238" s="1">
        <v>1</v>
      </c>
      <c r="Q238" s="69">
        <v>0.21</v>
      </c>
      <c r="R238" s="7">
        <v>0</v>
      </c>
      <c r="S238" t="s">
        <v>36</v>
      </c>
      <c r="T238" s="95">
        <v>50</v>
      </c>
      <c r="U238" s="1" t="s">
        <v>3293</v>
      </c>
      <c r="W238" s="3">
        <v>35884</v>
      </c>
      <c r="X238" s="2">
        <v>43803</v>
      </c>
      <c r="Y238" s="11" t="s">
        <v>151</v>
      </c>
      <c r="AD238" t="s">
        <v>3198</v>
      </c>
    </row>
    <row r="239" spans="1:37">
      <c r="A239" s="1">
        <v>239</v>
      </c>
      <c r="B239" t="s">
        <v>2575</v>
      </c>
      <c r="C239" s="2">
        <v>43803</v>
      </c>
      <c r="D239" t="s">
        <v>2576</v>
      </c>
      <c r="E239" s="14" t="s">
        <v>2577</v>
      </c>
      <c r="F239" t="s">
        <v>2578</v>
      </c>
      <c r="G239" s="6" t="s">
        <v>2579</v>
      </c>
      <c r="H239" t="s">
        <v>2580</v>
      </c>
      <c r="K239" t="s">
        <v>2576</v>
      </c>
      <c r="L239" s="10">
        <v>43830</v>
      </c>
      <c r="M239" t="s">
        <v>35</v>
      </c>
      <c r="N239" t="s">
        <v>3294</v>
      </c>
      <c r="O239" s="7">
        <v>41.32</v>
      </c>
      <c r="P239" s="1">
        <v>1</v>
      </c>
      <c r="Q239" s="69">
        <v>0.21</v>
      </c>
      <c r="R239" s="7">
        <v>0</v>
      </c>
      <c r="S239" t="s">
        <v>36</v>
      </c>
      <c r="T239" s="95">
        <v>50</v>
      </c>
      <c r="U239" s="1" t="s">
        <v>3295</v>
      </c>
      <c r="W239" s="3">
        <v>26841</v>
      </c>
      <c r="X239" s="2">
        <v>43803</v>
      </c>
      <c r="Y239" s="11" t="s">
        <v>151</v>
      </c>
      <c r="AD239" t="s">
        <v>3198</v>
      </c>
    </row>
    <row r="240" spans="1:37">
      <c r="A240" s="1">
        <v>240</v>
      </c>
      <c r="B240" t="s">
        <v>59</v>
      </c>
      <c r="C240" s="2">
        <v>43804</v>
      </c>
      <c r="D240" t="s">
        <v>3298</v>
      </c>
      <c r="E240" t="s">
        <v>2047</v>
      </c>
      <c r="F240" t="s">
        <v>3297</v>
      </c>
      <c r="G240" s="6" t="s">
        <v>294</v>
      </c>
      <c r="H240" t="s">
        <v>86</v>
      </c>
      <c r="K240" t="s">
        <v>2046</v>
      </c>
      <c r="L240" s="3">
        <v>43830</v>
      </c>
      <c r="M240" t="s">
        <v>35</v>
      </c>
      <c r="N240" s="14" t="s">
        <v>3299</v>
      </c>
      <c r="O240" s="7">
        <v>30</v>
      </c>
      <c r="P240" s="8">
        <v>1</v>
      </c>
      <c r="Q240" s="58">
        <v>0.21</v>
      </c>
      <c r="R240" s="7">
        <v>0</v>
      </c>
      <c r="S240" s="8" t="s">
        <v>36</v>
      </c>
      <c r="T240" s="126">
        <v>36.299999999999997</v>
      </c>
      <c r="U240" s="8" t="s">
        <v>2050</v>
      </c>
      <c r="V240" s="75" t="s">
        <v>3300</v>
      </c>
      <c r="W240" s="74">
        <v>28796</v>
      </c>
      <c r="X240" s="74">
        <v>43804</v>
      </c>
      <c r="Y240" s="11" t="s">
        <v>3506</v>
      </c>
      <c r="Z240" s="2">
        <v>43858</v>
      </c>
      <c r="AA240" s="80" t="s">
        <v>1339</v>
      </c>
      <c r="AD240" t="s">
        <v>3198</v>
      </c>
    </row>
    <row r="241" spans="1:37">
      <c r="A241" s="1">
        <v>241</v>
      </c>
      <c r="B241" t="s">
        <v>52</v>
      </c>
      <c r="C241" s="2">
        <v>43810</v>
      </c>
      <c r="D241" s="31" t="s">
        <v>458</v>
      </c>
      <c r="E241" t="s">
        <v>84</v>
      </c>
      <c r="F241" s="31" t="s">
        <v>138</v>
      </c>
      <c r="G241" s="33" t="s">
        <v>227</v>
      </c>
      <c r="H241" s="31" t="s">
        <v>203</v>
      </c>
      <c r="I241" s="31"/>
      <c r="J241" s="31"/>
      <c r="K241" s="31" t="s">
        <v>53</v>
      </c>
      <c r="L241" s="34">
        <v>43830</v>
      </c>
      <c r="M241" s="31" t="s">
        <v>35</v>
      </c>
      <c r="N241" t="s">
        <v>3305</v>
      </c>
      <c r="O241" s="7">
        <v>41.32</v>
      </c>
      <c r="P241" s="8">
        <v>1</v>
      </c>
      <c r="Q241" s="58">
        <v>0.21</v>
      </c>
      <c r="R241" s="7">
        <v>0</v>
      </c>
      <c r="S241" s="8" t="s">
        <v>36</v>
      </c>
      <c r="T241" s="95">
        <v>50</v>
      </c>
      <c r="U241" s="1" t="s">
        <v>3306</v>
      </c>
      <c r="W241" s="3">
        <v>25707</v>
      </c>
      <c r="X241" s="2">
        <v>43810</v>
      </c>
      <c r="Y241" s="11" t="s">
        <v>151</v>
      </c>
    </row>
    <row r="242" spans="1:37">
      <c r="A242" s="1">
        <v>242</v>
      </c>
      <c r="B242" t="s">
        <v>52</v>
      </c>
      <c r="C242" s="2">
        <v>43810</v>
      </c>
      <c r="D242" s="31" t="s">
        <v>458</v>
      </c>
      <c r="E242" t="s">
        <v>84</v>
      </c>
      <c r="F242" s="31" t="s">
        <v>138</v>
      </c>
      <c r="G242" s="33" t="s">
        <v>227</v>
      </c>
      <c r="H242" s="31" t="s">
        <v>203</v>
      </c>
      <c r="I242" s="31"/>
      <c r="J242" s="31"/>
      <c r="K242" s="31" t="s">
        <v>53</v>
      </c>
      <c r="L242" s="34">
        <v>43830</v>
      </c>
      <c r="M242" s="31" t="s">
        <v>35</v>
      </c>
      <c r="N242" t="s">
        <v>3307</v>
      </c>
      <c r="O242" s="7">
        <v>41.32</v>
      </c>
      <c r="P242" s="8">
        <v>1</v>
      </c>
      <c r="Q242" s="58">
        <v>0.21</v>
      </c>
      <c r="R242" s="7">
        <v>0</v>
      </c>
      <c r="S242" s="8" t="s">
        <v>36</v>
      </c>
      <c r="T242" s="95">
        <v>50</v>
      </c>
      <c r="U242" s="1" t="s">
        <v>3310</v>
      </c>
      <c r="W242" s="3">
        <v>36353</v>
      </c>
      <c r="X242" s="2">
        <v>43810</v>
      </c>
      <c r="Y242" s="11" t="s">
        <v>3311</v>
      </c>
    </row>
    <row r="243" spans="1:37">
      <c r="A243" s="1">
        <v>243</v>
      </c>
      <c r="B243" t="s">
        <v>52</v>
      </c>
      <c r="C243" s="2">
        <v>43810</v>
      </c>
      <c r="D243" s="31" t="s">
        <v>458</v>
      </c>
      <c r="E243" t="s">
        <v>84</v>
      </c>
      <c r="F243" s="31" t="s">
        <v>138</v>
      </c>
      <c r="G243" s="33" t="s">
        <v>227</v>
      </c>
      <c r="H243" s="31" t="s">
        <v>203</v>
      </c>
      <c r="I243" s="31"/>
      <c r="J243" s="31"/>
      <c r="K243" s="31" t="s">
        <v>53</v>
      </c>
      <c r="L243" s="34">
        <v>43830</v>
      </c>
      <c r="M243" s="31" t="s">
        <v>35</v>
      </c>
      <c r="N243" t="s">
        <v>3308</v>
      </c>
      <c r="O243" s="7">
        <v>41.32</v>
      </c>
      <c r="P243" s="8">
        <v>1</v>
      </c>
      <c r="Q243" s="58">
        <v>0.21</v>
      </c>
      <c r="R243" s="7">
        <v>0</v>
      </c>
      <c r="S243" s="8" t="s">
        <v>36</v>
      </c>
      <c r="T243" s="95">
        <v>50</v>
      </c>
      <c r="U243" s="1" t="s">
        <v>3309</v>
      </c>
      <c r="W243" s="3">
        <v>25228</v>
      </c>
      <c r="X243" s="2">
        <v>43810</v>
      </c>
      <c r="Y243" s="11" t="s">
        <v>151</v>
      </c>
    </row>
    <row r="244" spans="1:37">
      <c r="A244" s="1">
        <v>244</v>
      </c>
      <c r="B244" t="s">
        <v>52</v>
      </c>
      <c r="C244" s="2">
        <v>43811</v>
      </c>
      <c r="D244" s="31" t="s">
        <v>458</v>
      </c>
      <c r="E244" t="s">
        <v>84</v>
      </c>
      <c r="F244" s="31" t="s">
        <v>138</v>
      </c>
      <c r="G244" s="33" t="s">
        <v>227</v>
      </c>
      <c r="H244" s="31" t="s">
        <v>203</v>
      </c>
      <c r="I244" s="31"/>
      <c r="J244" s="31"/>
      <c r="K244" s="31" t="s">
        <v>53</v>
      </c>
      <c r="L244" s="34">
        <v>43830</v>
      </c>
      <c r="M244" s="31" t="s">
        <v>35</v>
      </c>
      <c r="N244" s="14" t="s">
        <v>3312</v>
      </c>
      <c r="O244" s="7">
        <v>60</v>
      </c>
      <c r="P244" s="8">
        <v>1</v>
      </c>
      <c r="Q244" s="58">
        <v>0.21</v>
      </c>
      <c r="R244" s="7">
        <v>0</v>
      </c>
      <c r="S244" s="8" t="s">
        <v>36</v>
      </c>
      <c r="T244" s="95">
        <v>72.599999999999994</v>
      </c>
      <c r="U244" s="1" t="s">
        <v>3313</v>
      </c>
      <c r="V244" s="5" t="s">
        <v>3314</v>
      </c>
      <c r="W244" s="3">
        <v>37256</v>
      </c>
      <c r="X244" s="2">
        <v>43811</v>
      </c>
      <c r="Y244" s="13" t="s">
        <v>3734</v>
      </c>
      <c r="Z244" s="2">
        <v>43922</v>
      </c>
      <c r="AA244" s="80"/>
      <c r="AB244" t="s">
        <v>3296</v>
      </c>
      <c r="AC244" s="127">
        <v>43893</v>
      </c>
      <c r="AD244" t="s">
        <v>3198</v>
      </c>
      <c r="AG244" t="s">
        <v>3320</v>
      </c>
      <c r="AH244" s="3">
        <v>43812</v>
      </c>
      <c r="AI244" s="3">
        <v>43824</v>
      </c>
      <c r="AK244" s="3">
        <v>43817</v>
      </c>
    </row>
    <row r="245" spans="1:37">
      <c r="A245" s="1">
        <v>245</v>
      </c>
      <c r="B245" t="s">
        <v>52</v>
      </c>
      <c r="C245" s="2">
        <v>43812</v>
      </c>
      <c r="D245" s="31" t="s">
        <v>256</v>
      </c>
      <c r="E245" s="31" t="s">
        <v>155</v>
      </c>
      <c r="F245" s="31" t="s">
        <v>138</v>
      </c>
      <c r="G245" s="33" t="s">
        <v>227</v>
      </c>
      <c r="H245" s="31" t="s">
        <v>203</v>
      </c>
      <c r="I245" s="31">
        <v>631130911</v>
      </c>
      <c r="J245" s="31"/>
      <c r="K245" s="31" t="s">
        <v>53</v>
      </c>
      <c r="L245" s="34">
        <v>43830</v>
      </c>
      <c r="M245" s="31" t="s">
        <v>35</v>
      </c>
      <c r="N245" t="s">
        <v>3321</v>
      </c>
      <c r="O245" s="7">
        <v>41.32</v>
      </c>
      <c r="P245" s="8">
        <v>1</v>
      </c>
      <c r="Q245" s="58">
        <v>0.21</v>
      </c>
      <c r="R245" s="7">
        <v>0</v>
      </c>
      <c r="S245" s="8" t="s">
        <v>36</v>
      </c>
      <c r="T245" s="95">
        <v>50</v>
      </c>
      <c r="U245" s="1" t="s">
        <v>3322</v>
      </c>
      <c r="W245" s="3">
        <v>37063</v>
      </c>
      <c r="X245" s="2">
        <v>43812</v>
      </c>
      <c r="Y245" s="11" t="s">
        <v>151</v>
      </c>
    </row>
    <row r="246" spans="1:37">
      <c r="A246" s="1">
        <v>246</v>
      </c>
      <c r="B246" t="s">
        <v>52</v>
      </c>
      <c r="C246" s="2">
        <v>43812</v>
      </c>
      <c r="D246" s="31" t="s">
        <v>256</v>
      </c>
      <c r="E246" s="31" t="s">
        <v>155</v>
      </c>
      <c r="F246" s="31" t="s">
        <v>138</v>
      </c>
      <c r="G246" s="33" t="s">
        <v>227</v>
      </c>
      <c r="H246" s="31" t="s">
        <v>203</v>
      </c>
      <c r="I246" s="31">
        <v>631130911</v>
      </c>
      <c r="J246" s="31"/>
      <c r="K246" s="31" t="s">
        <v>53</v>
      </c>
      <c r="L246" s="34">
        <v>43830</v>
      </c>
      <c r="M246" s="31" t="s">
        <v>35</v>
      </c>
      <c r="N246" t="s">
        <v>3323</v>
      </c>
      <c r="O246" s="7">
        <v>41.32</v>
      </c>
      <c r="P246" s="8">
        <v>1</v>
      </c>
      <c r="Q246" s="58">
        <v>0.21</v>
      </c>
      <c r="R246" s="7">
        <v>0</v>
      </c>
      <c r="S246" s="8" t="s">
        <v>36</v>
      </c>
      <c r="T246" s="95">
        <v>50</v>
      </c>
      <c r="U246" s="1" t="s">
        <v>3324</v>
      </c>
      <c r="W246" s="3">
        <v>33945</v>
      </c>
      <c r="X246" s="2">
        <v>43812</v>
      </c>
      <c r="Y246" s="11" t="s">
        <v>151</v>
      </c>
    </row>
    <row r="247" spans="1:37">
      <c r="A247" s="1">
        <v>247</v>
      </c>
      <c r="B247" t="s">
        <v>52</v>
      </c>
      <c r="C247" s="2">
        <v>43812</v>
      </c>
      <c r="D247" s="31" t="s">
        <v>256</v>
      </c>
      <c r="E247" s="31" t="s">
        <v>155</v>
      </c>
      <c r="F247" s="31" t="s">
        <v>138</v>
      </c>
      <c r="G247" s="33" t="s">
        <v>227</v>
      </c>
      <c r="H247" s="31" t="s">
        <v>203</v>
      </c>
      <c r="I247" s="31">
        <v>631130911</v>
      </c>
      <c r="J247" s="31"/>
      <c r="K247" s="31" t="s">
        <v>53</v>
      </c>
      <c r="L247" s="34">
        <v>43830</v>
      </c>
      <c r="M247" s="31" t="s">
        <v>35</v>
      </c>
      <c r="N247" t="s">
        <v>3325</v>
      </c>
      <c r="O247" s="7">
        <v>41.32</v>
      </c>
      <c r="P247" s="8">
        <v>1</v>
      </c>
      <c r="Q247" s="58">
        <v>0.21</v>
      </c>
      <c r="R247" s="7">
        <v>0</v>
      </c>
      <c r="S247" s="8" t="s">
        <v>36</v>
      </c>
      <c r="T247" s="95">
        <v>50</v>
      </c>
      <c r="U247" s="1" t="s">
        <v>3326</v>
      </c>
      <c r="W247" s="3">
        <v>37029</v>
      </c>
      <c r="X247" s="2">
        <v>43812</v>
      </c>
      <c r="Y247" s="11" t="s">
        <v>151</v>
      </c>
    </row>
    <row r="248" spans="1:37">
      <c r="A248" s="1">
        <v>248</v>
      </c>
      <c r="B248" t="s">
        <v>33</v>
      </c>
      <c r="C248" s="2">
        <v>43812</v>
      </c>
      <c r="D248" t="s">
        <v>3327</v>
      </c>
      <c r="E248" t="s">
        <v>3328</v>
      </c>
      <c r="F248" t="s">
        <v>3329</v>
      </c>
      <c r="G248" s="6" t="s">
        <v>304</v>
      </c>
      <c r="H248" t="s">
        <v>68</v>
      </c>
      <c r="I248" t="s">
        <v>3330</v>
      </c>
      <c r="K248" s="31" t="s">
        <v>237</v>
      </c>
      <c r="L248" s="34">
        <v>43830</v>
      </c>
      <c r="M248" s="31" t="s">
        <v>35</v>
      </c>
      <c r="N248" s="14" t="s">
        <v>3331</v>
      </c>
      <c r="O248" s="9">
        <v>60</v>
      </c>
      <c r="P248" s="1">
        <v>1</v>
      </c>
      <c r="Q248" s="69">
        <v>0.21</v>
      </c>
      <c r="R248" s="7">
        <v>0</v>
      </c>
      <c r="S248" t="s">
        <v>36</v>
      </c>
      <c r="T248" s="95">
        <f>(O248*P248)*Q248+O248*P248</f>
        <v>72.599999999999994</v>
      </c>
      <c r="U248" s="1" t="s">
        <v>3332</v>
      </c>
      <c r="V248" s="5" t="s">
        <v>3333</v>
      </c>
      <c r="W248" s="3">
        <v>31124</v>
      </c>
      <c r="X248" s="2">
        <v>43812</v>
      </c>
      <c r="Y248" s="11" t="s">
        <v>3685</v>
      </c>
      <c r="Z248" s="2">
        <v>43896</v>
      </c>
      <c r="AA248" s="80" t="s">
        <v>1339</v>
      </c>
      <c r="AD248" t="s">
        <v>3198</v>
      </c>
      <c r="AE248" t="s">
        <v>3384</v>
      </c>
      <c r="AG248" t="s">
        <v>3334</v>
      </c>
      <c r="AH248" s="3">
        <v>43812</v>
      </c>
      <c r="AI248" s="3">
        <v>43824</v>
      </c>
      <c r="AK248" s="3">
        <v>43819</v>
      </c>
    </row>
    <row r="249" spans="1:37">
      <c r="A249" s="1">
        <v>249</v>
      </c>
      <c r="B249" t="s">
        <v>119</v>
      </c>
      <c r="C249" s="2">
        <v>43812</v>
      </c>
      <c r="D249" t="s">
        <v>3335</v>
      </c>
      <c r="E249" t="s">
        <v>3336</v>
      </c>
      <c r="F249" t="s">
        <v>3337</v>
      </c>
      <c r="G249" s="6" t="s">
        <v>239</v>
      </c>
      <c r="H249" t="s">
        <v>3338</v>
      </c>
      <c r="I249">
        <v>670828054</v>
      </c>
      <c r="K249" s="31" t="s">
        <v>174</v>
      </c>
      <c r="L249" s="34">
        <v>43830</v>
      </c>
      <c r="M249" s="31" t="s">
        <v>35</v>
      </c>
      <c r="N249" s="14" t="s">
        <v>3339</v>
      </c>
      <c r="O249" s="9">
        <v>60</v>
      </c>
      <c r="P249" s="1">
        <v>1</v>
      </c>
      <c r="Q249" s="69">
        <v>0.21</v>
      </c>
      <c r="R249" s="7">
        <v>0</v>
      </c>
      <c r="S249" t="s">
        <v>36</v>
      </c>
      <c r="T249" s="95">
        <f>(O249*P249)*Q249+O249*P249</f>
        <v>72.599999999999994</v>
      </c>
      <c r="U249" s="1" t="s">
        <v>3340</v>
      </c>
      <c r="V249" s="5" t="s">
        <v>3341</v>
      </c>
      <c r="W249" s="3">
        <v>31048</v>
      </c>
      <c r="X249" s="2">
        <v>43812</v>
      </c>
      <c r="Y249" s="11" t="s">
        <v>3512</v>
      </c>
      <c r="Z249" s="2">
        <v>43864</v>
      </c>
      <c r="AA249" s="80" t="s">
        <v>1339</v>
      </c>
      <c r="AD249" t="s">
        <v>3198</v>
      </c>
    </row>
    <row r="250" spans="1:37">
      <c r="A250" s="1">
        <v>250</v>
      </c>
      <c r="B250" t="s">
        <v>37</v>
      </c>
      <c r="C250" s="2">
        <v>43818</v>
      </c>
      <c r="D250" t="s">
        <v>3346</v>
      </c>
      <c r="E250" t="s">
        <v>3347</v>
      </c>
      <c r="F250" t="s">
        <v>267</v>
      </c>
      <c r="G250" s="6" t="s">
        <v>238</v>
      </c>
      <c r="H250" t="s">
        <v>48</v>
      </c>
      <c r="I250">
        <v>631017685</v>
      </c>
      <c r="K250" t="s">
        <v>3346</v>
      </c>
      <c r="L250" s="3">
        <v>43830</v>
      </c>
      <c r="M250" t="s">
        <v>35</v>
      </c>
      <c r="N250" s="14" t="s">
        <v>3348</v>
      </c>
      <c r="O250" s="9">
        <v>60</v>
      </c>
      <c r="P250" s="1">
        <v>1</v>
      </c>
      <c r="Q250" s="69">
        <v>0.21</v>
      </c>
      <c r="R250" s="7">
        <v>0</v>
      </c>
      <c r="S250" t="s">
        <v>36</v>
      </c>
      <c r="T250" s="95">
        <f>(O250*P250)*Q250+O250*P250</f>
        <v>72.599999999999994</v>
      </c>
      <c r="U250" s="1" t="s">
        <v>3346</v>
      </c>
      <c r="V250" s="5" t="s">
        <v>3349</v>
      </c>
      <c r="W250" s="3">
        <v>31872</v>
      </c>
      <c r="X250" s="2">
        <v>43818</v>
      </c>
      <c r="Y250" s="11" t="s">
        <v>3728</v>
      </c>
      <c r="Z250" s="2">
        <v>43910</v>
      </c>
      <c r="AA250" s="80" t="s">
        <v>1339</v>
      </c>
      <c r="AD250" t="s">
        <v>3198</v>
      </c>
      <c r="AG250" t="s">
        <v>3350</v>
      </c>
      <c r="AH250" s="3">
        <v>43818</v>
      </c>
      <c r="AI250" s="3">
        <v>43830</v>
      </c>
      <c r="AK250" s="3">
        <v>43819</v>
      </c>
    </row>
    <row r="251" spans="1:37">
      <c r="A251" s="1">
        <v>251</v>
      </c>
      <c r="B251" t="s">
        <v>37</v>
      </c>
      <c r="C251" s="2">
        <v>43829</v>
      </c>
      <c r="D251" t="s">
        <v>3353</v>
      </c>
      <c r="E251" t="s">
        <v>3354</v>
      </c>
      <c r="F251" t="s">
        <v>3355</v>
      </c>
      <c r="G251" s="6" t="s">
        <v>1229</v>
      </c>
      <c r="H251" t="s">
        <v>38</v>
      </c>
      <c r="I251">
        <v>631152163</v>
      </c>
      <c r="K251" t="s">
        <v>3353</v>
      </c>
      <c r="L251" s="3">
        <v>43830</v>
      </c>
      <c r="M251" t="s">
        <v>35</v>
      </c>
      <c r="N251" s="14" t="s">
        <v>3356</v>
      </c>
      <c r="O251" s="9">
        <v>60</v>
      </c>
      <c r="P251" s="1">
        <v>1</v>
      </c>
      <c r="Q251" s="69">
        <v>0.21</v>
      </c>
      <c r="R251" s="7">
        <v>0</v>
      </c>
      <c r="S251" t="s">
        <v>36</v>
      </c>
      <c r="T251" s="95">
        <f>(O251*P251)*Q251+O251*P251</f>
        <v>72.599999999999994</v>
      </c>
      <c r="U251" s="1" t="s">
        <v>3358</v>
      </c>
      <c r="V251" s="5" t="s">
        <v>3359</v>
      </c>
      <c r="W251" s="3">
        <v>30682</v>
      </c>
      <c r="X251" s="2">
        <v>43829</v>
      </c>
      <c r="Y251" s="11" t="s">
        <v>3744</v>
      </c>
      <c r="Z251" s="2">
        <v>43943</v>
      </c>
      <c r="AA251" s="80" t="s">
        <v>1339</v>
      </c>
      <c r="AB251" t="s">
        <v>3732</v>
      </c>
      <c r="AC251" s="132">
        <v>43921</v>
      </c>
      <c r="AD251" t="s">
        <v>3198</v>
      </c>
    </row>
    <row r="252" spans="1:37">
      <c r="A252" s="1">
        <v>252</v>
      </c>
      <c r="B252" t="s">
        <v>37</v>
      </c>
      <c r="C252" s="2">
        <v>43829</v>
      </c>
      <c r="D252" t="s">
        <v>3353</v>
      </c>
      <c r="E252" t="s">
        <v>3354</v>
      </c>
      <c r="F252" t="s">
        <v>3355</v>
      </c>
      <c r="G252" s="6" t="s">
        <v>1229</v>
      </c>
      <c r="H252" t="s">
        <v>38</v>
      </c>
      <c r="I252">
        <v>631152163</v>
      </c>
      <c r="K252" t="s">
        <v>3353</v>
      </c>
      <c r="L252" s="3">
        <v>43830</v>
      </c>
      <c r="M252" t="s">
        <v>35</v>
      </c>
      <c r="N252" s="14" t="s">
        <v>3357</v>
      </c>
      <c r="O252" s="9">
        <v>60</v>
      </c>
      <c r="P252" s="1">
        <v>1</v>
      </c>
      <c r="Q252" s="69">
        <v>0.21</v>
      </c>
      <c r="R252" s="7">
        <v>0</v>
      </c>
      <c r="S252" t="s">
        <v>36</v>
      </c>
      <c r="T252" s="95">
        <f>(O252*P252)*Q252+O252*P252</f>
        <v>72.599999999999994</v>
      </c>
      <c r="U252" s="1" t="s">
        <v>3360</v>
      </c>
      <c r="V252" s="5" t="s">
        <v>3361</v>
      </c>
      <c r="W252" s="3">
        <v>38549</v>
      </c>
      <c r="X252" s="2">
        <v>43829</v>
      </c>
      <c r="Y252" s="11" t="s">
        <v>3744</v>
      </c>
      <c r="Z252" s="2">
        <v>43943</v>
      </c>
      <c r="AA252" s="80" t="s">
        <v>1339</v>
      </c>
      <c r="AB252" t="s">
        <v>3732</v>
      </c>
      <c r="AC252" s="132">
        <v>43921</v>
      </c>
      <c r="AD252" t="s">
        <v>3198</v>
      </c>
    </row>
  </sheetData>
  <autoFilter ref="A1:AM252" xr:uid="{00000000-0009-0000-0000-000002000000}"/>
  <phoneticPr fontId="14" type="noConversion"/>
  <pageMargins left="0.15748031496062992" right="0.15748031496062992" top="0.74803149606299213" bottom="0.74803149606299213" header="0.31496062992125984" footer="0.31496062992125984"/>
  <pageSetup paperSize="9" scale="1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AN279"/>
  <sheetViews>
    <sheetView topLeftCell="E1" zoomScale="85" zoomScaleNormal="85" workbookViewId="0">
      <pane ySplit="1" topLeftCell="A47" activePane="bottomLeft" state="frozen"/>
      <selection activeCell="F50" sqref="F50"/>
      <selection pane="bottomLeft" activeCell="E67" sqref="E67"/>
    </sheetView>
  </sheetViews>
  <sheetFormatPr baseColWidth="10" defaultRowHeight="15"/>
  <cols>
    <col min="1" max="1" width="4.85546875" style="1" customWidth="1"/>
    <col min="2" max="2" width="28.5703125" customWidth="1"/>
    <col min="3" max="4" width="11.42578125" style="1"/>
    <col min="5" max="5" width="42.140625" style="61" bestFit="1" customWidth="1"/>
    <col min="6" max="6" width="39.5703125" style="61" bestFit="1" customWidth="1"/>
    <col min="7" max="7" width="11.42578125" style="1"/>
    <col min="8" max="8" width="18.140625" bestFit="1" customWidth="1"/>
    <col min="9" max="9" width="11.42578125" style="1"/>
    <col min="13" max="13" width="30.42578125" bestFit="1" customWidth="1"/>
    <col min="14" max="14" width="60" customWidth="1"/>
    <col min="15" max="15" width="8.5703125" style="92" customWidth="1"/>
    <col min="16" max="16" width="8.42578125" style="1" customWidth="1"/>
    <col min="17" max="18" width="11.42578125" style="1"/>
    <col min="19" max="19" width="15.85546875" bestFit="1" customWidth="1"/>
    <col min="20" max="20" width="11.85546875" style="95" bestFit="1" customWidth="1"/>
    <col min="21" max="21" width="11.42578125" style="1"/>
    <col min="22" max="22" width="21.5703125" style="87" bestFit="1" customWidth="1"/>
    <col min="23" max="24" width="11.42578125" style="1"/>
    <col min="25" max="25" width="24.5703125" customWidth="1"/>
    <col min="31" max="31" width="27.140625" customWidth="1"/>
    <col min="33" max="33" width="19.7109375" style="1" customWidth="1"/>
    <col min="34" max="35" width="11.42578125" style="1"/>
    <col min="37" max="37" width="11.42578125" style="1"/>
  </cols>
  <sheetData>
    <row r="1" spans="1:39" ht="45">
      <c r="A1" s="65"/>
      <c r="B1" s="16" t="s">
        <v>0</v>
      </c>
      <c r="C1" s="83" t="s">
        <v>1</v>
      </c>
      <c r="D1" s="18" t="s">
        <v>2</v>
      </c>
      <c r="E1" s="88" t="s">
        <v>3</v>
      </c>
      <c r="F1" s="88" t="s">
        <v>4</v>
      </c>
      <c r="G1" s="19" t="s">
        <v>5</v>
      </c>
      <c r="H1" s="18" t="s">
        <v>6</v>
      </c>
      <c r="I1" s="18" t="s">
        <v>7</v>
      </c>
      <c r="J1" s="18" t="s">
        <v>8</v>
      </c>
      <c r="K1" s="145" t="s">
        <v>9</v>
      </c>
      <c r="L1" s="20" t="s">
        <v>10</v>
      </c>
      <c r="M1" s="18" t="s">
        <v>11</v>
      </c>
      <c r="N1" s="21" t="s">
        <v>12</v>
      </c>
      <c r="O1" s="91" t="s">
        <v>13</v>
      </c>
      <c r="P1" s="18" t="s">
        <v>14</v>
      </c>
      <c r="Q1" s="23" t="s">
        <v>15</v>
      </c>
      <c r="R1" s="24" t="s">
        <v>16</v>
      </c>
      <c r="S1" s="18" t="s">
        <v>17</v>
      </c>
      <c r="T1" s="84" t="s">
        <v>18</v>
      </c>
      <c r="U1" s="25" t="s">
        <v>19</v>
      </c>
      <c r="V1" s="86" t="s">
        <v>20</v>
      </c>
      <c r="W1" s="27" t="s">
        <v>21</v>
      </c>
      <c r="X1" s="83" t="s">
        <v>1</v>
      </c>
      <c r="Y1" s="25" t="s">
        <v>22</v>
      </c>
      <c r="Z1" s="82" t="s">
        <v>1338</v>
      </c>
      <c r="AA1" s="25" t="s">
        <v>3362</v>
      </c>
      <c r="AB1" s="82" t="s">
        <v>1490</v>
      </c>
      <c r="AC1" s="25" t="s">
        <v>153</v>
      </c>
      <c r="AD1" s="25" t="s">
        <v>218</v>
      </c>
      <c r="AE1" s="94" t="s">
        <v>3382</v>
      </c>
      <c r="AF1" s="25" t="s">
        <v>1359</v>
      </c>
      <c r="AG1" s="25" t="s">
        <v>25</v>
      </c>
      <c r="AH1" s="27" t="s">
        <v>26</v>
      </c>
      <c r="AI1" s="27" t="s">
        <v>27</v>
      </c>
      <c r="AJ1" s="27" t="s">
        <v>28</v>
      </c>
      <c r="AK1" s="27" t="s">
        <v>29</v>
      </c>
      <c r="AL1" s="28" t="s">
        <v>31</v>
      </c>
      <c r="AM1" s="25" t="s">
        <v>32</v>
      </c>
    </row>
    <row r="2" spans="1:39">
      <c r="A2" s="1">
        <v>1</v>
      </c>
      <c r="B2" t="s">
        <v>111</v>
      </c>
      <c r="C2" s="2">
        <v>43833</v>
      </c>
      <c r="D2" s="1" t="s">
        <v>3363</v>
      </c>
      <c r="E2" s="61" t="s">
        <v>222</v>
      </c>
      <c r="F2" s="61" t="s">
        <v>3364</v>
      </c>
      <c r="G2" s="1" t="s">
        <v>220</v>
      </c>
      <c r="H2" s="1" t="s">
        <v>39</v>
      </c>
      <c r="I2" s="1">
        <v>679529127</v>
      </c>
      <c r="J2" s="1"/>
      <c r="K2" t="s">
        <v>3363</v>
      </c>
      <c r="L2" s="2">
        <v>43861</v>
      </c>
      <c r="M2" t="s">
        <v>35</v>
      </c>
      <c r="N2" s="14" t="s">
        <v>3365</v>
      </c>
      <c r="O2" s="92">
        <v>60</v>
      </c>
      <c r="P2" s="1">
        <v>1</v>
      </c>
      <c r="Q2" s="89">
        <v>0.21</v>
      </c>
      <c r="R2" s="9">
        <v>-12.48</v>
      </c>
      <c r="S2" t="s">
        <v>36</v>
      </c>
      <c r="T2" s="95">
        <v>60.12</v>
      </c>
      <c r="U2" s="1" t="s">
        <v>3366</v>
      </c>
      <c r="V2" s="85" t="s">
        <v>3367</v>
      </c>
      <c r="W2" s="2">
        <v>35332</v>
      </c>
      <c r="X2" s="2">
        <v>43833</v>
      </c>
      <c r="Y2" s="11" t="s">
        <v>3728</v>
      </c>
      <c r="Z2" s="3">
        <v>43910</v>
      </c>
      <c r="AA2" s="80" t="s">
        <v>1339</v>
      </c>
      <c r="AD2" t="s">
        <v>3198</v>
      </c>
      <c r="AG2" s="1" t="s">
        <v>3108</v>
      </c>
      <c r="AH2" s="2">
        <v>43833</v>
      </c>
      <c r="AI2" s="2">
        <v>43845</v>
      </c>
      <c r="AK2" s="2">
        <v>43837</v>
      </c>
    </row>
    <row r="3" spans="1:39">
      <c r="A3" s="1">
        <v>2</v>
      </c>
      <c r="B3" t="s">
        <v>37</v>
      </c>
      <c r="C3" s="2">
        <v>43833</v>
      </c>
      <c r="D3" s="1" t="s">
        <v>3368</v>
      </c>
      <c r="E3" s="61" t="s">
        <v>3369</v>
      </c>
      <c r="F3" s="61" t="s">
        <v>3370</v>
      </c>
      <c r="G3" s="6" t="s">
        <v>241</v>
      </c>
      <c r="H3" s="1" t="s">
        <v>60</v>
      </c>
      <c r="I3" s="1">
        <v>631332721</v>
      </c>
      <c r="J3" s="1"/>
      <c r="K3" t="s">
        <v>3368</v>
      </c>
      <c r="L3" s="2">
        <v>43861</v>
      </c>
      <c r="M3" t="s">
        <v>35</v>
      </c>
      <c r="N3" s="14" t="s">
        <v>3371</v>
      </c>
      <c r="O3" s="92">
        <v>60</v>
      </c>
      <c r="P3" s="1">
        <v>1</v>
      </c>
      <c r="Q3" s="89">
        <v>0.21</v>
      </c>
      <c r="R3" s="9">
        <v>0</v>
      </c>
      <c r="S3" t="s">
        <v>36</v>
      </c>
      <c r="T3" s="95">
        <f t="shared" ref="T3:T11" si="0">(O3*P3)*Q3+O3*P3</f>
        <v>72.599999999999994</v>
      </c>
      <c r="U3" s="1" t="s">
        <v>3368</v>
      </c>
      <c r="V3" s="87" t="s">
        <v>3372</v>
      </c>
      <c r="W3" s="2">
        <v>28197</v>
      </c>
      <c r="X3" s="2">
        <v>43833</v>
      </c>
      <c r="Y3" s="11" t="s">
        <v>3757</v>
      </c>
      <c r="Z3" s="3">
        <v>43948</v>
      </c>
      <c r="AA3" s="80"/>
      <c r="AB3" t="s">
        <v>1359</v>
      </c>
      <c r="AC3" s="116">
        <v>43941</v>
      </c>
      <c r="AD3" t="s">
        <v>3198</v>
      </c>
      <c r="AG3" s="1" t="s">
        <v>3108</v>
      </c>
      <c r="AH3" s="2">
        <v>43833</v>
      </c>
      <c r="AI3" s="2">
        <v>43845</v>
      </c>
      <c r="AK3" s="2">
        <v>43837</v>
      </c>
    </row>
    <row r="4" spans="1:39">
      <c r="A4" s="1">
        <v>3</v>
      </c>
      <c r="B4" t="s">
        <v>1414</v>
      </c>
      <c r="C4" s="2">
        <v>43833</v>
      </c>
      <c r="D4" s="1" t="s">
        <v>1079</v>
      </c>
      <c r="E4" t="s">
        <v>41</v>
      </c>
      <c r="F4" s="61" t="s">
        <v>2115</v>
      </c>
      <c r="G4" s="1" t="s">
        <v>230</v>
      </c>
      <c r="H4" t="s">
        <v>1262</v>
      </c>
      <c r="I4" s="1">
        <v>631212115</v>
      </c>
      <c r="K4" t="s">
        <v>1079</v>
      </c>
      <c r="L4" s="2">
        <v>43861</v>
      </c>
      <c r="M4" t="s">
        <v>35</v>
      </c>
      <c r="N4" s="14" t="s">
        <v>3373</v>
      </c>
      <c r="O4" s="92">
        <v>60</v>
      </c>
      <c r="P4" s="1">
        <v>1</v>
      </c>
      <c r="Q4" s="89">
        <v>0.21</v>
      </c>
      <c r="R4" s="9">
        <v>0</v>
      </c>
      <c r="S4" t="s">
        <v>36</v>
      </c>
      <c r="T4" s="95">
        <f t="shared" si="0"/>
        <v>72.599999999999994</v>
      </c>
      <c r="U4" s="1" t="s">
        <v>3374</v>
      </c>
      <c r="V4" s="87" t="s">
        <v>3375</v>
      </c>
      <c r="W4" s="1" t="s">
        <v>3376</v>
      </c>
      <c r="X4" s="2">
        <v>43833</v>
      </c>
      <c r="Y4" s="11" t="s">
        <v>3729</v>
      </c>
      <c r="Z4" s="3">
        <v>43910</v>
      </c>
      <c r="AA4" s="80" t="s">
        <v>1339</v>
      </c>
      <c r="AD4" t="s">
        <v>3198</v>
      </c>
      <c r="AG4" s="1" t="s">
        <v>3377</v>
      </c>
      <c r="AH4" s="2">
        <v>43833</v>
      </c>
      <c r="AI4" s="2">
        <v>43845</v>
      </c>
      <c r="AK4" s="2">
        <v>43837</v>
      </c>
    </row>
    <row r="5" spans="1:39">
      <c r="A5" s="1">
        <v>4</v>
      </c>
      <c r="B5" t="s">
        <v>52</v>
      </c>
      <c r="C5" s="2">
        <v>43833</v>
      </c>
      <c r="D5" s="30" t="s">
        <v>458</v>
      </c>
      <c r="E5" t="s">
        <v>84</v>
      </c>
      <c r="F5" s="103" t="s">
        <v>138</v>
      </c>
      <c r="G5" s="30" t="s">
        <v>227</v>
      </c>
      <c r="H5" s="31" t="s">
        <v>203</v>
      </c>
      <c r="I5" s="30"/>
      <c r="J5" s="31"/>
      <c r="K5" s="31" t="s">
        <v>53</v>
      </c>
      <c r="L5" s="2">
        <v>43861</v>
      </c>
      <c r="M5" t="s">
        <v>35</v>
      </c>
      <c r="N5" t="s">
        <v>3379</v>
      </c>
      <c r="O5" s="93">
        <v>41.32</v>
      </c>
      <c r="P5" s="8">
        <v>1</v>
      </c>
      <c r="Q5" s="58">
        <v>0.21</v>
      </c>
      <c r="R5" s="7">
        <v>0</v>
      </c>
      <c r="S5" s="8" t="s">
        <v>36</v>
      </c>
      <c r="T5" s="95">
        <f t="shared" si="0"/>
        <v>49.997199999999999</v>
      </c>
      <c r="U5" s="1" t="s">
        <v>3378</v>
      </c>
      <c r="W5" s="2">
        <v>36554</v>
      </c>
      <c r="X5" s="2">
        <v>43833</v>
      </c>
      <c r="Y5" s="11" t="s">
        <v>151</v>
      </c>
    </row>
    <row r="6" spans="1:39">
      <c r="A6" s="1">
        <v>5</v>
      </c>
      <c r="B6" t="s">
        <v>52</v>
      </c>
      <c r="C6" s="2">
        <v>43833</v>
      </c>
      <c r="D6" s="30" t="s">
        <v>458</v>
      </c>
      <c r="E6" t="s">
        <v>84</v>
      </c>
      <c r="F6" s="103" t="s">
        <v>138</v>
      </c>
      <c r="G6" s="30" t="s">
        <v>227</v>
      </c>
      <c r="H6" s="31" t="s">
        <v>203</v>
      </c>
      <c r="I6" s="30"/>
      <c r="J6" s="31"/>
      <c r="K6" s="31" t="s">
        <v>53</v>
      </c>
      <c r="L6" s="2">
        <v>43861</v>
      </c>
      <c r="M6" t="s">
        <v>35</v>
      </c>
      <c r="N6" t="s">
        <v>3380</v>
      </c>
      <c r="O6" s="93">
        <v>41.32</v>
      </c>
      <c r="P6" s="8">
        <v>1</v>
      </c>
      <c r="Q6" s="58">
        <v>0.21</v>
      </c>
      <c r="R6" s="7">
        <v>0</v>
      </c>
      <c r="S6" s="8" t="s">
        <v>36</v>
      </c>
      <c r="T6" s="95">
        <f t="shared" si="0"/>
        <v>49.997199999999999</v>
      </c>
      <c r="U6" s="1" t="s">
        <v>3381</v>
      </c>
      <c r="W6" s="2">
        <v>36106</v>
      </c>
      <c r="X6" s="2">
        <v>43833</v>
      </c>
      <c r="Y6" s="11" t="s">
        <v>151</v>
      </c>
    </row>
    <row r="7" spans="1:39">
      <c r="A7" s="1">
        <v>6</v>
      </c>
      <c r="B7" t="s">
        <v>1242</v>
      </c>
      <c r="C7" s="2">
        <v>43843</v>
      </c>
      <c r="D7" s="1" t="s">
        <v>1095</v>
      </c>
      <c r="E7" t="s">
        <v>3385</v>
      </c>
      <c r="F7" s="61" t="s">
        <v>3386</v>
      </c>
      <c r="G7" s="6" t="s">
        <v>227</v>
      </c>
      <c r="H7" s="31" t="s">
        <v>203</v>
      </c>
      <c r="I7" s="1">
        <v>629063670</v>
      </c>
      <c r="J7" s="1"/>
      <c r="K7" s="31" t="s">
        <v>1250</v>
      </c>
      <c r="L7" s="2">
        <v>43861</v>
      </c>
      <c r="M7" t="s">
        <v>35</v>
      </c>
      <c r="N7" s="14" t="s">
        <v>3387</v>
      </c>
      <c r="O7" s="92">
        <v>60</v>
      </c>
      <c r="P7" s="1">
        <v>1</v>
      </c>
      <c r="Q7" s="90">
        <v>0.21</v>
      </c>
      <c r="R7" s="9">
        <v>0</v>
      </c>
      <c r="S7" t="s">
        <v>36</v>
      </c>
      <c r="T7" s="95">
        <f t="shared" si="0"/>
        <v>72.599999999999994</v>
      </c>
      <c r="U7" s="1" t="s">
        <v>3388</v>
      </c>
      <c r="V7" s="87" t="s">
        <v>3389</v>
      </c>
      <c r="W7" s="2">
        <v>36948</v>
      </c>
      <c r="X7" s="2">
        <v>43843</v>
      </c>
      <c r="Y7" s="11" t="s">
        <v>3571</v>
      </c>
      <c r="Z7" s="3">
        <v>43872</v>
      </c>
      <c r="AA7" s="80" t="s">
        <v>1339</v>
      </c>
      <c r="AD7" t="s">
        <v>3198</v>
      </c>
      <c r="AE7" t="s">
        <v>3397</v>
      </c>
    </row>
    <row r="8" spans="1:39">
      <c r="A8" s="1">
        <v>7</v>
      </c>
      <c r="B8" t="s">
        <v>1242</v>
      </c>
      <c r="C8" s="2">
        <v>43843</v>
      </c>
      <c r="D8" s="1" t="s">
        <v>344</v>
      </c>
      <c r="E8" s="61" t="s">
        <v>345</v>
      </c>
      <c r="F8" s="61" t="s">
        <v>1249</v>
      </c>
      <c r="G8" s="6" t="s">
        <v>221</v>
      </c>
      <c r="H8" s="1" t="s">
        <v>34</v>
      </c>
      <c r="I8" s="1">
        <v>677842922</v>
      </c>
      <c r="J8" s="1"/>
      <c r="K8" s="31" t="s">
        <v>1250</v>
      </c>
      <c r="L8" s="2">
        <v>43861</v>
      </c>
      <c r="M8" t="s">
        <v>35</v>
      </c>
      <c r="N8" s="14" t="s">
        <v>3390</v>
      </c>
      <c r="O8" s="92">
        <v>60</v>
      </c>
      <c r="P8" s="1">
        <v>1</v>
      </c>
      <c r="Q8" s="90">
        <v>0.21</v>
      </c>
      <c r="R8" s="9">
        <v>0</v>
      </c>
      <c r="S8" t="s">
        <v>36</v>
      </c>
      <c r="T8" s="95">
        <f t="shared" si="0"/>
        <v>72.599999999999994</v>
      </c>
      <c r="U8" s="1" t="s">
        <v>3471</v>
      </c>
      <c r="V8" s="87" t="s">
        <v>3391</v>
      </c>
      <c r="W8" s="2">
        <v>36460</v>
      </c>
      <c r="X8" s="2">
        <v>43843</v>
      </c>
      <c r="Y8" s="11" t="s">
        <v>3590</v>
      </c>
      <c r="Z8" s="3">
        <v>43878</v>
      </c>
      <c r="AA8" s="80" t="s">
        <v>1339</v>
      </c>
      <c r="AD8" t="s">
        <v>3198</v>
      </c>
      <c r="AE8" t="s">
        <v>3397</v>
      </c>
      <c r="AG8" s="1" t="s">
        <v>3392</v>
      </c>
      <c r="AH8" s="2">
        <v>43846</v>
      </c>
      <c r="AI8" s="2">
        <v>43854</v>
      </c>
      <c r="AK8" s="2">
        <v>43850</v>
      </c>
    </row>
    <row r="9" spans="1:39">
      <c r="A9" s="1">
        <v>8</v>
      </c>
      <c r="B9" t="s">
        <v>52</v>
      </c>
      <c r="C9" s="2">
        <v>43843</v>
      </c>
      <c r="D9" s="1" t="s">
        <v>3509</v>
      </c>
      <c r="E9" s="61" t="s">
        <v>3393</v>
      </c>
      <c r="F9" s="61" t="s">
        <v>3394</v>
      </c>
      <c r="G9" s="6" t="s">
        <v>230</v>
      </c>
      <c r="H9" s="1" t="s">
        <v>1262</v>
      </c>
      <c r="I9" s="1">
        <v>690623915</v>
      </c>
      <c r="J9" s="1"/>
      <c r="K9" s="31" t="s">
        <v>53</v>
      </c>
      <c r="L9" s="2">
        <v>43861</v>
      </c>
      <c r="M9" t="s">
        <v>35</v>
      </c>
      <c r="N9" s="14" t="s">
        <v>3395</v>
      </c>
      <c r="O9" s="92">
        <v>60</v>
      </c>
      <c r="P9" s="1">
        <v>1</v>
      </c>
      <c r="Q9" s="90">
        <v>0.21</v>
      </c>
      <c r="R9" s="9">
        <v>0</v>
      </c>
      <c r="S9" t="s">
        <v>36</v>
      </c>
      <c r="T9" s="95">
        <f t="shared" si="0"/>
        <v>72.599999999999994</v>
      </c>
      <c r="U9" s="1" t="s">
        <v>3469</v>
      </c>
      <c r="V9" s="87" t="s">
        <v>3396</v>
      </c>
      <c r="W9" s="2">
        <v>34077</v>
      </c>
      <c r="X9" s="2">
        <v>43843</v>
      </c>
      <c r="Y9" s="11" t="s">
        <v>3590</v>
      </c>
      <c r="Z9" s="3">
        <v>43878</v>
      </c>
      <c r="AA9" s="80" t="s">
        <v>1339</v>
      </c>
      <c r="AD9" t="s">
        <v>3198</v>
      </c>
      <c r="AE9" t="s">
        <v>3398</v>
      </c>
      <c r="AG9" s="1" t="s">
        <v>3470</v>
      </c>
      <c r="AH9" s="2">
        <v>43846</v>
      </c>
      <c r="AI9" s="2">
        <v>43854</v>
      </c>
      <c r="AK9" s="2">
        <v>43850</v>
      </c>
    </row>
    <row r="10" spans="1:39">
      <c r="A10" s="1">
        <v>9</v>
      </c>
      <c r="B10" t="s">
        <v>61</v>
      </c>
      <c r="C10" s="2">
        <v>43843</v>
      </c>
      <c r="D10" s="1" t="s">
        <v>62</v>
      </c>
      <c r="E10" s="61" t="s">
        <v>63</v>
      </c>
      <c r="F10" s="61" t="s">
        <v>214</v>
      </c>
      <c r="G10" s="6" t="s">
        <v>219</v>
      </c>
      <c r="H10" s="1" t="s">
        <v>38</v>
      </c>
      <c r="I10" s="1">
        <v>607281764</v>
      </c>
      <c r="J10" s="1"/>
      <c r="K10" t="s">
        <v>62</v>
      </c>
      <c r="L10" s="2">
        <v>43861</v>
      </c>
      <c r="M10" t="s">
        <v>35</v>
      </c>
      <c r="N10" s="14" t="s">
        <v>3399</v>
      </c>
      <c r="O10" s="92">
        <v>60</v>
      </c>
      <c r="P10" s="1">
        <v>1</v>
      </c>
      <c r="Q10" s="90">
        <v>0.21</v>
      </c>
      <c r="R10" s="9">
        <v>0</v>
      </c>
      <c r="S10" t="s">
        <v>36</v>
      </c>
      <c r="T10" s="95">
        <f t="shared" si="0"/>
        <v>72.599999999999994</v>
      </c>
      <c r="U10" s="1" t="s">
        <v>3400</v>
      </c>
      <c r="V10" s="87" t="s">
        <v>3401</v>
      </c>
      <c r="W10" s="2">
        <v>37843</v>
      </c>
      <c r="X10" s="2">
        <v>43843</v>
      </c>
      <c r="Y10" s="11" t="s">
        <v>3571</v>
      </c>
      <c r="Z10" s="3">
        <v>43871</v>
      </c>
      <c r="AA10" s="80" t="s">
        <v>1339</v>
      </c>
      <c r="AD10" t="s">
        <v>3198</v>
      </c>
      <c r="AE10" t="s">
        <v>3402</v>
      </c>
    </row>
    <row r="11" spans="1:39">
      <c r="A11" s="1">
        <v>10</v>
      </c>
      <c r="B11" t="s">
        <v>61</v>
      </c>
      <c r="C11" s="2">
        <v>43843</v>
      </c>
      <c r="D11" s="1" t="s">
        <v>62</v>
      </c>
      <c r="E11" s="61" t="s">
        <v>63</v>
      </c>
      <c r="F11" s="61" t="s">
        <v>214</v>
      </c>
      <c r="G11" s="6" t="s">
        <v>219</v>
      </c>
      <c r="H11" s="1" t="s">
        <v>38</v>
      </c>
      <c r="I11" s="1">
        <v>607281764</v>
      </c>
      <c r="J11" s="1"/>
      <c r="K11" t="s">
        <v>62</v>
      </c>
      <c r="L11" s="2">
        <v>43861</v>
      </c>
      <c r="M11" t="s">
        <v>35</v>
      </c>
      <c r="N11" s="14" t="s">
        <v>3403</v>
      </c>
      <c r="O11" s="92">
        <v>60</v>
      </c>
      <c r="P11" s="1">
        <v>1</v>
      </c>
      <c r="Q11" s="90">
        <v>0.21</v>
      </c>
      <c r="R11" s="9">
        <v>0</v>
      </c>
      <c r="S11" t="s">
        <v>36</v>
      </c>
      <c r="T11" s="95">
        <f t="shared" si="0"/>
        <v>72.599999999999994</v>
      </c>
      <c r="U11" s="1" t="s">
        <v>3404</v>
      </c>
      <c r="V11" s="87" t="s">
        <v>3405</v>
      </c>
      <c r="W11" s="1" t="s">
        <v>3406</v>
      </c>
      <c r="X11" s="2">
        <v>43843</v>
      </c>
      <c r="Y11" s="11" t="s">
        <v>3571</v>
      </c>
      <c r="Z11" s="3">
        <v>43871</v>
      </c>
      <c r="AA11" s="80" t="s">
        <v>1339</v>
      </c>
      <c r="AD11" t="s">
        <v>3198</v>
      </c>
      <c r="AE11" t="s">
        <v>3402</v>
      </c>
      <c r="AG11" s="1" t="s">
        <v>3436</v>
      </c>
      <c r="AH11" s="2">
        <v>43843</v>
      </c>
      <c r="AI11" s="2">
        <v>43854</v>
      </c>
      <c r="AK11" s="2">
        <v>43846</v>
      </c>
    </row>
    <row r="12" spans="1:39" s="96" customFormat="1">
      <c r="A12" s="99">
        <v>11</v>
      </c>
      <c r="B12" s="96" t="s">
        <v>1414</v>
      </c>
      <c r="C12" s="97">
        <v>43844</v>
      </c>
      <c r="D12" s="99" t="s">
        <v>2794</v>
      </c>
      <c r="E12" s="98" t="s">
        <v>2795</v>
      </c>
      <c r="F12" s="104" t="s">
        <v>2796</v>
      </c>
      <c r="G12" s="105" t="s">
        <v>230</v>
      </c>
      <c r="H12" s="96" t="s">
        <v>34</v>
      </c>
      <c r="I12" s="99">
        <v>699914614</v>
      </c>
      <c r="K12" s="96" t="s">
        <v>2794</v>
      </c>
      <c r="L12" s="106"/>
      <c r="M12" s="96" t="s">
        <v>35</v>
      </c>
      <c r="N12" s="98" t="s">
        <v>2797</v>
      </c>
      <c r="O12" s="107">
        <v>0</v>
      </c>
      <c r="P12" s="99" t="s">
        <v>3407</v>
      </c>
      <c r="Q12" s="113" t="s">
        <v>3407</v>
      </c>
      <c r="R12" s="112" t="s">
        <v>3407</v>
      </c>
      <c r="S12" s="99" t="s">
        <v>36</v>
      </c>
      <c r="T12" s="110" t="s">
        <v>3407</v>
      </c>
      <c r="U12" s="99" t="s">
        <v>2798</v>
      </c>
      <c r="V12" s="111" t="s">
        <v>3408</v>
      </c>
      <c r="W12" s="97">
        <v>37113</v>
      </c>
      <c r="X12" s="97">
        <v>43844</v>
      </c>
      <c r="Y12" s="11" t="s">
        <v>3737</v>
      </c>
      <c r="Z12" s="106">
        <v>43929</v>
      </c>
      <c r="AA12" s="118" t="s">
        <v>1339</v>
      </c>
      <c r="AB12" s="96" t="s">
        <v>3573</v>
      </c>
      <c r="AC12" s="116">
        <v>43900</v>
      </c>
      <c r="AD12" s="96" t="s">
        <v>3198</v>
      </c>
      <c r="AE12" s="96" t="s">
        <v>3402</v>
      </c>
      <c r="AG12" s="99" t="s">
        <v>3410</v>
      </c>
      <c r="AH12" s="97">
        <v>43844</v>
      </c>
      <c r="AI12" s="97">
        <v>43855</v>
      </c>
      <c r="AK12" s="97">
        <v>43850</v>
      </c>
    </row>
    <row r="13" spans="1:39" s="96" customFormat="1">
      <c r="A13" s="99">
        <v>12</v>
      </c>
      <c r="B13" s="96" t="s">
        <v>1414</v>
      </c>
      <c r="C13" s="97">
        <v>43844</v>
      </c>
      <c r="D13" s="99" t="s">
        <v>2787</v>
      </c>
      <c r="E13" s="98" t="s">
        <v>2788</v>
      </c>
      <c r="F13" s="104" t="s">
        <v>2789</v>
      </c>
      <c r="G13" s="105" t="s">
        <v>230</v>
      </c>
      <c r="H13" s="96" t="s">
        <v>34</v>
      </c>
      <c r="I13" s="99">
        <v>699914614</v>
      </c>
      <c r="K13" s="96" t="s">
        <v>2787</v>
      </c>
      <c r="L13" s="106"/>
      <c r="M13" s="96" t="s">
        <v>35</v>
      </c>
      <c r="N13" s="98" t="s">
        <v>2790</v>
      </c>
      <c r="O13" s="107">
        <v>0</v>
      </c>
      <c r="P13" s="99" t="s">
        <v>3407</v>
      </c>
      <c r="Q13" s="113" t="s">
        <v>3407</v>
      </c>
      <c r="R13" s="112" t="s">
        <v>3407</v>
      </c>
      <c r="S13" s="96" t="s">
        <v>36</v>
      </c>
      <c r="T13" s="110" t="s">
        <v>3407</v>
      </c>
      <c r="U13" s="99" t="s">
        <v>2791</v>
      </c>
      <c r="V13" s="111" t="s">
        <v>3409</v>
      </c>
      <c r="W13" s="97">
        <v>31009</v>
      </c>
      <c r="X13" s="97">
        <v>43844</v>
      </c>
      <c r="Y13" s="11" t="s">
        <v>3737</v>
      </c>
      <c r="Z13" s="106">
        <v>43929</v>
      </c>
      <c r="AA13" s="118" t="s">
        <v>1339</v>
      </c>
      <c r="AB13" s="96" t="s">
        <v>3572</v>
      </c>
      <c r="AC13" s="116">
        <v>43900</v>
      </c>
      <c r="AD13" s="96" t="s">
        <v>3198</v>
      </c>
      <c r="AE13" s="96" t="s">
        <v>3402</v>
      </c>
      <c r="AG13" s="99" t="s">
        <v>3411</v>
      </c>
      <c r="AH13" s="97">
        <v>43844</v>
      </c>
      <c r="AI13" s="97">
        <v>43855</v>
      </c>
      <c r="AK13" s="97">
        <v>43850</v>
      </c>
    </row>
    <row r="14" spans="1:39" s="96" customFormat="1">
      <c r="A14" s="99">
        <v>13</v>
      </c>
      <c r="B14" s="96" t="s">
        <v>1414</v>
      </c>
      <c r="C14" s="97">
        <v>43844</v>
      </c>
      <c r="D14" s="99" t="s">
        <v>2059</v>
      </c>
      <c r="E14" s="98" t="s">
        <v>2060</v>
      </c>
      <c r="F14" s="104" t="s">
        <v>2808</v>
      </c>
      <c r="G14" s="105" t="s">
        <v>221</v>
      </c>
      <c r="H14" s="96" t="s">
        <v>34</v>
      </c>
      <c r="I14" s="99">
        <v>661971719</v>
      </c>
      <c r="K14" s="96" t="s">
        <v>2059</v>
      </c>
      <c r="L14" s="106"/>
      <c r="M14" s="96" t="s">
        <v>35</v>
      </c>
      <c r="N14" s="98" t="s">
        <v>2062</v>
      </c>
      <c r="O14" s="107">
        <v>0</v>
      </c>
      <c r="P14" s="99" t="s">
        <v>3407</v>
      </c>
      <c r="Q14" s="113" t="s">
        <v>3407</v>
      </c>
      <c r="R14" s="112" t="s">
        <v>3407</v>
      </c>
      <c r="S14" s="96" t="s">
        <v>36</v>
      </c>
      <c r="T14" s="110" t="s">
        <v>3407</v>
      </c>
      <c r="U14" s="99" t="s">
        <v>2063</v>
      </c>
      <c r="V14" s="111" t="s">
        <v>3412</v>
      </c>
      <c r="W14" s="97">
        <v>37047</v>
      </c>
      <c r="X14" s="97">
        <v>43844</v>
      </c>
      <c r="Y14" s="11" t="s">
        <v>3737</v>
      </c>
      <c r="Z14" s="106">
        <v>43929</v>
      </c>
      <c r="AA14" s="118" t="s">
        <v>1339</v>
      </c>
      <c r="AB14" s="96" t="s">
        <v>3572</v>
      </c>
      <c r="AC14" s="116">
        <v>43901</v>
      </c>
      <c r="AD14" s="96" t="s">
        <v>3198</v>
      </c>
      <c r="AE14" s="96" t="s">
        <v>3413</v>
      </c>
      <c r="AG14" s="99" t="s">
        <v>3414</v>
      </c>
      <c r="AH14" s="97">
        <v>43844</v>
      </c>
      <c r="AI14" s="97">
        <v>43855</v>
      </c>
      <c r="AK14" s="97">
        <v>43850</v>
      </c>
    </row>
    <row r="15" spans="1:39" s="96" customFormat="1">
      <c r="A15" s="99">
        <v>14</v>
      </c>
      <c r="B15" s="96" t="s">
        <v>1414</v>
      </c>
      <c r="C15" s="97">
        <v>43844</v>
      </c>
      <c r="D15" s="99" t="s">
        <v>1299</v>
      </c>
      <c r="E15" s="98" t="s">
        <v>2785</v>
      </c>
      <c r="F15" s="104" t="s">
        <v>1301</v>
      </c>
      <c r="G15" s="105" t="s">
        <v>221</v>
      </c>
      <c r="H15" s="96" t="s">
        <v>34</v>
      </c>
      <c r="I15" s="99">
        <v>630625427</v>
      </c>
      <c r="K15" s="96" t="s">
        <v>1299</v>
      </c>
      <c r="L15" s="106"/>
      <c r="M15" s="96" t="s">
        <v>35</v>
      </c>
      <c r="N15" s="98" t="s">
        <v>442</v>
      </c>
      <c r="O15" s="107">
        <v>0</v>
      </c>
      <c r="P15" s="99" t="s">
        <v>3407</v>
      </c>
      <c r="Q15" s="113" t="s">
        <v>3407</v>
      </c>
      <c r="R15" s="112" t="s">
        <v>3407</v>
      </c>
      <c r="S15" s="96" t="s">
        <v>36</v>
      </c>
      <c r="T15" s="110" t="s">
        <v>3407</v>
      </c>
      <c r="U15" s="99" t="s">
        <v>443</v>
      </c>
      <c r="V15" s="111" t="s">
        <v>3415</v>
      </c>
      <c r="W15" s="97">
        <v>34048</v>
      </c>
      <c r="X15" s="97">
        <v>43844</v>
      </c>
      <c r="Y15" s="11" t="s">
        <v>3737</v>
      </c>
      <c r="Z15" s="106">
        <v>43929</v>
      </c>
      <c r="AA15" s="118" t="s">
        <v>1339</v>
      </c>
      <c r="AB15" s="96" t="s">
        <v>3572</v>
      </c>
      <c r="AC15" s="116">
        <v>43900</v>
      </c>
      <c r="AD15" s="96" t="s">
        <v>3198</v>
      </c>
      <c r="AE15" s="96" t="s">
        <v>3413</v>
      </c>
      <c r="AG15" s="99" t="s">
        <v>3416</v>
      </c>
      <c r="AH15" s="97">
        <v>43844</v>
      </c>
      <c r="AI15" s="97">
        <v>43855</v>
      </c>
      <c r="AK15" s="97">
        <v>43850</v>
      </c>
    </row>
    <row r="16" spans="1:39" s="96" customFormat="1">
      <c r="A16" s="99">
        <v>15</v>
      </c>
      <c r="B16" s="96" t="s">
        <v>1414</v>
      </c>
      <c r="C16" s="97">
        <v>43844</v>
      </c>
      <c r="D16" s="99" t="s">
        <v>1079</v>
      </c>
      <c r="E16" s="96" t="s">
        <v>41</v>
      </c>
      <c r="F16" s="104" t="s">
        <v>2115</v>
      </c>
      <c r="G16" s="105" t="s">
        <v>230</v>
      </c>
      <c r="H16" s="96" t="s">
        <v>1262</v>
      </c>
      <c r="I16" s="96">
        <v>661982043</v>
      </c>
      <c r="K16" s="96" t="s">
        <v>1079</v>
      </c>
      <c r="L16" s="106"/>
      <c r="M16" s="96" t="s">
        <v>35</v>
      </c>
      <c r="N16" s="98" t="s">
        <v>3073</v>
      </c>
      <c r="O16" s="107">
        <v>0</v>
      </c>
      <c r="P16" s="99" t="s">
        <v>3407</v>
      </c>
      <c r="Q16" s="113" t="s">
        <v>3407</v>
      </c>
      <c r="R16" s="112" t="s">
        <v>3407</v>
      </c>
      <c r="S16" s="96" t="s">
        <v>36</v>
      </c>
      <c r="T16" s="110" t="s">
        <v>3407</v>
      </c>
      <c r="U16" s="99" t="s">
        <v>3071</v>
      </c>
      <c r="V16" s="111" t="s">
        <v>3417</v>
      </c>
      <c r="W16" s="97">
        <v>37356</v>
      </c>
      <c r="X16" s="97">
        <v>43844</v>
      </c>
      <c r="Y16" s="11" t="s">
        <v>3737</v>
      </c>
      <c r="Z16" s="106">
        <v>43929</v>
      </c>
      <c r="AA16" s="118" t="s">
        <v>1339</v>
      </c>
      <c r="AB16" s="96" t="s">
        <v>3572</v>
      </c>
      <c r="AC16" s="116">
        <v>43900</v>
      </c>
      <c r="AD16" s="96" t="s">
        <v>3198</v>
      </c>
      <c r="AE16" s="96" t="s">
        <v>3413</v>
      </c>
      <c r="AG16" s="99" t="s">
        <v>3410</v>
      </c>
      <c r="AH16" s="97">
        <v>43844</v>
      </c>
      <c r="AI16" s="97">
        <v>43855</v>
      </c>
      <c r="AK16" s="97">
        <v>43850</v>
      </c>
    </row>
    <row r="17" spans="1:40">
      <c r="A17" s="1">
        <v>16</v>
      </c>
      <c r="B17" t="s">
        <v>1414</v>
      </c>
      <c r="C17" s="2">
        <v>43844</v>
      </c>
      <c r="D17" s="1" t="s">
        <v>1407</v>
      </c>
      <c r="E17" t="s">
        <v>1408</v>
      </c>
      <c r="F17" s="61" t="s">
        <v>1409</v>
      </c>
      <c r="G17" s="6" t="s">
        <v>227</v>
      </c>
      <c r="H17" t="s">
        <v>203</v>
      </c>
      <c r="K17" t="s">
        <v>1407</v>
      </c>
      <c r="L17" s="2">
        <v>43861</v>
      </c>
      <c r="M17" t="s">
        <v>35</v>
      </c>
      <c r="N17" s="14" t="s">
        <v>3418</v>
      </c>
      <c r="O17" s="92">
        <v>60</v>
      </c>
      <c r="P17" s="1">
        <v>1</v>
      </c>
      <c r="Q17" s="90">
        <v>0.21</v>
      </c>
      <c r="R17" s="9">
        <v>0</v>
      </c>
      <c r="S17" t="s">
        <v>36</v>
      </c>
      <c r="T17" s="95">
        <f>(O17*P17)*Q17+O17*P17</f>
        <v>72.599999999999994</v>
      </c>
      <c r="U17" s="1" t="s">
        <v>3479</v>
      </c>
      <c r="V17" s="87" t="s">
        <v>3419</v>
      </c>
      <c r="W17" s="2">
        <v>36161</v>
      </c>
      <c r="X17" s="2">
        <v>43844</v>
      </c>
      <c r="Y17" s="11" t="s">
        <v>3737</v>
      </c>
      <c r="Z17" s="131">
        <v>43929</v>
      </c>
      <c r="AA17" s="130" t="s">
        <v>1339</v>
      </c>
      <c r="AB17" s="81" t="s">
        <v>3572</v>
      </c>
      <c r="AC17" s="116">
        <v>43901</v>
      </c>
      <c r="AD17" t="s">
        <v>3198</v>
      </c>
      <c r="AE17" t="s">
        <v>3413</v>
      </c>
      <c r="AG17" s="1" t="s">
        <v>3392</v>
      </c>
      <c r="AH17" s="3">
        <v>43850</v>
      </c>
      <c r="AI17" s="2">
        <v>43861</v>
      </c>
      <c r="AK17" s="2">
        <v>43853</v>
      </c>
    </row>
    <row r="18" spans="1:40">
      <c r="A18" s="1">
        <v>17</v>
      </c>
      <c r="B18" t="s">
        <v>3504</v>
      </c>
      <c r="C18" s="2">
        <v>43844</v>
      </c>
      <c r="D18" s="1" t="s">
        <v>2065</v>
      </c>
      <c r="E18" s="61" t="s">
        <v>2066</v>
      </c>
      <c r="F18" s="61" t="s">
        <v>3420</v>
      </c>
      <c r="G18" s="6" t="s">
        <v>227</v>
      </c>
      <c r="H18" s="1" t="s">
        <v>203</v>
      </c>
      <c r="I18" s="1">
        <v>610826893</v>
      </c>
      <c r="J18" s="1"/>
      <c r="K18" t="s">
        <v>2065</v>
      </c>
      <c r="L18" s="2">
        <v>43861</v>
      </c>
      <c r="M18" t="s">
        <v>35</v>
      </c>
      <c r="N18" s="14" t="s">
        <v>3421</v>
      </c>
      <c r="O18" s="92">
        <v>60</v>
      </c>
      <c r="P18" s="1">
        <v>1</v>
      </c>
      <c r="Q18" s="90">
        <v>0.21</v>
      </c>
      <c r="R18" s="9">
        <v>0</v>
      </c>
      <c r="S18" t="s">
        <v>36</v>
      </c>
      <c r="T18" s="95">
        <f>(O18*P18)*Q18+O18*P18</f>
        <v>72.599999999999994</v>
      </c>
      <c r="U18" s="1" t="s">
        <v>3472</v>
      </c>
      <c r="V18" s="87" t="s">
        <v>3422</v>
      </c>
      <c r="W18" s="2">
        <v>34442</v>
      </c>
      <c r="X18" s="2">
        <v>43844</v>
      </c>
      <c r="Y18" s="11" t="s">
        <v>3737</v>
      </c>
      <c r="Z18" s="131">
        <v>43929</v>
      </c>
      <c r="AA18" s="80" t="s">
        <v>1339</v>
      </c>
      <c r="AB18" t="s">
        <v>3572</v>
      </c>
      <c r="AC18" s="116">
        <v>43901</v>
      </c>
      <c r="AD18" t="s">
        <v>3198</v>
      </c>
      <c r="AE18" t="s">
        <v>3413</v>
      </c>
      <c r="AG18" s="1" t="s">
        <v>3392</v>
      </c>
      <c r="AH18" s="2">
        <v>43851</v>
      </c>
      <c r="AI18" s="2">
        <v>43861</v>
      </c>
      <c r="AK18" s="2">
        <v>43858</v>
      </c>
      <c r="AN18" t="s">
        <v>3505</v>
      </c>
    </row>
    <row r="19" spans="1:40">
      <c r="A19" s="1">
        <v>18</v>
      </c>
      <c r="B19" t="s">
        <v>3504</v>
      </c>
      <c r="C19" s="2">
        <v>43844</v>
      </c>
      <c r="D19" s="1" t="s">
        <v>3423</v>
      </c>
      <c r="E19" s="61" t="s">
        <v>3424</v>
      </c>
      <c r="F19" s="61" t="s">
        <v>3420</v>
      </c>
      <c r="G19" s="6" t="s">
        <v>227</v>
      </c>
      <c r="H19" s="1" t="s">
        <v>203</v>
      </c>
      <c r="I19" s="1">
        <v>610826893</v>
      </c>
      <c r="J19" s="1"/>
      <c r="K19" t="s">
        <v>3423</v>
      </c>
      <c r="L19" s="2">
        <v>43861</v>
      </c>
      <c r="M19" t="s">
        <v>35</v>
      </c>
      <c r="N19" s="14" t="s">
        <v>3425</v>
      </c>
      <c r="O19" s="92">
        <v>60</v>
      </c>
      <c r="P19" s="1">
        <v>1</v>
      </c>
      <c r="Q19" s="90">
        <v>0.21</v>
      </c>
      <c r="R19" s="9">
        <v>0</v>
      </c>
      <c r="S19" t="s">
        <v>36</v>
      </c>
      <c r="T19" s="95">
        <f>(O19*P19)*Q19+O19*P19</f>
        <v>72.599999999999994</v>
      </c>
      <c r="U19" s="1" t="s">
        <v>3481</v>
      </c>
      <c r="V19" s="87" t="s">
        <v>3426</v>
      </c>
      <c r="W19" s="2">
        <v>35917</v>
      </c>
      <c r="X19" s="2">
        <v>43844</v>
      </c>
      <c r="Y19" s="11" t="s">
        <v>3737</v>
      </c>
      <c r="Z19" s="131">
        <v>43929</v>
      </c>
      <c r="AA19" s="80" t="s">
        <v>1339</v>
      </c>
      <c r="AB19" t="s">
        <v>3572</v>
      </c>
      <c r="AC19" s="116">
        <v>43901</v>
      </c>
      <c r="AD19" t="s">
        <v>3198</v>
      </c>
      <c r="AE19" t="s">
        <v>3413</v>
      </c>
      <c r="AG19" s="1" t="s">
        <v>3392</v>
      </c>
      <c r="AH19" s="2">
        <v>43851</v>
      </c>
      <c r="AI19" s="2">
        <v>43861</v>
      </c>
      <c r="AK19" s="2">
        <v>43858</v>
      </c>
      <c r="AN19" s="114" t="s">
        <v>3505</v>
      </c>
    </row>
    <row r="20" spans="1:40">
      <c r="A20" s="1">
        <v>19</v>
      </c>
      <c r="B20" t="s">
        <v>82</v>
      </c>
      <c r="C20" s="2">
        <v>43844</v>
      </c>
      <c r="D20" s="1" t="s">
        <v>3427</v>
      </c>
      <c r="E20" s="61" t="s">
        <v>3428</v>
      </c>
      <c r="F20" s="61" t="s">
        <v>3433</v>
      </c>
      <c r="G20" s="6" t="s">
        <v>3429</v>
      </c>
      <c r="H20" s="1" t="s">
        <v>86</v>
      </c>
      <c r="I20" s="1">
        <v>650379091</v>
      </c>
      <c r="J20" s="1"/>
      <c r="K20" t="s">
        <v>3427</v>
      </c>
      <c r="L20" s="2">
        <v>43861</v>
      </c>
      <c r="M20" t="s">
        <v>35</v>
      </c>
      <c r="N20" s="14" t="s">
        <v>3430</v>
      </c>
      <c r="O20" s="92">
        <v>60</v>
      </c>
      <c r="P20" s="1">
        <v>1</v>
      </c>
      <c r="Q20" s="90">
        <v>0.21</v>
      </c>
      <c r="R20" s="9">
        <v>0</v>
      </c>
      <c r="S20" t="s">
        <v>36</v>
      </c>
      <c r="T20" s="95">
        <f>(O20*P20)*Q20+O20*P20</f>
        <v>72.599999999999994</v>
      </c>
      <c r="U20" s="1" t="s">
        <v>3503</v>
      </c>
      <c r="V20" s="87" t="s">
        <v>3431</v>
      </c>
      <c r="W20" s="2">
        <v>37048</v>
      </c>
      <c r="X20" s="2">
        <v>43844</v>
      </c>
      <c r="Y20" s="11" t="s">
        <v>3569</v>
      </c>
      <c r="Z20" s="3">
        <v>43871</v>
      </c>
      <c r="AA20" s="80" t="s">
        <v>1339</v>
      </c>
      <c r="AD20" t="s">
        <v>3198</v>
      </c>
      <c r="AE20" t="s">
        <v>3432</v>
      </c>
      <c r="AG20" s="1" t="s">
        <v>3392</v>
      </c>
      <c r="AH20" s="2">
        <v>43844</v>
      </c>
      <c r="AI20" s="1" t="s">
        <v>3508</v>
      </c>
      <c r="AK20" s="2">
        <v>43860</v>
      </c>
    </row>
    <row r="21" spans="1:40" s="96" customFormat="1">
      <c r="A21" s="99">
        <v>20</v>
      </c>
      <c r="B21" s="96" t="s">
        <v>2000</v>
      </c>
      <c r="C21" s="97">
        <v>43844</v>
      </c>
      <c r="D21" s="99" t="s">
        <v>2001</v>
      </c>
      <c r="E21" s="96" t="s">
        <v>2002</v>
      </c>
      <c r="F21" s="104" t="s">
        <v>2003</v>
      </c>
      <c r="G21" s="105" t="s">
        <v>230</v>
      </c>
      <c r="H21" s="96" t="s">
        <v>1262</v>
      </c>
      <c r="I21" s="99">
        <v>626326761</v>
      </c>
      <c r="K21" s="96" t="s">
        <v>2001</v>
      </c>
      <c r="L21" s="97"/>
      <c r="M21" s="96" t="s">
        <v>35</v>
      </c>
      <c r="N21" s="98" t="s">
        <v>2004</v>
      </c>
      <c r="O21" s="107">
        <v>0</v>
      </c>
      <c r="P21" s="99" t="s">
        <v>3407</v>
      </c>
      <c r="Q21" s="108" t="s">
        <v>3407</v>
      </c>
      <c r="R21" s="112" t="s">
        <v>3407</v>
      </c>
      <c r="S21" s="96" t="s">
        <v>36</v>
      </c>
      <c r="T21" s="110" t="s">
        <v>3407</v>
      </c>
      <c r="U21" s="99" t="s">
        <v>2005</v>
      </c>
      <c r="V21" s="111" t="s">
        <v>3434</v>
      </c>
      <c r="W21" s="97">
        <v>27760</v>
      </c>
      <c r="X21" s="97">
        <v>43844</v>
      </c>
      <c r="Y21" s="11" t="s">
        <v>3569</v>
      </c>
      <c r="Z21" s="106">
        <v>43871</v>
      </c>
      <c r="AA21" s="118" t="s">
        <v>1339</v>
      </c>
      <c r="AD21" s="96" t="s">
        <v>3198</v>
      </c>
      <c r="AE21" s="96" t="s">
        <v>3402</v>
      </c>
      <c r="AG21" s="99" t="s">
        <v>3435</v>
      </c>
      <c r="AH21" s="97">
        <v>43844</v>
      </c>
      <c r="AI21" s="97">
        <v>43855</v>
      </c>
      <c r="AK21" s="97">
        <v>43850</v>
      </c>
    </row>
    <row r="22" spans="1:40">
      <c r="A22" s="1">
        <v>21</v>
      </c>
      <c r="B22" t="s">
        <v>59</v>
      </c>
      <c r="C22" s="2">
        <v>43844</v>
      </c>
      <c r="D22" s="1" t="s">
        <v>3440</v>
      </c>
      <c r="E22" s="61" t="s">
        <v>3441</v>
      </c>
      <c r="F22" s="61" t="s">
        <v>3442</v>
      </c>
      <c r="G22" s="6" t="s">
        <v>242</v>
      </c>
      <c r="H22" s="1" t="s">
        <v>86</v>
      </c>
      <c r="I22" s="1" t="s">
        <v>3443</v>
      </c>
      <c r="J22" s="1"/>
      <c r="K22" t="s">
        <v>3440</v>
      </c>
      <c r="L22" s="2">
        <v>43861</v>
      </c>
      <c r="M22" t="s">
        <v>35</v>
      </c>
      <c r="N22" s="14" t="s">
        <v>3438</v>
      </c>
      <c r="O22" s="92">
        <v>60</v>
      </c>
      <c r="P22" s="1">
        <v>1</v>
      </c>
      <c r="Q22" s="90">
        <v>0.21</v>
      </c>
      <c r="R22" s="9">
        <v>0</v>
      </c>
      <c r="S22" t="s">
        <v>36</v>
      </c>
      <c r="T22" s="95">
        <f t="shared" ref="T22:T28" si="1">(O22*P22)*Q22+O22*P22</f>
        <v>72.599999999999994</v>
      </c>
      <c r="U22" s="1" t="s">
        <v>3487</v>
      </c>
      <c r="V22" s="87" t="s">
        <v>3439</v>
      </c>
      <c r="W22" s="2">
        <v>34684</v>
      </c>
      <c r="X22" s="2">
        <v>43844</v>
      </c>
      <c r="Y22" s="11" t="s">
        <v>3742</v>
      </c>
      <c r="Z22" s="3">
        <v>43935</v>
      </c>
      <c r="AA22" s="80" t="s">
        <v>1339</v>
      </c>
      <c r="AD22" t="s">
        <v>3198</v>
      </c>
      <c r="AG22" s="1" t="s">
        <v>3392</v>
      </c>
      <c r="AH22" s="2">
        <v>43850</v>
      </c>
      <c r="AI22" s="2">
        <v>43860</v>
      </c>
      <c r="AK22" s="2">
        <v>43858</v>
      </c>
    </row>
    <row r="23" spans="1:40">
      <c r="A23" s="1">
        <v>22</v>
      </c>
      <c r="B23" t="s">
        <v>119</v>
      </c>
      <c r="C23" s="2">
        <v>43845</v>
      </c>
      <c r="D23" s="1" t="s">
        <v>3444</v>
      </c>
      <c r="E23" s="61" t="s">
        <v>3445</v>
      </c>
      <c r="F23" s="61" t="s">
        <v>3446</v>
      </c>
      <c r="G23" s="6" t="s">
        <v>250</v>
      </c>
      <c r="H23" s="1" t="s">
        <v>86</v>
      </c>
      <c r="I23" s="1">
        <v>658789355</v>
      </c>
      <c r="J23" s="1"/>
      <c r="K23" s="31" t="s">
        <v>174</v>
      </c>
      <c r="L23" s="2">
        <v>43861</v>
      </c>
      <c r="M23" t="s">
        <v>35</v>
      </c>
      <c r="N23" s="14" t="s">
        <v>3447</v>
      </c>
      <c r="O23" s="92">
        <v>60</v>
      </c>
      <c r="P23" s="1">
        <v>1</v>
      </c>
      <c r="Q23" s="90">
        <v>0.21</v>
      </c>
      <c r="R23" s="9">
        <v>0</v>
      </c>
      <c r="S23" t="s">
        <v>36</v>
      </c>
      <c r="T23" s="95">
        <f t="shared" si="1"/>
        <v>72.599999999999994</v>
      </c>
      <c r="U23" s="183" t="s">
        <v>4557</v>
      </c>
      <c r="V23" s="87" t="s">
        <v>3448</v>
      </c>
      <c r="W23" s="2">
        <v>25934</v>
      </c>
      <c r="X23" s="2">
        <v>43844</v>
      </c>
      <c r="Y23" s="11" t="s">
        <v>3591</v>
      </c>
      <c r="Z23" s="3">
        <v>43879</v>
      </c>
      <c r="AA23" s="80" t="s">
        <v>1339</v>
      </c>
      <c r="AD23" t="s">
        <v>3198</v>
      </c>
      <c r="AE23" t="s">
        <v>3449</v>
      </c>
      <c r="AG23" s="1" t="s">
        <v>3450</v>
      </c>
      <c r="AH23" s="2">
        <v>43845</v>
      </c>
      <c r="AI23" s="2">
        <v>43855</v>
      </c>
      <c r="AK23" s="2">
        <v>43852</v>
      </c>
    </row>
    <row r="24" spans="1:40">
      <c r="A24" s="1">
        <v>23</v>
      </c>
      <c r="B24" t="s">
        <v>45</v>
      </c>
      <c r="C24" s="2">
        <v>43845</v>
      </c>
      <c r="D24" s="1" t="s">
        <v>3451</v>
      </c>
      <c r="E24" s="61" t="s">
        <v>3452</v>
      </c>
      <c r="F24" s="61" t="s">
        <v>3453</v>
      </c>
      <c r="G24" s="6" t="s">
        <v>1229</v>
      </c>
      <c r="H24" s="1" t="s">
        <v>3454</v>
      </c>
      <c r="I24" s="1">
        <v>671426768</v>
      </c>
      <c r="J24" s="1"/>
      <c r="K24" t="s">
        <v>3451</v>
      </c>
      <c r="L24" s="2">
        <v>43861</v>
      </c>
      <c r="M24" t="s">
        <v>35</v>
      </c>
      <c r="N24" s="14" t="s">
        <v>3455</v>
      </c>
      <c r="O24" s="92">
        <v>60</v>
      </c>
      <c r="P24" s="1">
        <v>1</v>
      </c>
      <c r="Q24" s="90">
        <v>0.21</v>
      </c>
      <c r="R24" s="9">
        <v>0</v>
      </c>
      <c r="S24" t="s">
        <v>36</v>
      </c>
      <c r="T24" s="95">
        <f t="shared" si="1"/>
        <v>72.599999999999994</v>
      </c>
      <c r="U24" s="1" t="s">
        <v>3456</v>
      </c>
      <c r="V24" s="87" t="s">
        <v>3457</v>
      </c>
      <c r="W24" s="2">
        <v>27813</v>
      </c>
      <c r="X24" s="2">
        <v>43845</v>
      </c>
      <c r="Y24" s="11" t="s">
        <v>3591</v>
      </c>
      <c r="Z24" s="3">
        <v>43878</v>
      </c>
      <c r="AA24" s="80" t="s">
        <v>1339</v>
      </c>
      <c r="AD24" t="s">
        <v>3198</v>
      </c>
      <c r="AE24" t="s">
        <v>3458</v>
      </c>
    </row>
    <row r="25" spans="1:40">
      <c r="A25" s="1">
        <v>24</v>
      </c>
      <c r="B25" t="s">
        <v>33</v>
      </c>
      <c r="C25" s="2">
        <v>43845</v>
      </c>
      <c r="D25" s="1" t="s">
        <v>3459</v>
      </c>
      <c r="E25" s="61" t="s">
        <v>3460</v>
      </c>
      <c r="F25" s="61" t="s">
        <v>3461</v>
      </c>
      <c r="G25" s="6" t="s">
        <v>219</v>
      </c>
      <c r="H25" s="1" t="s">
        <v>38</v>
      </c>
      <c r="I25" s="1">
        <v>600502530</v>
      </c>
      <c r="J25" s="1"/>
      <c r="K25" s="31" t="s">
        <v>237</v>
      </c>
      <c r="L25" s="2">
        <v>43861</v>
      </c>
      <c r="M25" t="s">
        <v>35</v>
      </c>
      <c r="N25" s="14" t="s">
        <v>3462</v>
      </c>
      <c r="O25" s="92">
        <v>60</v>
      </c>
      <c r="P25" s="1">
        <v>1</v>
      </c>
      <c r="Q25" s="90">
        <v>0.21</v>
      </c>
      <c r="R25" s="9">
        <v>0</v>
      </c>
      <c r="S25" t="s">
        <v>36</v>
      </c>
      <c r="T25" s="95">
        <f t="shared" si="1"/>
        <v>72.599999999999994</v>
      </c>
      <c r="U25" s="1" t="s">
        <v>3463</v>
      </c>
      <c r="V25" s="87" t="s">
        <v>3464</v>
      </c>
      <c r="W25" s="2">
        <v>35968</v>
      </c>
      <c r="X25" s="2">
        <v>43845</v>
      </c>
      <c r="Y25" s="11" t="s">
        <v>3592</v>
      </c>
      <c r="Z25" s="3">
        <v>43882</v>
      </c>
      <c r="AA25" s="80" t="s">
        <v>1339</v>
      </c>
      <c r="AD25" t="s">
        <v>3198</v>
      </c>
      <c r="AE25" t="s">
        <v>3465</v>
      </c>
      <c r="AH25"/>
      <c r="AJ25" s="1"/>
    </row>
    <row r="26" spans="1:40">
      <c r="A26" s="1">
        <v>25</v>
      </c>
      <c r="B26" t="s">
        <v>37</v>
      </c>
      <c r="C26" s="2">
        <v>43847</v>
      </c>
      <c r="D26" s="1" t="s">
        <v>1145</v>
      </c>
      <c r="E26" s="61" t="s">
        <v>1146</v>
      </c>
      <c r="F26" s="61" t="s">
        <v>3474</v>
      </c>
      <c r="G26" s="6" t="s">
        <v>245</v>
      </c>
      <c r="H26" s="1" t="s">
        <v>54</v>
      </c>
      <c r="I26" s="1">
        <v>643430547</v>
      </c>
      <c r="J26" s="1"/>
      <c r="K26" t="s">
        <v>1145</v>
      </c>
      <c r="L26" s="2">
        <v>43861</v>
      </c>
      <c r="M26" t="s">
        <v>35</v>
      </c>
      <c r="N26" t="s">
        <v>3475</v>
      </c>
      <c r="O26" s="92">
        <v>30</v>
      </c>
      <c r="P26" s="1">
        <v>1</v>
      </c>
      <c r="Q26" s="90">
        <v>0.21</v>
      </c>
      <c r="R26" s="101" t="s">
        <v>3486</v>
      </c>
      <c r="S26" t="s">
        <v>36</v>
      </c>
      <c r="T26" s="95">
        <f t="shared" si="1"/>
        <v>36.299999999999997</v>
      </c>
      <c r="U26" s="1" t="s">
        <v>1145</v>
      </c>
      <c r="V26" s="87" t="s">
        <v>3476</v>
      </c>
      <c r="W26" s="2">
        <v>28924</v>
      </c>
      <c r="X26" s="2">
        <v>43847</v>
      </c>
      <c r="Y26" s="11" t="s">
        <v>3593</v>
      </c>
      <c r="Z26" s="3">
        <v>43882</v>
      </c>
      <c r="AA26" s="80" t="s">
        <v>1339</v>
      </c>
      <c r="AD26" t="s">
        <v>3198</v>
      </c>
      <c r="AH26"/>
      <c r="AJ26" s="1"/>
    </row>
    <row r="27" spans="1:40">
      <c r="A27" s="1">
        <v>26</v>
      </c>
      <c r="B27" s="61" t="s">
        <v>40</v>
      </c>
      <c r="C27" s="2">
        <v>43853</v>
      </c>
      <c r="D27" s="1" t="s">
        <v>3087</v>
      </c>
      <c r="E27" t="s">
        <v>3490</v>
      </c>
      <c r="F27" s="61" t="s">
        <v>783</v>
      </c>
      <c r="G27" s="6" t="s">
        <v>230</v>
      </c>
      <c r="H27" t="s">
        <v>1262</v>
      </c>
      <c r="K27" t="s">
        <v>3087</v>
      </c>
      <c r="L27" s="2">
        <v>43861</v>
      </c>
      <c r="M27" s="1" t="s">
        <v>35</v>
      </c>
      <c r="N27" s="14" t="s">
        <v>3482</v>
      </c>
      <c r="O27" s="92">
        <v>30</v>
      </c>
      <c r="P27" s="1">
        <v>1</v>
      </c>
      <c r="Q27" s="90">
        <v>0.21</v>
      </c>
      <c r="R27" s="9">
        <v>0</v>
      </c>
      <c r="S27" s="100" t="s">
        <v>36</v>
      </c>
      <c r="T27" s="95">
        <f t="shared" si="1"/>
        <v>36.299999999999997</v>
      </c>
      <c r="U27" s="1" t="s">
        <v>3090</v>
      </c>
      <c r="V27" s="6" t="s">
        <v>3483</v>
      </c>
      <c r="W27" s="3">
        <v>37101</v>
      </c>
      <c r="X27" s="87" t="s">
        <v>3484</v>
      </c>
      <c r="Y27" s="11" t="s">
        <v>3685</v>
      </c>
      <c r="Z27" s="2">
        <v>43896</v>
      </c>
      <c r="AA27" s="80" t="s">
        <v>1339</v>
      </c>
      <c r="AD27" t="s">
        <v>3198</v>
      </c>
      <c r="AG27"/>
      <c r="AH27"/>
      <c r="AJ27" s="1"/>
    </row>
    <row r="28" spans="1:40">
      <c r="A28" s="1">
        <v>27</v>
      </c>
      <c r="B28" s="61" t="s">
        <v>3489</v>
      </c>
      <c r="C28" s="2">
        <v>43854</v>
      </c>
      <c r="D28" s="1" t="s">
        <v>1968</v>
      </c>
      <c r="E28" s="61" t="s">
        <v>1969</v>
      </c>
      <c r="F28" s="61" t="s">
        <v>3491</v>
      </c>
      <c r="G28" s="6" t="s">
        <v>238</v>
      </c>
      <c r="H28" s="1" t="s">
        <v>48</v>
      </c>
      <c r="I28" s="6" t="s">
        <v>3492</v>
      </c>
      <c r="J28" s="1"/>
      <c r="K28" t="s">
        <v>1968</v>
      </c>
      <c r="L28" s="2">
        <v>43861</v>
      </c>
      <c r="M28" s="1" t="s">
        <v>35</v>
      </c>
      <c r="N28" s="14" t="s">
        <v>3493</v>
      </c>
      <c r="O28" s="92">
        <v>60</v>
      </c>
      <c r="P28" s="1">
        <v>1</v>
      </c>
      <c r="Q28" s="90">
        <v>0.21</v>
      </c>
      <c r="R28" s="101" t="s">
        <v>3477</v>
      </c>
      <c r="S28" s="100" t="s">
        <v>36</v>
      </c>
      <c r="T28" s="95">
        <f t="shared" si="1"/>
        <v>72.599999999999994</v>
      </c>
      <c r="U28" s="1" t="s">
        <v>3494</v>
      </c>
      <c r="V28" s="6" t="s">
        <v>3498</v>
      </c>
      <c r="W28" s="3">
        <v>32538</v>
      </c>
      <c r="X28" s="87" t="s">
        <v>3495</v>
      </c>
      <c r="Y28" s="195" t="s">
        <v>3654</v>
      </c>
      <c r="Z28" s="2">
        <v>43892</v>
      </c>
      <c r="AA28" s="80" t="s">
        <v>1339</v>
      </c>
      <c r="AC28" s="76" t="s">
        <v>3658</v>
      </c>
      <c r="AD28" t="s">
        <v>3198</v>
      </c>
      <c r="AE28" t="s">
        <v>3496</v>
      </c>
      <c r="AG28" t="s">
        <v>3497</v>
      </c>
      <c r="AH28" s="3">
        <v>43854</v>
      </c>
      <c r="AI28" s="2">
        <v>43864</v>
      </c>
      <c r="AJ28" s="1"/>
      <c r="AK28" s="2">
        <v>43859</v>
      </c>
    </row>
    <row r="29" spans="1:40">
      <c r="A29" s="1">
        <v>28</v>
      </c>
      <c r="B29" s="61" t="s">
        <v>3489</v>
      </c>
      <c r="C29" s="2">
        <v>43854</v>
      </c>
      <c r="D29" s="1" t="s">
        <v>1968</v>
      </c>
      <c r="E29" s="61" t="s">
        <v>1969</v>
      </c>
      <c r="F29" s="61" t="s">
        <v>3491</v>
      </c>
      <c r="G29" s="6" t="s">
        <v>238</v>
      </c>
      <c r="H29" s="1" t="s">
        <v>48</v>
      </c>
      <c r="I29" s="6" t="s">
        <v>3492</v>
      </c>
      <c r="J29" s="1"/>
      <c r="K29" t="s">
        <v>1968</v>
      </c>
      <c r="L29" s="2">
        <v>43861</v>
      </c>
      <c r="M29" s="1" t="s">
        <v>35</v>
      </c>
      <c r="N29" s="14" t="s">
        <v>3499</v>
      </c>
      <c r="O29" s="92">
        <v>60</v>
      </c>
      <c r="P29" s="1">
        <v>1</v>
      </c>
      <c r="Q29" s="90">
        <v>0.21</v>
      </c>
      <c r="R29" s="101" t="s">
        <v>3477</v>
      </c>
      <c r="S29" s="100" t="s">
        <v>36</v>
      </c>
      <c r="T29" s="95">
        <f>(O29*P29)*Q29+O29*P29</f>
        <v>72.599999999999994</v>
      </c>
      <c r="U29" s="1" t="s">
        <v>3500</v>
      </c>
      <c r="V29" s="6" t="s">
        <v>3501</v>
      </c>
      <c r="W29" s="3">
        <v>34629</v>
      </c>
      <c r="X29" s="87" t="s">
        <v>3495</v>
      </c>
      <c r="Y29" s="11" t="s">
        <v>3655</v>
      </c>
      <c r="Z29" s="2">
        <v>43892</v>
      </c>
      <c r="AA29" s="80" t="s">
        <v>1339</v>
      </c>
      <c r="AD29" t="s">
        <v>3198</v>
      </c>
      <c r="AE29" t="s">
        <v>3496</v>
      </c>
      <c r="AG29" t="s">
        <v>3497</v>
      </c>
      <c r="AH29" s="3">
        <v>43854</v>
      </c>
      <c r="AI29" s="2">
        <v>43864</v>
      </c>
      <c r="AJ29" s="1"/>
      <c r="AK29" s="2">
        <v>43859</v>
      </c>
    </row>
    <row r="30" spans="1:40" s="96" customFormat="1">
      <c r="A30" s="99">
        <v>29</v>
      </c>
      <c r="B30" s="104" t="s">
        <v>1414</v>
      </c>
      <c r="C30" s="97">
        <v>43854</v>
      </c>
      <c r="D30" s="99" t="s">
        <v>1812</v>
      </c>
      <c r="E30" s="96" t="s">
        <v>1813</v>
      </c>
      <c r="F30" s="96" t="s">
        <v>1994</v>
      </c>
      <c r="G30" s="105" t="s">
        <v>221</v>
      </c>
      <c r="H30" s="99" t="s">
        <v>34</v>
      </c>
      <c r="I30" s="99">
        <v>626326758</v>
      </c>
      <c r="K30" s="96" t="s">
        <v>1812</v>
      </c>
      <c r="L30" s="106">
        <v>43861</v>
      </c>
      <c r="M30" s="96" t="s">
        <v>35</v>
      </c>
      <c r="N30" s="98" t="s">
        <v>1995</v>
      </c>
      <c r="O30" s="107" t="s">
        <v>3407</v>
      </c>
      <c r="P30" s="99" t="s">
        <v>3407</v>
      </c>
      <c r="Q30" s="108" t="s">
        <v>3407</v>
      </c>
      <c r="R30" s="109" t="s">
        <v>3407</v>
      </c>
      <c r="S30" s="96" t="s">
        <v>36</v>
      </c>
      <c r="T30" s="110" t="s">
        <v>3407</v>
      </c>
      <c r="U30" s="96" t="s">
        <v>1996</v>
      </c>
      <c r="V30" s="111" t="s">
        <v>3502</v>
      </c>
      <c r="W30" s="97">
        <v>27116</v>
      </c>
      <c r="X30" s="97">
        <v>43854</v>
      </c>
      <c r="Y30" s="125" t="s">
        <v>3687</v>
      </c>
      <c r="Z30" s="106">
        <v>43899</v>
      </c>
      <c r="AA30" s="118" t="s">
        <v>1339</v>
      </c>
      <c r="AD30" s="96" t="s">
        <v>3198</v>
      </c>
      <c r="AE30" s="96" t="s">
        <v>3413</v>
      </c>
      <c r="AG30" s="99" t="s">
        <v>3108</v>
      </c>
      <c r="AH30" s="106">
        <v>43854</v>
      </c>
      <c r="AI30" s="97">
        <v>43864</v>
      </c>
      <c r="AK30" s="97">
        <v>43860</v>
      </c>
    </row>
    <row r="31" spans="1:40">
      <c r="A31" s="1">
        <v>30</v>
      </c>
      <c r="B31" s="61" t="s">
        <v>37</v>
      </c>
      <c r="C31" s="2">
        <v>43864</v>
      </c>
      <c r="D31" s="1" t="s">
        <v>1238</v>
      </c>
      <c r="E31" s="61" t="s">
        <v>1239</v>
      </c>
      <c r="F31" s="61" t="s">
        <v>3513</v>
      </c>
      <c r="G31" s="6" t="s">
        <v>221</v>
      </c>
      <c r="H31" s="1" t="s">
        <v>34</v>
      </c>
      <c r="I31" s="1">
        <v>633181737</v>
      </c>
      <c r="J31" s="1"/>
      <c r="K31" t="s">
        <v>1238</v>
      </c>
      <c r="L31" s="1"/>
      <c r="M31" t="s">
        <v>35</v>
      </c>
      <c r="N31" t="s">
        <v>3697</v>
      </c>
      <c r="O31" s="92">
        <v>0</v>
      </c>
      <c r="P31" s="1" t="s">
        <v>3407</v>
      </c>
      <c r="Q31" s="100" t="s">
        <v>3407</v>
      </c>
      <c r="R31" s="9" t="s">
        <v>3407</v>
      </c>
      <c r="S31" s="1" t="s">
        <v>36</v>
      </c>
      <c r="T31" s="95" t="s">
        <v>3407</v>
      </c>
      <c r="U31" s="1" t="s">
        <v>1238</v>
      </c>
      <c r="V31" s="6" t="s">
        <v>3514</v>
      </c>
      <c r="W31" s="2">
        <v>26428</v>
      </c>
      <c r="X31" s="2">
        <v>43864</v>
      </c>
      <c r="Y31" s="11" t="s">
        <v>3721</v>
      </c>
      <c r="Z31" s="3">
        <v>43906</v>
      </c>
      <c r="AA31" s="80" t="s">
        <v>1339</v>
      </c>
      <c r="AD31" t="s">
        <v>3198</v>
      </c>
    </row>
    <row r="32" spans="1:40">
      <c r="A32" s="1">
        <v>31</v>
      </c>
      <c r="B32" s="61" t="s">
        <v>33</v>
      </c>
      <c r="C32" s="2">
        <v>43865</v>
      </c>
      <c r="D32" s="1" t="s">
        <v>3247</v>
      </c>
      <c r="E32" t="s">
        <v>3240</v>
      </c>
      <c r="F32" t="s">
        <v>3242</v>
      </c>
      <c r="G32" s="6" t="s">
        <v>304</v>
      </c>
      <c r="H32" t="s">
        <v>38</v>
      </c>
      <c r="I32">
        <v>646181264</v>
      </c>
      <c r="K32" t="s">
        <v>237</v>
      </c>
      <c r="L32" s="2">
        <v>43890</v>
      </c>
      <c r="M32" s="1" t="s">
        <v>35</v>
      </c>
      <c r="N32" s="14" t="s">
        <v>3515</v>
      </c>
      <c r="O32" s="92">
        <v>60</v>
      </c>
      <c r="P32" s="1">
        <v>1</v>
      </c>
      <c r="Q32" s="90">
        <v>0.21</v>
      </c>
      <c r="R32" s="9">
        <v>0</v>
      </c>
      <c r="S32" s="1" t="s">
        <v>36</v>
      </c>
      <c r="T32" s="95">
        <f t="shared" ref="T32:T66" si="2">(O32*P32)*Q32+O32*P32</f>
        <v>72.599999999999994</v>
      </c>
      <c r="U32" s="1" t="s">
        <v>3743</v>
      </c>
      <c r="V32" s="87" t="s">
        <v>3536</v>
      </c>
      <c r="W32" s="2">
        <v>32982</v>
      </c>
      <c r="X32" s="2">
        <v>43865</v>
      </c>
      <c r="Y32" s="11" t="s">
        <v>3745</v>
      </c>
      <c r="Z32" s="3">
        <v>43938</v>
      </c>
      <c r="AA32" s="80" t="s">
        <v>1339</v>
      </c>
      <c r="AD32" t="s">
        <v>3198</v>
      </c>
      <c r="AG32" s="1" t="s">
        <v>3516</v>
      </c>
      <c r="AH32" s="2">
        <v>43865</v>
      </c>
      <c r="AI32" s="2">
        <v>43876</v>
      </c>
      <c r="AK32" s="2">
        <v>43871</v>
      </c>
    </row>
    <row r="33" spans="1:37">
      <c r="A33" s="1">
        <v>32</v>
      </c>
      <c r="B33" s="61" t="s">
        <v>33</v>
      </c>
      <c r="C33" s="2">
        <v>43865</v>
      </c>
      <c r="D33" s="1" t="s">
        <v>2237</v>
      </c>
      <c r="E33" s="61" t="s">
        <v>2238</v>
      </c>
      <c r="F33" s="61" t="s">
        <v>3518</v>
      </c>
      <c r="G33" s="6" t="s">
        <v>219</v>
      </c>
      <c r="H33" s="1" t="s">
        <v>38</v>
      </c>
      <c r="I33" s="1" t="s">
        <v>3519</v>
      </c>
      <c r="J33" s="1"/>
      <c r="K33" t="s">
        <v>237</v>
      </c>
      <c r="L33" s="2">
        <v>43890</v>
      </c>
      <c r="M33" s="1" t="s">
        <v>35</v>
      </c>
      <c r="N33" s="14" t="s">
        <v>3520</v>
      </c>
      <c r="O33" s="92">
        <v>60</v>
      </c>
      <c r="P33" s="1">
        <v>1</v>
      </c>
      <c r="Q33" s="90">
        <v>0.21</v>
      </c>
      <c r="R33" s="9">
        <v>0</v>
      </c>
      <c r="S33" s="1" t="s">
        <v>36</v>
      </c>
      <c r="T33" s="95">
        <f t="shared" si="2"/>
        <v>72.599999999999994</v>
      </c>
      <c r="U33" s="1" t="s">
        <v>3517</v>
      </c>
      <c r="V33" s="87" t="s">
        <v>3521</v>
      </c>
      <c r="W33" s="2">
        <v>31842</v>
      </c>
      <c r="X33" s="2">
        <v>43865</v>
      </c>
      <c r="Y33" s="134" t="s">
        <v>3747</v>
      </c>
      <c r="Z33" s="3">
        <v>43942</v>
      </c>
      <c r="AA33" s="80" t="s">
        <v>1339</v>
      </c>
      <c r="AB33" t="s">
        <v>3749</v>
      </c>
      <c r="AC33" s="3">
        <v>44078</v>
      </c>
      <c r="AD33" t="s">
        <v>3198</v>
      </c>
      <c r="AE33" t="s">
        <v>3402</v>
      </c>
      <c r="AG33" s="1" t="s">
        <v>3522</v>
      </c>
      <c r="AH33" s="2">
        <v>43865</v>
      </c>
      <c r="AI33" s="2">
        <v>43876</v>
      </c>
      <c r="AK33" s="2">
        <v>43866</v>
      </c>
    </row>
    <row r="34" spans="1:37">
      <c r="A34" s="1">
        <v>33</v>
      </c>
      <c r="B34" s="61" t="s">
        <v>119</v>
      </c>
      <c r="C34" s="2">
        <v>43865</v>
      </c>
      <c r="D34" s="1" t="s">
        <v>3444</v>
      </c>
      <c r="E34" s="61" t="s">
        <v>3445</v>
      </c>
      <c r="F34" s="61" t="s">
        <v>3523</v>
      </c>
      <c r="G34" s="6" t="s">
        <v>242</v>
      </c>
      <c r="H34" s="1" t="s">
        <v>86</v>
      </c>
      <c r="I34" s="1" t="s">
        <v>3524</v>
      </c>
      <c r="J34" s="1"/>
      <c r="K34" s="31" t="s">
        <v>174</v>
      </c>
      <c r="L34" s="2">
        <v>43890</v>
      </c>
      <c r="M34" s="1" t="s">
        <v>35</v>
      </c>
      <c r="N34" s="14" t="s">
        <v>3525</v>
      </c>
      <c r="O34" s="92">
        <v>60</v>
      </c>
      <c r="P34" s="1">
        <v>1</v>
      </c>
      <c r="Q34" s="90">
        <v>0.21</v>
      </c>
      <c r="R34" s="9">
        <v>0</v>
      </c>
      <c r="S34" s="1" t="s">
        <v>36</v>
      </c>
      <c r="T34" s="95">
        <f t="shared" si="2"/>
        <v>72.599999999999994</v>
      </c>
      <c r="U34" s="1" t="s">
        <v>3533</v>
      </c>
      <c r="V34" s="87" t="s">
        <v>3534</v>
      </c>
      <c r="W34" s="2">
        <v>33604</v>
      </c>
      <c r="X34" s="2">
        <v>43865</v>
      </c>
      <c r="Y34" s="11" t="s">
        <v>3746</v>
      </c>
      <c r="Z34" s="3">
        <v>43943</v>
      </c>
      <c r="AA34" s="80" t="s">
        <v>1339</v>
      </c>
      <c r="AD34" t="s">
        <v>3198</v>
      </c>
      <c r="AE34" t="s">
        <v>3402</v>
      </c>
      <c r="AG34" s="1" t="s">
        <v>3516</v>
      </c>
      <c r="AH34" s="2">
        <v>43865</v>
      </c>
      <c r="AI34" s="2">
        <v>43876</v>
      </c>
      <c r="AK34" s="2">
        <v>43871</v>
      </c>
    </row>
    <row r="35" spans="1:37">
      <c r="A35" s="1">
        <v>34</v>
      </c>
      <c r="B35" s="61" t="s">
        <v>3526</v>
      </c>
      <c r="C35" s="2">
        <v>43865</v>
      </c>
      <c r="D35" s="1" t="s">
        <v>246</v>
      </c>
      <c r="E35" s="61" t="s">
        <v>115</v>
      </c>
      <c r="F35" s="61" t="s">
        <v>3527</v>
      </c>
      <c r="G35" s="6" t="s">
        <v>250</v>
      </c>
      <c r="H35" s="1" t="s">
        <v>86</v>
      </c>
      <c r="I35" s="1" t="s">
        <v>3528</v>
      </c>
      <c r="J35" s="1"/>
      <c r="K35" t="s">
        <v>246</v>
      </c>
      <c r="L35" s="2">
        <v>43890</v>
      </c>
      <c r="M35" s="1" t="s">
        <v>35</v>
      </c>
      <c r="N35" s="14" t="s">
        <v>3529</v>
      </c>
      <c r="O35" s="92">
        <v>60</v>
      </c>
      <c r="P35" s="1">
        <v>1</v>
      </c>
      <c r="Q35" s="90">
        <v>0.21</v>
      </c>
      <c r="R35" s="9">
        <v>0</v>
      </c>
      <c r="S35" s="1" t="s">
        <v>36</v>
      </c>
      <c r="T35" s="95">
        <f t="shared" si="2"/>
        <v>72.599999999999994</v>
      </c>
      <c r="U35" s="1" t="s">
        <v>3530</v>
      </c>
      <c r="V35" s="87" t="s">
        <v>3535</v>
      </c>
      <c r="W35" s="2">
        <v>31794</v>
      </c>
      <c r="X35" s="2">
        <v>43865</v>
      </c>
      <c r="Y35" s="195" t="s">
        <v>3762</v>
      </c>
      <c r="Z35" s="3">
        <v>43950</v>
      </c>
      <c r="AA35" s="80" t="s">
        <v>1339</v>
      </c>
      <c r="AB35" t="s">
        <v>1876</v>
      </c>
      <c r="AD35" t="s">
        <v>3198</v>
      </c>
      <c r="AE35" t="s">
        <v>3589</v>
      </c>
      <c r="AG35" s="1" t="s">
        <v>3531</v>
      </c>
      <c r="AH35" s="2">
        <v>43865</v>
      </c>
      <c r="AI35" s="2">
        <v>43876</v>
      </c>
      <c r="AK35" s="2">
        <v>43878</v>
      </c>
    </row>
    <row r="36" spans="1:37">
      <c r="A36" s="1">
        <v>35</v>
      </c>
      <c r="B36" s="61" t="s">
        <v>33</v>
      </c>
      <c r="C36" s="2">
        <v>43866</v>
      </c>
      <c r="D36" s="1" t="s">
        <v>3537</v>
      </c>
      <c r="E36" s="61" t="s">
        <v>3538</v>
      </c>
      <c r="F36" s="61" t="s">
        <v>3539</v>
      </c>
      <c r="G36" s="6" t="s">
        <v>241</v>
      </c>
      <c r="H36" s="1" t="s">
        <v>60</v>
      </c>
      <c r="I36" s="1">
        <v>609232105</v>
      </c>
      <c r="J36" s="1"/>
      <c r="K36" t="s">
        <v>237</v>
      </c>
      <c r="L36" s="2">
        <v>43890</v>
      </c>
      <c r="M36" s="1" t="s">
        <v>35</v>
      </c>
      <c r="N36" s="14" t="s">
        <v>3540</v>
      </c>
      <c r="O36" s="92">
        <v>60</v>
      </c>
      <c r="P36" s="1">
        <v>1</v>
      </c>
      <c r="Q36" s="90">
        <v>0.21</v>
      </c>
      <c r="R36" s="9">
        <v>0</v>
      </c>
      <c r="S36" s="1" t="s">
        <v>36</v>
      </c>
      <c r="T36" s="95">
        <f t="shared" si="2"/>
        <v>72.599999999999994</v>
      </c>
      <c r="U36" s="1" t="s">
        <v>3541</v>
      </c>
      <c r="V36" s="87" t="s">
        <v>3542</v>
      </c>
      <c r="W36" s="2">
        <v>35369</v>
      </c>
      <c r="X36" s="2">
        <v>43866</v>
      </c>
      <c r="Y36" s="11" t="s">
        <v>3687</v>
      </c>
      <c r="Z36" s="3">
        <v>43896</v>
      </c>
      <c r="AA36" s="80" t="s">
        <v>1339</v>
      </c>
      <c r="AD36" t="s">
        <v>3198</v>
      </c>
      <c r="AE36" t="s">
        <v>3465</v>
      </c>
    </row>
    <row r="37" spans="1:37">
      <c r="A37" s="1">
        <v>36</v>
      </c>
      <c r="B37" s="61" t="s">
        <v>52</v>
      </c>
      <c r="C37" s="2">
        <v>43866</v>
      </c>
      <c r="D37" s="1" t="s">
        <v>70</v>
      </c>
      <c r="E37" s="61" t="s">
        <v>3543</v>
      </c>
      <c r="F37" s="61" t="s">
        <v>3544</v>
      </c>
      <c r="G37" s="6" t="s">
        <v>221</v>
      </c>
      <c r="H37" s="1" t="s">
        <v>34</v>
      </c>
      <c r="I37" s="1">
        <v>645871002</v>
      </c>
      <c r="J37" s="1"/>
      <c r="K37" s="31" t="s">
        <v>53</v>
      </c>
      <c r="L37" s="2">
        <v>43890</v>
      </c>
      <c r="M37" s="1" t="s">
        <v>35</v>
      </c>
      <c r="N37" s="14" t="s">
        <v>3545</v>
      </c>
      <c r="O37" s="92">
        <v>60</v>
      </c>
      <c r="P37" s="1">
        <v>1</v>
      </c>
      <c r="Q37" s="90">
        <v>0.21</v>
      </c>
      <c r="R37" s="9">
        <v>0</v>
      </c>
      <c r="S37" s="1" t="s">
        <v>36</v>
      </c>
      <c r="T37" s="95">
        <f t="shared" si="2"/>
        <v>72.599999999999994</v>
      </c>
      <c r="U37" s="1" t="s">
        <v>3546</v>
      </c>
      <c r="V37" s="87" t="s">
        <v>3547</v>
      </c>
      <c r="W37" s="2">
        <v>30348</v>
      </c>
      <c r="X37" s="2">
        <v>43866</v>
      </c>
      <c r="Y37" s="11" t="s">
        <v>3687</v>
      </c>
      <c r="Z37" s="3">
        <v>43896</v>
      </c>
      <c r="AA37" s="80" t="s">
        <v>1339</v>
      </c>
      <c r="AD37" t="s">
        <v>3198</v>
      </c>
      <c r="AE37" t="s">
        <v>3398</v>
      </c>
    </row>
    <row r="38" spans="1:37">
      <c r="A38" s="1">
        <v>37</v>
      </c>
      <c r="B38" s="61" t="s">
        <v>52</v>
      </c>
      <c r="C38" s="2">
        <v>43866</v>
      </c>
      <c r="D38" s="1" t="s">
        <v>3548</v>
      </c>
      <c r="E38" s="61" t="s">
        <v>3549</v>
      </c>
      <c r="F38" s="61" t="s">
        <v>3550</v>
      </c>
      <c r="G38" s="6" t="s">
        <v>1229</v>
      </c>
      <c r="H38" s="1" t="s">
        <v>38</v>
      </c>
      <c r="I38" s="1">
        <v>679491202</v>
      </c>
      <c r="J38" s="1"/>
      <c r="K38" s="31" t="s">
        <v>53</v>
      </c>
      <c r="L38" s="2">
        <v>43890</v>
      </c>
      <c r="M38" s="1" t="s">
        <v>35</v>
      </c>
      <c r="N38" s="14" t="s">
        <v>3551</v>
      </c>
      <c r="O38" s="92">
        <v>60</v>
      </c>
      <c r="P38" s="1">
        <v>1</v>
      </c>
      <c r="Q38" s="90">
        <v>0.21</v>
      </c>
      <c r="R38" s="9">
        <v>0</v>
      </c>
      <c r="S38" s="1" t="s">
        <v>36</v>
      </c>
      <c r="T38" s="95">
        <f t="shared" si="2"/>
        <v>72.599999999999994</v>
      </c>
      <c r="U38" s="1" t="s">
        <v>3552</v>
      </c>
      <c r="V38" s="87" t="s">
        <v>3553</v>
      </c>
      <c r="W38" s="2">
        <v>30627</v>
      </c>
      <c r="X38" s="2">
        <v>43866</v>
      </c>
      <c r="Y38" s="195" t="s">
        <v>3688</v>
      </c>
      <c r="Z38" s="3">
        <v>43896</v>
      </c>
      <c r="AA38" s="80" t="s">
        <v>1339</v>
      </c>
      <c r="AB38" t="s">
        <v>3572</v>
      </c>
      <c r="AD38" t="s">
        <v>3198</v>
      </c>
      <c r="AE38" t="s">
        <v>3398</v>
      </c>
      <c r="AG38" s="1" t="s">
        <v>3554</v>
      </c>
      <c r="AH38" s="2">
        <v>43866</v>
      </c>
      <c r="AI38" s="2">
        <v>43878</v>
      </c>
      <c r="AK38" s="2">
        <v>43874</v>
      </c>
    </row>
    <row r="39" spans="1:37">
      <c r="A39" s="1">
        <v>38</v>
      </c>
      <c r="B39" s="61" t="s">
        <v>40</v>
      </c>
      <c r="C39" s="2">
        <v>43866</v>
      </c>
      <c r="D39" s="1" t="s">
        <v>2748</v>
      </c>
      <c r="E39" s="61" t="s">
        <v>2749</v>
      </c>
      <c r="F39" s="61" t="s">
        <v>3555</v>
      </c>
      <c r="G39" s="6" t="s">
        <v>230</v>
      </c>
      <c r="H39" t="s">
        <v>1262</v>
      </c>
      <c r="I39" s="1">
        <v>674547035</v>
      </c>
      <c r="J39" s="1"/>
      <c r="K39" t="s">
        <v>2748</v>
      </c>
      <c r="L39" s="2">
        <v>43890</v>
      </c>
      <c r="M39" s="1" t="s">
        <v>35</v>
      </c>
      <c r="N39" s="14" t="s">
        <v>2751</v>
      </c>
      <c r="O39" s="92">
        <v>60</v>
      </c>
      <c r="P39" s="1">
        <v>1</v>
      </c>
      <c r="Q39" s="90">
        <v>0.21</v>
      </c>
      <c r="R39" s="9">
        <v>0</v>
      </c>
      <c r="S39" s="1" t="s">
        <v>36</v>
      </c>
      <c r="T39" s="95">
        <f t="shared" si="2"/>
        <v>72.599999999999994</v>
      </c>
      <c r="U39" s="1" t="s">
        <v>2752</v>
      </c>
      <c r="V39" s="87" t="s">
        <v>3556</v>
      </c>
      <c r="W39" s="2">
        <v>28279</v>
      </c>
      <c r="X39" s="2">
        <v>43866</v>
      </c>
      <c r="Y39" s="11" t="s">
        <v>3687</v>
      </c>
      <c r="Z39" s="3">
        <v>43896</v>
      </c>
      <c r="AA39" s="80" t="s">
        <v>1339</v>
      </c>
      <c r="AD39" t="s">
        <v>3198</v>
      </c>
      <c r="AE39" t="s">
        <v>3557</v>
      </c>
      <c r="AG39" s="1" t="s">
        <v>3558</v>
      </c>
      <c r="AH39" s="2">
        <v>43866</v>
      </c>
      <c r="AI39" s="2">
        <v>43878</v>
      </c>
      <c r="AK39" s="2">
        <v>43873</v>
      </c>
    </row>
    <row r="40" spans="1:37">
      <c r="A40" s="1">
        <v>39</v>
      </c>
      <c r="B40" s="61" t="s">
        <v>1414</v>
      </c>
      <c r="C40" s="2">
        <v>43866</v>
      </c>
      <c r="D40" s="1" t="s">
        <v>3559</v>
      </c>
      <c r="E40" s="61" t="s">
        <v>3560</v>
      </c>
      <c r="F40" s="61" t="s">
        <v>3561</v>
      </c>
      <c r="G40" s="6" t="s">
        <v>230</v>
      </c>
      <c r="H40" s="1" t="s">
        <v>1262</v>
      </c>
      <c r="I40" s="1">
        <v>607536828</v>
      </c>
      <c r="J40" s="1"/>
      <c r="K40" t="s">
        <v>3559</v>
      </c>
      <c r="L40" s="2">
        <v>43890</v>
      </c>
      <c r="M40" s="1" t="s">
        <v>35</v>
      </c>
      <c r="N40" s="14" t="s">
        <v>3562</v>
      </c>
      <c r="O40" s="92">
        <v>60</v>
      </c>
      <c r="P40" s="1">
        <v>1</v>
      </c>
      <c r="Q40" s="90">
        <v>0.21</v>
      </c>
      <c r="R40" s="9">
        <v>0</v>
      </c>
      <c r="S40" s="1" t="s">
        <v>36</v>
      </c>
      <c r="T40" s="95">
        <f t="shared" si="2"/>
        <v>72.599999999999994</v>
      </c>
      <c r="U40" s="1" t="s">
        <v>3563</v>
      </c>
      <c r="V40" s="87" t="s">
        <v>3564</v>
      </c>
      <c r="W40" s="2">
        <v>37209</v>
      </c>
      <c r="X40" s="2">
        <v>43866</v>
      </c>
      <c r="Y40" s="11" t="s">
        <v>3687</v>
      </c>
      <c r="Z40" s="3">
        <v>43896</v>
      </c>
      <c r="AA40" s="80" t="s">
        <v>1339</v>
      </c>
      <c r="AD40" t="s">
        <v>3198</v>
      </c>
      <c r="AE40" t="s">
        <v>3413</v>
      </c>
      <c r="AG40" s="1" t="s">
        <v>3565</v>
      </c>
      <c r="AH40" s="2">
        <v>43866</v>
      </c>
      <c r="AI40" s="2">
        <v>43878</v>
      </c>
      <c r="AK40" s="2">
        <v>43873</v>
      </c>
    </row>
    <row r="41" spans="1:37">
      <c r="A41" s="1">
        <v>40</v>
      </c>
      <c r="B41" s="61" t="s">
        <v>37</v>
      </c>
      <c r="C41" s="2">
        <v>43867</v>
      </c>
      <c r="D41" s="1" t="s">
        <v>1263</v>
      </c>
      <c r="E41" s="61" t="s">
        <v>1264</v>
      </c>
      <c r="F41" s="61" t="s">
        <v>3566</v>
      </c>
      <c r="G41" s="6" t="s">
        <v>232</v>
      </c>
      <c r="H41" s="1" t="s">
        <v>144</v>
      </c>
      <c r="I41" s="1">
        <v>642939932</v>
      </c>
      <c r="J41" s="1"/>
      <c r="K41" t="s">
        <v>1263</v>
      </c>
      <c r="L41" s="2">
        <v>43890</v>
      </c>
      <c r="M41" s="1" t="s">
        <v>35</v>
      </c>
      <c r="N41" s="14" t="s">
        <v>1267</v>
      </c>
      <c r="O41" s="92">
        <v>30</v>
      </c>
      <c r="P41" s="1">
        <v>1</v>
      </c>
      <c r="Q41" s="90">
        <v>0.21</v>
      </c>
      <c r="R41" s="9">
        <v>0</v>
      </c>
      <c r="S41" s="1" t="s">
        <v>36</v>
      </c>
      <c r="T41" s="95">
        <f t="shared" si="2"/>
        <v>36.299999999999997</v>
      </c>
      <c r="U41" s="1" t="s">
        <v>1263</v>
      </c>
      <c r="V41" s="6" t="s">
        <v>3568</v>
      </c>
      <c r="W41" s="2">
        <v>27171</v>
      </c>
      <c r="X41" s="2">
        <v>43867</v>
      </c>
      <c r="Y41" s="11" t="s">
        <v>3730</v>
      </c>
      <c r="Z41" s="3">
        <v>43913</v>
      </c>
      <c r="AA41" s="80" t="s">
        <v>1339</v>
      </c>
      <c r="AD41" t="s">
        <v>3198</v>
      </c>
    </row>
    <row r="42" spans="1:37">
      <c r="A42" s="1">
        <v>41</v>
      </c>
      <c r="B42" s="61" t="s">
        <v>37</v>
      </c>
      <c r="C42" s="2">
        <v>43871</v>
      </c>
      <c r="D42" s="1" t="s">
        <v>1421</v>
      </c>
      <c r="E42" s="61" t="s">
        <v>1422</v>
      </c>
      <c r="F42" t="s">
        <v>1423</v>
      </c>
      <c r="G42" s="6" t="s">
        <v>1424</v>
      </c>
      <c r="H42" t="s">
        <v>1425</v>
      </c>
      <c r="I42" s="1">
        <v>632151794</v>
      </c>
      <c r="J42" s="1"/>
      <c r="K42" t="s">
        <v>1421</v>
      </c>
      <c r="L42" s="2">
        <v>43890</v>
      </c>
      <c r="M42" s="1" t="s">
        <v>35</v>
      </c>
      <c r="N42" s="14" t="s">
        <v>3570</v>
      </c>
      <c r="O42" s="92">
        <v>30</v>
      </c>
      <c r="P42" s="1">
        <v>1</v>
      </c>
      <c r="Q42" s="90">
        <v>0.21</v>
      </c>
      <c r="R42" s="9">
        <v>0</v>
      </c>
      <c r="S42" s="1" t="s">
        <v>36</v>
      </c>
      <c r="T42" s="95">
        <f t="shared" si="2"/>
        <v>36.299999999999997</v>
      </c>
      <c r="U42" s="1" t="s">
        <v>1421</v>
      </c>
      <c r="V42" s="6" t="s">
        <v>3574</v>
      </c>
      <c r="W42" s="2">
        <v>29258</v>
      </c>
      <c r="X42" s="2">
        <v>43871</v>
      </c>
      <c r="Y42" s="11" t="s">
        <v>3731</v>
      </c>
      <c r="Z42" s="3">
        <v>43915</v>
      </c>
      <c r="AA42" s="80" t="s">
        <v>1339</v>
      </c>
      <c r="AD42" t="s">
        <v>3198</v>
      </c>
    </row>
    <row r="43" spans="1:37">
      <c r="A43" s="1">
        <v>42</v>
      </c>
      <c r="B43" s="61" t="s">
        <v>119</v>
      </c>
      <c r="C43" s="2">
        <v>43873</v>
      </c>
      <c r="D43" s="1" t="s">
        <v>2290</v>
      </c>
      <c r="E43" t="s">
        <v>2188</v>
      </c>
      <c r="F43" t="s">
        <v>2189</v>
      </c>
      <c r="G43" s="6" t="s">
        <v>242</v>
      </c>
      <c r="H43" t="s">
        <v>1474</v>
      </c>
      <c r="I43">
        <v>632637235</v>
      </c>
      <c r="K43" s="31" t="s">
        <v>174</v>
      </c>
      <c r="L43" s="2">
        <v>43890</v>
      </c>
      <c r="M43" t="s">
        <v>35</v>
      </c>
      <c r="N43" s="14" t="s">
        <v>3576</v>
      </c>
      <c r="O43" s="92">
        <v>30</v>
      </c>
      <c r="P43" s="1">
        <v>1</v>
      </c>
      <c r="Q43" s="90">
        <v>0.21</v>
      </c>
      <c r="R43" s="9">
        <v>0</v>
      </c>
      <c r="S43" s="1" t="s">
        <v>36</v>
      </c>
      <c r="T43" s="95">
        <f t="shared" si="2"/>
        <v>36.299999999999997</v>
      </c>
      <c r="U43" s="1" t="s">
        <v>2191</v>
      </c>
      <c r="V43" s="87" t="s">
        <v>3580</v>
      </c>
      <c r="W43" s="2">
        <v>30682</v>
      </c>
      <c r="X43" s="2">
        <v>43873</v>
      </c>
      <c r="Y43" s="11" t="s">
        <v>3736</v>
      </c>
      <c r="Z43" s="3">
        <v>43927</v>
      </c>
      <c r="AA43" s="80" t="s">
        <v>1339</v>
      </c>
      <c r="AD43" t="s">
        <v>3198</v>
      </c>
    </row>
    <row r="44" spans="1:37">
      <c r="A44" s="1">
        <v>43</v>
      </c>
      <c r="B44" t="s">
        <v>3232</v>
      </c>
      <c r="C44" s="2">
        <v>43873</v>
      </c>
      <c r="D44" s="1" t="s">
        <v>1522</v>
      </c>
      <c r="E44" t="s">
        <v>3233</v>
      </c>
      <c r="F44" t="s">
        <v>3241</v>
      </c>
      <c r="G44" s="6" t="s">
        <v>3234</v>
      </c>
      <c r="H44" t="s">
        <v>3235</v>
      </c>
      <c r="I44">
        <v>680761760</v>
      </c>
      <c r="K44" t="s">
        <v>1522</v>
      </c>
      <c r="L44" s="3">
        <v>43890</v>
      </c>
      <c r="M44" t="s">
        <v>35</v>
      </c>
      <c r="N44" s="14" t="s">
        <v>3577</v>
      </c>
      <c r="O44" s="92">
        <v>60</v>
      </c>
      <c r="P44" s="1">
        <v>1</v>
      </c>
      <c r="Q44" s="90">
        <v>0.21</v>
      </c>
      <c r="R44" s="9">
        <v>0</v>
      </c>
      <c r="S44" s="1" t="s">
        <v>36</v>
      </c>
      <c r="T44" s="95">
        <f t="shared" si="2"/>
        <v>72.599999999999994</v>
      </c>
      <c r="U44" s="1" t="s">
        <v>3578</v>
      </c>
      <c r="V44" s="87" t="s">
        <v>3579</v>
      </c>
      <c r="W44" s="2">
        <v>33036</v>
      </c>
      <c r="X44" s="2">
        <v>43873</v>
      </c>
      <c r="Y44" s="11" t="s">
        <v>3722</v>
      </c>
      <c r="Z44" s="3">
        <v>43906</v>
      </c>
      <c r="AA44" s="80" t="s">
        <v>1339</v>
      </c>
      <c r="AD44" t="s">
        <v>3198</v>
      </c>
      <c r="AE44" t="s">
        <v>3720</v>
      </c>
      <c r="AG44" s="1" t="s">
        <v>3221</v>
      </c>
      <c r="AH44" s="2">
        <v>43873</v>
      </c>
      <c r="AI44" s="2">
        <v>43885</v>
      </c>
      <c r="AK44" s="2">
        <v>43874</v>
      </c>
    </row>
    <row r="45" spans="1:37">
      <c r="A45" s="1">
        <v>44</v>
      </c>
      <c r="B45" s="61" t="s">
        <v>82</v>
      </c>
      <c r="C45" s="2">
        <v>43873</v>
      </c>
      <c r="D45" s="1" t="s">
        <v>1783</v>
      </c>
      <c r="E45" t="s">
        <v>1784</v>
      </c>
      <c r="F45" t="s">
        <v>2394</v>
      </c>
      <c r="G45" s="6" t="s">
        <v>242</v>
      </c>
      <c r="H45" t="s">
        <v>1474</v>
      </c>
      <c r="I45" s="1">
        <v>699510563</v>
      </c>
      <c r="K45" t="s">
        <v>1783</v>
      </c>
      <c r="L45" s="2">
        <v>43890</v>
      </c>
      <c r="M45" s="1" t="s">
        <v>35</v>
      </c>
      <c r="N45" s="14" t="s">
        <v>1786</v>
      </c>
      <c r="O45" s="92">
        <v>60</v>
      </c>
      <c r="P45" s="1">
        <v>1</v>
      </c>
      <c r="Q45" s="90">
        <v>0.21</v>
      </c>
      <c r="R45" s="9">
        <v>0</v>
      </c>
      <c r="S45" s="1" t="s">
        <v>36</v>
      </c>
      <c r="T45" s="95">
        <f t="shared" si="2"/>
        <v>72.599999999999994</v>
      </c>
      <c r="U45" s="1" t="s">
        <v>3582</v>
      </c>
      <c r="V45" s="87" t="s">
        <v>3583</v>
      </c>
      <c r="W45" s="2">
        <v>36496</v>
      </c>
      <c r="X45" s="2">
        <v>43873</v>
      </c>
      <c r="Y45" s="11" t="s">
        <v>3722</v>
      </c>
      <c r="Z45" s="3">
        <v>43906</v>
      </c>
      <c r="AA45" s="80" t="s">
        <v>1339</v>
      </c>
      <c r="AD45" t="s">
        <v>3198</v>
      </c>
      <c r="AG45" s="1" t="s">
        <v>3584</v>
      </c>
      <c r="AH45" s="2">
        <v>43873</v>
      </c>
      <c r="AI45" s="2">
        <v>43885</v>
      </c>
      <c r="AK45" s="2">
        <v>43880</v>
      </c>
    </row>
    <row r="46" spans="1:37">
      <c r="A46" s="1">
        <v>45</v>
      </c>
      <c r="B46" s="61" t="s">
        <v>37</v>
      </c>
      <c r="C46" s="2">
        <v>43874</v>
      </c>
      <c r="D46" s="1" t="s">
        <v>3979</v>
      </c>
      <c r="E46" s="61" t="s">
        <v>3586</v>
      </c>
      <c r="F46" s="61" t="s">
        <v>3587</v>
      </c>
      <c r="G46" s="6" t="s">
        <v>270</v>
      </c>
      <c r="H46" s="1" t="s">
        <v>49</v>
      </c>
      <c r="I46" s="1">
        <v>643831914</v>
      </c>
      <c r="J46" s="1"/>
      <c r="K46" s="1" t="s">
        <v>3979</v>
      </c>
      <c r="L46" s="2">
        <v>43890</v>
      </c>
      <c r="M46" s="1" t="s">
        <v>35</v>
      </c>
      <c r="N46" s="14" t="s">
        <v>3588</v>
      </c>
      <c r="O46" s="92">
        <v>60</v>
      </c>
      <c r="P46" s="1">
        <v>1</v>
      </c>
      <c r="Q46" s="90">
        <v>0.21</v>
      </c>
      <c r="R46" s="9">
        <v>0</v>
      </c>
      <c r="S46" s="1" t="s">
        <v>36</v>
      </c>
      <c r="T46" s="95">
        <f t="shared" si="2"/>
        <v>72.599999999999994</v>
      </c>
      <c r="U46" s="1" t="s">
        <v>3585</v>
      </c>
      <c r="V46" s="87" t="s">
        <v>3596</v>
      </c>
      <c r="W46" s="2">
        <v>37005</v>
      </c>
      <c r="X46" s="2">
        <v>43874</v>
      </c>
      <c r="Y46" s="11" t="s">
        <v>3962</v>
      </c>
      <c r="Z46" s="3">
        <v>44014</v>
      </c>
      <c r="AA46" s="80" t="s">
        <v>1339</v>
      </c>
      <c r="AB46" s="133" t="s">
        <v>3572</v>
      </c>
      <c r="AC46" s="116">
        <v>44005</v>
      </c>
      <c r="AD46" t="s">
        <v>3198</v>
      </c>
      <c r="AG46" s="1" t="s">
        <v>3599</v>
      </c>
      <c r="AH46" s="2">
        <v>43874</v>
      </c>
      <c r="AI46" s="2">
        <v>43886</v>
      </c>
      <c r="AK46" s="2">
        <v>43886</v>
      </c>
    </row>
    <row r="47" spans="1:37">
      <c r="A47" s="1">
        <v>46</v>
      </c>
      <c r="B47" t="s">
        <v>82</v>
      </c>
      <c r="C47" s="2">
        <v>43885</v>
      </c>
      <c r="D47" s="1" t="s">
        <v>772</v>
      </c>
      <c r="E47" s="14" t="s">
        <v>773</v>
      </c>
      <c r="F47" t="s">
        <v>1872</v>
      </c>
      <c r="G47" s="6" t="s">
        <v>239</v>
      </c>
      <c r="H47" t="s">
        <v>2585</v>
      </c>
      <c r="I47" s="1">
        <v>629246817</v>
      </c>
      <c r="K47" t="s">
        <v>772</v>
      </c>
      <c r="L47" s="2">
        <v>43890</v>
      </c>
      <c r="M47" s="1" t="s">
        <v>35</v>
      </c>
      <c r="N47" s="14" t="s">
        <v>3594</v>
      </c>
      <c r="O47" s="92">
        <v>60</v>
      </c>
      <c r="P47" s="1">
        <v>1</v>
      </c>
      <c r="Q47" s="90">
        <v>0.21</v>
      </c>
      <c r="R47" s="9">
        <v>0</v>
      </c>
      <c r="S47" s="1" t="s">
        <v>36</v>
      </c>
      <c r="T47" s="95">
        <f t="shared" si="2"/>
        <v>72.599999999999994</v>
      </c>
      <c r="U47" s="1" t="s">
        <v>3595</v>
      </c>
      <c r="V47" s="87" t="s">
        <v>3597</v>
      </c>
      <c r="W47" s="2">
        <v>34877</v>
      </c>
      <c r="X47" s="2">
        <v>43885</v>
      </c>
      <c r="Y47" s="11" t="s">
        <v>3735</v>
      </c>
      <c r="Z47" s="3">
        <v>43922</v>
      </c>
      <c r="AA47" s="80" t="s">
        <v>1339</v>
      </c>
      <c r="AD47" t="s">
        <v>3198</v>
      </c>
      <c r="AE47" t="s">
        <v>3432</v>
      </c>
      <c r="AG47" s="1" t="s">
        <v>3598</v>
      </c>
      <c r="AH47" s="2">
        <v>43885</v>
      </c>
      <c r="AI47" s="2">
        <v>43887</v>
      </c>
      <c r="AK47" s="2">
        <v>43899</v>
      </c>
    </row>
    <row r="48" spans="1:37">
      <c r="A48" s="1">
        <v>47</v>
      </c>
      <c r="B48" s="61" t="s">
        <v>37</v>
      </c>
      <c r="C48" s="2">
        <v>43885</v>
      </c>
      <c r="D48" s="1" t="s">
        <v>3600</v>
      </c>
      <c r="E48" s="61" t="s">
        <v>3601</v>
      </c>
      <c r="F48" s="61" t="s">
        <v>3602</v>
      </c>
      <c r="G48" s="6" t="s">
        <v>314</v>
      </c>
      <c r="H48" s="1" t="s">
        <v>3603</v>
      </c>
      <c r="I48" s="1">
        <v>631912608</v>
      </c>
      <c r="J48" s="1"/>
      <c r="K48" t="s">
        <v>3600</v>
      </c>
      <c r="L48" s="2">
        <v>43890</v>
      </c>
      <c r="M48" s="1" t="s">
        <v>35</v>
      </c>
      <c r="N48" s="14" t="s">
        <v>3604</v>
      </c>
      <c r="O48" s="92">
        <v>60</v>
      </c>
      <c r="P48" s="1">
        <v>1</v>
      </c>
      <c r="Q48" s="90">
        <v>0.21</v>
      </c>
      <c r="R48" s="9">
        <v>0</v>
      </c>
      <c r="S48" s="1" t="s">
        <v>36</v>
      </c>
      <c r="T48" s="95">
        <f t="shared" si="2"/>
        <v>72.599999999999994</v>
      </c>
      <c r="U48" s="1" t="s">
        <v>3600</v>
      </c>
      <c r="V48" s="87" t="s">
        <v>3605</v>
      </c>
      <c r="W48" s="2">
        <v>30089</v>
      </c>
      <c r="X48" s="2">
        <v>43885</v>
      </c>
      <c r="Y48" s="195" t="s">
        <v>3763</v>
      </c>
      <c r="Z48" s="3">
        <v>43950</v>
      </c>
      <c r="AA48" s="80" t="s">
        <v>1339</v>
      </c>
      <c r="AB48" s="133" t="s">
        <v>3764</v>
      </c>
      <c r="AD48" t="s">
        <v>3198</v>
      </c>
      <c r="AE48" t="s">
        <v>3656</v>
      </c>
      <c r="AG48" s="1" t="s">
        <v>3607</v>
      </c>
      <c r="AH48" s="2">
        <v>43885</v>
      </c>
      <c r="AI48" s="2">
        <v>43893</v>
      </c>
      <c r="AK48" s="2">
        <v>43899</v>
      </c>
    </row>
    <row r="49" spans="1:37">
      <c r="A49" s="1">
        <v>48</v>
      </c>
      <c r="B49" s="61" t="s">
        <v>37</v>
      </c>
      <c r="C49" s="2">
        <v>43885</v>
      </c>
      <c r="D49" s="1" t="s">
        <v>3657</v>
      </c>
      <c r="E49" s="61" t="s">
        <v>3609</v>
      </c>
      <c r="F49" s="61" t="s">
        <v>3610</v>
      </c>
      <c r="G49" s="6" t="s">
        <v>1257</v>
      </c>
      <c r="H49" s="1" t="s">
        <v>1266</v>
      </c>
      <c r="I49" s="1">
        <v>643997421</v>
      </c>
      <c r="J49" s="1"/>
      <c r="K49" t="s">
        <v>3608</v>
      </c>
      <c r="L49" s="2">
        <v>43890</v>
      </c>
      <c r="M49" s="1" t="s">
        <v>35</v>
      </c>
      <c r="N49" s="14" t="s">
        <v>3611</v>
      </c>
      <c r="O49" s="92">
        <v>60</v>
      </c>
      <c r="P49" s="1">
        <v>1</v>
      </c>
      <c r="Q49" s="90">
        <v>0.21</v>
      </c>
      <c r="R49" s="9">
        <v>0</v>
      </c>
      <c r="S49" s="1" t="s">
        <v>36</v>
      </c>
      <c r="T49" s="95">
        <f t="shared" si="2"/>
        <v>72.599999999999994</v>
      </c>
      <c r="U49" s="1" t="s">
        <v>3657</v>
      </c>
      <c r="V49" s="87" t="s">
        <v>3612</v>
      </c>
      <c r="W49" s="2">
        <v>31123</v>
      </c>
      <c r="X49" s="2">
        <v>43885</v>
      </c>
      <c r="Y49" s="11" t="s">
        <v>3787</v>
      </c>
      <c r="Z49" s="3">
        <v>43973</v>
      </c>
      <c r="AA49" s="80" t="s">
        <v>1339</v>
      </c>
      <c r="AB49" s="133" t="s">
        <v>3765</v>
      </c>
      <c r="AC49" s="116">
        <v>43969</v>
      </c>
      <c r="AD49" t="s">
        <v>3198</v>
      </c>
      <c r="AE49" t="s">
        <v>3606</v>
      </c>
      <c r="AG49" s="1" t="s">
        <v>3108</v>
      </c>
      <c r="AH49" s="2">
        <v>43885</v>
      </c>
      <c r="AI49" s="2">
        <v>43887</v>
      </c>
      <c r="AK49" s="2">
        <v>43899</v>
      </c>
    </row>
    <row r="50" spans="1:37">
      <c r="A50" s="1">
        <v>49</v>
      </c>
      <c r="B50" s="61" t="s">
        <v>119</v>
      </c>
      <c r="C50" s="2">
        <v>43885</v>
      </c>
      <c r="D50" s="1" t="s">
        <v>2701</v>
      </c>
      <c r="E50" s="61" t="s">
        <v>2915</v>
      </c>
      <c r="F50" s="61" t="s">
        <v>3613</v>
      </c>
      <c r="G50" s="6" t="s">
        <v>242</v>
      </c>
      <c r="H50" s="1" t="s">
        <v>1474</v>
      </c>
      <c r="I50" s="1" t="s">
        <v>3614</v>
      </c>
      <c r="J50" s="1"/>
      <c r="K50" s="31" t="s">
        <v>174</v>
      </c>
      <c r="L50" s="2">
        <v>43890</v>
      </c>
      <c r="M50" s="1" t="s">
        <v>35</v>
      </c>
      <c r="N50" s="14" t="s">
        <v>2703</v>
      </c>
      <c r="O50" s="92">
        <v>60</v>
      </c>
      <c r="P50" s="1">
        <v>1</v>
      </c>
      <c r="Q50" s="90">
        <v>0.21</v>
      </c>
      <c r="R50" s="9">
        <v>0</v>
      </c>
      <c r="S50" s="1" t="s">
        <v>36</v>
      </c>
      <c r="T50" s="95">
        <f t="shared" si="2"/>
        <v>72.599999999999994</v>
      </c>
      <c r="U50" s="1" t="s">
        <v>2704</v>
      </c>
      <c r="V50" s="87" t="s">
        <v>3615</v>
      </c>
      <c r="W50" s="2">
        <v>30317</v>
      </c>
      <c r="X50" s="2">
        <v>43885</v>
      </c>
      <c r="Y50" s="11" t="s">
        <v>3757</v>
      </c>
      <c r="Z50" s="3">
        <v>43955</v>
      </c>
      <c r="AA50" s="80" t="s">
        <v>1339</v>
      </c>
      <c r="AD50" t="s">
        <v>3198</v>
      </c>
      <c r="AE50" t="s">
        <v>3616</v>
      </c>
      <c r="AG50" s="1" t="s">
        <v>3108</v>
      </c>
      <c r="AH50" s="2">
        <v>43885</v>
      </c>
      <c r="AI50" s="2">
        <v>43887</v>
      </c>
      <c r="AK50" s="2">
        <v>43899</v>
      </c>
    </row>
    <row r="51" spans="1:37">
      <c r="A51" s="1">
        <v>50</v>
      </c>
      <c r="B51" s="61" t="s">
        <v>52</v>
      </c>
      <c r="C51" s="2">
        <v>43885</v>
      </c>
      <c r="D51" s="1" t="s">
        <v>70</v>
      </c>
      <c r="E51" s="61" t="s">
        <v>3543</v>
      </c>
      <c r="F51" s="61" t="s">
        <v>3544</v>
      </c>
      <c r="G51" s="6" t="s">
        <v>221</v>
      </c>
      <c r="H51" s="1" t="s">
        <v>34</v>
      </c>
      <c r="I51" s="1">
        <v>645871002</v>
      </c>
      <c r="J51" s="1"/>
      <c r="K51" s="31" t="s">
        <v>53</v>
      </c>
      <c r="L51" s="2">
        <v>43890</v>
      </c>
      <c r="M51" s="1" t="s">
        <v>35</v>
      </c>
      <c r="N51" s="14" t="s">
        <v>3617</v>
      </c>
      <c r="O51" s="92">
        <v>60</v>
      </c>
      <c r="P51" s="1">
        <v>1</v>
      </c>
      <c r="Q51" s="90">
        <v>0.21</v>
      </c>
      <c r="R51" s="9">
        <v>0</v>
      </c>
      <c r="S51" s="1" t="s">
        <v>36</v>
      </c>
      <c r="T51" s="95">
        <f t="shared" si="2"/>
        <v>72.599999999999994</v>
      </c>
      <c r="U51" s="1" t="s">
        <v>884</v>
      </c>
      <c r="V51" s="87" t="s">
        <v>3618</v>
      </c>
      <c r="W51" s="2">
        <v>35159</v>
      </c>
      <c r="X51" s="2">
        <v>43885</v>
      </c>
      <c r="Y51" s="11" t="s">
        <v>3735</v>
      </c>
      <c r="Z51" s="3">
        <v>43923</v>
      </c>
      <c r="AA51" s="80" t="s">
        <v>1339</v>
      </c>
      <c r="AD51" t="s">
        <v>3198</v>
      </c>
    </row>
    <row r="52" spans="1:37">
      <c r="A52" s="1">
        <v>51</v>
      </c>
      <c r="B52" s="61" t="s">
        <v>1414</v>
      </c>
      <c r="C52" s="2">
        <v>43885</v>
      </c>
      <c r="D52" s="1" t="s">
        <v>3619</v>
      </c>
      <c r="E52" s="61" t="s">
        <v>3620</v>
      </c>
      <c r="F52" s="61" t="s">
        <v>3621</v>
      </c>
      <c r="G52" s="6" t="s">
        <v>230</v>
      </c>
      <c r="H52" s="1" t="s">
        <v>3622</v>
      </c>
      <c r="I52" s="1">
        <v>670458705</v>
      </c>
      <c r="J52" s="1"/>
      <c r="K52" t="s">
        <v>3619</v>
      </c>
      <c r="L52" s="2">
        <v>43890</v>
      </c>
      <c r="M52" s="1" t="s">
        <v>35</v>
      </c>
      <c r="N52" s="14" t="s">
        <v>3623</v>
      </c>
      <c r="O52" s="92">
        <v>60</v>
      </c>
      <c r="P52" s="1">
        <v>1</v>
      </c>
      <c r="Q52" s="90">
        <v>0.21</v>
      </c>
      <c r="R52" s="9">
        <v>0</v>
      </c>
      <c r="S52" s="1" t="s">
        <v>36</v>
      </c>
      <c r="T52" s="95">
        <f t="shared" si="2"/>
        <v>72.599999999999994</v>
      </c>
      <c r="U52" s="1" t="s">
        <v>3624</v>
      </c>
      <c r="V52" s="87" t="s">
        <v>3625</v>
      </c>
      <c r="W52" s="2">
        <v>34934</v>
      </c>
      <c r="X52" s="2">
        <v>43885</v>
      </c>
      <c r="Y52" s="195" t="s">
        <v>3733</v>
      </c>
      <c r="Z52" s="3">
        <v>43921</v>
      </c>
      <c r="AA52" s="80" t="s">
        <v>1339</v>
      </c>
      <c r="AB52" t="s">
        <v>3572</v>
      </c>
      <c r="AD52" t="s">
        <v>3198</v>
      </c>
    </row>
    <row r="53" spans="1:37">
      <c r="A53" s="1">
        <v>52</v>
      </c>
      <c r="B53" s="61" t="s">
        <v>45</v>
      </c>
      <c r="C53" s="2">
        <v>43885</v>
      </c>
      <c r="D53" s="1" t="s">
        <v>1965</v>
      </c>
      <c r="E53" s="61" t="s">
        <v>795</v>
      </c>
      <c r="F53" s="61" t="s">
        <v>3626</v>
      </c>
      <c r="G53" s="6" t="s">
        <v>221</v>
      </c>
      <c r="H53" s="1" t="s">
        <v>34</v>
      </c>
      <c r="I53" s="1">
        <v>615165042</v>
      </c>
      <c r="J53" s="1"/>
      <c r="K53" t="s">
        <v>1965</v>
      </c>
      <c r="L53" s="2">
        <v>43890</v>
      </c>
      <c r="M53" s="1" t="s">
        <v>35</v>
      </c>
      <c r="N53" s="14" t="s">
        <v>3627</v>
      </c>
      <c r="O53" s="92">
        <v>60</v>
      </c>
      <c r="P53" s="1">
        <v>1</v>
      </c>
      <c r="Q53" s="90">
        <v>0.21</v>
      </c>
      <c r="R53" s="9">
        <v>0</v>
      </c>
      <c r="S53" s="1" t="s">
        <v>36</v>
      </c>
      <c r="T53" s="95">
        <f t="shared" si="2"/>
        <v>72.599999999999994</v>
      </c>
      <c r="U53" s="1" t="s">
        <v>3628</v>
      </c>
      <c r="V53" s="87" t="s">
        <v>3629</v>
      </c>
      <c r="W53" s="2">
        <v>35226</v>
      </c>
      <c r="X53" s="2">
        <v>43885</v>
      </c>
      <c r="Y53" s="11" t="s">
        <v>3735</v>
      </c>
      <c r="Z53" s="3">
        <v>43922</v>
      </c>
      <c r="AA53" s="80" t="s">
        <v>1339</v>
      </c>
      <c r="AD53" t="s">
        <v>3198</v>
      </c>
      <c r="AG53" s="1" t="s">
        <v>3630</v>
      </c>
      <c r="AH53" s="2">
        <v>43885</v>
      </c>
      <c r="AI53" s="2">
        <v>43886</v>
      </c>
      <c r="AK53" s="2">
        <v>43899</v>
      </c>
    </row>
    <row r="54" spans="1:37">
      <c r="A54" s="1">
        <v>53</v>
      </c>
      <c r="B54" s="61" t="s">
        <v>3631</v>
      </c>
      <c r="C54" s="2">
        <v>43886</v>
      </c>
      <c r="D54" s="1" t="s">
        <v>3632</v>
      </c>
      <c r="E54" s="61" t="s">
        <v>3633</v>
      </c>
      <c r="F54" s="61" t="s">
        <v>3634</v>
      </c>
      <c r="G54" s="6" t="s">
        <v>221</v>
      </c>
      <c r="H54" s="1" t="s">
        <v>34</v>
      </c>
      <c r="I54" s="1">
        <v>649862685</v>
      </c>
      <c r="K54" t="s">
        <v>3632</v>
      </c>
      <c r="L54" s="2">
        <v>43890</v>
      </c>
      <c r="M54" s="1" t="s">
        <v>35</v>
      </c>
      <c r="N54" s="14" t="s">
        <v>3635</v>
      </c>
      <c r="O54" s="92">
        <v>60</v>
      </c>
      <c r="P54" s="1">
        <v>1</v>
      </c>
      <c r="Q54" s="90">
        <v>0.21</v>
      </c>
      <c r="R54" s="9">
        <v>0</v>
      </c>
      <c r="S54" s="1" t="s">
        <v>36</v>
      </c>
      <c r="T54" s="95">
        <f t="shared" si="2"/>
        <v>72.599999999999994</v>
      </c>
      <c r="U54" s="1" t="s">
        <v>3636</v>
      </c>
      <c r="V54" s="87" t="s">
        <v>3637</v>
      </c>
      <c r="W54" s="2">
        <v>36246</v>
      </c>
      <c r="X54" s="2">
        <v>43886</v>
      </c>
      <c r="Y54" s="11" t="s">
        <v>3736</v>
      </c>
      <c r="Z54" s="3">
        <v>43923</v>
      </c>
      <c r="AA54" s="80" t="s">
        <v>1339</v>
      </c>
      <c r="AD54" t="s">
        <v>3198</v>
      </c>
    </row>
    <row r="55" spans="1:37">
      <c r="A55" s="1">
        <v>54</v>
      </c>
      <c r="B55" s="61" t="s">
        <v>1414</v>
      </c>
      <c r="C55" s="2">
        <v>43886</v>
      </c>
      <c r="D55" s="1" t="s">
        <v>2963</v>
      </c>
      <c r="E55" s="14" t="s">
        <v>2964</v>
      </c>
      <c r="F55" t="s">
        <v>2115</v>
      </c>
      <c r="G55" s="6" t="s">
        <v>230</v>
      </c>
      <c r="H55" t="s">
        <v>1262</v>
      </c>
      <c r="I55" t="s">
        <v>3638</v>
      </c>
      <c r="K55" t="s">
        <v>2963</v>
      </c>
      <c r="L55" s="2">
        <v>43890</v>
      </c>
      <c r="M55" s="1" t="s">
        <v>35</v>
      </c>
      <c r="N55" s="14" t="s">
        <v>3766</v>
      </c>
      <c r="O55" s="92">
        <v>60</v>
      </c>
      <c r="P55" s="1">
        <v>1</v>
      </c>
      <c r="Q55" s="90">
        <v>0.21</v>
      </c>
      <c r="R55" s="9">
        <v>0</v>
      </c>
      <c r="S55" s="1" t="s">
        <v>36</v>
      </c>
      <c r="T55" s="95">
        <f t="shared" si="2"/>
        <v>72.599999999999994</v>
      </c>
      <c r="U55" s="1" t="s">
        <v>3639</v>
      </c>
      <c r="V55" s="87" t="s">
        <v>3640</v>
      </c>
      <c r="W55" s="2">
        <v>34451</v>
      </c>
      <c r="X55" s="2">
        <v>43886</v>
      </c>
      <c r="Y55" s="11" t="s">
        <v>3767</v>
      </c>
      <c r="Z55" s="3">
        <v>43955</v>
      </c>
      <c r="AA55" s="80" t="s">
        <v>1339</v>
      </c>
      <c r="AD55" t="s">
        <v>3198</v>
      </c>
      <c r="AE55" t="s">
        <v>3656</v>
      </c>
      <c r="AG55" s="1" t="s">
        <v>3641</v>
      </c>
      <c r="AH55" s="2">
        <v>43886</v>
      </c>
      <c r="AI55" s="2">
        <v>43893</v>
      </c>
      <c r="AK55" s="2">
        <v>43900</v>
      </c>
    </row>
    <row r="56" spans="1:37">
      <c r="A56" s="1">
        <v>55</v>
      </c>
      <c r="B56" s="61" t="s">
        <v>52</v>
      </c>
      <c r="C56" s="2">
        <v>43886</v>
      </c>
      <c r="D56" s="1" t="s">
        <v>919</v>
      </c>
      <c r="E56" s="14" t="s">
        <v>139</v>
      </c>
      <c r="F56" t="s">
        <v>2866</v>
      </c>
      <c r="G56" s="6" t="s">
        <v>221</v>
      </c>
      <c r="H56" t="s">
        <v>34</v>
      </c>
      <c r="I56">
        <v>659896436</v>
      </c>
      <c r="K56" s="31" t="s">
        <v>53</v>
      </c>
      <c r="L56" s="2">
        <v>43890</v>
      </c>
      <c r="M56" s="1" t="s">
        <v>35</v>
      </c>
      <c r="N56" s="14" t="s">
        <v>3644</v>
      </c>
      <c r="O56" s="92">
        <v>60</v>
      </c>
      <c r="P56" s="1">
        <v>1</v>
      </c>
      <c r="Q56" s="90">
        <v>0.21</v>
      </c>
      <c r="R56" s="9">
        <v>0</v>
      </c>
      <c r="S56" s="1" t="s">
        <v>36</v>
      </c>
      <c r="T56" s="95">
        <f t="shared" si="2"/>
        <v>72.599999999999994</v>
      </c>
      <c r="U56" s="1" t="s">
        <v>3645</v>
      </c>
      <c r="V56" s="87" t="s">
        <v>3646</v>
      </c>
      <c r="W56" s="2">
        <v>32967</v>
      </c>
      <c r="X56" s="2">
        <v>43886</v>
      </c>
      <c r="Y56" s="11" t="s">
        <v>3736</v>
      </c>
      <c r="Z56" s="3">
        <v>43923</v>
      </c>
      <c r="AA56" s="80" t="s">
        <v>1339</v>
      </c>
      <c r="AD56" t="s">
        <v>3198</v>
      </c>
      <c r="AG56" s="1" t="s">
        <v>3108</v>
      </c>
      <c r="AH56" s="2">
        <v>43886</v>
      </c>
      <c r="AI56" s="2">
        <v>43896</v>
      </c>
      <c r="AK56" s="2">
        <v>43900</v>
      </c>
    </row>
    <row r="57" spans="1:37">
      <c r="A57" s="1">
        <v>56</v>
      </c>
      <c r="B57" s="61" t="s">
        <v>37</v>
      </c>
      <c r="C57" s="2">
        <v>43887</v>
      </c>
      <c r="D57" s="1" t="s">
        <v>402</v>
      </c>
      <c r="E57" t="s">
        <v>403</v>
      </c>
      <c r="F57" t="s">
        <v>1256</v>
      </c>
      <c r="G57" s="6" t="s">
        <v>245</v>
      </c>
      <c r="H57" t="s">
        <v>54</v>
      </c>
      <c r="I57">
        <v>622715880</v>
      </c>
      <c r="K57" t="s">
        <v>402</v>
      </c>
      <c r="L57" s="2">
        <v>43890</v>
      </c>
      <c r="M57" s="1" t="s">
        <v>35</v>
      </c>
      <c r="N57" s="14" t="s">
        <v>1304</v>
      </c>
      <c r="O57" s="92">
        <v>30</v>
      </c>
      <c r="P57" s="1">
        <v>1</v>
      </c>
      <c r="Q57" s="90">
        <v>0.21</v>
      </c>
      <c r="R57" s="9">
        <v>0</v>
      </c>
      <c r="S57" s="1" t="s">
        <v>36</v>
      </c>
      <c r="T57" s="95">
        <f t="shared" si="2"/>
        <v>36.299999999999997</v>
      </c>
      <c r="U57" t="s">
        <v>402</v>
      </c>
      <c r="V57" s="87" t="s">
        <v>3653</v>
      </c>
      <c r="W57" s="2">
        <v>27458</v>
      </c>
      <c r="X57" s="2">
        <v>43887</v>
      </c>
      <c r="Y57" s="11" t="s">
        <v>3737</v>
      </c>
      <c r="Z57" s="3">
        <v>43928</v>
      </c>
      <c r="AA57" s="80" t="s">
        <v>1339</v>
      </c>
      <c r="AD57" t="s">
        <v>3198</v>
      </c>
    </row>
    <row r="58" spans="1:37">
      <c r="A58" s="1">
        <v>57</v>
      </c>
      <c r="B58" s="61" t="s">
        <v>33</v>
      </c>
      <c r="C58" s="2">
        <v>43887</v>
      </c>
      <c r="D58" s="1" t="s">
        <v>3649</v>
      </c>
      <c r="E58" s="61" t="s">
        <v>3651</v>
      </c>
      <c r="F58" s="61" t="s">
        <v>3648</v>
      </c>
      <c r="G58" s="6" t="s">
        <v>241</v>
      </c>
      <c r="H58" s="1" t="s">
        <v>60</v>
      </c>
      <c r="J58" s="1"/>
      <c r="K58" t="s">
        <v>237</v>
      </c>
      <c r="L58" s="2">
        <v>43890</v>
      </c>
      <c r="M58" s="1" t="s">
        <v>35</v>
      </c>
      <c r="N58" s="14" t="s">
        <v>3650</v>
      </c>
      <c r="O58" s="92">
        <v>30</v>
      </c>
      <c r="P58" s="1">
        <v>1</v>
      </c>
      <c r="Q58" s="90">
        <v>0.21</v>
      </c>
      <c r="R58" s="9">
        <v>0</v>
      </c>
      <c r="S58" s="1" t="s">
        <v>36</v>
      </c>
      <c r="T58" s="95">
        <f t="shared" si="2"/>
        <v>36.299999999999997</v>
      </c>
      <c r="U58" s="1" t="s">
        <v>3647</v>
      </c>
      <c r="V58" s="6" t="s">
        <v>3652</v>
      </c>
      <c r="W58" s="2">
        <v>30991</v>
      </c>
      <c r="X58" s="2">
        <v>43887</v>
      </c>
      <c r="Y58" s="11" t="s">
        <v>3737</v>
      </c>
      <c r="Z58" s="3">
        <v>43929</v>
      </c>
      <c r="AA58" s="80" t="s">
        <v>1339</v>
      </c>
      <c r="AD58" t="s">
        <v>3198</v>
      </c>
    </row>
    <row r="59" spans="1:37">
      <c r="A59" s="1">
        <v>58</v>
      </c>
      <c r="B59" s="61" t="s">
        <v>40</v>
      </c>
      <c r="C59" s="2">
        <v>43895</v>
      </c>
      <c r="D59" s="1" t="s">
        <v>3659</v>
      </c>
      <c r="E59" s="61" t="s">
        <v>3660</v>
      </c>
      <c r="F59" s="61" t="s">
        <v>3661</v>
      </c>
      <c r="G59" s="6" t="s">
        <v>221</v>
      </c>
      <c r="H59" s="1" t="s">
        <v>34</v>
      </c>
      <c r="I59" s="1" t="s">
        <v>3662</v>
      </c>
      <c r="J59" s="1"/>
      <c r="K59" t="s">
        <v>3659</v>
      </c>
      <c r="L59" s="2">
        <v>43921</v>
      </c>
      <c r="M59" s="1" t="s">
        <v>35</v>
      </c>
      <c r="N59" s="14" t="s">
        <v>3663</v>
      </c>
      <c r="O59" s="92">
        <v>60</v>
      </c>
      <c r="P59" s="1">
        <v>1</v>
      </c>
      <c r="Q59" s="90">
        <v>0.21</v>
      </c>
      <c r="R59" s="9">
        <v>0</v>
      </c>
      <c r="S59" s="1" t="s">
        <v>36</v>
      </c>
      <c r="T59" s="95">
        <f t="shared" si="2"/>
        <v>72.599999999999994</v>
      </c>
      <c r="U59" s="1" t="s">
        <v>3664</v>
      </c>
      <c r="V59" s="87" t="s">
        <v>3665</v>
      </c>
      <c r="W59" s="2">
        <v>34829</v>
      </c>
      <c r="X59" s="2">
        <v>43895</v>
      </c>
      <c r="Y59" s="11" t="s">
        <v>3768</v>
      </c>
      <c r="Z59" s="3">
        <v>43956</v>
      </c>
      <c r="AA59" s="80" t="s">
        <v>1339</v>
      </c>
      <c r="AD59" t="s">
        <v>3198</v>
      </c>
      <c r="AE59" t="s">
        <v>3686</v>
      </c>
    </row>
    <row r="60" spans="1:37">
      <c r="A60" s="1">
        <v>59</v>
      </c>
      <c r="B60" s="61" t="s">
        <v>52</v>
      </c>
      <c r="C60" s="2">
        <v>43895</v>
      </c>
      <c r="D60" s="1" t="s">
        <v>66</v>
      </c>
      <c r="E60" s="61" t="s">
        <v>65</v>
      </c>
      <c r="F60" s="61" t="s">
        <v>3666</v>
      </c>
      <c r="G60" s="6" t="s">
        <v>230</v>
      </c>
      <c r="H60" s="1" t="s">
        <v>34</v>
      </c>
      <c r="I60" s="1">
        <v>609312130</v>
      </c>
      <c r="J60" s="1"/>
      <c r="K60" s="31" t="s">
        <v>53</v>
      </c>
      <c r="L60" s="2">
        <v>43921</v>
      </c>
      <c r="M60" s="1" t="s">
        <v>35</v>
      </c>
      <c r="N60" s="14" t="s">
        <v>3667</v>
      </c>
      <c r="O60" s="92">
        <v>60</v>
      </c>
      <c r="P60" s="1">
        <v>1</v>
      </c>
      <c r="Q60" s="90">
        <v>0.21</v>
      </c>
      <c r="R60" s="9">
        <v>0</v>
      </c>
      <c r="S60" s="1" t="s">
        <v>36</v>
      </c>
      <c r="T60" s="95">
        <f t="shared" si="2"/>
        <v>72.599999999999994</v>
      </c>
      <c r="U60" s="1" t="s">
        <v>3668</v>
      </c>
      <c r="V60" s="6" t="s">
        <v>3669</v>
      </c>
      <c r="W60" s="2">
        <v>35846</v>
      </c>
      <c r="X60" s="2">
        <v>43895</v>
      </c>
      <c r="Y60" s="11" t="s">
        <v>3772</v>
      </c>
      <c r="Z60" s="3">
        <v>43965</v>
      </c>
      <c r="AA60" s="80" t="s">
        <v>1339</v>
      </c>
      <c r="AD60" t="s">
        <v>3198</v>
      </c>
      <c r="AE60" t="s">
        <v>3686</v>
      </c>
      <c r="AG60" s="1" t="s">
        <v>2830</v>
      </c>
      <c r="AH60" s="2">
        <v>43895</v>
      </c>
      <c r="AI60" s="2">
        <v>43907</v>
      </c>
      <c r="AK60" s="2">
        <v>43896</v>
      </c>
    </row>
    <row r="61" spans="1:37">
      <c r="A61" s="1">
        <v>60</v>
      </c>
      <c r="B61" s="61" t="s">
        <v>3670</v>
      </c>
      <c r="C61" s="2">
        <v>43895</v>
      </c>
      <c r="D61" s="1" t="s">
        <v>3671</v>
      </c>
      <c r="E61" s="61" t="s">
        <v>3672</v>
      </c>
      <c r="F61" s="61" t="s">
        <v>3673</v>
      </c>
      <c r="G61" s="6" t="s">
        <v>2654</v>
      </c>
      <c r="H61" s="1" t="s">
        <v>2359</v>
      </c>
      <c r="I61" s="1">
        <v>616469595</v>
      </c>
      <c r="J61" s="1"/>
      <c r="K61" t="s">
        <v>3671</v>
      </c>
      <c r="L61" s="2">
        <v>43921</v>
      </c>
      <c r="M61" s="1" t="s">
        <v>35</v>
      </c>
      <c r="N61" s="14" t="s">
        <v>3674</v>
      </c>
      <c r="O61" s="92">
        <v>60</v>
      </c>
      <c r="P61" s="1">
        <v>1</v>
      </c>
      <c r="Q61" s="90">
        <v>0.21</v>
      </c>
      <c r="R61" s="9">
        <v>0</v>
      </c>
      <c r="S61" s="1" t="s">
        <v>36</v>
      </c>
      <c r="T61" s="95">
        <f t="shared" si="2"/>
        <v>72.599999999999994</v>
      </c>
      <c r="U61" s="1" t="s">
        <v>3675</v>
      </c>
      <c r="V61" s="87" t="s">
        <v>3676</v>
      </c>
      <c r="W61" s="2">
        <v>34455</v>
      </c>
      <c r="X61" s="2">
        <v>43895</v>
      </c>
      <c r="Y61" s="11" t="s">
        <v>3772</v>
      </c>
      <c r="Z61" s="3">
        <v>43965</v>
      </c>
      <c r="AA61" s="80" t="s">
        <v>1339</v>
      </c>
      <c r="AD61" t="s">
        <v>3198</v>
      </c>
      <c r="AE61" t="s">
        <v>3686</v>
      </c>
      <c r="AG61" s="1" t="s">
        <v>3677</v>
      </c>
      <c r="AH61" s="2">
        <v>43895</v>
      </c>
      <c r="AI61" s="2">
        <v>43907</v>
      </c>
      <c r="AK61" s="2">
        <v>43896</v>
      </c>
    </row>
    <row r="62" spans="1:37">
      <c r="A62" s="1">
        <v>61</v>
      </c>
      <c r="B62" s="61" t="s">
        <v>37</v>
      </c>
      <c r="C62" s="2">
        <v>43895</v>
      </c>
      <c r="D62" s="1" t="s">
        <v>3678</v>
      </c>
      <c r="E62" s="61" t="s">
        <v>3679</v>
      </c>
      <c r="F62" s="61" t="s">
        <v>3680</v>
      </c>
      <c r="G62" s="6" t="s">
        <v>2451</v>
      </c>
      <c r="H62" s="1" t="s">
        <v>3681</v>
      </c>
      <c r="I62" s="1">
        <v>631290150</v>
      </c>
      <c r="J62" s="1"/>
      <c r="K62" t="s">
        <v>3678</v>
      </c>
      <c r="L62" s="2">
        <v>43921</v>
      </c>
      <c r="M62" s="1" t="s">
        <v>35</v>
      </c>
      <c r="N62" s="14" t="s">
        <v>3682</v>
      </c>
      <c r="O62" s="126">
        <v>41.32</v>
      </c>
      <c r="P62" s="1">
        <v>1</v>
      </c>
      <c r="Q62" s="90">
        <v>0.21</v>
      </c>
      <c r="R62" s="120" t="s">
        <v>3477</v>
      </c>
      <c r="S62" s="1" t="s">
        <v>36</v>
      </c>
      <c r="T62" s="95">
        <f t="shared" si="2"/>
        <v>49.997199999999999</v>
      </c>
      <c r="U62" s="1" t="s">
        <v>3683</v>
      </c>
      <c r="V62" s="87" t="s">
        <v>3684</v>
      </c>
      <c r="W62" s="2">
        <v>33603</v>
      </c>
      <c r="X62" s="2">
        <v>43895</v>
      </c>
      <c r="Y62" s="11" t="s">
        <v>3757</v>
      </c>
      <c r="Z62" s="3">
        <v>43955</v>
      </c>
      <c r="AA62" s="80" t="s">
        <v>1339</v>
      </c>
      <c r="AD62" t="s">
        <v>3198</v>
      </c>
      <c r="AE62" t="s">
        <v>3686</v>
      </c>
    </row>
    <row r="63" spans="1:37">
      <c r="A63" s="1">
        <v>62</v>
      </c>
      <c r="B63" s="61" t="s">
        <v>3670</v>
      </c>
      <c r="C63" s="2">
        <v>43899</v>
      </c>
      <c r="D63" t="s">
        <v>2286</v>
      </c>
      <c r="E63" t="s">
        <v>2287</v>
      </c>
      <c r="F63" t="s">
        <v>2288</v>
      </c>
      <c r="G63" s="6" t="s">
        <v>294</v>
      </c>
      <c r="H63" t="s">
        <v>103</v>
      </c>
      <c r="I63">
        <v>649440798</v>
      </c>
      <c r="K63" t="s">
        <v>2286</v>
      </c>
      <c r="L63" s="2">
        <v>43921</v>
      </c>
      <c r="M63" s="1" t="s">
        <v>35</v>
      </c>
      <c r="N63" s="14" t="s">
        <v>3689</v>
      </c>
      <c r="O63" s="92">
        <v>30</v>
      </c>
      <c r="P63" s="1">
        <v>1</v>
      </c>
      <c r="Q63" s="128">
        <v>0.21</v>
      </c>
      <c r="R63" s="129" t="s">
        <v>3727</v>
      </c>
      <c r="S63" s="1" t="s">
        <v>36</v>
      </c>
      <c r="T63" s="95">
        <f t="shared" si="2"/>
        <v>36.299999999999997</v>
      </c>
      <c r="U63" s="1" t="s">
        <v>179</v>
      </c>
      <c r="V63" s="87" t="s">
        <v>3690</v>
      </c>
      <c r="W63" s="2">
        <v>30682</v>
      </c>
      <c r="X63" s="2">
        <v>43899</v>
      </c>
      <c r="Y63" s="11" t="s">
        <v>3741</v>
      </c>
      <c r="Z63" s="3">
        <v>43935</v>
      </c>
      <c r="AA63" s="80" t="s">
        <v>1339</v>
      </c>
      <c r="AD63" t="s">
        <v>3198</v>
      </c>
    </row>
    <row r="64" spans="1:37">
      <c r="A64" s="1">
        <v>63</v>
      </c>
      <c r="B64" s="61" t="s">
        <v>37</v>
      </c>
      <c r="C64" s="2">
        <v>43901</v>
      </c>
      <c r="D64" s="1" t="s">
        <v>3691</v>
      </c>
      <c r="E64" s="61" t="s">
        <v>3692</v>
      </c>
      <c r="F64" s="61" t="s">
        <v>3693</v>
      </c>
      <c r="G64" s="6" t="s">
        <v>221</v>
      </c>
      <c r="H64" s="1" t="s">
        <v>34</v>
      </c>
      <c r="I64" s="1">
        <v>632591688</v>
      </c>
      <c r="J64" s="1"/>
      <c r="K64" t="s">
        <v>3691</v>
      </c>
      <c r="L64" s="2">
        <v>43921</v>
      </c>
      <c r="M64" s="1" t="s">
        <v>35</v>
      </c>
      <c r="N64" s="14" t="s">
        <v>3694</v>
      </c>
      <c r="O64" s="92">
        <v>30</v>
      </c>
      <c r="P64" s="1">
        <v>1</v>
      </c>
      <c r="Q64" s="90">
        <v>0.21</v>
      </c>
      <c r="R64" s="122" t="s">
        <v>3696</v>
      </c>
      <c r="S64" s="1" t="s">
        <v>36</v>
      </c>
      <c r="T64" s="95">
        <f t="shared" si="2"/>
        <v>36.299999999999997</v>
      </c>
      <c r="U64" s="1" t="s">
        <v>3691</v>
      </c>
      <c r="V64" s="87" t="s">
        <v>3695</v>
      </c>
      <c r="W64" s="2">
        <v>27261</v>
      </c>
      <c r="X64" s="2">
        <v>43901</v>
      </c>
      <c r="Y64" s="11" t="s">
        <v>3744</v>
      </c>
      <c r="Z64" s="3">
        <v>43938</v>
      </c>
      <c r="AA64" s="80" t="s">
        <v>1339</v>
      </c>
      <c r="AD64" t="s">
        <v>3198</v>
      </c>
    </row>
    <row r="65" spans="1:37">
      <c r="A65" s="1">
        <v>64</v>
      </c>
      <c r="B65" s="61" t="s">
        <v>1511</v>
      </c>
      <c r="C65" s="2">
        <v>43902</v>
      </c>
      <c r="D65" s="1" t="s">
        <v>3699</v>
      </c>
      <c r="E65" s="61" t="s">
        <v>3700</v>
      </c>
      <c r="F65" s="61" t="s">
        <v>3701</v>
      </c>
      <c r="G65" s="6" t="s">
        <v>3702</v>
      </c>
      <c r="H65" s="1" t="s">
        <v>49</v>
      </c>
      <c r="I65" s="1">
        <v>631694057</v>
      </c>
      <c r="J65" s="1"/>
      <c r="K65" t="s">
        <v>3699</v>
      </c>
      <c r="L65" s="2">
        <v>43921</v>
      </c>
      <c r="M65" s="1" t="s">
        <v>35</v>
      </c>
      <c r="N65" s="14" t="s">
        <v>3703</v>
      </c>
      <c r="O65" s="92">
        <v>60</v>
      </c>
      <c r="P65" s="1">
        <v>1</v>
      </c>
      <c r="Q65" s="90">
        <v>0.21</v>
      </c>
      <c r="R65" s="9">
        <v>0</v>
      </c>
      <c r="S65" s="1" t="s">
        <v>36</v>
      </c>
      <c r="T65" s="95">
        <f t="shared" si="2"/>
        <v>72.599999999999994</v>
      </c>
      <c r="U65" s="1" t="s">
        <v>3699</v>
      </c>
      <c r="V65" s="87" t="s">
        <v>3704</v>
      </c>
      <c r="W65" s="2">
        <v>29764</v>
      </c>
      <c r="X65" s="2">
        <v>43902</v>
      </c>
      <c r="Y65" s="195" t="s">
        <v>3771</v>
      </c>
      <c r="Z65" s="3">
        <v>43965</v>
      </c>
      <c r="AA65" s="80" t="s">
        <v>1339</v>
      </c>
      <c r="AB65" s="133" t="s">
        <v>3764</v>
      </c>
      <c r="AD65" t="s">
        <v>3198</v>
      </c>
      <c r="AG65" s="1" t="s">
        <v>3705</v>
      </c>
      <c r="AH65" s="2">
        <v>43902</v>
      </c>
      <c r="AI65" s="2">
        <v>43914</v>
      </c>
      <c r="AK65" s="2">
        <v>43903</v>
      </c>
    </row>
    <row r="66" spans="1:37">
      <c r="A66" s="1">
        <v>65</v>
      </c>
      <c r="B66" s="61" t="s">
        <v>33</v>
      </c>
      <c r="C66" s="2">
        <v>43902</v>
      </c>
      <c r="D66" s="1" t="s">
        <v>3706</v>
      </c>
      <c r="E66" s="61" t="s">
        <v>3707</v>
      </c>
      <c r="F66" s="61" t="s">
        <v>3708</v>
      </c>
      <c r="G66" s="6" t="s">
        <v>3709</v>
      </c>
      <c r="H66" s="1" t="s">
        <v>34</v>
      </c>
      <c r="I66" s="1">
        <v>627072836</v>
      </c>
      <c r="J66" s="1"/>
      <c r="K66" t="s">
        <v>237</v>
      </c>
      <c r="L66" s="2">
        <v>43921</v>
      </c>
      <c r="M66" s="1" t="s">
        <v>35</v>
      </c>
      <c r="N66" s="14" t="s">
        <v>3710</v>
      </c>
      <c r="O66" s="92">
        <v>60</v>
      </c>
      <c r="P66" s="1">
        <v>1</v>
      </c>
      <c r="Q66" s="90">
        <v>0.21</v>
      </c>
      <c r="R66" s="9">
        <v>0</v>
      </c>
      <c r="S66" s="1" t="s">
        <v>36</v>
      </c>
      <c r="T66" s="95">
        <f t="shared" si="2"/>
        <v>72.599999999999994</v>
      </c>
      <c r="U66" s="1" t="s">
        <v>3711</v>
      </c>
      <c r="V66" s="87" t="s">
        <v>3712</v>
      </c>
      <c r="W66" s="2">
        <v>36538</v>
      </c>
      <c r="X66" s="2">
        <v>43902</v>
      </c>
      <c r="Y66" s="11" t="s">
        <v>3750</v>
      </c>
      <c r="Z66" s="3">
        <v>43944</v>
      </c>
      <c r="AA66" s="80" t="s">
        <v>1339</v>
      </c>
      <c r="AD66" t="s">
        <v>3198</v>
      </c>
      <c r="AG66" s="1" t="s">
        <v>3713</v>
      </c>
      <c r="AH66" s="2">
        <v>43902</v>
      </c>
      <c r="AI66" s="2">
        <v>43914</v>
      </c>
      <c r="AK66" s="2">
        <v>43938</v>
      </c>
    </row>
    <row r="67" spans="1:37">
      <c r="A67" s="1">
        <v>66</v>
      </c>
      <c r="B67" s="61" t="s">
        <v>33</v>
      </c>
      <c r="C67" s="2">
        <v>43902</v>
      </c>
      <c r="D67" s="1" t="s">
        <v>2052</v>
      </c>
      <c r="E67" s="61" t="s">
        <v>2053</v>
      </c>
      <c r="F67" s="61" t="s">
        <v>3714</v>
      </c>
      <c r="G67" s="6" t="s">
        <v>241</v>
      </c>
      <c r="H67" s="1" t="s">
        <v>60</v>
      </c>
      <c r="I67" s="1">
        <v>690872936</v>
      </c>
      <c r="J67" s="1"/>
      <c r="K67" t="s">
        <v>237</v>
      </c>
      <c r="L67" s="2">
        <v>43921</v>
      </c>
      <c r="M67" s="1" t="s">
        <v>35</v>
      </c>
      <c r="N67" s="14" t="s">
        <v>3715</v>
      </c>
      <c r="O67" s="92">
        <v>60</v>
      </c>
      <c r="P67" s="1">
        <v>1</v>
      </c>
      <c r="Q67" s="90">
        <v>0.21</v>
      </c>
      <c r="R67" s="9">
        <v>0</v>
      </c>
      <c r="S67" s="1" t="s">
        <v>36</v>
      </c>
      <c r="T67" s="95">
        <f t="shared" ref="T67:T132" si="3">(O67*P67)*Q67+O67*P67</f>
        <v>72.599999999999994</v>
      </c>
      <c r="U67" s="1" t="s">
        <v>3716</v>
      </c>
      <c r="V67" s="87" t="s">
        <v>3717</v>
      </c>
      <c r="W67" s="2">
        <v>32509</v>
      </c>
      <c r="X67" s="2">
        <v>43902</v>
      </c>
      <c r="Y67" s="11" t="s">
        <v>3789</v>
      </c>
      <c r="Z67" s="3">
        <v>43987</v>
      </c>
      <c r="AA67" s="80" t="s">
        <v>1339</v>
      </c>
      <c r="AB67" t="s">
        <v>3770</v>
      </c>
      <c r="AC67" s="116">
        <v>43977</v>
      </c>
      <c r="AD67" t="s">
        <v>3198</v>
      </c>
      <c r="AG67" s="1" t="s">
        <v>3713</v>
      </c>
      <c r="AH67" s="2">
        <v>43902</v>
      </c>
      <c r="AI67" s="2">
        <v>43914</v>
      </c>
    </row>
    <row r="68" spans="1:37">
      <c r="A68" s="1">
        <v>67</v>
      </c>
      <c r="B68" s="61" t="s">
        <v>119</v>
      </c>
      <c r="C68" s="2">
        <v>43906</v>
      </c>
      <c r="D68" t="s">
        <v>2290</v>
      </c>
      <c r="E68" s="61" t="s">
        <v>2188</v>
      </c>
      <c r="F68" t="s">
        <v>2189</v>
      </c>
      <c r="G68" s="6" t="s">
        <v>242</v>
      </c>
      <c r="H68" t="s">
        <v>1474</v>
      </c>
      <c r="I68">
        <v>632637235</v>
      </c>
      <c r="K68" s="31" t="s">
        <v>174</v>
      </c>
      <c r="L68" s="2">
        <v>43921</v>
      </c>
      <c r="M68" s="1" t="s">
        <v>35</v>
      </c>
      <c r="N68" s="14" t="s">
        <v>3718</v>
      </c>
      <c r="O68" s="92">
        <v>30</v>
      </c>
      <c r="P68" s="1">
        <v>1</v>
      </c>
      <c r="Q68" s="90">
        <v>0.21</v>
      </c>
      <c r="R68" s="9">
        <v>0</v>
      </c>
      <c r="S68" s="1" t="s">
        <v>36</v>
      </c>
      <c r="T68" s="95">
        <f t="shared" si="3"/>
        <v>36.299999999999997</v>
      </c>
      <c r="U68" s="1" t="s">
        <v>2292</v>
      </c>
      <c r="V68" s="87" t="s">
        <v>3719</v>
      </c>
      <c r="W68" s="2">
        <v>31537</v>
      </c>
      <c r="X68" s="2">
        <v>43906</v>
      </c>
      <c r="Y68" s="11" t="s">
        <v>3748</v>
      </c>
      <c r="Z68" s="3">
        <v>43943</v>
      </c>
      <c r="AA68" s="80" t="s">
        <v>1339</v>
      </c>
      <c r="AD68" t="s">
        <v>3198</v>
      </c>
    </row>
    <row r="69" spans="1:37">
      <c r="A69" s="1">
        <v>68</v>
      </c>
      <c r="B69" s="61" t="s">
        <v>37</v>
      </c>
      <c r="C69" s="2">
        <v>43935</v>
      </c>
      <c r="D69" s="1" t="s">
        <v>1345</v>
      </c>
      <c r="E69" s="61" t="s">
        <v>1507</v>
      </c>
      <c r="F69" s="61" t="s">
        <v>3738</v>
      </c>
      <c r="G69" s="6" t="s">
        <v>219</v>
      </c>
      <c r="H69" s="1" t="s">
        <v>38</v>
      </c>
      <c r="I69" s="1">
        <v>666923530</v>
      </c>
      <c r="J69" s="1"/>
      <c r="K69" t="s">
        <v>1345</v>
      </c>
      <c r="L69" s="2">
        <v>43951</v>
      </c>
      <c r="M69" s="1" t="s">
        <v>35</v>
      </c>
      <c r="N69" s="14" t="s">
        <v>3739</v>
      </c>
      <c r="O69" s="92">
        <v>30</v>
      </c>
      <c r="P69" s="1">
        <v>1</v>
      </c>
      <c r="Q69" s="90">
        <v>0.21</v>
      </c>
      <c r="R69" s="9">
        <v>0</v>
      </c>
      <c r="S69" s="1" t="s">
        <v>36</v>
      </c>
      <c r="T69" s="95">
        <f t="shared" si="3"/>
        <v>36.299999999999997</v>
      </c>
      <c r="U69" s="1" t="s">
        <v>1345</v>
      </c>
      <c r="V69" s="87" t="s">
        <v>3740</v>
      </c>
      <c r="W69" s="2">
        <v>29402</v>
      </c>
      <c r="X69" s="2">
        <v>43935</v>
      </c>
      <c r="Y69" s="11" t="s">
        <v>3758</v>
      </c>
      <c r="Z69" s="3">
        <v>43949</v>
      </c>
      <c r="AA69" s="80" t="s">
        <v>1339</v>
      </c>
      <c r="AD69" t="s">
        <v>3198</v>
      </c>
    </row>
    <row r="70" spans="1:37">
      <c r="A70" s="1">
        <v>69</v>
      </c>
      <c r="B70" t="s">
        <v>80</v>
      </c>
      <c r="C70" s="2">
        <v>43945</v>
      </c>
      <c r="D70" t="s">
        <v>2351</v>
      </c>
      <c r="E70" t="s">
        <v>2352</v>
      </c>
      <c r="F70" t="s">
        <v>2353</v>
      </c>
      <c r="G70" s="6" t="s">
        <v>245</v>
      </c>
      <c r="H70" t="s">
        <v>54</v>
      </c>
      <c r="I70" s="1">
        <v>669745029</v>
      </c>
      <c r="K70" t="s">
        <v>2351</v>
      </c>
      <c r="L70" s="2">
        <v>43951</v>
      </c>
      <c r="M70" s="1" t="s">
        <v>35</v>
      </c>
      <c r="N70" s="14" t="s">
        <v>3751</v>
      </c>
      <c r="O70" s="92">
        <v>30</v>
      </c>
      <c r="P70" s="1">
        <v>1</v>
      </c>
      <c r="Q70" s="90">
        <v>0.21</v>
      </c>
      <c r="R70" s="9">
        <v>0</v>
      </c>
      <c r="S70" s="1" t="s">
        <v>36</v>
      </c>
      <c r="T70" s="95">
        <f t="shared" si="3"/>
        <v>36.299999999999997</v>
      </c>
      <c r="U70" s="1" t="s">
        <v>1850</v>
      </c>
      <c r="V70" s="87" t="s">
        <v>3752</v>
      </c>
      <c r="W70" s="2">
        <v>33374</v>
      </c>
      <c r="X70" s="2">
        <v>43945</v>
      </c>
      <c r="Y70" s="11" t="s">
        <v>3769</v>
      </c>
      <c r="Z70" s="3">
        <v>43958</v>
      </c>
      <c r="AA70" s="80" t="s">
        <v>1339</v>
      </c>
      <c r="AD70" t="s">
        <v>3198</v>
      </c>
    </row>
    <row r="71" spans="1:37">
      <c r="A71" s="1">
        <v>70</v>
      </c>
      <c r="B71" t="s">
        <v>80</v>
      </c>
      <c r="C71" s="2">
        <v>43945</v>
      </c>
      <c r="D71" t="s">
        <v>2351</v>
      </c>
      <c r="E71" t="s">
        <v>2352</v>
      </c>
      <c r="F71" t="s">
        <v>2353</v>
      </c>
      <c r="G71" s="6" t="s">
        <v>245</v>
      </c>
      <c r="H71" t="s">
        <v>54</v>
      </c>
      <c r="I71" s="1">
        <v>669745029</v>
      </c>
      <c r="K71" t="s">
        <v>2351</v>
      </c>
      <c r="L71" s="2">
        <v>43951</v>
      </c>
      <c r="M71" s="1" t="s">
        <v>35</v>
      </c>
      <c r="N71" s="14" t="s">
        <v>3753</v>
      </c>
      <c r="O71" s="92">
        <v>30</v>
      </c>
      <c r="P71" s="1">
        <v>1</v>
      </c>
      <c r="Q71" s="90">
        <v>0.21</v>
      </c>
      <c r="R71" s="9">
        <v>0</v>
      </c>
      <c r="S71" s="1" t="s">
        <v>36</v>
      </c>
      <c r="T71" s="95">
        <f>(O71*P71)*Q71+O71*P71</f>
        <v>36.299999999999997</v>
      </c>
      <c r="U71" s="1" t="s">
        <v>1847</v>
      </c>
      <c r="V71" s="87" t="s">
        <v>3754</v>
      </c>
      <c r="W71" s="2">
        <v>27870</v>
      </c>
      <c r="X71" s="2">
        <v>43945</v>
      </c>
      <c r="Y71" s="11" t="s">
        <v>3769</v>
      </c>
      <c r="Z71" s="3">
        <v>43958</v>
      </c>
      <c r="AA71" s="80" t="s">
        <v>1339</v>
      </c>
      <c r="AD71" t="s">
        <v>3198</v>
      </c>
    </row>
    <row r="72" spans="1:37">
      <c r="A72" s="1">
        <v>71</v>
      </c>
      <c r="B72" t="s">
        <v>33</v>
      </c>
      <c r="C72" s="2">
        <v>43945</v>
      </c>
      <c r="D72" t="s">
        <v>2169</v>
      </c>
      <c r="E72" t="s">
        <v>2170</v>
      </c>
      <c r="F72" t="s">
        <v>2171</v>
      </c>
      <c r="G72" s="6" t="s">
        <v>221</v>
      </c>
      <c r="H72" t="s">
        <v>34</v>
      </c>
      <c r="I72">
        <v>615630460</v>
      </c>
      <c r="K72" s="31" t="s">
        <v>237</v>
      </c>
      <c r="L72" s="2">
        <v>43951</v>
      </c>
      <c r="M72" t="s">
        <v>35</v>
      </c>
      <c r="N72" s="14" t="s">
        <v>3755</v>
      </c>
      <c r="O72" s="92">
        <v>30</v>
      </c>
      <c r="P72" s="1">
        <v>1</v>
      </c>
      <c r="Q72" s="90">
        <v>0.21</v>
      </c>
      <c r="R72" s="9">
        <v>0</v>
      </c>
      <c r="S72" s="1" t="s">
        <v>36</v>
      </c>
      <c r="T72" s="95">
        <f t="shared" si="3"/>
        <v>36.299999999999997</v>
      </c>
      <c r="U72" s="1" t="s">
        <v>2173</v>
      </c>
      <c r="V72" s="87" t="s">
        <v>3756</v>
      </c>
      <c r="W72" s="2">
        <v>35687</v>
      </c>
      <c r="X72" s="2">
        <v>43945</v>
      </c>
      <c r="Y72" s="11" t="s">
        <v>3769</v>
      </c>
      <c r="Z72" s="3">
        <v>43958</v>
      </c>
      <c r="AA72" s="80" t="s">
        <v>1339</v>
      </c>
      <c r="AD72" t="s">
        <v>3198</v>
      </c>
    </row>
    <row r="73" spans="1:37">
      <c r="A73" s="1">
        <v>72</v>
      </c>
      <c r="B73" t="s">
        <v>37</v>
      </c>
      <c r="C73" s="2">
        <v>43921</v>
      </c>
      <c r="D73" t="s">
        <v>3353</v>
      </c>
      <c r="E73" t="s">
        <v>3354</v>
      </c>
      <c r="F73" t="s">
        <v>3355</v>
      </c>
      <c r="G73" s="6" t="s">
        <v>1229</v>
      </c>
      <c r="H73" t="s">
        <v>38</v>
      </c>
      <c r="I73">
        <v>631152163</v>
      </c>
      <c r="K73" t="s">
        <v>3353</v>
      </c>
      <c r="L73" s="2">
        <v>43951</v>
      </c>
      <c r="M73" t="s">
        <v>35</v>
      </c>
      <c r="N73" s="14" t="s">
        <v>3759</v>
      </c>
      <c r="O73" s="92">
        <v>60</v>
      </c>
      <c r="P73" s="1">
        <v>1</v>
      </c>
      <c r="Q73" s="69">
        <v>0.21</v>
      </c>
      <c r="R73" s="9">
        <v>0</v>
      </c>
      <c r="S73" t="s">
        <v>36</v>
      </c>
      <c r="T73" s="95">
        <f t="shared" si="3"/>
        <v>72.599999999999994</v>
      </c>
      <c r="U73" s="1" t="s">
        <v>3360</v>
      </c>
      <c r="V73" s="75" t="s">
        <v>3361</v>
      </c>
      <c r="W73" s="2" t="s">
        <v>3407</v>
      </c>
      <c r="X73" s="2">
        <v>43921</v>
      </c>
      <c r="Y73" s="11" t="s">
        <v>3760</v>
      </c>
      <c r="Z73" s="2">
        <v>43937</v>
      </c>
      <c r="AA73" s="80" t="s">
        <v>1339</v>
      </c>
      <c r="AD73" t="s">
        <v>3198</v>
      </c>
      <c r="AG73"/>
      <c r="AH73"/>
      <c r="AI73"/>
      <c r="AK73"/>
    </row>
    <row r="74" spans="1:37">
      <c r="A74" s="1">
        <v>73</v>
      </c>
      <c r="B74" t="s">
        <v>37</v>
      </c>
      <c r="C74" s="2">
        <v>43941</v>
      </c>
      <c r="D74" s="1" t="s">
        <v>3368</v>
      </c>
      <c r="E74" s="61" t="s">
        <v>3369</v>
      </c>
      <c r="F74" s="61" t="s">
        <v>3370</v>
      </c>
      <c r="G74" s="6" t="s">
        <v>241</v>
      </c>
      <c r="H74" s="1" t="s">
        <v>60</v>
      </c>
      <c r="I74" s="1">
        <v>631332721</v>
      </c>
      <c r="J74" s="1"/>
      <c r="K74" t="s">
        <v>3368</v>
      </c>
      <c r="L74" s="2">
        <v>43951</v>
      </c>
      <c r="M74" t="s">
        <v>35</v>
      </c>
      <c r="N74" s="14" t="s">
        <v>3761</v>
      </c>
      <c r="O74" s="92">
        <v>60</v>
      </c>
      <c r="P74" s="1">
        <v>1</v>
      </c>
      <c r="Q74" s="89">
        <v>0.21</v>
      </c>
      <c r="R74" s="9">
        <v>0</v>
      </c>
      <c r="S74" t="s">
        <v>36</v>
      </c>
      <c r="T74" s="95">
        <f t="shared" si="3"/>
        <v>72.599999999999994</v>
      </c>
      <c r="U74" s="1" t="s">
        <v>3368</v>
      </c>
      <c r="V74" s="87" t="s">
        <v>3372</v>
      </c>
      <c r="W74" s="2" t="s">
        <v>3407</v>
      </c>
      <c r="X74" s="2">
        <v>43941</v>
      </c>
      <c r="Y74" s="11" t="s">
        <v>3760</v>
      </c>
      <c r="Z74" s="3">
        <v>43948</v>
      </c>
      <c r="AA74" s="80" t="s">
        <v>1339</v>
      </c>
      <c r="AD74" t="s">
        <v>3198</v>
      </c>
      <c r="AH74" s="2"/>
      <c r="AI74" s="2"/>
      <c r="AK74" s="2"/>
    </row>
    <row r="75" spans="1:37">
      <c r="A75" s="1">
        <v>74</v>
      </c>
      <c r="B75" s="61" t="s">
        <v>33</v>
      </c>
      <c r="C75" s="2">
        <v>43966</v>
      </c>
      <c r="D75" s="1" t="s">
        <v>1617</v>
      </c>
      <c r="E75" s="61" t="s">
        <v>1618</v>
      </c>
      <c r="F75" s="61" t="s">
        <v>3773</v>
      </c>
      <c r="G75" s="6" t="s">
        <v>221</v>
      </c>
      <c r="H75" s="1" t="s">
        <v>34</v>
      </c>
      <c r="J75" s="1"/>
      <c r="K75" t="s">
        <v>237</v>
      </c>
      <c r="L75" s="2">
        <v>43982</v>
      </c>
      <c r="M75" s="1" t="s">
        <v>35</v>
      </c>
      <c r="N75" s="14" t="s">
        <v>3774</v>
      </c>
      <c r="O75" s="92">
        <v>30</v>
      </c>
      <c r="P75" s="1">
        <v>1</v>
      </c>
      <c r="Q75" s="90">
        <v>0.21</v>
      </c>
      <c r="R75" s="102">
        <v>0</v>
      </c>
      <c r="S75" s="1" t="s">
        <v>36</v>
      </c>
      <c r="T75" s="95">
        <f t="shared" si="3"/>
        <v>36.299999999999997</v>
      </c>
      <c r="U75" s="1" t="s">
        <v>3775</v>
      </c>
      <c r="V75" s="87" t="s">
        <v>3776</v>
      </c>
      <c r="W75" s="2">
        <v>30585</v>
      </c>
      <c r="X75" s="2">
        <v>43966</v>
      </c>
      <c r="Y75" s="11" t="s">
        <v>3788</v>
      </c>
      <c r="Z75" s="3">
        <v>43979</v>
      </c>
      <c r="AA75" s="80" t="s">
        <v>1339</v>
      </c>
      <c r="AD75" t="s">
        <v>3198</v>
      </c>
    </row>
    <row r="76" spans="1:37">
      <c r="A76" s="1">
        <v>75</v>
      </c>
      <c r="B76" s="61" t="s">
        <v>33</v>
      </c>
      <c r="C76" s="2">
        <v>43966</v>
      </c>
      <c r="D76" s="1" t="s">
        <v>3777</v>
      </c>
      <c r="E76" s="61" t="s">
        <v>3778</v>
      </c>
      <c r="F76" s="61" t="s">
        <v>3773</v>
      </c>
      <c r="G76" s="6" t="s">
        <v>3779</v>
      </c>
      <c r="H76" s="1" t="s">
        <v>34</v>
      </c>
      <c r="J76" s="1"/>
      <c r="K76" t="s">
        <v>237</v>
      </c>
      <c r="L76" s="2">
        <v>43982</v>
      </c>
      <c r="M76" s="1" t="s">
        <v>35</v>
      </c>
      <c r="N76" s="14" t="s">
        <v>3780</v>
      </c>
      <c r="O76" s="92">
        <v>30</v>
      </c>
      <c r="P76" s="1">
        <v>1</v>
      </c>
      <c r="Q76" s="90">
        <v>0.21</v>
      </c>
      <c r="R76" s="102">
        <v>0</v>
      </c>
      <c r="S76" s="1" t="s">
        <v>36</v>
      </c>
      <c r="T76" s="95">
        <f t="shared" si="3"/>
        <v>36.299999999999997</v>
      </c>
      <c r="U76" s="1" t="s">
        <v>3781</v>
      </c>
      <c r="V76" s="87" t="s">
        <v>3782</v>
      </c>
      <c r="W76" s="2">
        <v>32571</v>
      </c>
      <c r="X76" s="2">
        <v>43966</v>
      </c>
      <c r="Y76" s="11" t="s">
        <v>3788</v>
      </c>
      <c r="Z76" s="3">
        <v>43979</v>
      </c>
      <c r="AA76" s="80" t="s">
        <v>1339</v>
      </c>
      <c r="AD76" t="s">
        <v>3198</v>
      </c>
    </row>
    <row r="77" spans="1:37">
      <c r="A77" s="1">
        <v>76</v>
      </c>
      <c r="B77" s="61" t="s">
        <v>37</v>
      </c>
      <c r="C77" s="2">
        <v>43969</v>
      </c>
      <c r="D77" s="1" t="s">
        <v>3657</v>
      </c>
      <c r="E77" s="61" t="s">
        <v>3609</v>
      </c>
      <c r="F77" s="61" t="s">
        <v>3610</v>
      </c>
      <c r="G77" s="6" t="s">
        <v>1257</v>
      </c>
      <c r="H77" s="1" t="s">
        <v>1266</v>
      </c>
      <c r="I77" s="1">
        <v>643997421</v>
      </c>
      <c r="J77" s="1"/>
      <c r="K77" t="s">
        <v>3657</v>
      </c>
      <c r="L77" s="2">
        <v>43982</v>
      </c>
      <c r="M77" s="1" t="s">
        <v>35</v>
      </c>
      <c r="N77" s="14" t="s">
        <v>3786</v>
      </c>
      <c r="O77" s="92">
        <v>60</v>
      </c>
      <c r="P77" s="1">
        <v>1</v>
      </c>
      <c r="Q77" s="90">
        <v>0.21</v>
      </c>
      <c r="R77" s="102">
        <v>0</v>
      </c>
      <c r="S77" s="1" t="s">
        <v>36</v>
      </c>
      <c r="T77" s="95">
        <f>(O77*P77)*Q77+O77*P77</f>
        <v>72.599999999999994</v>
      </c>
      <c r="U77" s="1" t="s">
        <v>3657</v>
      </c>
      <c r="V77" s="87" t="s">
        <v>3612</v>
      </c>
      <c r="W77" s="2">
        <v>31123</v>
      </c>
      <c r="X77" s="2">
        <v>43969</v>
      </c>
      <c r="Y77" s="11"/>
      <c r="AD77" t="s">
        <v>3198</v>
      </c>
    </row>
    <row r="78" spans="1:37">
      <c r="A78" s="1">
        <v>77</v>
      </c>
      <c r="B78" s="61" t="s">
        <v>3783</v>
      </c>
      <c r="C78" s="2">
        <v>43972</v>
      </c>
      <c r="D78" t="s">
        <v>2576</v>
      </c>
      <c r="E78" s="14" t="s">
        <v>2577</v>
      </c>
      <c r="F78" t="s">
        <v>2578</v>
      </c>
      <c r="G78" s="6" t="s">
        <v>2579</v>
      </c>
      <c r="H78" t="s">
        <v>2580</v>
      </c>
      <c r="I78"/>
      <c r="K78" t="s">
        <v>2576</v>
      </c>
      <c r="L78" s="2">
        <v>43982</v>
      </c>
      <c r="M78" s="1" t="s">
        <v>35</v>
      </c>
      <c r="N78" s="14" t="s">
        <v>3784</v>
      </c>
      <c r="O78" s="92">
        <v>30</v>
      </c>
      <c r="P78" s="1">
        <v>1</v>
      </c>
      <c r="Q78" s="90">
        <v>0.21</v>
      </c>
      <c r="R78" s="102">
        <v>0</v>
      </c>
      <c r="S78" s="1" t="s">
        <v>36</v>
      </c>
      <c r="T78" s="95">
        <f t="shared" si="3"/>
        <v>36.299999999999997</v>
      </c>
      <c r="U78" s="1" t="s">
        <v>2582</v>
      </c>
      <c r="V78" s="87" t="s">
        <v>3785</v>
      </c>
      <c r="W78" s="2">
        <v>30682</v>
      </c>
      <c r="X78" s="2">
        <v>43972</v>
      </c>
      <c r="Y78" s="11" t="s">
        <v>3789</v>
      </c>
      <c r="Z78" s="3">
        <v>43983</v>
      </c>
      <c r="AA78" s="80" t="s">
        <v>1339</v>
      </c>
      <c r="AD78" t="s">
        <v>3198</v>
      </c>
    </row>
    <row r="79" spans="1:37">
      <c r="A79" s="1">
        <v>78</v>
      </c>
      <c r="B79" s="136" t="s">
        <v>40</v>
      </c>
      <c r="C79" s="137">
        <v>43980</v>
      </c>
      <c r="D79" s="135" t="s">
        <v>1311</v>
      </c>
      <c r="E79" s="136" t="s">
        <v>1312</v>
      </c>
      <c r="F79" s="136" t="s">
        <v>3790</v>
      </c>
      <c r="G79" s="1">
        <v>4700</v>
      </c>
      <c r="H79" s="1" t="s">
        <v>34</v>
      </c>
      <c r="I79" s="1">
        <v>610559540</v>
      </c>
      <c r="K79" t="s">
        <v>1311</v>
      </c>
      <c r="L79" s="3">
        <v>44012</v>
      </c>
      <c r="M79" s="1" t="s">
        <v>35</v>
      </c>
      <c r="N79" s="14" t="s">
        <v>3791</v>
      </c>
      <c r="O79" s="92">
        <v>60</v>
      </c>
      <c r="P79" s="1">
        <v>1</v>
      </c>
      <c r="Q79" s="90">
        <v>0.21</v>
      </c>
      <c r="R79" s="102">
        <v>0</v>
      </c>
      <c r="S79" s="1" t="s">
        <v>36</v>
      </c>
      <c r="T79" s="95">
        <f t="shared" si="3"/>
        <v>72.599999999999994</v>
      </c>
      <c r="U79" s="1" t="s">
        <v>3792</v>
      </c>
      <c r="V79" s="87" t="s">
        <v>3793</v>
      </c>
      <c r="W79" s="2">
        <v>33893</v>
      </c>
      <c r="X79" s="2">
        <v>43980</v>
      </c>
      <c r="Y79" s="11" t="s">
        <v>3836</v>
      </c>
      <c r="Z79" s="3">
        <v>44004</v>
      </c>
      <c r="AA79" s="80" t="s">
        <v>1339</v>
      </c>
      <c r="AD79" t="s">
        <v>3198</v>
      </c>
      <c r="AE79" t="s">
        <v>3815</v>
      </c>
      <c r="AG79" s="1" t="s">
        <v>3794</v>
      </c>
      <c r="AI79" s="2">
        <v>43995</v>
      </c>
      <c r="AK79" s="2">
        <v>43991</v>
      </c>
    </row>
    <row r="80" spans="1:37">
      <c r="A80" s="1">
        <v>79</v>
      </c>
      <c r="B80" s="61" t="s">
        <v>119</v>
      </c>
      <c r="C80" s="2">
        <v>43980</v>
      </c>
      <c r="D80" s="1" t="s">
        <v>613</v>
      </c>
      <c r="E80" s="61" t="s">
        <v>614</v>
      </c>
      <c r="F80" s="61" t="s">
        <v>3795</v>
      </c>
      <c r="G80" s="6" t="s">
        <v>239</v>
      </c>
      <c r="H80" s="1" t="s">
        <v>2585</v>
      </c>
      <c r="I80" s="1">
        <v>637421137</v>
      </c>
      <c r="J80" s="1"/>
      <c r="K80" s="31" t="s">
        <v>174</v>
      </c>
      <c r="L80" s="2">
        <v>44012</v>
      </c>
      <c r="M80" s="1" t="s">
        <v>35</v>
      </c>
      <c r="N80" s="14" t="s">
        <v>3796</v>
      </c>
      <c r="O80" s="92">
        <v>60</v>
      </c>
      <c r="P80" s="1">
        <v>1</v>
      </c>
      <c r="Q80" s="90">
        <v>0.21</v>
      </c>
      <c r="R80" s="102">
        <v>0</v>
      </c>
      <c r="S80" s="1" t="s">
        <v>36</v>
      </c>
      <c r="T80" s="95">
        <f t="shared" si="3"/>
        <v>72.599999999999994</v>
      </c>
      <c r="U80" s="1" t="s">
        <v>3797</v>
      </c>
      <c r="V80" s="87" t="s">
        <v>3798</v>
      </c>
      <c r="W80" s="2">
        <v>37256</v>
      </c>
      <c r="X80" s="2">
        <v>43980</v>
      </c>
      <c r="Y80" s="11" t="s">
        <v>3836</v>
      </c>
      <c r="Z80" s="3">
        <v>44005</v>
      </c>
      <c r="AA80" s="80" t="s">
        <v>1339</v>
      </c>
      <c r="AD80" t="s">
        <v>3198</v>
      </c>
      <c r="AE80" s="146" t="s">
        <v>3813</v>
      </c>
      <c r="AG80" s="1" t="s">
        <v>3814</v>
      </c>
      <c r="AI80" s="2">
        <v>43995</v>
      </c>
      <c r="AK80" s="2">
        <v>43990</v>
      </c>
    </row>
    <row r="81" spans="1:37">
      <c r="A81" s="1">
        <v>80</v>
      </c>
      <c r="B81" s="61" t="s">
        <v>119</v>
      </c>
      <c r="C81" s="2">
        <v>43980</v>
      </c>
      <c r="D81" s="1" t="s">
        <v>613</v>
      </c>
      <c r="E81" s="61" t="s">
        <v>614</v>
      </c>
      <c r="F81" s="61" t="s">
        <v>3795</v>
      </c>
      <c r="G81" s="6" t="s">
        <v>239</v>
      </c>
      <c r="H81" s="1" t="s">
        <v>2585</v>
      </c>
      <c r="I81" s="1">
        <v>637421137</v>
      </c>
      <c r="J81" s="1"/>
      <c r="K81" s="31" t="s">
        <v>174</v>
      </c>
      <c r="L81" s="2">
        <v>44012</v>
      </c>
      <c r="M81" s="1" t="s">
        <v>35</v>
      </c>
      <c r="N81" s="14" t="s">
        <v>2213</v>
      </c>
      <c r="O81" s="92">
        <v>60</v>
      </c>
      <c r="P81" s="1">
        <v>1</v>
      </c>
      <c r="Q81" s="90">
        <v>0.21</v>
      </c>
      <c r="R81" s="102">
        <v>0</v>
      </c>
      <c r="S81" s="1" t="s">
        <v>36</v>
      </c>
      <c r="T81" s="95">
        <f t="shared" si="3"/>
        <v>72.599999999999994</v>
      </c>
      <c r="U81" s="1" t="s">
        <v>2214</v>
      </c>
      <c r="V81" s="87" t="s">
        <v>3799</v>
      </c>
      <c r="W81" s="2">
        <v>31838</v>
      </c>
      <c r="X81" s="2">
        <v>43980</v>
      </c>
      <c r="Y81" s="11" t="s">
        <v>3962</v>
      </c>
      <c r="Z81" s="3">
        <v>44013</v>
      </c>
      <c r="AA81" s="80" t="s">
        <v>1339</v>
      </c>
      <c r="AD81" t="s">
        <v>3198</v>
      </c>
      <c r="AG81" s="8" t="s">
        <v>77</v>
      </c>
      <c r="AI81" s="2">
        <v>43995</v>
      </c>
      <c r="AK81" s="2">
        <v>43990</v>
      </c>
    </row>
    <row r="82" spans="1:37">
      <c r="A82" s="1">
        <v>81</v>
      </c>
      <c r="B82" s="61" t="s">
        <v>82</v>
      </c>
      <c r="C82" s="2">
        <v>43980</v>
      </c>
      <c r="D82" s="1" t="s">
        <v>5380</v>
      </c>
      <c r="E82" s="61" t="s">
        <v>3800</v>
      </c>
      <c r="F82" s="61" t="s">
        <v>3801</v>
      </c>
      <c r="G82" s="6" t="s">
        <v>2654</v>
      </c>
      <c r="H82" s="1" t="s">
        <v>2359</v>
      </c>
      <c r="I82" s="1">
        <v>627436272</v>
      </c>
      <c r="J82" s="1"/>
      <c r="K82" t="s">
        <v>3965</v>
      </c>
      <c r="L82" s="2">
        <v>44012</v>
      </c>
      <c r="M82" s="1" t="s">
        <v>35</v>
      </c>
      <c r="N82" s="14" t="s">
        <v>3802</v>
      </c>
      <c r="O82" s="92">
        <v>60</v>
      </c>
      <c r="P82" s="1">
        <v>1</v>
      </c>
      <c r="Q82" s="90">
        <v>0.21</v>
      </c>
      <c r="R82" s="102">
        <v>0</v>
      </c>
      <c r="S82" s="1" t="s">
        <v>36</v>
      </c>
      <c r="T82" s="95">
        <f t="shared" si="3"/>
        <v>72.599999999999994</v>
      </c>
      <c r="U82" s="1" t="s">
        <v>3803</v>
      </c>
      <c r="V82" s="87" t="s">
        <v>3804</v>
      </c>
      <c r="W82" s="2">
        <v>31361</v>
      </c>
      <c r="X82" s="2">
        <v>43980</v>
      </c>
      <c r="Y82" s="11" t="s">
        <v>3889</v>
      </c>
      <c r="Z82" s="3">
        <v>44011</v>
      </c>
      <c r="AA82" s="80" t="s">
        <v>1339</v>
      </c>
      <c r="AD82" t="s">
        <v>3198</v>
      </c>
      <c r="AG82" s="1" t="s">
        <v>3108</v>
      </c>
      <c r="AI82" s="2">
        <v>43995</v>
      </c>
      <c r="AK82" s="2">
        <v>43994</v>
      </c>
    </row>
    <row r="83" spans="1:37">
      <c r="A83" s="1">
        <v>82</v>
      </c>
      <c r="B83" s="61" t="s">
        <v>82</v>
      </c>
      <c r="C83" s="2">
        <v>43986</v>
      </c>
      <c r="D83" s="1" t="s">
        <v>3805</v>
      </c>
      <c r="E83" s="61" t="s">
        <v>3806</v>
      </c>
      <c r="F83" s="61" t="s">
        <v>3807</v>
      </c>
      <c r="G83" s="6" t="s">
        <v>250</v>
      </c>
      <c r="H83" s="1" t="s">
        <v>86</v>
      </c>
      <c r="I83" s="1" t="s">
        <v>3808</v>
      </c>
      <c r="J83" s="1"/>
      <c r="K83" t="s">
        <v>3805</v>
      </c>
      <c r="L83" s="2">
        <v>44012</v>
      </c>
      <c r="M83" s="1" t="s">
        <v>35</v>
      </c>
      <c r="N83" s="14" t="s">
        <v>3809</v>
      </c>
      <c r="O83" s="92">
        <v>60</v>
      </c>
      <c r="P83" s="1">
        <v>1</v>
      </c>
      <c r="Q83" s="90">
        <v>0.21</v>
      </c>
      <c r="R83" s="102">
        <v>0</v>
      </c>
      <c r="S83" s="1" t="s">
        <v>36</v>
      </c>
      <c r="T83" s="95">
        <f t="shared" si="3"/>
        <v>72.599999999999994</v>
      </c>
      <c r="U83" s="1" t="s">
        <v>3810</v>
      </c>
      <c r="V83" s="87" t="s">
        <v>3811</v>
      </c>
      <c r="W83" s="2">
        <v>29952</v>
      </c>
      <c r="X83" s="2">
        <v>43986</v>
      </c>
      <c r="Y83" s="11" t="s">
        <v>4000</v>
      </c>
      <c r="Z83" s="3">
        <v>44035</v>
      </c>
      <c r="AA83" s="80" t="s">
        <v>1339</v>
      </c>
      <c r="AB83" t="s">
        <v>3765</v>
      </c>
      <c r="AC83" s="143">
        <v>44029</v>
      </c>
      <c r="AD83" t="s">
        <v>3198</v>
      </c>
      <c r="AG83" s="1" t="s">
        <v>3812</v>
      </c>
      <c r="AI83" s="2">
        <v>44002</v>
      </c>
      <c r="AK83" s="2">
        <v>43993</v>
      </c>
    </row>
    <row r="84" spans="1:37">
      <c r="A84" s="1">
        <v>83</v>
      </c>
      <c r="B84" s="61" t="s">
        <v>80</v>
      </c>
      <c r="C84" s="2">
        <v>43993</v>
      </c>
      <c r="D84" s="1" t="s">
        <v>2429</v>
      </c>
      <c r="E84" s="61" t="s">
        <v>2430</v>
      </c>
      <c r="F84" s="61" t="s">
        <v>3816</v>
      </c>
      <c r="G84" s="6" t="s">
        <v>2432</v>
      </c>
      <c r="H84" s="1" t="s">
        <v>144</v>
      </c>
      <c r="I84" s="1">
        <v>950524255</v>
      </c>
      <c r="J84" s="1"/>
      <c r="K84" t="s">
        <v>2429</v>
      </c>
      <c r="L84" s="2">
        <v>44012</v>
      </c>
      <c r="M84" s="1" t="s">
        <v>35</v>
      </c>
      <c r="N84" s="14" t="s">
        <v>3817</v>
      </c>
      <c r="O84" s="92">
        <v>30</v>
      </c>
      <c r="P84" s="1">
        <v>1</v>
      </c>
      <c r="Q84" s="90">
        <v>0.21</v>
      </c>
      <c r="R84" s="102">
        <v>0</v>
      </c>
      <c r="S84" s="1" t="s">
        <v>36</v>
      </c>
      <c r="T84" s="95">
        <f>(O84*P84)*Q84+O84*P84</f>
        <v>36.299999999999997</v>
      </c>
      <c r="U84" s="1" t="s">
        <v>2435</v>
      </c>
      <c r="V84" s="87" t="s">
        <v>3818</v>
      </c>
      <c r="W84" s="2">
        <v>32142</v>
      </c>
      <c r="X84" s="2">
        <v>43993</v>
      </c>
      <c r="Y84" s="11" t="s">
        <v>3864</v>
      </c>
      <c r="Z84" s="3">
        <v>44006</v>
      </c>
      <c r="AA84" s="80" t="s">
        <v>1339</v>
      </c>
      <c r="AD84" t="s">
        <v>3198</v>
      </c>
    </row>
    <row r="85" spans="1:37">
      <c r="A85" s="1">
        <v>84</v>
      </c>
      <c r="B85" s="61" t="s">
        <v>3783</v>
      </c>
      <c r="C85" s="2">
        <v>43992</v>
      </c>
      <c r="D85" t="s">
        <v>3109</v>
      </c>
      <c r="E85" t="s">
        <v>3110</v>
      </c>
      <c r="F85" t="s">
        <v>3111</v>
      </c>
      <c r="G85" s="6" t="s">
        <v>2579</v>
      </c>
      <c r="H85" t="s">
        <v>2580</v>
      </c>
      <c r="I85"/>
      <c r="K85" t="s">
        <v>3109</v>
      </c>
      <c r="L85" s="2">
        <v>44012</v>
      </c>
      <c r="M85" s="1" t="s">
        <v>35</v>
      </c>
      <c r="N85" s="14" t="s">
        <v>3819</v>
      </c>
      <c r="O85" s="92">
        <v>60</v>
      </c>
      <c r="P85" s="1">
        <v>1</v>
      </c>
      <c r="Q85" s="90">
        <v>0.21</v>
      </c>
      <c r="R85" s="102">
        <v>0</v>
      </c>
      <c r="S85" s="1" t="s">
        <v>36</v>
      </c>
      <c r="T85" s="95">
        <f t="shared" si="3"/>
        <v>72.599999999999994</v>
      </c>
      <c r="U85" s="1" t="s">
        <v>3820</v>
      </c>
      <c r="V85" s="87" t="s">
        <v>3821</v>
      </c>
      <c r="W85" s="2">
        <v>36917</v>
      </c>
      <c r="X85" s="2">
        <v>43992</v>
      </c>
      <c r="Y85" s="11" t="s">
        <v>3871</v>
      </c>
      <c r="Z85" s="3">
        <v>44006</v>
      </c>
      <c r="AA85" s="80" t="s">
        <v>1339</v>
      </c>
      <c r="AD85" t="s">
        <v>3198</v>
      </c>
      <c r="AE85" t="s">
        <v>3402</v>
      </c>
      <c r="AG85" s="1" t="s">
        <v>3822</v>
      </c>
      <c r="AI85" s="2">
        <v>44006</v>
      </c>
      <c r="AK85" s="2">
        <v>44000</v>
      </c>
    </row>
    <row r="86" spans="1:37">
      <c r="A86" s="1">
        <v>85</v>
      </c>
      <c r="B86" s="61" t="s">
        <v>3783</v>
      </c>
      <c r="C86" s="2">
        <v>43992</v>
      </c>
      <c r="D86" t="s">
        <v>3109</v>
      </c>
      <c r="E86" t="s">
        <v>3110</v>
      </c>
      <c r="F86" t="s">
        <v>3111</v>
      </c>
      <c r="G86" s="6" t="s">
        <v>2579</v>
      </c>
      <c r="H86" t="s">
        <v>2580</v>
      </c>
      <c r="I86"/>
      <c r="K86" t="s">
        <v>3109</v>
      </c>
      <c r="L86" s="2">
        <v>44012</v>
      </c>
      <c r="M86" s="1" t="s">
        <v>35</v>
      </c>
      <c r="N86" s="14" t="s">
        <v>3823</v>
      </c>
      <c r="O86" s="92">
        <v>60</v>
      </c>
      <c r="P86" s="1">
        <v>1</v>
      </c>
      <c r="Q86" s="90">
        <v>0.21</v>
      </c>
      <c r="R86" s="102">
        <v>0</v>
      </c>
      <c r="S86" s="1" t="s">
        <v>36</v>
      </c>
      <c r="T86" s="95">
        <f t="shared" si="3"/>
        <v>72.599999999999994</v>
      </c>
      <c r="U86" s="1" t="s">
        <v>3824</v>
      </c>
      <c r="V86" s="87" t="s">
        <v>3825</v>
      </c>
      <c r="W86" s="2">
        <v>30732</v>
      </c>
      <c r="X86" s="2">
        <v>43992</v>
      </c>
      <c r="Y86" s="11" t="s">
        <v>3871</v>
      </c>
      <c r="Z86" s="3">
        <v>44006</v>
      </c>
      <c r="AD86" t="s">
        <v>3198</v>
      </c>
      <c r="AE86" t="s">
        <v>3402</v>
      </c>
      <c r="AG86" s="1" t="s">
        <v>3822</v>
      </c>
      <c r="AI86" s="2">
        <v>44006</v>
      </c>
      <c r="AK86" s="2">
        <v>44000</v>
      </c>
    </row>
    <row r="87" spans="1:37">
      <c r="A87" s="1">
        <v>86</v>
      </c>
      <c r="B87" s="61" t="s">
        <v>119</v>
      </c>
      <c r="C87" s="2">
        <v>43985</v>
      </c>
      <c r="D87" s="1" t="s">
        <v>3826</v>
      </c>
      <c r="E87" s="61" t="s">
        <v>3827</v>
      </c>
      <c r="F87" s="61" t="s">
        <v>3828</v>
      </c>
      <c r="G87" s="6" t="s">
        <v>250</v>
      </c>
      <c r="H87" s="1" t="s">
        <v>2585</v>
      </c>
      <c r="I87" s="1">
        <v>670341556</v>
      </c>
      <c r="J87" s="1"/>
      <c r="K87" s="31" t="s">
        <v>174</v>
      </c>
      <c r="L87" s="2">
        <v>44012</v>
      </c>
      <c r="M87" s="1" t="s">
        <v>35</v>
      </c>
      <c r="N87" s="14" t="s">
        <v>3829</v>
      </c>
      <c r="O87" s="92">
        <v>60</v>
      </c>
      <c r="P87" s="1">
        <v>1</v>
      </c>
      <c r="Q87" s="90">
        <v>0.21</v>
      </c>
      <c r="R87" s="102">
        <v>0</v>
      </c>
      <c r="S87" s="1" t="s">
        <v>36</v>
      </c>
      <c r="T87" s="95">
        <f t="shared" si="3"/>
        <v>72.599999999999994</v>
      </c>
      <c r="U87" s="1" t="s">
        <v>3830</v>
      </c>
      <c r="V87" s="87" t="s">
        <v>3831</v>
      </c>
      <c r="W87" s="2">
        <v>37255</v>
      </c>
      <c r="X87" s="2">
        <v>43985</v>
      </c>
      <c r="Y87" s="11" t="s">
        <v>3966</v>
      </c>
      <c r="Z87" s="3">
        <v>44026</v>
      </c>
      <c r="AA87" s="80" t="s">
        <v>1339</v>
      </c>
      <c r="AD87" t="s">
        <v>3198</v>
      </c>
      <c r="AE87" t="s">
        <v>3856</v>
      </c>
      <c r="AG87" s="1" t="s">
        <v>3108</v>
      </c>
      <c r="AI87" s="2">
        <v>44006</v>
      </c>
      <c r="AK87" s="2">
        <v>44006</v>
      </c>
    </row>
    <row r="88" spans="1:37">
      <c r="A88" s="1">
        <v>87</v>
      </c>
      <c r="B88" s="61" t="s">
        <v>37</v>
      </c>
      <c r="C88" s="2">
        <v>44000</v>
      </c>
      <c r="D88" s="1" t="s">
        <v>3964</v>
      </c>
      <c r="E88" s="61" t="s">
        <v>3832</v>
      </c>
      <c r="F88" s="61" t="s">
        <v>3833</v>
      </c>
      <c r="G88" s="6" t="s">
        <v>250</v>
      </c>
      <c r="H88" s="1" t="s">
        <v>86</v>
      </c>
      <c r="I88" s="1">
        <v>632063544</v>
      </c>
      <c r="J88" s="1"/>
      <c r="K88" t="s">
        <v>3964</v>
      </c>
      <c r="L88" s="2">
        <v>44012</v>
      </c>
      <c r="M88" s="1" t="s">
        <v>35</v>
      </c>
      <c r="N88" t="s">
        <v>3834</v>
      </c>
      <c r="O88" s="92">
        <v>30</v>
      </c>
      <c r="P88" s="1">
        <v>1</v>
      </c>
      <c r="Q88" s="90">
        <v>0.21</v>
      </c>
      <c r="R88" s="120" t="s">
        <v>3477</v>
      </c>
      <c r="S88" s="1" t="s">
        <v>36</v>
      </c>
      <c r="T88" s="95">
        <f t="shared" si="3"/>
        <v>36.299999999999997</v>
      </c>
      <c r="U88" s="1" t="s">
        <v>3964</v>
      </c>
      <c r="V88" s="87" t="s">
        <v>3835</v>
      </c>
      <c r="W88" s="2">
        <v>25569</v>
      </c>
      <c r="X88" s="2">
        <v>44000</v>
      </c>
      <c r="Y88" s="11" t="s">
        <v>3969</v>
      </c>
      <c r="Z88" s="3">
        <v>44021</v>
      </c>
      <c r="AA88" s="80" t="s">
        <v>1339</v>
      </c>
      <c r="AD88" t="s">
        <v>3198</v>
      </c>
    </row>
    <row r="89" spans="1:37">
      <c r="A89" s="1">
        <v>88</v>
      </c>
      <c r="B89" s="61" t="s">
        <v>52</v>
      </c>
      <c r="C89" s="2">
        <v>43999</v>
      </c>
      <c r="D89" s="1" t="s">
        <v>256</v>
      </c>
      <c r="E89" s="31" t="s">
        <v>155</v>
      </c>
      <c r="F89" s="31" t="s">
        <v>138</v>
      </c>
      <c r="G89" s="33" t="s">
        <v>227</v>
      </c>
      <c r="H89" s="31" t="s">
        <v>203</v>
      </c>
      <c r="I89" s="31">
        <v>631130911</v>
      </c>
      <c r="J89" s="1"/>
      <c r="K89" s="31" t="s">
        <v>53</v>
      </c>
      <c r="L89" s="2">
        <v>44012</v>
      </c>
      <c r="M89" s="1" t="s">
        <v>35</v>
      </c>
      <c r="N89" s="14" t="s">
        <v>3837</v>
      </c>
      <c r="O89" s="92">
        <v>60</v>
      </c>
      <c r="P89" s="1">
        <v>1</v>
      </c>
      <c r="Q89" s="90">
        <v>0.21</v>
      </c>
      <c r="R89" s="102">
        <v>0</v>
      </c>
      <c r="S89" s="1" t="s">
        <v>36</v>
      </c>
      <c r="T89" s="95">
        <f t="shared" si="3"/>
        <v>72.599999999999994</v>
      </c>
      <c r="U89" s="1" t="s">
        <v>3313</v>
      </c>
      <c r="V89" s="87" t="s">
        <v>3838</v>
      </c>
      <c r="W89" s="2">
        <v>37256</v>
      </c>
      <c r="X89" s="2">
        <v>43999</v>
      </c>
      <c r="Y89" s="11" t="s">
        <v>3966</v>
      </c>
      <c r="Z89" s="3">
        <v>44026</v>
      </c>
      <c r="AA89" s="80" t="s">
        <v>1339</v>
      </c>
      <c r="AD89" t="s">
        <v>3198</v>
      </c>
      <c r="AE89" t="s">
        <v>3849</v>
      </c>
      <c r="AG89" s="1" t="s">
        <v>3108</v>
      </c>
      <c r="AI89" s="2">
        <v>44011</v>
      </c>
      <c r="AK89" s="2">
        <v>44011</v>
      </c>
    </row>
    <row r="90" spans="1:37">
      <c r="A90" s="1">
        <v>89</v>
      </c>
      <c r="B90" s="61" t="s">
        <v>52</v>
      </c>
      <c r="C90" s="2">
        <v>43999</v>
      </c>
      <c r="D90" s="1" t="s">
        <v>256</v>
      </c>
      <c r="E90" s="31" t="s">
        <v>155</v>
      </c>
      <c r="F90" s="31" t="s">
        <v>138</v>
      </c>
      <c r="G90" s="33" t="s">
        <v>227</v>
      </c>
      <c r="H90" s="31" t="s">
        <v>203</v>
      </c>
      <c r="I90" s="31">
        <v>631130911</v>
      </c>
      <c r="J90" s="1"/>
      <c r="K90" s="31" t="s">
        <v>53</v>
      </c>
      <c r="L90" s="2">
        <v>44012</v>
      </c>
      <c r="M90" s="1" t="s">
        <v>35</v>
      </c>
      <c r="N90" s="14" t="s">
        <v>3844</v>
      </c>
      <c r="O90" s="92">
        <v>60</v>
      </c>
      <c r="P90" s="1">
        <v>1</v>
      </c>
      <c r="Q90" s="90">
        <v>0.21</v>
      </c>
      <c r="R90" s="139" t="s">
        <v>3888</v>
      </c>
      <c r="S90" s="1" t="s">
        <v>36</v>
      </c>
      <c r="T90" s="95">
        <f t="shared" si="3"/>
        <v>72.599999999999994</v>
      </c>
      <c r="U90" s="1" t="s">
        <v>3845</v>
      </c>
      <c r="V90" s="87" t="s">
        <v>3846</v>
      </c>
      <c r="W90" s="2">
        <v>35446</v>
      </c>
      <c r="X90" s="2">
        <v>43999</v>
      </c>
      <c r="Y90" s="11" t="s">
        <v>3966</v>
      </c>
      <c r="Z90" s="3">
        <v>44026</v>
      </c>
      <c r="AA90" s="80" t="s">
        <v>1339</v>
      </c>
      <c r="AD90" t="s">
        <v>3198</v>
      </c>
      <c r="AE90" t="s">
        <v>3848</v>
      </c>
      <c r="AG90" s="1" t="s">
        <v>3847</v>
      </c>
      <c r="AI90" s="2">
        <v>44011</v>
      </c>
      <c r="AK90" s="2">
        <v>44011</v>
      </c>
    </row>
    <row r="91" spans="1:37">
      <c r="A91" s="1">
        <v>90</v>
      </c>
      <c r="B91" s="61" t="s">
        <v>3783</v>
      </c>
      <c r="C91" s="2">
        <v>43999</v>
      </c>
      <c r="D91" t="s">
        <v>3109</v>
      </c>
      <c r="E91" t="s">
        <v>3110</v>
      </c>
      <c r="F91" t="s">
        <v>3111</v>
      </c>
      <c r="G91" s="6" t="s">
        <v>2579</v>
      </c>
      <c r="H91" t="s">
        <v>2580</v>
      </c>
      <c r="I91" t="s">
        <v>3839</v>
      </c>
      <c r="K91" t="s">
        <v>3109</v>
      </c>
      <c r="L91" s="2">
        <v>44012</v>
      </c>
      <c r="M91" s="1" t="s">
        <v>35</v>
      </c>
      <c r="N91" s="14" t="s">
        <v>3840</v>
      </c>
      <c r="O91" s="92">
        <v>60</v>
      </c>
      <c r="P91" s="1">
        <v>1</v>
      </c>
      <c r="Q91" s="90">
        <v>0.21</v>
      </c>
      <c r="R91" s="102">
        <v>0</v>
      </c>
      <c r="S91" s="1" t="s">
        <v>36</v>
      </c>
      <c r="T91" s="95">
        <f t="shared" si="3"/>
        <v>72.599999999999994</v>
      </c>
      <c r="U91" s="1" t="s">
        <v>3841</v>
      </c>
      <c r="V91" s="87" t="s">
        <v>3842</v>
      </c>
      <c r="W91" s="2">
        <v>30682</v>
      </c>
      <c r="X91" s="2">
        <v>43999</v>
      </c>
      <c r="Y91" s="11" t="s">
        <v>3977</v>
      </c>
      <c r="Z91" s="3">
        <v>44026</v>
      </c>
      <c r="AA91" s="80" t="s">
        <v>1339</v>
      </c>
      <c r="AD91" t="s">
        <v>3198</v>
      </c>
      <c r="AG91" s="1" t="s">
        <v>3843</v>
      </c>
      <c r="AI91" s="2">
        <v>44011</v>
      </c>
      <c r="AK91" s="2">
        <v>44011</v>
      </c>
    </row>
    <row r="92" spans="1:37">
      <c r="A92" s="1">
        <v>91</v>
      </c>
      <c r="B92" s="61" t="s">
        <v>33</v>
      </c>
      <c r="C92" s="2">
        <v>43999</v>
      </c>
      <c r="D92" s="1" t="s">
        <v>2669</v>
      </c>
      <c r="E92" s="61" t="s">
        <v>2670</v>
      </c>
      <c r="F92" s="61" t="s">
        <v>3850</v>
      </c>
      <c r="G92" s="6" t="s">
        <v>304</v>
      </c>
      <c r="H92" s="1" t="s">
        <v>3851</v>
      </c>
      <c r="I92" s="1" t="s">
        <v>3852</v>
      </c>
      <c r="J92" s="1"/>
      <c r="K92" t="s">
        <v>237</v>
      </c>
      <c r="L92" s="2">
        <v>44012</v>
      </c>
      <c r="M92" s="1" t="s">
        <v>35</v>
      </c>
      <c r="N92" s="14" t="s">
        <v>3853</v>
      </c>
      <c r="O92" s="92">
        <v>60</v>
      </c>
      <c r="P92" s="1">
        <v>1</v>
      </c>
      <c r="Q92" s="90">
        <v>0.21</v>
      </c>
      <c r="R92" s="102">
        <v>0</v>
      </c>
      <c r="S92" s="1" t="s">
        <v>36</v>
      </c>
      <c r="T92" s="95">
        <f t="shared" si="3"/>
        <v>72.599999999999994</v>
      </c>
      <c r="U92" s="1" t="s">
        <v>3854</v>
      </c>
      <c r="V92" s="87" t="s">
        <v>3855</v>
      </c>
      <c r="W92" s="2">
        <v>27463</v>
      </c>
      <c r="X92" s="2">
        <v>43999</v>
      </c>
      <c r="Y92" s="11" t="s">
        <v>3977</v>
      </c>
      <c r="Z92" s="3">
        <v>44026</v>
      </c>
      <c r="AA92" s="80" t="s">
        <v>1339</v>
      </c>
      <c r="AD92" t="s">
        <v>3198</v>
      </c>
      <c r="AE92" t="s">
        <v>3402</v>
      </c>
      <c r="AG92" s="1" t="s">
        <v>3108</v>
      </c>
      <c r="AI92" s="2">
        <v>44011</v>
      </c>
      <c r="AK92" s="2">
        <v>44016</v>
      </c>
    </row>
    <row r="93" spans="1:37">
      <c r="A93" s="1">
        <v>92</v>
      </c>
      <c r="B93" s="61" t="s">
        <v>3857</v>
      </c>
      <c r="C93" s="2">
        <v>43999</v>
      </c>
      <c r="D93" s="1" t="s">
        <v>3858</v>
      </c>
      <c r="E93" s="61" t="s">
        <v>3859</v>
      </c>
      <c r="F93" s="61" t="s">
        <v>3860</v>
      </c>
      <c r="G93" s="6" t="s">
        <v>293</v>
      </c>
      <c r="H93" t="s">
        <v>1380</v>
      </c>
      <c r="I93" s="1">
        <v>687751263</v>
      </c>
      <c r="J93" s="1"/>
      <c r="K93" t="s">
        <v>3858</v>
      </c>
      <c r="L93" s="2">
        <v>44012</v>
      </c>
      <c r="M93" s="1" t="s">
        <v>35</v>
      </c>
      <c r="N93" s="14" t="s">
        <v>3861</v>
      </c>
      <c r="O93" s="92">
        <v>60</v>
      </c>
      <c r="P93" s="1">
        <v>1</v>
      </c>
      <c r="Q93" s="90">
        <v>0.21</v>
      </c>
      <c r="R93" s="102">
        <v>0</v>
      </c>
      <c r="S93" s="1" t="s">
        <v>36</v>
      </c>
      <c r="T93" s="95">
        <f t="shared" si="3"/>
        <v>72.599999999999994</v>
      </c>
      <c r="U93" s="1" t="s">
        <v>3862</v>
      </c>
      <c r="V93" s="87" t="s">
        <v>3863</v>
      </c>
      <c r="W93" s="2">
        <v>30581</v>
      </c>
      <c r="X93" s="2">
        <v>43999</v>
      </c>
      <c r="Y93" s="11" t="s">
        <v>3978</v>
      </c>
      <c r="Z93" s="3">
        <v>44026</v>
      </c>
      <c r="AA93" s="80" t="s">
        <v>1339</v>
      </c>
      <c r="AD93" t="s">
        <v>3198</v>
      </c>
      <c r="AG93" s="1" t="s">
        <v>3108</v>
      </c>
      <c r="AI93" s="2">
        <v>44011</v>
      </c>
      <c r="AK93" s="2">
        <v>44011</v>
      </c>
    </row>
    <row r="94" spans="1:37">
      <c r="A94" s="1">
        <v>93</v>
      </c>
      <c r="B94" s="61" t="s">
        <v>52</v>
      </c>
      <c r="C94" s="2">
        <v>44001</v>
      </c>
      <c r="D94" s="1" t="s">
        <v>66</v>
      </c>
      <c r="E94" s="61" t="s">
        <v>65</v>
      </c>
      <c r="F94" s="61" t="s">
        <v>3666</v>
      </c>
      <c r="G94" s="6" t="s">
        <v>230</v>
      </c>
      <c r="H94" s="1" t="s">
        <v>34</v>
      </c>
      <c r="I94" s="1">
        <v>609312130</v>
      </c>
      <c r="J94" s="1"/>
      <c r="K94" s="31" t="s">
        <v>53</v>
      </c>
      <c r="L94" s="2">
        <v>44012</v>
      </c>
      <c r="M94" s="1" t="s">
        <v>35</v>
      </c>
      <c r="N94" s="14" t="s">
        <v>3872</v>
      </c>
      <c r="O94" s="92">
        <v>60</v>
      </c>
      <c r="P94" s="1">
        <v>1</v>
      </c>
      <c r="Q94" s="90">
        <v>0.21</v>
      </c>
      <c r="R94" s="102">
        <v>0</v>
      </c>
      <c r="S94" s="1" t="s">
        <v>36</v>
      </c>
      <c r="T94" s="95">
        <f>(O94*P94)*Q94+O94*P94</f>
        <v>72.599999999999994</v>
      </c>
      <c r="U94" s="1" t="s">
        <v>3873</v>
      </c>
      <c r="V94" s="87" t="s">
        <v>3874</v>
      </c>
      <c r="W94" s="2">
        <v>35288</v>
      </c>
      <c r="X94" s="2">
        <v>44001</v>
      </c>
      <c r="Y94" s="195" t="s">
        <v>3999</v>
      </c>
      <c r="Z94" s="3">
        <v>44035</v>
      </c>
      <c r="AA94" s="80" t="s">
        <v>1339</v>
      </c>
      <c r="AB94" t="s">
        <v>4029</v>
      </c>
      <c r="AD94" t="s">
        <v>3198</v>
      </c>
      <c r="AE94" t="s">
        <v>3961</v>
      </c>
      <c r="AG94" s="1" t="s">
        <v>3108</v>
      </c>
      <c r="AI94" s="2">
        <v>44011</v>
      </c>
      <c r="AK94" s="2">
        <v>44013</v>
      </c>
    </row>
    <row r="95" spans="1:37" s="96" customFormat="1">
      <c r="A95" s="1">
        <v>94</v>
      </c>
      <c r="B95" s="104" t="s">
        <v>3865</v>
      </c>
      <c r="C95" s="97">
        <v>44006</v>
      </c>
      <c r="D95" s="99" t="s">
        <v>3866</v>
      </c>
      <c r="E95" s="104" t="s">
        <v>3867</v>
      </c>
      <c r="F95" s="104" t="s">
        <v>3868</v>
      </c>
      <c r="G95" s="105" t="s">
        <v>432</v>
      </c>
      <c r="H95" s="99" t="s">
        <v>49</v>
      </c>
      <c r="I95" s="99"/>
      <c r="J95" s="99"/>
      <c r="K95" s="96" t="s">
        <v>3866</v>
      </c>
      <c r="L95" s="97">
        <v>44012</v>
      </c>
      <c r="M95" s="99" t="s">
        <v>35</v>
      </c>
      <c r="N95" s="98" t="s">
        <v>3869</v>
      </c>
      <c r="O95" s="107">
        <v>0</v>
      </c>
      <c r="P95" s="99" t="s">
        <v>3407</v>
      </c>
      <c r="Q95" s="113" t="s">
        <v>3407</v>
      </c>
      <c r="R95" s="138" t="s">
        <v>3407</v>
      </c>
      <c r="S95" s="99" t="s">
        <v>36</v>
      </c>
      <c r="T95" s="110" t="s">
        <v>3407</v>
      </c>
      <c r="U95" s="99" t="s">
        <v>2338</v>
      </c>
      <c r="V95" s="111" t="s">
        <v>3870</v>
      </c>
      <c r="W95" s="97">
        <v>36313</v>
      </c>
      <c r="X95" s="97">
        <v>44006</v>
      </c>
      <c r="Y95" s="11" t="s">
        <v>3969</v>
      </c>
      <c r="Z95" s="3">
        <v>44022</v>
      </c>
      <c r="AA95" s="118" t="s">
        <v>1339</v>
      </c>
      <c r="AD95" s="96" t="s">
        <v>3198</v>
      </c>
      <c r="AG95" s="99"/>
      <c r="AH95" s="99"/>
      <c r="AI95" s="99"/>
      <c r="AK95" s="99"/>
    </row>
    <row r="96" spans="1:37">
      <c r="A96" s="1">
        <v>95</v>
      </c>
      <c r="B96" s="61" t="s">
        <v>37</v>
      </c>
      <c r="C96" s="2">
        <v>44001</v>
      </c>
      <c r="D96" s="1" t="s">
        <v>3875</v>
      </c>
      <c r="E96" s="61" t="s">
        <v>3876</v>
      </c>
      <c r="F96" s="61" t="s">
        <v>3879</v>
      </c>
      <c r="G96" s="6" t="s">
        <v>1402</v>
      </c>
      <c r="H96" s="1" t="s">
        <v>3681</v>
      </c>
      <c r="L96" s="3">
        <v>44012</v>
      </c>
      <c r="M96" s="1" t="s">
        <v>35</v>
      </c>
      <c r="N96" s="14" t="s">
        <v>3880</v>
      </c>
      <c r="O96" s="92" t="s">
        <v>3407</v>
      </c>
      <c r="P96" s="1" t="s">
        <v>3407</v>
      </c>
      <c r="Q96" s="1" t="s">
        <v>3407</v>
      </c>
      <c r="R96" s="1" t="s">
        <v>3407</v>
      </c>
      <c r="S96" s="1" t="s">
        <v>36</v>
      </c>
      <c r="U96" s="1" t="s">
        <v>3875</v>
      </c>
      <c r="V96" s="87" t="s">
        <v>3882</v>
      </c>
      <c r="W96" s="2">
        <v>30517</v>
      </c>
      <c r="X96" s="2">
        <v>44001</v>
      </c>
      <c r="Y96" s="11" t="s">
        <v>3968</v>
      </c>
      <c r="Z96" s="3">
        <v>44022</v>
      </c>
      <c r="AA96" s="80" t="s">
        <v>1339</v>
      </c>
      <c r="AD96" t="s">
        <v>3198</v>
      </c>
      <c r="AG96" s="1" t="s">
        <v>3887</v>
      </c>
      <c r="AI96" s="2">
        <v>44018</v>
      </c>
      <c r="AK96" s="2">
        <v>44013</v>
      </c>
    </row>
    <row r="97" spans="1:37">
      <c r="A97" s="1">
        <v>96</v>
      </c>
      <c r="B97" s="61" t="s">
        <v>37</v>
      </c>
      <c r="C97" s="2">
        <v>44001</v>
      </c>
      <c r="D97" s="1" t="s">
        <v>3877</v>
      </c>
      <c r="E97" s="61" t="s">
        <v>3878</v>
      </c>
      <c r="F97" s="61" t="s">
        <v>3879</v>
      </c>
      <c r="G97" s="6" t="s">
        <v>1402</v>
      </c>
      <c r="H97" s="1" t="s">
        <v>3681</v>
      </c>
      <c r="J97" s="1"/>
      <c r="L97" s="2">
        <v>44012</v>
      </c>
      <c r="M97" s="1" t="s">
        <v>35</v>
      </c>
      <c r="N97" s="14" t="s">
        <v>3881</v>
      </c>
      <c r="O97" s="92" t="s">
        <v>3407</v>
      </c>
      <c r="P97" s="1" t="s">
        <v>3407</v>
      </c>
      <c r="Q97" s="100" t="s">
        <v>3407</v>
      </c>
      <c r="R97" s="102" t="s">
        <v>3407</v>
      </c>
      <c r="S97" s="1" t="s">
        <v>36</v>
      </c>
      <c r="U97" s="1" t="s">
        <v>3877</v>
      </c>
      <c r="V97" s="87" t="s">
        <v>3883</v>
      </c>
      <c r="W97" s="2">
        <v>42435</v>
      </c>
      <c r="X97" s="2">
        <v>44001</v>
      </c>
      <c r="Y97" s="11" t="s">
        <v>4055</v>
      </c>
      <c r="Z97" s="3">
        <v>44049</v>
      </c>
      <c r="AA97" s="80" t="s">
        <v>1339</v>
      </c>
      <c r="AD97" t="s">
        <v>3198</v>
      </c>
      <c r="AG97" s="1" t="s">
        <v>3970</v>
      </c>
      <c r="AI97" s="2">
        <v>44034</v>
      </c>
      <c r="AK97" s="2">
        <v>44039</v>
      </c>
    </row>
    <row r="98" spans="1:37">
      <c r="A98" s="1">
        <v>97</v>
      </c>
      <c r="B98" s="61" t="s">
        <v>33</v>
      </c>
      <c r="C98" s="2">
        <v>44005</v>
      </c>
      <c r="D98" s="1" t="s">
        <v>2669</v>
      </c>
      <c r="E98" s="61" t="s">
        <v>2670</v>
      </c>
      <c r="F98" s="61" t="s">
        <v>3850</v>
      </c>
      <c r="G98" s="6" t="s">
        <v>304</v>
      </c>
      <c r="H98" s="1" t="s">
        <v>3851</v>
      </c>
      <c r="I98" s="1" t="s">
        <v>3852</v>
      </c>
      <c r="J98" s="1"/>
      <c r="K98" t="s">
        <v>237</v>
      </c>
      <c r="L98" s="2">
        <v>44012</v>
      </c>
      <c r="M98" s="1" t="s">
        <v>35</v>
      </c>
      <c r="N98" s="14" t="s">
        <v>3884</v>
      </c>
      <c r="O98" s="92">
        <v>60</v>
      </c>
      <c r="P98" s="1">
        <v>1</v>
      </c>
      <c r="Q98" s="90">
        <v>0.21</v>
      </c>
      <c r="R98" s="102">
        <v>0</v>
      </c>
      <c r="S98" s="1" t="s">
        <v>36</v>
      </c>
      <c r="T98" s="95">
        <f t="shared" si="3"/>
        <v>72.599999999999994</v>
      </c>
      <c r="U98" s="1" t="s">
        <v>3885</v>
      </c>
      <c r="V98" s="87" t="s">
        <v>3886</v>
      </c>
      <c r="W98" s="2">
        <v>36161</v>
      </c>
      <c r="X98" s="2">
        <v>44005</v>
      </c>
      <c r="Y98" s="195" t="s">
        <v>4091</v>
      </c>
      <c r="Z98" s="3">
        <v>44053</v>
      </c>
      <c r="AA98" s="80" t="s">
        <v>1339</v>
      </c>
      <c r="AB98" t="s">
        <v>3765</v>
      </c>
      <c r="AD98" t="s">
        <v>3198</v>
      </c>
      <c r="AG98" s="1" t="s">
        <v>3108</v>
      </c>
      <c r="AI98" s="2">
        <v>44018</v>
      </c>
      <c r="AK98" s="2">
        <v>44013</v>
      </c>
    </row>
    <row r="99" spans="1:37">
      <c r="A99" s="1">
        <v>98</v>
      </c>
      <c r="B99" s="61" t="s">
        <v>3783</v>
      </c>
      <c r="C99" s="2">
        <v>44005</v>
      </c>
      <c r="D99" t="s">
        <v>3109</v>
      </c>
      <c r="E99" t="s">
        <v>3110</v>
      </c>
      <c r="F99" t="s">
        <v>3111</v>
      </c>
      <c r="G99" s="6" t="s">
        <v>2579</v>
      </c>
      <c r="H99" t="s">
        <v>2580</v>
      </c>
      <c r="I99" t="s">
        <v>3890</v>
      </c>
      <c r="K99" t="s">
        <v>3109</v>
      </c>
      <c r="L99" s="2">
        <v>44012</v>
      </c>
      <c r="M99" s="1" t="s">
        <v>35</v>
      </c>
      <c r="N99" s="14" t="s">
        <v>3891</v>
      </c>
      <c r="O99" s="92">
        <v>60</v>
      </c>
      <c r="P99" s="1">
        <v>1</v>
      </c>
      <c r="Q99" s="90">
        <v>0.21</v>
      </c>
      <c r="R99" s="102">
        <v>0</v>
      </c>
      <c r="S99" s="1" t="s">
        <v>36</v>
      </c>
      <c r="T99" s="95">
        <f t="shared" si="3"/>
        <v>72.599999999999994</v>
      </c>
      <c r="U99" s="1" t="s">
        <v>3892</v>
      </c>
      <c r="V99" s="87" t="s">
        <v>3893</v>
      </c>
      <c r="W99" s="2">
        <v>33258</v>
      </c>
      <c r="X99" s="2">
        <v>44005</v>
      </c>
      <c r="Y99" s="11" t="s">
        <v>4053</v>
      </c>
      <c r="Z99" s="3">
        <v>44043</v>
      </c>
      <c r="AA99" s="80" t="s">
        <v>1339</v>
      </c>
      <c r="AD99" t="s">
        <v>3198</v>
      </c>
      <c r="AG99" s="1" t="s">
        <v>3894</v>
      </c>
      <c r="AI99" s="2">
        <v>44018</v>
      </c>
      <c r="AK99" s="2">
        <v>44014</v>
      </c>
    </row>
    <row r="100" spans="1:37">
      <c r="A100" s="1">
        <v>99</v>
      </c>
      <c r="B100" s="61" t="s">
        <v>3895</v>
      </c>
      <c r="C100" s="2">
        <v>43987</v>
      </c>
      <c r="D100" s="31" t="s">
        <v>2464</v>
      </c>
      <c r="E100" t="s">
        <v>4189</v>
      </c>
      <c r="F100" s="31" t="s">
        <v>188</v>
      </c>
      <c r="G100" s="33" t="s">
        <v>220</v>
      </c>
      <c r="H100" s="31" t="s">
        <v>92</v>
      </c>
      <c r="I100" s="31"/>
      <c r="J100" s="31"/>
      <c r="K100" s="31" t="s">
        <v>2464</v>
      </c>
      <c r="L100" s="2">
        <v>44012</v>
      </c>
      <c r="M100" s="1" t="s">
        <v>35</v>
      </c>
      <c r="N100" s="14" t="s">
        <v>2518</v>
      </c>
      <c r="O100" s="92">
        <v>60</v>
      </c>
      <c r="P100" s="1">
        <v>1</v>
      </c>
      <c r="Q100" s="90">
        <v>0.21</v>
      </c>
      <c r="R100" s="102">
        <v>0</v>
      </c>
      <c r="S100" s="1" t="s">
        <v>36</v>
      </c>
      <c r="T100" s="95">
        <f t="shared" si="3"/>
        <v>72.599999999999994</v>
      </c>
      <c r="U100" s="1" t="s">
        <v>129</v>
      </c>
      <c r="V100" s="87" t="s">
        <v>3907</v>
      </c>
      <c r="W100" s="2">
        <v>28804</v>
      </c>
      <c r="X100" s="2">
        <v>43987</v>
      </c>
      <c r="Y100" s="11" t="s">
        <v>3967</v>
      </c>
      <c r="Z100" s="3">
        <v>44021</v>
      </c>
      <c r="AA100" s="80" t="s">
        <v>1339</v>
      </c>
      <c r="AD100" t="s">
        <v>3198</v>
      </c>
    </row>
    <row r="101" spans="1:37">
      <c r="A101" s="1">
        <v>100</v>
      </c>
      <c r="B101" s="61" t="s">
        <v>3895</v>
      </c>
      <c r="C101" s="2">
        <v>43987</v>
      </c>
      <c r="D101" s="31" t="s">
        <v>2464</v>
      </c>
      <c r="E101" t="s">
        <v>4189</v>
      </c>
      <c r="F101" s="31" t="s">
        <v>188</v>
      </c>
      <c r="G101" s="33" t="s">
        <v>220</v>
      </c>
      <c r="H101" s="31" t="s">
        <v>92</v>
      </c>
      <c r="I101" s="31"/>
      <c r="J101" s="31"/>
      <c r="K101" s="31" t="s">
        <v>2464</v>
      </c>
      <c r="L101" s="2">
        <v>44012</v>
      </c>
      <c r="M101" s="1" t="s">
        <v>35</v>
      </c>
      <c r="N101" t="s">
        <v>2522</v>
      </c>
      <c r="O101" s="92">
        <v>60</v>
      </c>
      <c r="P101" s="1">
        <v>1</v>
      </c>
      <c r="Q101" s="90">
        <v>0.21</v>
      </c>
      <c r="R101" s="102">
        <v>0</v>
      </c>
      <c r="S101" s="1" t="s">
        <v>36</v>
      </c>
      <c r="T101" s="95">
        <f t="shared" si="3"/>
        <v>72.599999999999994</v>
      </c>
      <c r="U101" s="1" t="s">
        <v>192</v>
      </c>
      <c r="V101" s="87" t="s">
        <v>3908</v>
      </c>
      <c r="W101" s="2">
        <v>32957</v>
      </c>
      <c r="X101" s="2">
        <v>43987</v>
      </c>
      <c r="Y101" s="11" t="s">
        <v>3967</v>
      </c>
      <c r="Z101" s="3">
        <v>44021</v>
      </c>
      <c r="AA101" s="80" t="s">
        <v>1339</v>
      </c>
      <c r="AD101" t="s">
        <v>3198</v>
      </c>
    </row>
    <row r="102" spans="1:37">
      <c r="A102" s="1">
        <v>101</v>
      </c>
      <c r="B102" s="61" t="s">
        <v>3895</v>
      </c>
      <c r="C102" s="2">
        <v>43987</v>
      </c>
      <c r="D102" s="31" t="s">
        <v>2464</v>
      </c>
      <c r="E102" t="s">
        <v>4189</v>
      </c>
      <c r="F102" s="31" t="s">
        <v>188</v>
      </c>
      <c r="G102" s="33" t="s">
        <v>220</v>
      </c>
      <c r="H102" s="31" t="s">
        <v>92</v>
      </c>
      <c r="I102" s="31"/>
      <c r="J102" s="31"/>
      <c r="K102" s="31" t="s">
        <v>2464</v>
      </c>
      <c r="L102" s="2">
        <v>44012</v>
      </c>
      <c r="M102" s="1" t="s">
        <v>35</v>
      </c>
      <c r="N102" t="s">
        <v>2532</v>
      </c>
      <c r="O102" s="92">
        <v>60</v>
      </c>
      <c r="P102" s="1">
        <v>1</v>
      </c>
      <c r="Q102" s="90">
        <v>0.21</v>
      </c>
      <c r="R102" s="102">
        <v>0</v>
      </c>
      <c r="S102" s="1" t="s">
        <v>36</v>
      </c>
      <c r="T102" s="95">
        <f t="shared" si="3"/>
        <v>72.599999999999994</v>
      </c>
      <c r="U102" s="1" t="s">
        <v>97</v>
      </c>
      <c r="V102" s="87" t="s">
        <v>3909</v>
      </c>
      <c r="W102" s="2">
        <v>29820</v>
      </c>
      <c r="X102" s="2">
        <v>43987</v>
      </c>
      <c r="Y102" s="11" t="s">
        <v>3963</v>
      </c>
      <c r="Z102" s="3">
        <v>44021</v>
      </c>
      <c r="AA102" s="80" t="s">
        <v>1339</v>
      </c>
      <c r="AD102" t="s">
        <v>3198</v>
      </c>
    </row>
    <row r="103" spans="1:37">
      <c r="A103" s="1">
        <v>102</v>
      </c>
      <c r="B103" s="61" t="s">
        <v>3895</v>
      </c>
      <c r="C103" s="2">
        <v>43987</v>
      </c>
      <c r="D103" s="31" t="s">
        <v>2464</v>
      </c>
      <c r="E103" t="s">
        <v>4189</v>
      </c>
      <c r="F103" s="31" t="s">
        <v>188</v>
      </c>
      <c r="G103" s="33" t="s">
        <v>220</v>
      </c>
      <c r="H103" s="31" t="s">
        <v>92</v>
      </c>
      <c r="I103" s="31"/>
      <c r="J103" s="31"/>
      <c r="K103" s="31" t="s">
        <v>2464</v>
      </c>
      <c r="L103" s="2">
        <v>44012</v>
      </c>
      <c r="M103" s="1" t="s">
        <v>35</v>
      </c>
      <c r="N103" t="s">
        <v>2496</v>
      </c>
      <c r="O103" s="92">
        <v>60</v>
      </c>
      <c r="P103" s="1">
        <v>1</v>
      </c>
      <c r="Q103" s="90">
        <v>0.21</v>
      </c>
      <c r="R103" s="102">
        <v>0</v>
      </c>
      <c r="S103" s="1" t="s">
        <v>36</v>
      </c>
      <c r="T103" s="95">
        <f t="shared" si="3"/>
        <v>72.599999999999994</v>
      </c>
      <c r="U103" s="1" t="s">
        <v>194</v>
      </c>
      <c r="V103" s="87" t="s">
        <v>3910</v>
      </c>
      <c r="W103" s="2">
        <v>34714</v>
      </c>
      <c r="X103" s="2">
        <v>43987</v>
      </c>
      <c r="Y103" s="11" t="s">
        <v>3963</v>
      </c>
      <c r="Z103" s="3">
        <v>44021</v>
      </c>
      <c r="AA103" s="80" t="s">
        <v>1339</v>
      </c>
      <c r="AD103" t="s">
        <v>3198</v>
      </c>
    </row>
    <row r="104" spans="1:37">
      <c r="A104" s="1">
        <v>103</v>
      </c>
      <c r="B104" s="61" t="s">
        <v>3895</v>
      </c>
      <c r="C104" s="2">
        <v>43987</v>
      </c>
      <c r="D104" s="31" t="s">
        <v>2464</v>
      </c>
      <c r="E104" t="s">
        <v>4189</v>
      </c>
      <c r="F104" s="31" t="s">
        <v>188</v>
      </c>
      <c r="G104" s="33" t="s">
        <v>220</v>
      </c>
      <c r="H104" s="31" t="s">
        <v>92</v>
      </c>
      <c r="I104" s="31"/>
      <c r="J104" s="31"/>
      <c r="K104" s="31" t="s">
        <v>2464</v>
      </c>
      <c r="L104" s="2">
        <v>44012</v>
      </c>
      <c r="M104" s="1" t="s">
        <v>35</v>
      </c>
      <c r="N104" t="s">
        <v>3896</v>
      </c>
      <c r="O104" s="92">
        <v>60</v>
      </c>
      <c r="P104" s="1">
        <v>1</v>
      </c>
      <c r="Q104" s="90">
        <v>0.21</v>
      </c>
      <c r="R104" s="102">
        <v>0</v>
      </c>
      <c r="S104" s="1" t="s">
        <v>36</v>
      </c>
      <c r="T104" s="95">
        <f t="shared" si="3"/>
        <v>72.599999999999994</v>
      </c>
      <c r="U104" s="1" t="s">
        <v>3911</v>
      </c>
      <c r="V104" s="87" t="s">
        <v>3912</v>
      </c>
      <c r="W104" s="2">
        <v>35855</v>
      </c>
      <c r="X104" s="2">
        <v>43987</v>
      </c>
      <c r="Y104" s="11" t="s">
        <v>3966</v>
      </c>
      <c r="Z104" s="3">
        <v>44021</v>
      </c>
      <c r="AA104" s="80" t="s">
        <v>1339</v>
      </c>
      <c r="AD104" t="s">
        <v>3198</v>
      </c>
    </row>
    <row r="105" spans="1:37">
      <c r="A105" s="1">
        <v>104</v>
      </c>
      <c r="B105" s="61" t="s">
        <v>3895</v>
      </c>
      <c r="C105" s="2">
        <v>43987</v>
      </c>
      <c r="D105" s="31" t="s">
        <v>2464</v>
      </c>
      <c r="E105" t="s">
        <v>4189</v>
      </c>
      <c r="F105" s="31" t="s">
        <v>188</v>
      </c>
      <c r="G105" s="33" t="s">
        <v>220</v>
      </c>
      <c r="H105" s="31" t="s">
        <v>92</v>
      </c>
      <c r="I105" s="31"/>
      <c r="J105" s="31"/>
      <c r="K105" s="31" t="s">
        <v>2464</v>
      </c>
      <c r="L105" s="2">
        <v>44012</v>
      </c>
      <c r="M105" s="1" t="s">
        <v>35</v>
      </c>
      <c r="N105" t="s">
        <v>2502</v>
      </c>
      <c r="O105" s="92">
        <v>60</v>
      </c>
      <c r="P105" s="1">
        <v>1</v>
      </c>
      <c r="Q105" s="90">
        <v>0.21</v>
      </c>
      <c r="R105" s="102">
        <v>0</v>
      </c>
      <c r="S105" s="1" t="s">
        <v>36</v>
      </c>
      <c r="T105" s="95">
        <f t="shared" si="3"/>
        <v>72.599999999999994</v>
      </c>
      <c r="U105" s="1" t="s">
        <v>279</v>
      </c>
      <c r="V105" s="87" t="s">
        <v>3913</v>
      </c>
      <c r="W105" s="2">
        <v>30805</v>
      </c>
      <c r="X105" s="2">
        <v>43987</v>
      </c>
      <c r="Y105" s="11" t="s">
        <v>3963</v>
      </c>
      <c r="Z105" s="3">
        <v>44021</v>
      </c>
      <c r="AA105" s="80" t="s">
        <v>1339</v>
      </c>
      <c r="AD105" t="s">
        <v>3198</v>
      </c>
    </row>
    <row r="106" spans="1:37">
      <c r="A106" s="1">
        <v>105</v>
      </c>
      <c r="B106" s="61" t="s">
        <v>3895</v>
      </c>
      <c r="C106" s="2">
        <v>43987</v>
      </c>
      <c r="D106" s="31" t="s">
        <v>2464</v>
      </c>
      <c r="E106" t="s">
        <v>4189</v>
      </c>
      <c r="F106" s="31" t="s">
        <v>188</v>
      </c>
      <c r="G106" s="33" t="s">
        <v>220</v>
      </c>
      <c r="H106" s="31" t="s">
        <v>92</v>
      </c>
      <c r="I106" s="31"/>
      <c r="J106" s="31"/>
      <c r="K106" s="31" t="s">
        <v>2464</v>
      </c>
      <c r="L106" s="2">
        <v>44012</v>
      </c>
      <c r="M106" s="1" t="s">
        <v>35</v>
      </c>
      <c r="N106" t="s">
        <v>3897</v>
      </c>
      <c r="O106" s="92">
        <v>60</v>
      </c>
      <c r="P106" s="1">
        <v>1</v>
      </c>
      <c r="Q106" s="90">
        <v>0.21</v>
      </c>
      <c r="R106" s="102">
        <v>0</v>
      </c>
      <c r="S106" s="1" t="s">
        <v>36</v>
      </c>
      <c r="T106" s="95">
        <f t="shared" si="3"/>
        <v>72.599999999999994</v>
      </c>
      <c r="U106" s="1" t="s">
        <v>3914</v>
      </c>
      <c r="V106" s="87" t="s">
        <v>3915</v>
      </c>
      <c r="W106" s="2">
        <v>32550</v>
      </c>
      <c r="X106" s="2">
        <v>43987</v>
      </c>
      <c r="Y106" s="11" t="s">
        <v>3963</v>
      </c>
      <c r="Z106" s="3">
        <v>44014</v>
      </c>
      <c r="AA106" s="80" t="s">
        <v>1339</v>
      </c>
      <c r="AD106" t="s">
        <v>3198</v>
      </c>
    </row>
    <row r="107" spans="1:37">
      <c r="A107" s="1">
        <v>106</v>
      </c>
      <c r="B107" s="61" t="s">
        <v>3895</v>
      </c>
      <c r="C107" s="2">
        <v>43987</v>
      </c>
      <c r="D107" s="31" t="s">
        <v>2464</v>
      </c>
      <c r="E107" t="s">
        <v>4189</v>
      </c>
      <c r="F107" s="31" t="s">
        <v>188</v>
      </c>
      <c r="G107" s="33" t="s">
        <v>220</v>
      </c>
      <c r="H107" s="31" t="s">
        <v>92</v>
      </c>
      <c r="I107" s="31"/>
      <c r="J107" s="31"/>
      <c r="K107" s="31" t="s">
        <v>2464</v>
      </c>
      <c r="L107" s="2">
        <v>44012</v>
      </c>
      <c r="M107" s="1" t="s">
        <v>35</v>
      </c>
      <c r="N107" t="s">
        <v>2534</v>
      </c>
      <c r="O107" s="92">
        <v>60</v>
      </c>
      <c r="P107" s="1">
        <v>1</v>
      </c>
      <c r="Q107" s="90">
        <v>0.21</v>
      </c>
      <c r="R107" s="102">
        <v>0</v>
      </c>
      <c r="S107" s="1" t="s">
        <v>36</v>
      </c>
      <c r="T107" s="95">
        <f t="shared" si="3"/>
        <v>72.599999999999994</v>
      </c>
      <c r="U107" s="1" t="s">
        <v>189</v>
      </c>
      <c r="V107" s="87" t="s">
        <v>3916</v>
      </c>
      <c r="W107" s="2">
        <v>29652</v>
      </c>
      <c r="X107" s="2">
        <v>43987</v>
      </c>
      <c r="Y107" s="11" t="s">
        <v>3968</v>
      </c>
      <c r="Z107" s="3">
        <v>44021</v>
      </c>
      <c r="AA107" s="80" t="s">
        <v>1339</v>
      </c>
      <c r="AD107" t="s">
        <v>3198</v>
      </c>
    </row>
    <row r="108" spans="1:37">
      <c r="A108" s="1">
        <v>107</v>
      </c>
      <c r="B108" s="61" t="s">
        <v>3895</v>
      </c>
      <c r="C108" s="2">
        <v>43987</v>
      </c>
      <c r="D108" s="31" t="s">
        <v>2464</v>
      </c>
      <c r="E108" t="s">
        <v>4189</v>
      </c>
      <c r="F108" s="31" t="s">
        <v>188</v>
      </c>
      <c r="G108" s="33" t="s">
        <v>220</v>
      </c>
      <c r="H108" s="31" t="s">
        <v>92</v>
      </c>
      <c r="I108" s="31"/>
      <c r="J108" s="31"/>
      <c r="K108" s="31" t="s">
        <v>2464</v>
      </c>
      <c r="L108" s="2">
        <v>44012</v>
      </c>
      <c r="M108" s="1" t="s">
        <v>35</v>
      </c>
      <c r="N108" t="s">
        <v>2561</v>
      </c>
      <c r="O108" s="92">
        <v>60</v>
      </c>
      <c r="P108" s="1">
        <v>1</v>
      </c>
      <c r="Q108" s="90">
        <v>0.21</v>
      </c>
      <c r="R108" s="102">
        <v>0</v>
      </c>
      <c r="S108" s="1" t="s">
        <v>36</v>
      </c>
      <c r="T108" s="95">
        <f t="shared" si="3"/>
        <v>72.599999999999994</v>
      </c>
      <c r="U108" s="1" t="s">
        <v>2562</v>
      </c>
      <c r="V108" s="87" t="s">
        <v>3917</v>
      </c>
      <c r="W108" s="2">
        <v>33239</v>
      </c>
      <c r="X108" s="2">
        <v>43987</v>
      </c>
      <c r="Y108" s="11" t="s">
        <v>3966</v>
      </c>
      <c r="Z108" s="3">
        <v>44021</v>
      </c>
      <c r="AA108" s="80" t="s">
        <v>1339</v>
      </c>
      <c r="AD108" t="s">
        <v>3198</v>
      </c>
    </row>
    <row r="109" spans="1:37">
      <c r="A109" s="1">
        <v>108</v>
      </c>
      <c r="B109" s="61" t="s">
        <v>3895</v>
      </c>
      <c r="C109" s="2">
        <v>43987</v>
      </c>
      <c r="D109" s="31" t="s">
        <v>2464</v>
      </c>
      <c r="E109" t="s">
        <v>4189</v>
      </c>
      <c r="F109" s="31" t="s">
        <v>188</v>
      </c>
      <c r="G109" s="33" t="s">
        <v>220</v>
      </c>
      <c r="H109" s="31" t="s">
        <v>92</v>
      </c>
      <c r="I109" s="31"/>
      <c r="J109" s="31"/>
      <c r="K109" s="31" t="s">
        <v>2464</v>
      </c>
      <c r="L109" s="2">
        <v>44012</v>
      </c>
      <c r="M109" s="1" t="s">
        <v>35</v>
      </c>
      <c r="N109" t="s">
        <v>2516</v>
      </c>
      <c r="O109" s="92">
        <v>60</v>
      </c>
      <c r="P109" s="1">
        <v>1</v>
      </c>
      <c r="Q109" s="90">
        <v>0.21</v>
      </c>
      <c r="R109" s="102">
        <v>0</v>
      </c>
      <c r="S109" s="1" t="s">
        <v>36</v>
      </c>
      <c r="T109" s="95">
        <f t="shared" si="3"/>
        <v>72.599999999999994</v>
      </c>
      <c r="U109" s="1" t="s">
        <v>275</v>
      </c>
      <c r="V109" s="87" t="s">
        <v>3918</v>
      </c>
      <c r="W109" s="2">
        <v>34788</v>
      </c>
      <c r="X109" s="2">
        <v>43987</v>
      </c>
      <c r="Y109" s="11" t="s">
        <v>3963</v>
      </c>
      <c r="Z109" s="3">
        <v>44021</v>
      </c>
      <c r="AA109" s="80" t="s">
        <v>1339</v>
      </c>
      <c r="AD109" t="s">
        <v>3198</v>
      </c>
    </row>
    <row r="110" spans="1:37">
      <c r="A110" s="1">
        <v>109</v>
      </c>
      <c r="B110" s="61" t="s">
        <v>3895</v>
      </c>
      <c r="C110" s="2">
        <v>43987</v>
      </c>
      <c r="D110" s="31" t="s">
        <v>2464</v>
      </c>
      <c r="E110" t="s">
        <v>4189</v>
      </c>
      <c r="F110" s="31" t="s">
        <v>188</v>
      </c>
      <c r="G110" s="33" t="s">
        <v>220</v>
      </c>
      <c r="H110" s="31" t="s">
        <v>92</v>
      </c>
      <c r="I110" s="31"/>
      <c r="J110" s="31"/>
      <c r="K110" s="31" t="s">
        <v>2464</v>
      </c>
      <c r="L110" s="2">
        <v>44012</v>
      </c>
      <c r="M110" s="1" t="s">
        <v>35</v>
      </c>
      <c r="N110" t="s">
        <v>2564</v>
      </c>
      <c r="O110" s="92">
        <v>60</v>
      </c>
      <c r="P110" s="1">
        <v>1</v>
      </c>
      <c r="Q110" s="90">
        <v>0.21</v>
      </c>
      <c r="R110" s="102">
        <v>0</v>
      </c>
      <c r="S110" s="1" t="s">
        <v>36</v>
      </c>
      <c r="T110" s="95">
        <f t="shared" si="3"/>
        <v>72.599999999999994</v>
      </c>
      <c r="U110" s="1" t="s">
        <v>2565</v>
      </c>
      <c r="V110" s="87" t="s">
        <v>3919</v>
      </c>
      <c r="W110" s="2">
        <v>26897</v>
      </c>
      <c r="X110" s="2">
        <v>43987</v>
      </c>
      <c r="Y110" s="11" t="s">
        <v>3966</v>
      </c>
      <c r="Z110" s="3">
        <v>44021</v>
      </c>
      <c r="AA110" s="80" t="s">
        <v>1339</v>
      </c>
      <c r="AD110" t="s">
        <v>3198</v>
      </c>
    </row>
    <row r="111" spans="1:37">
      <c r="A111" s="1">
        <v>110</v>
      </c>
      <c r="B111" s="61" t="s">
        <v>3895</v>
      </c>
      <c r="C111" s="2">
        <v>43987</v>
      </c>
      <c r="D111" s="31" t="s">
        <v>2464</v>
      </c>
      <c r="E111" t="s">
        <v>4189</v>
      </c>
      <c r="F111" s="31" t="s">
        <v>188</v>
      </c>
      <c r="G111" s="33" t="s">
        <v>220</v>
      </c>
      <c r="H111" s="31" t="s">
        <v>92</v>
      </c>
      <c r="I111" s="31"/>
      <c r="J111" s="31"/>
      <c r="K111" s="31" t="s">
        <v>2464</v>
      </c>
      <c r="L111" s="2">
        <v>44012</v>
      </c>
      <c r="M111" s="1" t="s">
        <v>35</v>
      </c>
      <c r="N111" t="s">
        <v>2512</v>
      </c>
      <c r="O111" s="92">
        <v>60</v>
      </c>
      <c r="P111" s="1">
        <v>1</v>
      </c>
      <c r="Q111" s="90">
        <v>0.21</v>
      </c>
      <c r="R111" s="102">
        <v>0</v>
      </c>
      <c r="S111" s="1" t="s">
        <v>36</v>
      </c>
      <c r="T111" s="95">
        <f t="shared" si="3"/>
        <v>72.599999999999994</v>
      </c>
      <c r="U111" s="1" t="s">
        <v>191</v>
      </c>
      <c r="V111" s="87" t="s">
        <v>3920</v>
      </c>
      <c r="W111" s="2">
        <v>32608</v>
      </c>
      <c r="X111" s="2">
        <v>43987</v>
      </c>
      <c r="Y111" s="11" t="s">
        <v>3963</v>
      </c>
      <c r="Z111" s="3">
        <v>44021</v>
      </c>
      <c r="AA111" s="80" t="s">
        <v>1339</v>
      </c>
      <c r="AD111" t="s">
        <v>3198</v>
      </c>
    </row>
    <row r="112" spans="1:37">
      <c r="A112" s="1">
        <v>111</v>
      </c>
      <c r="B112" s="61" t="s">
        <v>3895</v>
      </c>
      <c r="C112" s="2">
        <v>43987</v>
      </c>
      <c r="D112" s="31" t="s">
        <v>2464</v>
      </c>
      <c r="E112" t="s">
        <v>4189</v>
      </c>
      <c r="F112" s="31" t="s">
        <v>188</v>
      </c>
      <c r="G112" s="33" t="s">
        <v>220</v>
      </c>
      <c r="H112" s="31" t="s">
        <v>92</v>
      </c>
      <c r="I112" s="31"/>
      <c r="J112" s="31"/>
      <c r="K112" s="31" t="s">
        <v>2464</v>
      </c>
      <c r="L112" s="2">
        <v>44012</v>
      </c>
      <c r="M112" s="1" t="s">
        <v>35</v>
      </c>
      <c r="N112" t="s">
        <v>2508</v>
      </c>
      <c r="O112" s="92">
        <v>60</v>
      </c>
      <c r="P112" s="1">
        <v>1</v>
      </c>
      <c r="Q112" s="90">
        <v>0.21</v>
      </c>
      <c r="R112" s="102">
        <v>0</v>
      </c>
      <c r="S112" s="1" t="s">
        <v>36</v>
      </c>
      <c r="T112" s="95">
        <f t="shared" si="3"/>
        <v>72.599999999999994</v>
      </c>
      <c r="U112" s="1" t="s">
        <v>96</v>
      </c>
      <c r="V112" s="87" t="s">
        <v>3921</v>
      </c>
      <c r="W112" s="2">
        <v>31280</v>
      </c>
      <c r="X112" s="2">
        <v>43987</v>
      </c>
      <c r="Y112" s="11" t="s">
        <v>3963</v>
      </c>
      <c r="Z112" s="3">
        <v>44021</v>
      </c>
      <c r="AA112" s="80" t="s">
        <v>1339</v>
      </c>
      <c r="AD112" t="s">
        <v>3198</v>
      </c>
    </row>
    <row r="113" spans="1:30">
      <c r="A113" s="1">
        <v>112</v>
      </c>
      <c r="B113" s="61" t="s">
        <v>3895</v>
      </c>
      <c r="C113" s="2">
        <v>43987</v>
      </c>
      <c r="D113" s="31" t="s">
        <v>2464</v>
      </c>
      <c r="E113" t="s">
        <v>4189</v>
      </c>
      <c r="F113" s="31" t="s">
        <v>188</v>
      </c>
      <c r="G113" s="33" t="s">
        <v>220</v>
      </c>
      <c r="H113" s="31" t="s">
        <v>92</v>
      </c>
      <c r="I113" s="31"/>
      <c r="J113" s="31"/>
      <c r="K113" s="31" t="s">
        <v>2464</v>
      </c>
      <c r="L113" s="2">
        <v>44012</v>
      </c>
      <c r="M113" s="1" t="s">
        <v>35</v>
      </c>
      <c r="N113" t="s">
        <v>3898</v>
      </c>
      <c r="O113" s="92">
        <v>60</v>
      </c>
      <c r="P113" s="1">
        <v>1</v>
      </c>
      <c r="Q113" s="90">
        <v>0.21</v>
      </c>
      <c r="R113" s="102">
        <v>0</v>
      </c>
      <c r="S113" s="1" t="s">
        <v>36</v>
      </c>
      <c r="T113" s="95">
        <f t="shared" si="3"/>
        <v>72.599999999999994</v>
      </c>
      <c r="U113" s="1" t="s">
        <v>3922</v>
      </c>
      <c r="V113" s="87" t="s">
        <v>3923</v>
      </c>
      <c r="W113" s="2">
        <v>33132</v>
      </c>
      <c r="X113" s="2">
        <v>43987</v>
      </c>
      <c r="Y113" s="11" t="s">
        <v>3968</v>
      </c>
      <c r="Z113" s="3">
        <v>44021</v>
      </c>
      <c r="AA113" s="80" t="s">
        <v>1339</v>
      </c>
      <c r="AD113" t="s">
        <v>3198</v>
      </c>
    </row>
    <row r="114" spans="1:30">
      <c r="A114" s="1">
        <v>113</v>
      </c>
      <c r="B114" s="61" t="s">
        <v>3895</v>
      </c>
      <c r="C114" s="2">
        <v>43987</v>
      </c>
      <c r="D114" s="31" t="s">
        <v>2464</v>
      </c>
      <c r="E114" t="s">
        <v>4189</v>
      </c>
      <c r="F114" s="31" t="s">
        <v>188</v>
      </c>
      <c r="G114" s="33" t="s">
        <v>220</v>
      </c>
      <c r="H114" s="31" t="s">
        <v>92</v>
      </c>
      <c r="I114" s="31"/>
      <c r="J114" s="31"/>
      <c r="K114" s="31" t="s">
        <v>2464</v>
      </c>
      <c r="L114" s="2">
        <v>44012</v>
      </c>
      <c r="M114" s="1" t="s">
        <v>35</v>
      </c>
      <c r="N114" t="s">
        <v>2514</v>
      </c>
      <c r="O114" s="92">
        <v>60</v>
      </c>
      <c r="P114" s="1">
        <v>1</v>
      </c>
      <c r="Q114" s="90">
        <v>0.21</v>
      </c>
      <c r="R114" s="102">
        <v>0</v>
      </c>
      <c r="S114" s="1" t="s">
        <v>36</v>
      </c>
      <c r="T114" s="95">
        <f t="shared" si="3"/>
        <v>72.599999999999994</v>
      </c>
      <c r="U114" s="1" t="s">
        <v>277</v>
      </c>
      <c r="V114" s="87" t="s">
        <v>3924</v>
      </c>
      <c r="W114" s="2">
        <v>31899</v>
      </c>
      <c r="X114" s="2">
        <v>43987</v>
      </c>
      <c r="Y114" s="11" t="s">
        <v>3963</v>
      </c>
      <c r="Z114" s="3">
        <v>44021</v>
      </c>
      <c r="AA114" s="80" t="s">
        <v>1339</v>
      </c>
      <c r="AD114" t="s">
        <v>3198</v>
      </c>
    </row>
    <row r="115" spans="1:30">
      <c r="A115" s="1">
        <v>114</v>
      </c>
      <c r="B115" s="61" t="s">
        <v>3895</v>
      </c>
      <c r="C115" s="2">
        <v>43987</v>
      </c>
      <c r="D115" s="31" t="s">
        <v>2464</v>
      </c>
      <c r="E115" t="s">
        <v>4189</v>
      </c>
      <c r="F115" s="31" t="s">
        <v>188</v>
      </c>
      <c r="G115" s="33" t="s">
        <v>220</v>
      </c>
      <c r="H115" s="31" t="s">
        <v>92</v>
      </c>
      <c r="I115" s="31"/>
      <c r="J115" s="31"/>
      <c r="K115" s="31" t="s">
        <v>2464</v>
      </c>
      <c r="L115" s="2">
        <v>44012</v>
      </c>
      <c r="M115" s="1" t="s">
        <v>35</v>
      </c>
      <c r="N115" t="s">
        <v>3899</v>
      </c>
      <c r="O115" s="92">
        <v>60</v>
      </c>
      <c r="P115" s="1">
        <v>1</v>
      </c>
      <c r="Q115" s="90">
        <v>0.21</v>
      </c>
      <c r="R115" s="102">
        <v>0</v>
      </c>
      <c r="S115" s="1" t="s">
        <v>36</v>
      </c>
      <c r="T115" s="95">
        <f t="shared" si="3"/>
        <v>72.599999999999994</v>
      </c>
      <c r="U115" s="1" t="s">
        <v>3925</v>
      </c>
      <c r="V115" s="87" t="s">
        <v>3926</v>
      </c>
      <c r="W115" s="2">
        <v>34701</v>
      </c>
      <c r="X115" s="2">
        <v>43987</v>
      </c>
      <c r="Y115" s="11" t="s">
        <v>3966</v>
      </c>
      <c r="Z115" s="3">
        <v>44021</v>
      </c>
      <c r="AA115" s="80" t="s">
        <v>1339</v>
      </c>
      <c r="AD115" t="s">
        <v>3198</v>
      </c>
    </row>
    <row r="116" spans="1:30">
      <c r="A116" s="1">
        <v>115</v>
      </c>
      <c r="B116" s="61" t="s">
        <v>3895</v>
      </c>
      <c r="C116" s="2">
        <v>43987</v>
      </c>
      <c r="D116" s="31" t="s">
        <v>2464</v>
      </c>
      <c r="E116" t="s">
        <v>4189</v>
      </c>
      <c r="F116" s="31" t="s">
        <v>188</v>
      </c>
      <c r="G116" s="33" t="s">
        <v>220</v>
      </c>
      <c r="H116" s="31" t="s">
        <v>92</v>
      </c>
      <c r="I116" s="31"/>
      <c r="J116" s="31"/>
      <c r="K116" s="31" t="s">
        <v>2464</v>
      </c>
      <c r="L116" s="2">
        <v>44012</v>
      </c>
      <c r="M116" s="1" t="s">
        <v>35</v>
      </c>
      <c r="N116" t="s">
        <v>2510</v>
      </c>
      <c r="O116" s="92">
        <v>60</v>
      </c>
      <c r="P116" s="1">
        <v>1</v>
      </c>
      <c r="Q116" s="90">
        <v>0.21</v>
      </c>
      <c r="R116" s="102">
        <v>0</v>
      </c>
      <c r="S116" s="1" t="s">
        <v>36</v>
      </c>
      <c r="T116" s="95">
        <f t="shared" si="3"/>
        <v>72.599999999999994</v>
      </c>
      <c r="U116" s="1" t="s">
        <v>3927</v>
      </c>
      <c r="V116" s="87" t="s">
        <v>3928</v>
      </c>
      <c r="W116" s="2">
        <v>29961</v>
      </c>
      <c r="X116" s="2">
        <v>43987</v>
      </c>
      <c r="Y116" s="11" t="s">
        <v>3967</v>
      </c>
      <c r="Z116" s="3">
        <v>44021</v>
      </c>
      <c r="AA116" s="80" t="s">
        <v>1339</v>
      </c>
      <c r="AD116" t="s">
        <v>3198</v>
      </c>
    </row>
    <row r="117" spans="1:30">
      <c r="A117" s="1">
        <v>116</v>
      </c>
      <c r="B117" s="61" t="s">
        <v>3895</v>
      </c>
      <c r="C117" s="2">
        <v>43987</v>
      </c>
      <c r="D117" s="31" t="s">
        <v>2464</v>
      </c>
      <c r="E117" t="s">
        <v>4189</v>
      </c>
      <c r="F117" s="31" t="s">
        <v>188</v>
      </c>
      <c r="G117" s="33" t="s">
        <v>220</v>
      </c>
      <c r="H117" s="31" t="s">
        <v>92</v>
      </c>
      <c r="I117" s="31"/>
      <c r="J117" s="31"/>
      <c r="K117" s="31" t="s">
        <v>2464</v>
      </c>
      <c r="L117" s="2">
        <v>44012</v>
      </c>
      <c r="M117" s="1" t="s">
        <v>35</v>
      </c>
      <c r="N117" t="s">
        <v>2506</v>
      </c>
      <c r="O117" s="92">
        <v>60</v>
      </c>
      <c r="P117" s="1">
        <v>1</v>
      </c>
      <c r="Q117" s="90">
        <v>0.21</v>
      </c>
      <c r="R117" s="102">
        <v>0</v>
      </c>
      <c r="S117" s="1" t="s">
        <v>36</v>
      </c>
      <c r="T117" s="95">
        <f t="shared" si="3"/>
        <v>72.599999999999994</v>
      </c>
      <c r="U117" s="2" t="s">
        <v>530</v>
      </c>
      <c r="V117" s="6" t="s">
        <v>3960</v>
      </c>
      <c r="W117" s="2">
        <v>32483</v>
      </c>
      <c r="X117" s="2">
        <v>43987</v>
      </c>
      <c r="Y117" s="11" t="s">
        <v>3967</v>
      </c>
      <c r="Z117" s="3">
        <v>44021</v>
      </c>
      <c r="AA117" s="80" t="s">
        <v>1339</v>
      </c>
      <c r="AD117" t="s">
        <v>3198</v>
      </c>
    </row>
    <row r="118" spans="1:30">
      <c r="A118" s="1">
        <v>117</v>
      </c>
      <c r="B118" s="61" t="s">
        <v>3895</v>
      </c>
      <c r="C118" s="2">
        <v>43987</v>
      </c>
      <c r="D118" s="31" t="s">
        <v>2464</v>
      </c>
      <c r="E118" t="s">
        <v>4189</v>
      </c>
      <c r="F118" s="31" t="s">
        <v>188</v>
      </c>
      <c r="G118" s="33" t="s">
        <v>220</v>
      </c>
      <c r="H118" s="31" t="s">
        <v>92</v>
      </c>
      <c r="I118" s="31"/>
      <c r="J118" s="31"/>
      <c r="K118" s="31" t="s">
        <v>2464</v>
      </c>
      <c r="L118" s="2">
        <v>44012</v>
      </c>
      <c r="M118" s="1" t="s">
        <v>35</v>
      </c>
      <c r="N118" t="s">
        <v>2536</v>
      </c>
      <c r="O118" s="92">
        <v>60</v>
      </c>
      <c r="P118" s="1">
        <v>1</v>
      </c>
      <c r="Q118" s="90">
        <v>0.21</v>
      </c>
      <c r="R118" s="102">
        <v>0</v>
      </c>
      <c r="S118" s="1" t="s">
        <v>36</v>
      </c>
      <c r="T118" s="95">
        <f t="shared" si="3"/>
        <v>72.599999999999994</v>
      </c>
      <c r="U118" s="2" t="s">
        <v>94</v>
      </c>
      <c r="V118" s="6" t="s">
        <v>3936</v>
      </c>
      <c r="W118" s="2">
        <v>26463</v>
      </c>
      <c r="X118" s="2">
        <v>43987</v>
      </c>
      <c r="Y118" s="11" t="s">
        <v>3963</v>
      </c>
      <c r="Z118" s="3">
        <v>44021</v>
      </c>
      <c r="AA118" s="80" t="s">
        <v>1339</v>
      </c>
      <c r="AD118" t="s">
        <v>3198</v>
      </c>
    </row>
    <row r="119" spans="1:30">
      <c r="A119" s="1">
        <v>118</v>
      </c>
      <c r="B119" s="61" t="s">
        <v>3895</v>
      </c>
      <c r="C119" s="2">
        <v>43987</v>
      </c>
      <c r="D119" s="31" t="s">
        <v>2464</v>
      </c>
      <c r="E119" t="s">
        <v>4189</v>
      </c>
      <c r="F119" s="31" t="s">
        <v>188</v>
      </c>
      <c r="G119" s="33" t="s">
        <v>220</v>
      </c>
      <c r="H119" s="31" t="s">
        <v>92</v>
      </c>
      <c r="I119" s="31"/>
      <c r="J119" s="31"/>
      <c r="K119" s="31" t="s">
        <v>2464</v>
      </c>
      <c r="L119" s="2">
        <v>44012</v>
      </c>
      <c r="M119" s="1" t="s">
        <v>35</v>
      </c>
      <c r="N119" t="s">
        <v>3900</v>
      </c>
      <c r="O119" s="92">
        <v>60</v>
      </c>
      <c r="P119" s="1">
        <v>1</v>
      </c>
      <c r="Q119" s="90">
        <v>0.21</v>
      </c>
      <c r="R119" s="102">
        <v>0</v>
      </c>
      <c r="S119" s="1" t="s">
        <v>36</v>
      </c>
      <c r="T119" s="95">
        <f t="shared" si="3"/>
        <v>72.599999999999994</v>
      </c>
      <c r="U119" s="2" t="s">
        <v>3929</v>
      </c>
      <c r="V119" s="6" t="s">
        <v>3937</v>
      </c>
      <c r="W119" s="2">
        <v>35201</v>
      </c>
      <c r="X119" s="2">
        <v>43987</v>
      </c>
      <c r="Y119" s="11" t="s">
        <v>3966</v>
      </c>
      <c r="Z119" s="3">
        <v>44021</v>
      </c>
      <c r="AA119" s="80" t="s">
        <v>1339</v>
      </c>
      <c r="AD119" t="s">
        <v>3198</v>
      </c>
    </row>
    <row r="120" spans="1:30">
      <c r="A120" s="1">
        <v>119</v>
      </c>
      <c r="B120" s="61" t="s">
        <v>3895</v>
      </c>
      <c r="C120" s="2">
        <v>43987</v>
      </c>
      <c r="D120" s="31" t="s">
        <v>2464</v>
      </c>
      <c r="E120" t="s">
        <v>4189</v>
      </c>
      <c r="F120" s="31" t="s">
        <v>188</v>
      </c>
      <c r="G120" s="33" t="s">
        <v>220</v>
      </c>
      <c r="H120" s="31" t="s">
        <v>92</v>
      </c>
      <c r="I120" s="31"/>
      <c r="J120" s="31"/>
      <c r="K120" s="31" t="s">
        <v>2464</v>
      </c>
      <c r="L120" s="2">
        <v>44012</v>
      </c>
      <c r="M120" s="1" t="s">
        <v>35</v>
      </c>
      <c r="N120" t="s">
        <v>2547</v>
      </c>
      <c r="O120" s="92">
        <v>60</v>
      </c>
      <c r="P120" s="1">
        <v>1</v>
      </c>
      <c r="Q120" s="90">
        <v>0.21</v>
      </c>
      <c r="R120" s="102">
        <v>0</v>
      </c>
      <c r="S120" s="1" t="s">
        <v>36</v>
      </c>
      <c r="T120" s="95">
        <f t="shared" si="3"/>
        <v>72.599999999999994</v>
      </c>
      <c r="U120" s="2" t="s">
        <v>95</v>
      </c>
      <c r="V120" s="6" t="s">
        <v>3938</v>
      </c>
      <c r="W120" s="2">
        <v>27312</v>
      </c>
      <c r="X120" s="2">
        <v>43987</v>
      </c>
      <c r="Y120" s="11" t="s">
        <v>3963</v>
      </c>
      <c r="Z120" s="3">
        <v>44021</v>
      </c>
      <c r="AA120" s="80" t="s">
        <v>1339</v>
      </c>
      <c r="AD120" t="s">
        <v>3198</v>
      </c>
    </row>
    <row r="121" spans="1:30">
      <c r="A121" s="1">
        <v>120</v>
      </c>
      <c r="B121" s="61" t="s">
        <v>3895</v>
      </c>
      <c r="C121" s="2">
        <v>43987</v>
      </c>
      <c r="D121" s="31" t="s">
        <v>2464</v>
      </c>
      <c r="E121" t="s">
        <v>4189</v>
      </c>
      <c r="F121" s="31" t="s">
        <v>188</v>
      </c>
      <c r="G121" s="33" t="s">
        <v>220</v>
      </c>
      <c r="H121" s="31" t="s">
        <v>92</v>
      </c>
      <c r="I121" s="31"/>
      <c r="J121" s="31"/>
      <c r="K121" s="31" t="s">
        <v>2464</v>
      </c>
      <c r="L121" s="2">
        <v>44012</v>
      </c>
      <c r="M121" s="1" t="s">
        <v>35</v>
      </c>
      <c r="N121" t="s">
        <v>2552</v>
      </c>
      <c r="O121" s="92">
        <v>60</v>
      </c>
      <c r="P121" s="1">
        <v>1</v>
      </c>
      <c r="Q121" s="90">
        <v>0.21</v>
      </c>
      <c r="R121" s="102">
        <v>0</v>
      </c>
      <c r="S121" s="1" t="s">
        <v>36</v>
      </c>
      <c r="T121" s="95">
        <f t="shared" si="3"/>
        <v>72.599999999999994</v>
      </c>
      <c r="U121" s="2" t="s">
        <v>2553</v>
      </c>
      <c r="V121" s="6" t="s">
        <v>3939</v>
      </c>
      <c r="W121" s="2">
        <v>29649</v>
      </c>
      <c r="X121" s="2">
        <v>43987</v>
      </c>
      <c r="Y121" s="11" t="s">
        <v>3966</v>
      </c>
      <c r="Z121" s="3">
        <v>44021</v>
      </c>
      <c r="AA121" s="80" t="s">
        <v>1339</v>
      </c>
      <c r="AD121" t="s">
        <v>3198</v>
      </c>
    </row>
    <row r="122" spans="1:30">
      <c r="A122" s="1">
        <v>121</v>
      </c>
      <c r="B122" s="61" t="s">
        <v>3895</v>
      </c>
      <c r="C122" s="2">
        <v>43987</v>
      </c>
      <c r="D122" s="31" t="s">
        <v>2464</v>
      </c>
      <c r="E122" t="s">
        <v>4189</v>
      </c>
      <c r="F122" s="31" t="s">
        <v>188</v>
      </c>
      <c r="G122" s="33" t="s">
        <v>220</v>
      </c>
      <c r="H122" s="31" t="s">
        <v>92</v>
      </c>
      <c r="I122" s="31"/>
      <c r="J122" s="31"/>
      <c r="K122" s="31" t="s">
        <v>2464</v>
      </c>
      <c r="L122" s="2">
        <v>44012</v>
      </c>
      <c r="M122" s="1" t="s">
        <v>35</v>
      </c>
      <c r="N122" t="s">
        <v>3901</v>
      </c>
      <c r="O122" s="92">
        <v>60</v>
      </c>
      <c r="P122" s="1">
        <v>1</v>
      </c>
      <c r="Q122" s="90">
        <v>0.21</v>
      </c>
      <c r="R122" s="102">
        <v>0</v>
      </c>
      <c r="S122" s="1" t="s">
        <v>36</v>
      </c>
      <c r="T122" s="95">
        <f t="shared" si="3"/>
        <v>72.599999999999994</v>
      </c>
      <c r="U122" s="2" t="s">
        <v>3930</v>
      </c>
      <c r="V122" s="6" t="s">
        <v>3940</v>
      </c>
      <c r="W122" s="2">
        <v>29658</v>
      </c>
      <c r="X122" s="2">
        <v>43987</v>
      </c>
      <c r="Y122" s="11" t="s">
        <v>3966</v>
      </c>
      <c r="Z122" s="3">
        <v>44021</v>
      </c>
      <c r="AA122" s="80" t="s">
        <v>1339</v>
      </c>
      <c r="AD122" t="s">
        <v>3198</v>
      </c>
    </row>
    <row r="123" spans="1:30">
      <c r="A123" s="1">
        <v>122</v>
      </c>
      <c r="B123" s="61" t="s">
        <v>3895</v>
      </c>
      <c r="C123" s="2">
        <v>43987</v>
      </c>
      <c r="D123" s="31" t="s">
        <v>2464</v>
      </c>
      <c r="E123" t="s">
        <v>4189</v>
      </c>
      <c r="F123" s="31" t="s">
        <v>188</v>
      </c>
      <c r="G123" s="33" t="s">
        <v>220</v>
      </c>
      <c r="H123" s="31" t="s">
        <v>92</v>
      </c>
      <c r="I123" s="31"/>
      <c r="J123" s="31"/>
      <c r="K123" s="31" t="s">
        <v>2464</v>
      </c>
      <c r="L123" s="2">
        <v>44012</v>
      </c>
      <c r="M123" s="1" t="s">
        <v>35</v>
      </c>
      <c r="N123" t="s">
        <v>2504</v>
      </c>
      <c r="O123" s="92">
        <v>60</v>
      </c>
      <c r="P123" s="1">
        <v>1</v>
      </c>
      <c r="Q123" s="90">
        <v>0.21</v>
      </c>
      <c r="R123" s="102">
        <v>0</v>
      </c>
      <c r="S123" s="1" t="s">
        <v>36</v>
      </c>
      <c r="T123" s="95">
        <f t="shared" si="3"/>
        <v>72.599999999999994</v>
      </c>
      <c r="U123" s="2" t="s">
        <v>511</v>
      </c>
      <c r="V123" s="6" t="s">
        <v>3941</v>
      </c>
      <c r="W123" s="2">
        <v>26947</v>
      </c>
      <c r="X123" s="2">
        <v>43987</v>
      </c>
      <c r="Y123" s="11" t="s">
        <v>3967</v>
      </c>
      <c r="Z123" s="3">
        <v>44021</v>
      </c>
      <c r="AA123" s="80" t="s">
        <v>1339</v>
      </c>
      <c r="AD123" t="s">
        <v>3198</v>
      </c>
    </row>
    <row r="124" spans="1:30">
      <c r="A124" s="1">
        <v>123</v>
      </c>
      <c r="B124" s="61" t="s">
        <v>3895</v>
      </c>
      <c r="C124" s="2">
        <v>43987</v>
      </c>
      <c r="D124" s="31" t="s">
        <v>2464</v>
      </c>
      <c r="E124" t="s">
        <v>4189</v>
      </c>
      <c r="F124" s="31" t="s">
        <v>188</v>
      </c>
      <c r="G124" s="33" t="s">
        <v>220</v>
      </c>
      <c r="H124" s="31" t="s">
        <v>92</v>
      </c>
      <c r="I124" s="31"/>
      <c r="J124" s="31"/>
      <c r="K124" s="31" t="s">
        <v>2464</v>
      </c>
      <c r="L124" s="2">
        <v>44012</v>
      </c>
      <c r="M124" s="1" t="s">
        <v>35</v>
      </c>
      <c r="N124" t="s">
        <v>3902</v>
      </c>
      <c r="O124" s="92">
        <v>60</v>
      </c>
      <c r="P124" s="1">
        <v>1</v>
      </c>
      <c r="Q124" s="90">
        <v>0.21</v>
      </c>
      <c r="R124" s="102">
        <v>0</v>
      </c>
      <c r="S124" s="1" t="s">
        <v>36</v>
      </c>
      <c r="T124" s="95">
        <f t="shared" si="3"/>
        <v>72.599999999999994</v>
      </c>
      <c r="U124" s="2" t="s">
        <v>3931</v>
      </c>
      <c r="V124" s="6" t="s">
        <v>3942</v>
      </c>
      <c r="W124" s="2">
        <v>35201</v>
      </c>
      <c r="X124" s="2">
        <v>43987</v>
      </c>
      <c r="Y124" s="11" t="s">
        <v>3963</v>
      </c>
      <c r="Z124" s="3">
        <v>44021</v>
      </c>
      <c r="AA124" s="80" t="s">
        <v>1339</v>
      </c>
      <c r="AD124" t="s">
        <v>3198</v>
      </c>
    </row>
    <row r="125" spans="1:30">
      <c r="A125" s="1">
        <v>124</v>
      </c>
      <c r="B125" s="61" t="s">
        <v>3895</v>
      </c>
      <c r="C125" s="2">
        <v>43987</v>
      </c>
      <c r="D125" s="31" t="s">
        <v>2464</v>
      </c>
      <c r="E125" t="s">
        <v>4189</v>
      </c>
      <c r="F125" s="31" t="s">
        <v>188</v>
      </c>
      <c r="G125" s="33" t="s">
        <v>220</v>
      </c>
      <c r="H125" s="31" t="s">
        <v>92</v>
      </c>
      <c r="I125" s="31"/>
      <c r="J125" s="31"/>
      <c r="K125" s="31" t="s">
        <v>2464</v>
      </c>
      <c r="L125" s="2">
        <v>44012</v>
      </c>
      <c r="M125" s="1" t="s">
        <v>35</v>
      </c>
      <c r="N125" t="s">
        <v>2540</v>
      </c>
      <c r="O125" s="92">
        <v>60</v>
      </c>
      <c r="P125" s="1">
        <v>1</v>
      </c>
      <c r="Q125" s="90">
        <v>0.21</v>
      </c>
      <c r="R125" s="102">
        <v>0</v>
      </c>
      <c r="S125" s="1" t="s">
        <v>36</v>
      </c>
      <c r="T125" s="95">
        <f t="shared" si="3"/>
        <v>72.599999999999994</v>
      </c>
      <c r="U125" s="2" t="s">
        <v>280</v>
      </c>
      <c r="V125" s="6" t="s">
        <v>3943</v>
      </c>
      <c r="W125" s="2">
        <v>34815</v>
      </c>
      <c r="X125" s="2">
        <v>43987</v>
      </c>
      <c r="Y125" s="11" t="s">
        <v>3963</v>
      </c>
      <c r="Z125" s="3">
        <v>44021</v>
      </c>
      <c r="AA125" s="80" t="s">
        <v>1339</v>
      </c>
      <c r="AD125" t="s">
        <v>3198</v>
      </c>
    </row>
    <row r="126" spans="1:30">
      <c r="A126" s="1">
        <v>125</v>
      </c>
      <c r="B126" s="61" t="s">
        <v>3895</v>
      </c>
      <c r="C126" s="2">
        <v>43987</v>
      </c>
      <c r="D126" s="31" t="s">
        <v>2464</v>
      </c>
      <c r="E126" t="s">
        <v>4189</v>
      </c>
      <c r="F126" s="31" t="s">
        <v>188</v>
      </c>
      <c r="G126" s="33" t="s">
        <v>220</v>
      </c>
      <c r="H126" s="31" t="s">
        <v>92</v>
      </c>
      <c r="I126" s="31"/>
      <c r="J126" s="31"/>
      <c r="K126" s="31" t="s">
        <v>2464</v>
      </c>
      <c r="L126" s="2">
        <v>44012</v>
      </c>
      <c r="M126" s="1" t="s">
        <v>35</v>
      </c>
      <c r="N126" t="s">
        <v>2538</v>
      </c>
      <c r="O126" s="92">
        <v>60</v>
      </c>
      <c r="P126" s="1">
        <v>1</v>
      </c>
      <c r="Q126" s="90">
        <v>0.21</v>
      </c>
      <c r="R126" s="102">
        <v>0</v>
      </c>
      <c r="S126" s="1" t="s">
        <v>36</v>
      </c>
      <c r="T126" s="95">
        <f t="shared" si="3"/>
        <v>72.599999999999994</v>
      </c>
      <c r="U126" s="2" t="s">
        <v>127</v>
      </c>
      <c r="V126" s="6" t="s">
        <v>3944</v>
      </c>
      <c r="W126" s="2">
        <v>31299</v>
      </c>
      <c r="X126" s="2">
        <v>43987</v>
      </c>
      <c r="Y126" s="11" t="s">
        <v>3963</v>
      </c>
      <c r="Z126" s="3">
        <v>44021</v>
      </c>
      <c r="AA126" s="80" t="s">
        <v>1339</v>
      </c>
      <c r="AD126" t="s">
        <v>3198</v>
      </c>
    </row>
    <row r="127" spans="1:30">
      <c r="A127" s="1">
        <v>126</v>
      </c>
      <c r="B127" s="61" t="s">
        <v>3895</v>
      </c>
      <c r="C127" s="2">
        <v>43987</v>
      </c>
      <c r="D127" s="31" t="s">
        <v>2464</v>
      </c>
      <c r="E127" t="s">
        <v>4189</v>
      </c>
      <c r="F127" s="31" t="s">
        <v>188</v>
      </c>
      <c r="G127" s="33" t="s">
        <v>220</v>
      </c>
      <c r="H127" s="31" t="s">
        <v>92</v>
      </c>
      <c r="I127" s="31"/>
      <c r="J127" s="31"/>
      <c r="K127" s="31" t="s">
        <v>2464</v>
      </c>
      <c r="L127" s="2">
        <v>44012</v>
      </c>
      <c r="M127" s="1" t="s">
        <v>35</v>
      </c>
      <c r="N127" t="s">
        <v>2567</v>
      </c>
      <c r="O127" s="92">
        <v>60</v>
      </c>
      <c r="P127" s="1">
        <v>1</v>
      </c>
      <c r="Q127" s="90">
        <v>0.21</v>
      </c>
      <c r="R127" s="102">
        <v>0</v>
      </c>
      <c r="S127" s="1" t="s">
        <v>36</v>
      </c>
      <c r="T127" s="95">
        <f t="shared" si="3"/>
        <v>72.599999999999994</v>
      </c>
      <c r="U127" s="2" t="s">
        <v>93</v>
      </c>
      <c r="V127" s="6" t="s">
        <v>3945</v>
      </c>
      <c r="W127" s="2">
        <v>28235</v>
      </c>
      <c r="X127" s="2">
        <v>43987</v>
      </c>
      <c r="Y127" s="11" t="s">
        <v>3967</v>
      </c>
      <c r="Z127" s="3">
        <v>44021</v>
      </c>
      <c r="AA127" s="80" t="s">
        <v>1339</v>
      </c>
      <c r="AD127" t="s">
        <v>3198</v>
      </c>
    </row>
    <row r="128" spans="1:30">
      <c r="A128" s="1">
        <v>127</v>
      </c>
      <c r="B128" s="61" t="s">
        <v>3895</v>
      </c>
      <c r="C128" s="2">
        <v>43987</v>
      </c>
      <c r="D128" s="31" t="s">
        <v>2464</v>
      </c>
      <c r="E128" t="s">
        <v>4189</v>
      </c>
      <c r="F128" s="31" t="s">
        <v>188</v>
      </c>
      <c r="G128" s="33" t="s">
        <v>220</v>
      </c>
      <c r="H128" s="31" t="s">
        <v>92</v>
      </c>
      <c r="I128" s="31"/>
      <c r="J128" s="31"/>
      <c r="K128" s="31" t="s">
        <v>2464</v>
      </c>
      <c r="L128" s="2">
        <v>44012</v>
      </c>
      <c r="M128" s="1" t="s">
        <v>35</v>
      </c>
      <c r="N128" t="s">
        <v>2530</v>
      </c>
      <c r="O128" s="92">
        <v>60</v>
      </c>
      <c r="P128" s="1">
        <v>1</v>
      </c>
      <c r="Q128" s="90">
        <v>0.21</v>
      </c>
      <c r="R128" s="102">
        <v>0</v>
      </c>
      <c r="S128" s="1" t="s">
        <v>36</v>
      </c>
      <c r="T128" s="95">
        <f t="shared" si="3"/>
        <v>72.599999999999994</v>
      </c>
      <c r="U128" s="2" t="s">
        <v>98</v>
      </c>
      <c r="V128" s="6" t="s">
        <v>3946</v>
      </c>
      <c r="W128" s="2">
        <v>31022</v>
      </c>
      <c r="X128" s="2">
        <v>43987</v>
      </c>
      <c r="Y128" s="11" t="s">
        <v>3967</v>
      </c>
      <c r="Z128" s="3">
        <v>44021</v>
      </c>
      <c r="AA128" s="80" t="s">
        <v>1339</v>
      </c>
      <c r="AD128" t="s">
        <v>3198</v>
      </c>
    </row>
    <row r="129" spans="1:37">
      <c r="A129" s="1">
        <v>128</v>
      </c>
      <c r="B129" s="61" t="s">
        <v>3895</v>
      </c>
      <c r="C129" s="2">
        <v>43987</v>
      </c>
      <c r="D129" s="31" t="s">
        <v>2464</v>
      </c>
      <c r="E129" t="s">
        <v>4189</v>
      </c>
      <c r="F129" s="31" t="s">
        <v>188</v>
      </c>
      <c r="G129" s="33" t="s">
        <v>220</v>
      </c>
      <c r="H129" s="31" t="s">
        <v>92</v>
      </c>
      <c r="I129" s="31"/>
      <c r="J129" s="31"/>
      <c r="K129" s="31" t="s">
        <v>2464</v>
      </c>
      <c r="L129" s="2">
        <v>44012</v>
      </c>
      <c r="M129" s="1" t="s">
        <v>35</v>
      </c>
      <c r="N129" t="s">
        <v>3903</v>
      </c>
      <c r="O129" s="92">
        <v>60</v>
      </c>
      <c r="P129" s="1">
        <v>1</v>
      </c>
      <c r="Q129" s="90">
        <v>0.21</v>
      </c>
      <c r="R129" s="102">
        <v>0</v>
      </c>
      <c r="S129" s="1" t="s">
        <v>36</v>
      </c>
      <c r="T129" s="95">
        <f t="shared" si="3"/>
        <v>72.599999999999994</v>
      </c>
      <c r="U129" s="2" t="s">
        <v>3932</v>
      </c>
      <c r="V129" s="6" t="s">
        <v>3947</v>
      </c>
      <c r="W129" s="2">
        <v>30512</v>
      </c>
      <c r="X129" s="2">
        <v>43987</v>
      </c>
      <c r="Y129" s="11" t="s">
        <v>3966</v>
      </c>
      <c r="Z129" s="3">
        <v>44021</v>
      </c>
      <c r="AA129" s="80" t="s">
        <v>1339</v>
      </c>
      <c r="AD129" t="s">
        <v>3198</v>
      </c>
    </row>
    <row r="130" spans="1:37">
      <c r="A130" s="1">
        <v>129</v>
      </c>
      <c r="B130" s="61" t="s">
        <v>3895</v>
      </c>
      <c r="C130" s="2">
        <v>43987</v>
      </c>
      <c r="D130" s="31" t="s">
        <v>2464</v>
      </c>
      <c r="E130" t="s">
        <v>4189</v>
      </c>
      <c r="F130" s="31" t="s">
        <v>188</v>
      </c>
      <c r="G130" s="33" t="s">
        <v>220</v>
      </c>
      <c r="H130" s="31" t="s">
        <v>92</v>
      </c>
      <c r="I130" s="31"/>
      <c r="J130" s="31"/>
      <c r="K130" s="31" t="s">
        <v>2464</v>
      </c>
      <c r="L130" s="2">
        <v>44012</v>
      </c>
      <c r="M130" s="1" t="s">
        <v>35</v>
      </c>
      <c r="N130" t="s">
        <v>2524</v>
      </c>
      <c r="O130" s="92">
        <v>60</v>
      </c>
      <c r="P130" s="1">
        <v>1</v>
      </c>
      <c r="Q130" s="90">
        <v>0.21</v>
      </c>
      <c r="R130" s="102">
        <v>0</v>
      </c>
      <c r="S130" s="1" t="s">
        <v>36</v>
      </c>
      <c r="T130" s="95">
        <f t="shared" si="3"/>
        <v>72.599999999999994</v>
      </c>
      <c r="U130" s="2" t="s">
        <v>195</v>
      </c>
      <c r="V130" s="6" t="s">
        <v>3948</v>
      </c>
      <c r="W130" s="2">
        <v>29235</v>
      </c>
      <c r="X130" s="2">
        <v>43987</v>
      </c>
      <c r="Y130" s="11" t="s">
        <v>3963</v>
      </c>
      <c r="Z130" s="3">
        <v>44021</v>
      </c>
      <c r="AA130" s="80" t="s">
        <v>1339</v>
      </c>
      <c r="AD130" t="s">
        <v>3198</v>
      </c>
    </row>
    <row r="131" spans="1:37">
      <c r="A131" s="1">
        <v>130</v>
      </c>
      <c r="B131" s="61" t="s">
        <v>3895</v>
      </c>
      <c r="C131" s="2">
        <v>43987</v>
      </c>
      <c r="D131" s="31" t="s">
        <v>2464</v>
      </c>
      <c r="E131" t="s">
        <v>4189</v>
      </c>
      <c r="F131" s="31" t="s">
        <v>188</v>
      </c>
      <c r="G131" s="33" t="s">
        <v>220</v>
      </c>
      <c r="H131" s="31" t="s">
        <v>92</v>
      </c>
      <c r="I131" s="31"/>
      <c r="J131" s="31"/>
      <c r="K131" s="31" t="s">
        <v>2464</v>
      </c>
      <c r="L131" s="2">
        <v>44012</v>
      </c>
      <c r="M131" s="1" t="s">
        <v>35</v>
      </c>
      <c r="N131" t="s">
        <v>3904</v>
      </c>
      <c r="O131" s="92">
        <v>60</v>
      </c>
      <c r="P131" s="1">
        <v>1</v>
      </c>
      <c r="Q131" s="90">
        <v>0.21</v>
      </c>
      <c r="R131" s="102">
        <v>0</v>
      </c>
      <c r="S131" s="1" t="s">
        <v>36</v>
      </c>
      <c r="T131" s="95">
        <f t="shared" si="3"/>
        <v>72.599999999999994</v>
      </c>
      <c r="U131" s="2" t="s">
        <v>3933</v>
      </c>
      <c r="V131" s="6" t="s">
        <v>3949</v>
      </c>
      <c r="W131" s="2">
        <v>27463</v>
      </c>
      <c r="X131" s="2">
        <v>43987</v>
      </c>
      <c r="Y131" s="11" t="s">
        <v>3966</v>
      </c>
      <c r="Z131" s="3">
        <v>44021</v>
      </c>
      <c r="AA131" s="80" t="s">
        <v>1339</v>
      </c>
      <c r="AD131" t="s">
        <v>3198</v>
      </c>
    </row>
    <row r="132" spans="1:37">
      <c r="A132" s="1">
        <v>131</v>
      </c>
      <c r="B132" s="61" t="s">
        <v>3895</v>
      </c>
      <c r="C132" s="2">
        <v>43987</v>
      </c>
      <c r="D132" s="31" t="s">
        <v>2464</v>
      </c>
      <c r="E132" t="s">
        <v>4189</v>
      </c>
      <c r="F132" s="31" t="s">
        <v>188</v>
      </c>
      <c r="G132" s="33" t="s">
        <v>220</v>
      </c>
      <c r="H132" s="31" t="s">
        <v>92</v>
      </c>
      <c r="I132" s="31"/>
      <c r="J132" s="31"/>
      <c r="K132" s="31" t="s">
        <v>2464</v>
      </c>
      <c r="L132" s="2">
        <v>44012</v>
      </c>
      <c r="M132" s="1" t="s">
        <v>35</v>
      </c>
      <c r="N132" t="s">
        <v>2500</v>
      </c>
      <c r="O132" s="92">
        <v>60</v>
      </c>
      <c r="P132" s="1">
        <v>1</v>
      </c>
      <c r="Q132" s="90">
        <v>0.21</v>
      </c>
      <c r="R132" s="102">
        <v>0</v>
      </c>
      <c r="S132" s="1" t="s">
        <v>36</v>
      </c>
      <c r="T132" s="95">
        <f t="shared" si="3"/>
        <v>72.599999999999994</v>
      </c>
      <c r="U132" s="2" t="s">
        <v>284</v>
      </c>
      <c r="V132" s="6" t="s">
        <v>3950</v>
      </c>
      <c r="W132" s="2">
        <v>31153</v>
      </c>
      <c r="X132" s="2">
        <v>43987</v>
      </c>
      <c r="Y132" s="11" t="s">
        <v>3967</v>
      </c>
      <c r="Z132" s="3">
        <v>44021</v>
      </c>
      <c r="AA132" s="80" t="s">
        <v>1339</v>
      </c>
      <c r="AD132" t="s">
        <v>3198</v>
      </c>
    </row>
    <row r="133" spans="1:37">
      <c r="A133" s="1">
        <v>132</v>
      </c>
      <c r="B133" s="61" t="s">
        <v>3895</v>
      </c>
      <c r="C133" s="2">
        <v>43987</v>
      </c>
      <c r="D133" s="31" t="s">
        <v>2464</v>
      </c>
      <c r="E133" t="s">
        <v>4189</v>
      </c>
      <c r="F133" s="31" t="s">
        <v>188</v>
      </c>
      <c r="G133" s="33" t="s">
        <v>220</v>
      </c>
      <c r="H133" s="31" t="s">
        <v>92</v>
      </c>
      <c r="I133" s="31"/>
      <c r="J133" s="31"/>
      <c r="K133" s="31" t="s">
        <v>2464</v>
      </c>
      <c r="L133" s="2">
        <v>44012</v>
      </c>
      <c r="M133" s="1" t="s">
        <v>35</v>
      </c>
      <c r="N133" t="s">
        <v>2494</v>
      </c>
      <c r="O133" s="92">
        <v>60</v>
      </c>
      <c r="P133" s="1">
        <v>1</v>
      </c>
      <c r="Q133" s="90">
        <v>0.21</v>
      </c>
      <c r="R133" s="102">
        <v>0</v>
      </c>
      <c r="S133" s="1" t="s">
        <v>36</v>
      </c>
      <c r="T133" s="95">
        <f t="shared" ref="T133:T144" si="4">(O133*P133)*Q133+O133*P133</f>
        <v>72.599999999999994</v>
      </c>
      <c r="U133" s="2" t="s">
        <v>278</v>
      </c>
      <c r="V133" s="6" t="s">
        <v>3951</v>
      </c>
      <c r="W133" s="2">
        <v>31381</v>
      </c>
      <c r="X133" s="2">
        <v>43987</v>
      </c>
      <c r="Y133" s="11" t="s">
        <v>3963</v>
      </c>
      <c r="Z133" s="3">
        <v>44021</v>
      </c>
      <c r="AA133" s="80" t="s">
        <v>1339</v>
      </c>
      <c r="AD133" t="s">
        <v>3198</v>
      </c>
    </row>
    <row r="134" spans="1:37">
      <c r="A134" s="1">
        <v>133</v>
      </c>
      <c r="B134" s="61" t="s">
        <v>3895</v>
      </c>
      <c r="C134" s="2">
        <v>43987</v>
      </c>
      <c r="D134" s="31" t="s">
        <v>2464</v>
      </c>
      <c r="E134" t="s">
        <v>4189</v>
      </c>
      <c r="F134" s="31" t="s">
        <v>188</v>
      </c>
      <c r="G134" s="33" t="s">
        <v>220</v>
      </c>
      <c r="H134" s="31" t="s">
        <v>92</v>
      </c>
      <c r="I134" s="31"/>
      <c r="J134" s="31"/>
      <c r="K134" s="31" t="s">
        <v>2464</v>
      </c>
      <c r="L134" s="2">
        <v>44012</v>
      </c>
      <c r="M134" s="1" t="s">
        <v>35</v>
      </c>
      <c r="N134" t="s">
        <v>2498</v>
      </c>
      <c r="O134" s="92">
        <v>60</v>
      </c>
      <c r="P134" s="1">
        <v>1</v>
      </c>
      <c r="Q134" s="90">
        <v>0.21</v>
      </c>
      <c r="R134" s="102">
        <v>0</v>
      </c>
      <c r="S134" s="1" t="s">
        <v>36</v>
      </c>
      <c r="T134" s="95">
        <f t="shared" si="4"/>
        <v>72.599999999999994</v>
      </c>
      <c r="U134" s="2" t="s">
        <v>136</v>
      </c>
      <c r="V134" s="6" t="s">
        <v>3952</v>
      </c>
      <c r="W134" s="2">
        <v>32204</v>
      </c>
      <c r="X134" s="2">
        <v>43987</v>
      </c>
      <c r="Y134" s="11" t="s">
        <v>3963</v>
      </c>
      <c r="Z134" s="3">
        <v>44021</v>
      </c>
      <c r="AA134" s="80" t="s">
        <v>1339</v>
      </c>
      <c r="AD134" t="s">
        <v>3198</v>
      </c>
    </row>
    <row r="135" spans="1:37">
      <c r="A135" s="1">
        <v>134</v>
      </c>
      <c r="B135" s="61" t="s">
        <v>3895</v>
      </c>
      <c r="C135" s="2">
        <v>43987</v>
      </c>
      <c r="D135" s="31" t="s">
        <v>2464</v>
      </c>
      <c r="E135" t="s">
        <v>4189</v>
      </c>
      <c r="F135" s="31" t="s">
        <v>188</v>
      </c>
      <c r="G135" s="33" t="s">
        <v>220</v>
      </c>
      <c r="H135" s="31" t="s">
        <v>92</v>
      </c>
      <c r="I135" s="31"/>
      <c r="J135" s="31"/>
      <c r="K135" s="31" t="s">
        <v>2464</v>
      </c>
      <c r="L135" s="2">
        <v>44012</v>
      </c>
      <c r="M135" s="1" t="s">
        <v>35</v>
      </c>
      <c r="N135" t="s">
        <v>2528</v>
      </c>
      <c r="O135" s="92">
        <v>60</v>
      </c>
      <c r="P135" s="1">
        <v>1</v>
      </c>
      <c r="Q135" s="90">
        <v>0.21</v>
      </c>
      <c r="R135" s="102">
        <v>0</v>
      </c>
      <c r="S135" s="1" t="s">
        <v>36</v>
      </c>
      <c r="T135" s="95">
        <f t="shared" si="4"/>
        <v>72.599999999999994</v>
      </c>
      <c r="U135" s="2" t="s">
        <v>190</v>
      </c>
      <c r="V135" s="6" t="s">
        <v>3953</v>
      </c>
      <c r="W135" s="2">
        <v>27779</v>
      </c>
      <c r="X135" s="2">
        <v>43987</v>
      </c>
      <c r="Y135" s="11" t="s">
        <v>3963</v>
      </c>
      <c r="Z135" s="3">
        <v>44021</v>
      </c>
      <c r="AA135" s="80" t="s">
        <v>1339</v>
      </c>
      <c r="AD135" t="s">
        <v>3198</v>
      </c>
    </row>
    <row r="136" spans="1:37">
      <c r="A136" s="1">
        <v>135</v>
      </c>
      <c r="B136" s="61" t="s">
        <v>3895</v>
      </c>
      <c r="C136" s="2">
        <v>43987</v>
      </c>
      <c r="D136" s="31" t="s">
        <v>2464</v>
      </c>
      <c r="E136" t="s">
        <v>4189</v>
      </c>
      <c r="F136" s="31" t="s">
        <v>188</v>
      </c>
      <c r="G136" s="33" t="s">
        <v>220</v>
      </c>
      <c r="H136" s="31" t="s">
        <v>92</v>
      </c>
      <c r="I136" s="31"/>
      <c r="J136" s="31"/>
      <c r="K136" s="31" t="s">
        <v>2464</v>
      </c>
      <c r="L136" s="2">
        <v>44012</v>
      </c>
      <c r="M136" s="1" t="s">
        <v>35</v>
      </c>
      <c r="N136" t="s">
        <v>2488</v>
      </c>
      <c r="O136" s="92">
        <v>60</v>
      </c>
      <c r="P136" s="1">
        <v>1</v>
      </c>
      <c r="Q136" s="90">
        <v>0.21</v>
      </c>
      <c r="R136" s="102">
        <v>0</v>
      </c>
      <c r="S136" s="1" t="s">
        <v>36</v>
      </c>
      <c r="T136" s="95">
        <f t="shared" si="4"/>
        <v>72.599999999999994</v>
      </c>
      <c r="U136" s="140" t="s">
        <v>477</v>
      </c>
      <c r="V136" s="6" t="s">
        <v>3954</v>
      </c>
      <c r="W136" s="3">
        <v>25288</v>
      </c>
      <c r="X136" s="2">
        <v>43987</v>
      </c>
      <c r="Y136" s="11" t="s">
        <v>3963</v>
      </c>
      <c r="Z136" s="3">
        <v>44021</v>
      </c>
      <c r="AA136" s="80" t="s">
        <v>1339</v>
      </c>
      <c r="AD136" t="s">
        <v>3198</v>
      </c>
    </row>
    <row r="137" spans="1:37">
      <c r="A137" s="1">
        <v>136</v>
      </c>
      <c r="B137" s="61" t="s">
        <v>3895</v>
      </c>
      <c r="C137" s="2">
        <v>43987</v>
      </c>
      <c r="D137" s="31" t="s">
        <v>2464</v>
      </c>
      <c r="E137" t="s">
        <v>4189</v>
      </c>
      <c r="F137" s="31" t="s">
        <v>188</v>
      </c>
      <c r="G137" s="33" t="s">
        <v>220</v>
      </c>
      <c r="H137" s="31" t="s">
        <v>92</v>
      </c>
      <c r="I137" s="31"/>
      <c r="J137" s="31"/>
      <c r="K137" s="31" t="s">
        <v>2464</v>
      </c>
      <c r="L137" s="2">
        <v>44012</v>
      </c>
      <c r="M137" s="1" t="s">
        <v>35</v>
      </c>
      <c r="N137" t="s">
        <v>2479</v>
      </c>
      <c r="O137" s="92">
        <v>60</v>
      </c>
      <c r="P137" s="1">
        <v>1</v>
      </c>
      <c r="Q137" s="90">
        <v>0.21</v>
      </c>
      <c r="R137" s="102">
        <v>0</v>
      </c>
      <c r="S137" s="1" t="s">
        <v>36</v>
      </c>
      <c r="T137" s="95">
        <f t="shared" si="4"/>
        <v>72.599999999999994</v>
      </c>
      <c r="U137" s="140" t="s">
        <v>2480</v>
      </c>
      <c r="V137" s="141" t="s">
        <v>3955</v>
      </c>
      <c r="W137" s="142">
        <v>30531</v>
      </c>
      <c r="X137" s="2">
        <v>43987</v>
      </c>
      <c r="Y137" s="11" t="s">
        <v>3963</v>
      </c>
      <c r="Z137" s="3">
        <v>44021</v>
      </c>
      <c r="AA137" s="80" t="s">
        <v>1339</v>
      </c>
      <c r="AD137" t="s">
        <v>3198</v>
      </c>
    </row>
    <row r="138" spans="1:37">
      <c r="A138" s="1">
        <v>137</v>
      </c>
      <c r="B138" s="61" t="s">
        <v>3895</v>
      </c>
      <c r="C138" s="2">
        <v>43987</v>
      </c>
      <c r="D138" s="31" t="s">
        <v>2464</v>
      </c>
      <c r="E138" t="s">
        <v>4189</v>
      </c>
      <c r="F138" s="31" t="s">
        <v>188</v>
      </c>
      <c r="G138" s="33" t="s">
        <v>220</v>
      </c>
      <c r="H138" s="31" t="s">
        <v>92</v>
      </c>
      <c r="I138" s="31"/>
      <c r="J138" s="31"/>
      <c r="K138" s="31" t="s">
        <v>2464</v>
      </c>
      <c r="L138" s="2">
        <v>44012</v>
      </c>
      <c r="M138" s="1" t="s">
        <v>35</v>
      </c>
      <c r="N138" t="s">
        <v>2485</v>
      </c>
      <c r="O138" s="92">
        <v>60</v>
      </c>
      <c r="P138" s="1">
        <v>1</v>
      </c>
      <c r="Q138" s="90">
        <v>0.21</v>
      </c>
      <c r="R138" s="102">
        <v>0</v>
      </c>
      <c r="S138" s="1" t="s">
        <v>36</v>
      </c>
      <c r="T138" s="95">
        <f t="shared" si="4"/>
        <v>72.599999999999994</v>
      </c>
      <c r="U138" s="140" t="s">
        <v>2486</v>
      </c>
      <c r="V138" s="141" t="s">
        <v>3956</v>
      </c>
      <c r="W138" s="142">
        <v>31088</v>
      </c>
      <c r="X138" s="2">
        <v>43987</v>
      </c>
      <c r="Y138" s="11" t="s">
        <v>3963</v>
      </c>
      <c r="Z138" s="3">
        <v>44021</v>
      </c>
      <c r="AA138" s="80" t="s">
        <v>1339</v>
      </c>
      <c r="AD138" t="s">
        <v>3198</v>
      </c>
    </row>
    <row r="139" spans="1:37">
      <c r="A139" s="1">
        <v>138</v>
      </c>
      <c r="B139" s="61" t="s">
        <v>3895</v>
      </c>
      <c r="C139" s="2">
        <v>43987</v>
      </c>
      <c r="D139" s="31" t="s">
        <v>2464</v>
      </c>
      <c r="E139" t="s">
        <v>4189</v>
      </c>
      <c r="F139" s="31" t="s">
        <v>188</v>
      </c>
      <c r="G139" s="33" t="s">
        <v>220</v>
      </c>
      <c r="H139" s="31" t="s">
        <v>92</v>
      </c>
      <c r="I139" s="31"/>
      <c r="J139" s="31"/>
      <c r="K139" s="31" t="s">
        <v>2464</v>
      </c>
      <c r="L139" s="2">
        <v>44012</v>
      </c>
      <c r="M139" s="1" t="s">
        <v>35</v>
      </c>
      <c r="N139" t="s">
        <v>2476</v>
      </c>
      <c r="O139" s="92">
        <v>60</v>
      </c>
      <c r="P139" s="1">
        <v>1</v>
      </c>
      <c r="Q139" s="90">
        <v>0.21</v>
      </c>
      <c r="R139" s="102">
        <v>0</v>
      </c>
      <c r="S139" s="1" t="s">
        <v>36</v>
      </c>
      <c r="T139" s="95">
        <f t="shared" si="4"/>
        <v>72.599999999999994</v>
      </c>
      <c r="U139" s="140" t="s">
        <v>2477</v>
      </c>
      <c r="V139" s="141" t="s">
        <v>3957</v>
      </c>
      <c r="W139" s="142">
        <v>30199</v>
      </c>
      <c r="X139" s="2">
        <v>43987</v>
      </c>
      <c r="Y139" s="11" t="s">
        <v>3963</v>
      </c>
      <c r="Z139" s="3">
        <v>44021</v>
      </c>
      <c r="AA139" s="80" t="s">
        <v>1339</v>
      </c>
      <c r="AD139" t="s">
        <v>3198</v>
      </c>
    </row>
    <row r="140" spans="1:37">
      <c r="A140" s="1">
        <v>139</v>
      </c>
      <c r="B140" s="61" t="s">
        <v>3895</v>
      </c>
      <c r="C140" s="2">
        <v>43987</v>
      </c>
      <c r="D140" s="31" t="s">
        <v>2464</v>
      </c>
      <c r="E140" t="s">
        <v>4189</v>
      </c>
      <c r="F140" s="31" t="s">
        <v>188</v>
      </c>
      <c r="G140" s="33" t="s">
        <v>220</v>
      </c>
      <c r="H140" s="31" t="s">
        <v>92</v>
      </c>
      <c r="I140" s="31"/>
      <c r="J140" s="31"/>
      <c r="K140" s="31" t="s">
        <v>2464</v>
      </c>
      <c r="L140" s="2">
        <v>44012</v>
      </c>
      <c r="M140" s="1" t="s">
        <v>35</v>
      </c>
      <c r="N140" t="s">
        <v>3905</v>
      </c>
      <c r="O140" s="92">
        <v>60</v>
      </c>
      <c r="P140" s="1">
        <v>1</v>
      </c>
      <c r="Q140" s="90">
        <v>0.21</v>
      </c>
      <c r="R140" s="102">
        <v>0</v>
      </c>
      <c r="S140" s="1" t="s">
        <v>36</v>
      </c>
      <c r="T140" s="95">
        <f t="shared" si="4"/>
        <v>72.599999999999994</v>
      </c>
      <c r="U140" s="140" t="s">
        <v>3934</v>
      </c>
      <c r="V140" s="141" t="s">
        <v>3958</v>
      </c>
      <c r="W140" s="142">
        <v>30944</v>
      </c>
      <c r="X140" s="2">
        <v>43987</v>
      </c>
      <c r="Y140" s="11" t="s">
        <v>3963</v>
      </c>
      <c r="Z140" s="3">
        <v>44021</v>
      </c>
      <c r="AA140" s="80" t="s">
        <v>1339</v>
      </c>
      <c r="AD140" t="s">
        <v>3198</v>
      </c>
    </row>
    <row r="141" spans="1:37">
      <c r="A141" s="1">
        <v>140</v>
      </c>
      <c r="B141" s="61" t="s">
        <v>3895</v>
      </c>
      <c r="C141" s="2">
        <v>43987</v>
      </c>
      <c r="D141" t="s">
        <v>2464</v>
      </c>
      <c r="E141" t="s">
        <v>4189</v>
      </c>
      <c r="F141" s="31" t="s">
        <v>188</v>
      </c>
      <c r="G141" s="33" t="s">
        <v>220</v>
      </c>
      <c r="H141" s="31" t="s">
        <v>92</v>
      </c>
      <c r="I141" s="31"/>
      <c r="J141" s="31"/>
      <c r="K141" s="31" t="s">
        <v>2464</v>
      </c>
      <c r="L141" s="2">
        <v>44012</v>
      </c>
      <c r="M141" s="1" t="s">
        <v>35</v>
      </c>
      <c r="N141" t="s">
        <v>3906</v>
      </c>
      <c r="O141" s="92">
        <v>60</v>
      </c>
      <c r="P141" s="1">
        <v>1</v>
      </c>
      <c r="Q141" s="90">
        <v>0.21</v>
      </c>
      <c r="R141" s="102">
        <v>0</v>
      </c>
      <c r="S141" s="1" t="s">
        <v>36</v>
      </c>
      <c r="T141" s="95">
        <f t="shared" si="4"/>
        <v>72.599999999999994</v>
      </c>
      <c r="U141" s="140" t="s">
        <v>3935</v>
      </c>
      <c r="V141" s="141" t="s">
        <v>3959</v>
      </c>
      <c r="W141" s="142">
        <v>33273</v>
      </c>
      <c r="X141" s="2">
        <v>43987</v>
      </c>
      <c r="Y141" s="11" t="s">
        <v>3963</v>
      </c>
      <c r="Z141" s="3">
        <v>44021</v>
      </c>
      <c r="AA141" s="80" t="s">
        <v>1339</v>
      </c>
      <c r="AD141" t="s">
        <v>3198</v>
      </c>
    </row>
    <row r="142" spans="1:37">
      <c r="A142" s="1">
        <v>141</v>
      </c>
      <c r="B142" s="61" t="s">
        <v>1511</v>
      </c>
      <c r="C142" s="2">
        <v>44019</v>
      </c>
      <c r="D142" t="s">
        <v>3971</v>
      </c>
      <c r="E142" t="s">
        <v>3972</v>
      </c>
      <c r="F142" t="s">
        <v>3973</v>
      </c>
      <c r="G142" s="6" t="s">
        <v>219</v>
      </c>
      <c r="H142" t="s">
        <v>38</v>
      </c>
      <c r="I142" s="1" t="s">
        <v>3974</v>
      </c>
      <c r="J142" s="31"/>
      <c r="K142" t="s">
        <v>3971</v>
      </c>
      <c r="L142" s="2">
        <v>44043</v>
      </c>
      <c r="M142" s="1" t="s">
        <v>35</v>
      </c>
      <c r="N142" s="14" t="s">
        <v>3975</v>
      </c>
      <c r="O142" s="92">
        <v>60</v>
      </c>
      <c r="P142" s="1">
        <v>1</v>
      </c>
      <c r="Q142" s="90">
        <v>0.21</v>
      </c>
      <c r="R142" s="102">
        <v>0</v>
      </c>
      <c r="S142" s="1" t="s">
        <v>36</v>
      </c>
      <c r="T142" s="95">
        <f t="shared" si="4"/>
        <v>72.599999999999994</v>
      </c>
      <c r="U142" s="1" t="s">
        <v>3971</v>
      </c>
      <c r="V142" s="87" t="s">
        <v>3976</v>
      </c>
      <c r="W142" s="2">
        <v>35231</v>
      </c>
      <c r="X142" s="2">
        <v>44019</v>
      </c>
      <c r="Y142" s="11" t="s">
        <v>4159</v>
      </c>
      <c r="Z142" s="3">
        <v>44084</v>
      </c>
      <c r="AA142" s="80" t="s">
        <v>1339</v>
      </c>
      <c r="AD142" t="s">
        <v>3198</v>
      </c>
      <c r="AG142" s="1" t="s">
        <v>3108</v>
      </c>
      <c r="AK142" s="2">
        <v>44026</v>
      </c>
    </row>
    <row r="143" spans="1:37">
      <c r="A143" s="1">
        <v>142</v>
      </c>
      <c r="B143" s="61" t="s">
        <v>37</v>
      </c>
      <c r="C143" s="2">
        <v>44027</v>
      </c>
      <c r="D143" s="1" t="s">
        <v>3979</v>
      </c>
      <c r="E143" s="61" t="s">
        <v>3586</v>
      </c>
      <c r="F143" s="61" t="s">
        <v>3980</v>
      </c>
      <c r="G143" s="6" t="s">
        <v>270</v>
      </c>
      <c r="H143" s="1" t="s">
        <v>3681</v>
      </c>
      <c r="J143" s="1"/>
      <c r="K143" t="s">
        <v>3979</v>
      </c>
      <c r="L143" s="2">
        <v>44043</v>
      </c>
      <c r="M143" s="1" t="s">
        <v>35</v>
      </c>
      <c r="N143" t="s">
        <v>3981</v>
      </c>
      <c r="O143" s="92">
        <v>30</v>
      </c>
      <c r="P143" s="1">
        <v>1</v>
      </c>
      <c r="Q143" s="90">
        <v>0.21</v>
      </c>
      <c r="R143" s="102">
        <v>0</v>
      </c>
      <c r="S143" s="1" t="s">
        <v>36</v>
      </c>
      <c r="T143" s="95">
        <f t="shared" si="4"/>
        <v>36.299999999999997</v>
      </c>
      <c r="U143" s="1" t="s">
        <v>3979</v>
      </c>
      <c r="V143" s="87" t="s">
        <v>3982</v>
      </c>
      <c r="W143" s="1" t="s">
        <v>3983</v>
      </c>
      <c r="X143" s="2">
        <v>44027</v>
      </c>
      <c r="Y143" s="11" t="s">
        <v>4054</v>
      </c>
      <c r="Z143" s="3">
        <v>44043</v>
      </c>
      <c r="AA143" s="80" t="s">
        <v>1339</v>
      </c>
      <c r="AD143" t="s">
        <v>3198</v>
      </c>
    </row>
    <row r="144" spans="1:37">
      <c r="A144" s="1">
        <v>143</v>
      </c>
      <c r="B144" s="61" t="s">
        <v>3984</v>
      </c>
      <c r="C144" s="2">
        <v>44029</v>
      </c>
      <c r="D144" s="1" t="s">
        <v>3985</v>
      </c>
      <c r="E144" s="61" t="s">
        <v>3986</v>
      </c>
      <c r="F144" s="61" t="s">
        <v>3987</v>
      </c>
      <c r="G144" s="6" t="s">
        <v>3988</v>
      </c>
      <c r="H144" s="1" t="s">
        <v>3989</v>
      </c>
      <c r="J144" s="1"/>
      <c r="K144" t="s">
        <v>3985</v>
      </c>
      <c r="L144" s="2">
        <v>44043</v>
      </c>
      <c r="M144" s="1" t="s">
        <v>35</v>
      </c>
      <c r="N144" s="14" t="s">
        <v>3990</v>
      </c>
      <c r="O144" s="92">
        <v>30</v>
      </c>
      <c r="P144" s="1">
        <v>1</v>
      </c>
      <c r="Q144" s="90">
        <v>0.21</v>
      </c>
      <c r="R144" s="102">
        <v>0</v>
      </c>
      <c r="S144" s="1" t="s">
        <v>36</v>
      </c>
      <c r="T144" s="95">
        <f t="shared" si="4"/>
        <v>36.299999999999997</v>
      </c>
      <c r="U144" s="1" t="s">
        <v>3985</v>
      </c>
      <c r="V144" s="87" t="s">
        <v>3996</v>
      </c>
      <c r="W144" s="2">
        <v>34383</v>
      </c>
      <c r="X144" s="2">
        <v>44029</v>
      </c>
      <c r="Y144" s="11" t="s">
        <v>4055</v>
      </c>
      <c r="Z144" s="3">
        <v>44043</v>
      </c>
      <c r="AA144" s="80" t="s">
        <v>1339</v>
      </c>
      <c r="AD144" t="s">
        <v>3198</v>
      </c>
    </row>
    <row r="145" spans="1:37">
      <c r="A145" s="1">
        <v>144</v>
      </c>
      <c r="B145" s="61" t="s">
        <v>82</v>
      </c>
      <c r="C145" s="2">
        <v>44029</v>
      </c>
      <c r="D145" s="1" t="s">
        <v>3805</v>
      </c>
      <c r="E145" s="61" t="s">
        <v>3806</v>
      </c>
      <c r="F145" s="61" t="s">
        <v>3807</v>
      </c>
      <c r="G145" s="6" t="s">
        <v>250</v>
      </c>
      <c r="H145" s="1" t="s">
        <v>86</v>
      </c>
      <c r="I145" s="1" t="s">
        <v>3808</v>
      </c>
      <c r="J145" s="1"/>
      <c r="K145" t="s">
        <v>3805</v>
      </c>
      <c r="L145" s="2">
        <v>44043</v>
      </c>
      <c r="M145" s="1" t="s">
        <v>35</v>
      </c>
      <c r="N145" s="14" t="s">
        <v>3991</v>
      </c>
      <c r="O145" s="95">
        <v>100</v>
      </c>
      <c r="P145" s="1">
        <v>1</v>
      </c>
      <c r="Q145" s="90">
        <v>0.21</v>
      </c>
      <c r="R145" s="102">
        <v>0</v>
      </c>
      <c r="S145" s="1" t="s">
        <v>36</v>
      </c>
      <c r="T145" s="95">
        <f>(O145*P145)*Q145+O145*P145</f>
        <v>121</v>
      </c>
      <c r="U145" s="1" t="s">
        <v>3810</v>
      </c>
      <c r="V145" s="87" t="s">
        <v>3811</v>
      </c>
      <c r="W145" s="2">
        <v>29952</v>
      </c>
      <c r="X145" s="2">
        <v>44029</v>
      </c>
      <c r="Y145" s="11"/>
      <c r="AD145" t="s">
        <v>3198</v>
      </c>
    </row>
    <row r="146" spans="1:37">
      <c r="A146" s="1">
        <v>145</v>
      </c>
      <c r="B146" s="61" t="s">
        <v>37</v>
      </c>
      <c r="C146" s="2">
        <v>44026</v>
      </c>
      <c r="D146" s="1" t="s">
        <v>2582</v>
      </c>
      <c r="E146" s="61" t="s">
        <v>3992</v>
      </c>
      <c r="F146" s="61" t="s">
        <v>4025</v>
      </c>
      <c r="G146" s="6" t="s">
        <v>2579</v>
      </c>
      <c r="H146" s="1" t="s">
        <v>2580</v>
      </c>
      <c r="I146" s="1">
        <v>632709399</v>
      </c>
      <c r="J146" s="1"/>
      <c r="K146" t="s">
        <v>2582</v>
      </c>
      <c r="L146" s="2">
        <v>44043</v>
      </c>
      <c r="M146" s="1" t="s">
        <v>35</v>
      </c>
      <c r="N146" s="14" t="s">
        <v>3993</v>
      </c>
      <c r="O146" s="92">
        <v>60</v>
      </c>
      <c r="P146" s="1">
        <v>1</v>
      </c>
      <c r="Q146" s="90">
        <v>0.21</v>
      </c>
      <c r="R146" s="102">
        <v>0</v>
      </c>
      <c r="S146" s="1" t="s">
        <v>36</v>
      </c>
      <c r="T146" s="95">
        <f>(O146*P146)*Q146+O146*P146</f>
        <v>72.599999999999994</v>
      </c>
      <c r="U146" s="1" t="s">
        <v>3994</v>
      </c>
      <c r="V146" s="87" t="s">
        <v>3995</v>
      </c>
      <c r="W146" s="2">
        <v>38192</v>
      </c>
      <c r="X146" s="2">
        <v>44026</v>
      </c>
      <c r="Y146" s="11" t="s">
        <v>4554</v>
      </c>
      <c r="Z146" s="3">
        <v>44195</v>
      </c>
      <c r="AA146" s="80" t="s">
        <v>1339</v>
      </c>
      <c r="AC146" s="115">
        <v>44148</v>
      </c>
      <c r="AD146" t="s">
        <v>3198</v>
      </c>
      <c r="AG146" s="148" t="s">
        <v>4001</v>
      </c>
      <c r="AH146" s="2">
        <v>44029</v>
      </c>
      <c r="AI146" s="2">
        <v>44041</v>
      </c>
      <c r="AK146" s="2">
        <v>44058</v>
      </c>
    </row>
    <row r="147" spans="1:37">
      <c r="A147" s="1">
        <v>146</v>
      </c>
      <c r="B147" s="61" t="s">
        <v>45</v>
      </c>
      <c r="C147" s="2">
        <v>44034</v>
      </c>
      <c r="D147" s="1" t="s">
        <v>1965</v>
      </c>
      <c r="E147" s="61" t="s">
        <v>795</v>
      </c>
      <c r="F147" t="s">
        <v>4020</v>
      </c>
      <c r="G147" s="6" t="s">
        <v>221</v>
      </c>
      <c r="H147" s="1" t="s">
        <v>34</v>
      </c>
      <c r="I147" s="1">
        <v>615165042</v>
      </c>
      <c r="J147" s="1"/>
      <c r="K147" s="1" t="s">
        <v>1965</v>
      </c>
      <c r="L147" s="2">
        <v>44043</v>
      </c>
      <c r="M147" s="1" t="s">
        <v>35</v>
      </c>
      <c r="N147" s="14" t="s">
        <v>3997</v>
      </c>
      <c r="O147" s="92">
        <v>60</v>
      </c>
      <c r="P147" s="1">
        <v>1</v>
      </c>
      <c r="Q147" s="90">
        <v>0.21</v>
      </c>
      <c r="R147" s="113">
        <v>0.2</v>
      </c>
      <c r="S147" s="1" t="s">
        <v>36</v>
      </c>
      <c r="T147" s="95">
        <f>SUM(O147-(O147*R147))*Q147+(O147-(O147*R147))</f>
        <v>58.08</v>
      </c>
      <c r="U147" s="1" t="s">
        <v>2698</v>
      </c>
      <c r="V147" s="87" t="s">
        <v>3998</v>
      </c>
      <c r="W147" s="2">
        <v>32912</v>
      </c>
      <c r="X147" s="2">
        <v>44034</v>
      </c>
      <c r="Y147" s="11" t="s">
        <v>4058</v>
      </c>
      <c r="Z147" s="3">
        <v>44060</v>
      </c>
      <c r="AA147" s="80" t="s">
        <v>1339</v>
      </c>
      <c r="AD147" t="s">
        <v>3198</v>
      </c>
    </row>
    <row r="148" spans="1:37">
      <c r="A148" s="1">
        <v>147</v>
      </c>
      <c r="B148" s="61" t="s">
        <v>111</v>
      </c>
      <c r="C148" s="2">
        <v>44040</v>
      </c>
      <c r="D148" s="1" t="s">
        <v>2681</v>
      </c>
      <c r="E148" s="61" t="s">
        <v>2682</v>
      </c>
      <c r="F148" t="s">
        <v>4021</v>
      </c>
      <c r="G148" s="6" t="s">
        <v>220</v>
      </c>
      <c r="H148" s="1" t="s">
        <v>39</v>
      </c>
      <c r="I148"/>
      <c r="K148" t="s">
        <v>2681</v>
      </c>
      <c r="L148" s="2">
        <v>44043</v>
      </c>
      <c r="M148" s="1" t="s">
        <v>35</v>
      </c>
      <c r="N148" s="14" t="s">
        <v>4002</v>
      </c>
      <c r="O148" s="92">
        <v>60</v>
      </c>
      <c r="P148" s="1">
        <v>1</v>
      </c>
      <c r="Q148" s="90">
        <v>0.21</v>
      </c>
      <c r="R148" s="113">
        <v>0.2</v>
      </c>
      <c r="S148" s="1" t="s">
        <v>36</v>
      </c>
      <c r="T148" s="95">
        <f t="shared" ref="T148:T169" si="5">SUM(O148-(O148*R148))*Q148+(O148-(O148*R148))</f>
        <v>58.08</v>
      </c>
      <c r="U148" s="1" t="s">
        <v>2685</v>
      </c>
      <c r="V148" s="87" t="s">
        <v>4003</v>
      </c>
      <c r="W148" s="2">
        <v>32859</v>
      </c>
      <c r="X148" s="2">
        <v>44040</v>
      </c>
      <c r="Y148" s="11" t="s">
        <v>4096</v>
      </c>
      <c r="Z148" s="3">
        <v>44089</v>
      </c>
      <c r="AA148" s="80" t="s">
        <v>1339</v>
      </c>
      <c r="AD148" t="s">
        <v>3198</v>
      </c>
    </row>
    <row r="149" spans="1:37">
      <c r="A149" s="1">
        <v>148</v>
      </c>
      <c r="B149" s="61" t="s">
        <v>40</v>
      </c>
      <c r="C149" s="2">
        <v>44035</v>
      </c>
      <c r="D149" s="1" t="s">
        <v>2611</v>
      </c>
      <c r="E149" s="61" t="s">
        <v>2612</v>
      </c>
      <c r="F149" s="61" t="s">
        <v>4022</v>
      </c>
      <c r="G149" s="6" t="s">
        <v>221</v>
      </c>
      <c r="H149" s="1" t="s">
        <v>34</v>
      </c>
      <c r="I149" s="1">
        <v>697501300</v>
      </c>
      <c r="J149" s="1" t="s">
        <v>4004</v>
      </c>
      <c r="K149" t="s">
        <v>2611</v>
      </c>
      <c r="L149" s="2">
        <v>44043</v>
      </c>
      <c r="M149" s="1" t="s">
        <v>35</v>
      </c>
      <c r="N149" s="14" t="s">
        <v>4005</v>
      </c>
      <c r="O149" s="95">
        <v>100</v>
      </c>
      <c r="P149" s="1">
        <v>1</v>
      </c>
      <c r="Q149" s="90">
        <v>0.21</v>
      </c>
      <c r="R149" s="113">
        <v>0.2</v>
      </c>
      <c r="S149" s="1" t="s">
        <v>36</v>
      </c>
      <c r="T149" s="95">
        <f t="shared" si="5"/>
        <v>96.8</v>
      </c>
      <c r="U149" s="1" t="s">
        <v>4006</v>
      </c>
      <c r="V149" s="87" t="s">
        <v>4007</v>
      </c>
      <c r="W149" s="2">
        <v>34045</v>
      </c>
      <c r="X149" s="2">
        <v>44035</v>
      </c>
      <c r="Y149" s="11" t="s">
        <v>4059</v>
      </c>
      <c r="Z149" s="3">
        <v>44063</v>
      </c>
      <c r="AA149" s="80" t="s">
        <v>1339</v>
      </c>
      <c r="AD149" t="s">
        <v>3198</v>
      </c>
      <c r="AG149" s="1" t="s">
        <v>3221</v>
      </c>
      <c r="AH149" s="2">
        <v>44040</v>
      </c>
      <c r="AK149" s="2">
        <v>44048</v>
      </c>
    </row>
    <row r="150" spans="1:37">
      <c r="A150" s="1">
        <v>149</v>
      </c>
      <c r="B150" s="61" t="s">
        <v>1414</v>
      </c>
      <c r="C150" s="2">
        <v>44036</v>
      </c>
      <c r="D150" t="s">
        <v>2781</v>
      </c>
      <c r="E150" s="14" t="s">
        <v>229</v>
      </c>
      <c r="F150" t="s">
        <v>4023</v>
      </c>
      <c r="G150" s="6" t="s">
        <v>230</v>
      </c>
      <c r="H150" t="s">
        <v>1262</v>
      </c>
      <c r="I150" s="1">
        <v>637571817</v>
      </c>
      <c r="K150" t="s">
        <v>2781</v>
      </c>
      <c r="L150" s="2">
        <v>44043</v>
      </c>
      <c r="M150" s="1" t="s">
        <v>35</v>
      </c>
      <c r="N150" s="14" t="s">
        <v>4008</v>
      </c>
      <c r="O150" s="144">
        <v>100</v>
      </c>
      <c r="P150" s="1">
        <v>1</v>
      </c>
      <c r="Q150" s="90">
        <v>0.21</v>
      </c>
      <c r="R150" s="113">
        <v>0.2</v>
      </c>
      <c r="S150" s="1" t="s">
        <v>36</v>
      </c>
      <c r="T150" s="95">
        <f t="shared" si="5"/>
        <v>96.8</v>
      </c>
      <c r="U150" s="1" t="s">
        <v>4009</v>
      </c>
      <c r="V150" s="87" t="s">
        <v>4010</v>
      </c>
      <c r="W150" s="2">
        <v>32435</v>
      </c>
      <c r="X150" s="2">
        <v>44036</v>
      </c>
      <c r="Y150" s="11" t="s">
        <v>4100</v>
      </c>
      <c r="Z150" s="3">
        <v>44095</v>
      </c>
      <c r="AA150" s="80" t="s">
        <v>1339</v>
      </c>
      <c r="AD150" t="s">
        <v>3198</v>
      </c>
      <c r="AG150" s="1" t="s">
        <v>3108</v>
      </c>
      <c r="AH150" s="2">
        <v>44040</v>
      </c>
      <c r="AK150" s="2">
        <v>44041</v>
      </c>
    </row>
    <row r="151" spans="1:37">
      <c r="A151" s="1">
        <v>150</v>
      </c>
      <c r="B151" s="61" t="s">
        <v>119</v>
      </c>
      <c r="C151" s="2">
        <v>44036</v>
      </c>
      <c r="D151" s="1" t="s">
        <v>4011</v>
      </c>
      <c r="E151" s="61" t="s">
        <v>4012</v>
      </c>
      <c r="F151" s="61" t="s">
        <v>4024</v>
      </c>
      <c r="G151" s="6" t="s">
        <v>239</v>
      </c>
      <c r="H151" s="1" t="s">
        <v>86</v>
      </c>
      <c r="I151" s="1" t="s">
        <v>4013</v>
      </c>
      <c r="J151" s="1"/>
      <c r="K151" s="31" t="s">
        <v>174</v>
      </c>
      <c r="L151" s="2">
        <v>44043</v>
      </c>
      <c r="M151" s="1" t="s">
        <v>35</v>
      </c>
      <c r="N151" s="14" t="s">
        <v>4014</v>
      </c>
      <c r="O151" s="144">
        <v>100</v>
      </c>
      <c r="P151" s="1">
        <v>1</v>
      </c>
      <c r="Q151" s="90">
        <v>0.21</v>
      </c>
      <c r="R151" s="113">
        <v>0.2</v>
      </c>
      <c r="S151" s="1" t="s">
        <v>36</v>
      </c>
      <c r="T151" s="95">
        <f t="shared" si="5"/>
        <v>96.8</v>
      </c>
      <c r="U151" s="1" t="s">
        <v>4015</v>
      </c>
      <c r="V151" s="87" t="s">
        <v>4016</v>
      </c>
      <c r="W151" s="2">
        <v>31407</v>
      </c>
      <c r="X151" s="2">
        <v>44036</v>
      </c>
      <c r="Y151" s="11" t="s">
        <v>4100</v>
      </c>
      <c r="Z151" s="3">
        <v>44095</v>
      </c>
      <c r="AA151" s="80" t="s">
        <v>1339</v>
      </c>
      <c r="AD151" t="s">
        <v>3198</v>
      </c>
      <c r="AG151" s="1" t="s">
        <v>4017</v>
      </c>
      <c r="AH151" s="2">
        <v>44040</v>
      </c>
      <c r="AK151" s="2">
        <v>44042</v>
      </c>
    </row>
    <row r="152" spans="1:37">
      <c r="A152" s="1">
        <v>151</v>
      </c>
      <c r="B152" s="61" t="s">
        <v>33</v>
      </c>
      <c r="C152" s="2">
        <v>44039</v>
      </c>
      <c r="D152" s="1" t="s">
        <v>4018</v>
      </c>
      <c r="E152" s="61" t="s">
        <v>4019</v>
      </c>
      <c r="F152" s="61" t="s">
        <v>4026</v>
      </c>
      <c r="G152" s="6" t="s">
        <v>219</v>
      </c>
      <c r="H152" s="1" t="s">
        <v>34</v>
      </c>
      <c r="I152" s="1">
        <v>616614998</v>
      </c>
      <c r="J152" s="1"/>
      <c r="K152" t="s">
        <v>237</v>
      </c>
      <c r="L152" s="2">
        <v>44043</v>
      </c>
      <c r="M152" s="1" t="s">
        <v>35</v>
      </c>
      <c r="N152" s="14" t="s">
        <v>4027</v>
      </c>
      <c r="O152" s="144">
        <v>100</v>
      </c>
      <c r="P152" s="1">
        <v>1</v>
      </c>
      <c r="Q152" s="90">
        <v>0.21</v>
      </c>
      <c r="R152" s="113">
        <v>0.2</v>
      </c>
      <c r="S152" s="1" t="s">
        <v>36</v>
      </c>
      <c r="T152" s="95">
        <f t="shared" si="5"/>
        <v>96.8</v>
      </c>
      <c r="U152" s="1" t="s">
        <v>4030</v>
      </c>
      <c r="V152" s="87" t="s">
        <v>4031</v>
      </c>
      <c r="W152" s="2">
        <v>34640</v>
      </c>
      <c r="X152" s="2">
        <v>44039</v>
      </c>
      <c r="Y152" s="11" t="s">
        <v>4191</v>
      </c>
      <c r="Z152" s="3">
        <v>44112</v>
      </c>
      <c r="AA152" s="80" t="s">
        <v>1339</v>
      </c>
      <c r="AC152" s="115">
        <v>44102</v>
      </c>
      <c r="AD152" t="s">
        <v>3198</v>
      </c>
      <c r="AG152" s="1" t="s">
        <v>4028</v>
      </c>
      <c r="AH152" s="2"/>
      <c r="AK152" s="2">
        <v>44067</v>
      </c>
    </row>
    <row r="153" spans="1:37">
      <c r="A153" s="1">
        <v>152</v>
      </c>
      <c r="B153" s="61" t="s">
        <v>37</v>
      </c>
      <c r="C153" s="2">
        <v>44043</v>
      </c>
      <c r="D153" s="1" t="s">
        <v>4032</v>
      </c>
      <c r="E153" s="160" t="s">
        <v>4033</v>
      </c>
      <c r="F153" s="61" t="s">
        <v>4040</v>
      </c>
      <c r="G153" s="6" t="s">
        <v>4034</v>
      </c>
      <c r="H153" s="1" t="s">
        <v>4035</v>
      </c>
      <c r="I153" s="1">
        <v>642417824</v>
      </c>
      <c r="J153" s="1"/>
      <c r="K153" s="1" t="s">
        <v>4032</v>
      </c>
      <c r="L153" s="2">
        <v>44043</v>
      </c>
      <c r="M153" s="1" t="s">
        <v>35</v>
      </c>
      <c r="N153" s="14" t="s">
        <v>4036</v>
      </c>
      <c r="O153" s="144">
        <v>60</v>
      </c>
      <c r="P153" s="1">
        <v>1</v>
      </c>
      <c r="Q153" s="90">
        <v>0.21</v>
      </c>
      <c r="R153" s="90">
        <v>0</v>
      </c>
      <c r="S153" s="1" t="s">
        <v>36</v>
      </c>
      <c r="T153" s="95">
        <f t="shared" si="5"/>
        <v>72.599999999999994</v>
      </c>
      <c r="U153" s="1" t="s">
        <v>4032</v>
      </c>
      <c r="V153" s="87" t="s">
        <v>4037</v>
      </c>
      <c r="W153" s="2">
        <v>25869</v>
      </c>
      <c r="X153" s="2">
        <v>44043</v>
      </c>
      <c r="Y153" s="11" t="s">
        <v>4188</v>
      </c>
      <c r="Z153" s="3">
        <v>44112</v>
      </c>
      <c r="AA153" s="80" t="s">
        <v>1339</v>
      </c>
      <c r="AD153" t="s">
        <v>3198</v>
      </c>
    </row>
    <row r="154" spans="1:37">
      <c r="A154" s="1">
        <v>153</v>
      </c>
      <c r="B154" s="61" t="s">
        <v>37</v>
      </c>
      <c r="C154" s="2">
        <v>44043</v>
      </c>
      <c r="D154" s="1" t="s">
        <v>4038</v>
      </c>
      <c r="E154" s="61" t="s">
        <v>4039</v>
      </c>
      <c r="F154" s="61" t="s">
        <v>4041</v>
      </c>
      <c r="G154" s="6" t="s">
        <v>928</v>
      </c>
      <c r="H154" s="1" t="s">
        <v>3681</v>
      </c>
      <c r="J154" s="1"/>
      <c r="K154" s="1" t="s">
        <v>4038</v>
      </c>
      <c r="L154" s="2">
        <v>44043</v>
      </c>
      <c r="M154" s="1" t="s">
        <v>35</v>
      </c>
      <c r="N154" t="s">
        <v>4042</v>
      </c>
      <c r="O154" s="144">
        <v>60</v>
      </c>
      <c r="P154" s="1">
        <v>1</v>
      </c>
      <c r="Q154" s="90">
        <v>0.21</v>
      </c>
      <c r="R154" s="90">
        <v>0</v>
      </c>
      <c r="S154" s="1" t="s">
        <v>36</v>
      </c>
      <c r="T154" s="147">
        <f t="shared" si="5"/>
        <v>72.599999999999994</v>
      </c>
      <c r="U154" s="1" t="s">
        <v>4038</v>
      </c>
      <c r="V154" s="87" t="s">
        <v>4043</v>
      </c>
      <c r="W154" s="2">
        <v>26356</v>
      </c>
      <c r="X154" s="2">
        <v>44043</v>
      </c>
      <c r="Y154" s="11" t="s">
        <v>4060</v>
      </c>
      <c r="Z154" s="3">
        <v>44067</v>
      </c>
      <c r="AA154" s="80" t="s">
        <v>1339</v>
      </c>
      <c r="AD154" t="s">
        <v>3198</v>
      </c>
    </row>
    <row r="155" spans="1:37">
      <c r="A155" s="1">
        <v>154</v>
      </c>
      <c r="B155" s="61" t="s">
        <v>40</v>
      </c>
      <c r="C155" s="2">
        <v>44043</v>
      </c>
      <c r="D155" s="1" t="s">
        <v>2591</v>
      </c>
      <c r="E155" s="61" t="s">
        <v>2592</v>
      </c>
      <c r="F155" s="61" t="s">
        <v>4044</v>
      </c>
      <c r="G155" s="6" t="s">
        <v>230</v>
      </c>
      <c r="H155" t="s">
        <v>1262</v>
      </c>
      <c r="J155" s="1"/>
      <c r="K155" s="1" t="s">
        <v>2591</v>
      </c>
      <c r="L155" s="2">
        <v>44043</v>
      </c>
      <c r="M155" s="1" t="s">
        <v>35</v>
      </c>
      <c r="N155" s="14" t="s">
        <v>4045</v>
      </c>
      <c r="O155" s="144">
        <v>60</v>
      </c>
      <c r="P155" s="1">
        <v>1</v>
      </c>
      <c r="Q155" s="90">
        <v>0.21</v>
      </c>
      <c r="R155" s="90">
        <v>0.2</v>
      </c>
      <c r="S155" s="1" t="s">
        <v>36</v>
      </c>
      <c r="T155" s="95">
        <f t="shared" si="5"/>
        <v>58.08</v>
      </c>
      <c r="U155" s="1" t="s">
        <v>2595</v>
      </c>
      <c r="V155" s="87" t="s">
        <v>4046</v>
      </c>
      <c r="W155" s="2">
        <v>33368</v>
      </c>
      <c r="X155" s="2">
        <v>44043</v>
      </c>
      <c r="Y155" s="11" t="s">
        <v>4105</v>
      </c>
      <c r="Z155" s="3">
        <v>44096</v>
      </c>
      <c r="AA155" s="80" t="s">
        <v>1339</v>
      </c>
      <c r="AD155" t="s">
        <v>3198</v>
      </c>
    </row>
    <row r="156" spans="1:37">
      <c r="A156" s="1">
        <v>155</v>
      </c>
      <c r="B156" s="61" t="s">
        <v>4047</v>
      </c>
      <c r="C156" s="2">
        <v>44042</v>
      </c>
      <c r="D156" s="1" t="s">
        <v>4048</v>
      </c>
      <c r="E156" s="61" t="s">
        <v>4049</v>
      </c>
      <c r="F156" s="61" t="s">
        <v>4050</v>
      </c>
      <c r="G156" s="6" t="s">
        <v>294</v>
      </c>
      <c r="H156" s="1" t="s">
        <v>103</v>
      </c>
      <c r="I156" s="1">
        <v>649440801</v>
      </c>
      <c r="J156" s="1"/>
      <c r="K156" s="1" t="s">
        <v>4048</v>
      </c>
      <c r="L156" s="2">
        <v>44074</v>
      </c>
      <c r="M156" s="1" t="s">
        <v>35</v>
      </c>
      <c r="N156" s="14" t="s">
        <v>4051</v>
      </c>
      <c r="O156" s="144">
        <v>100</v>
      </c>
      <c r="P156" s="1">
        <v>1</v>
      </c>
      <c r="Q156" s="90">
        <v>0.21</v>
      </c>
      <c r="R156" s="113">
        <v>0.2</v>
      </c>
      <c r="S156" s="1" t="s">
        <v>36</v>
      </c>
      <c r="T156" s="95">
        <f t="shared" si="5"/>
        <v>96.8</v>
      </c>
      <c r="U156" s="1" t="s">
        <v>4056</v>
      </c>
      <c r="V156" s="87" t="s">
        <v>4057</v>
      </c>
      <c r="W156" s="2">
        <v>33238</v>
      </c>
      <c r="X156" s="2">
        <v>44042</v>
      </c>
      <c r="Y156" s="11" t="s">
        <v>4227</v>
      </c>
      <c r="Z156" s="3">
        <v>44119</v>
      </c>
      <c r="AA156" s="80" t="s">
        <v>1339</v>
      </c>
      <c r="AD156" t="s">
        <v>3198</v>
      </c>
      <c r="AG156" s="1" t="s">
        <v>4052</v>
      </c>
      <c r="AH156" s="2">
        <v>44042</v>
      </c>
      <c r="AI156" s="2">
        <v>44053</v>
      </c>
      <c r="AK156" s="2">
        <v>44050</v>
      </c>
    </row>
    <row r="157" spans="1:37">
      <c r="A157" s="1">
        <v>156</v>
      </c>
      <c r="B157" s="61" t="s">
        <v>52</v>
      </c>
      <c r="C157" s="2">
        <v>44070</v>
      </c>
      <c r="D157" s="1" t="s">
        <v>4061</v>
      </c>
      <c r="E157" s="61" t="s">
        <v>4062</v>
      </c>
      <c r="F157" s="61" t="s">
        <v>4063</v>
      </c>
      <c r="G157" s="6" t="s">
        <v>230</v>
      </c>
      <c r="H157" s="1" t="s">
        <v>4064</v>
      </c>
      <c r="I157" s="1">
        <v>649019386</v>
      </c>
      <c r="J157" s="1"/>
      <c r="K157" s="31" t="s">
        <v>53</v>
      </c>
      <c r="L157" s="2">
        <v>44074</v>
      </c>
      <c r="M157" s="1" t="s">
        <v>35</v>
      </c>
      <c r="N157" s="14" t="s">
        <v>4065</v>
      </c>
      <c r="O157" s="144">
        <v>30</v>
      </c>
      <c r="P157" s="1">
        <v>1</v>
      </c>
      <c r="Q157" s="90">
        <v>0.21</v>
      </c>
      <c r="R157" s="90">
        <v>0</v>
      </c>
      <c r="S157" s="1" t="s">
        <v>36</v>
      </c>
      <c r="T157" s="95">
        <f t="shared" si="5"/>
        <v>36.299999999999997</v>
      </c>
      <c r="U157" s="1" t="s">
        <v>4061</v>
      </c>
      <c r="V157" s="87" t="s">
        <v>4066</v>
      </c>
      <c r="W157" s="2">
        <v>28985</v>
      </c>
      <c r="X157" s="2">
        <v>44070</v>
      </c>
      <c r="Y157" s="11" t="s">
        <v>4216</v>
      </c>
      <c r="Z157" s="3">
        <v>44118</v>
      </c>
      <c r="AA157" s="80" t="s">
        <v>1339</v>
      </c>
      <c r="AC157" s="162">
        <v>44111</v>
      </c>
      <c r="AD157" t="s">
        <v>3198</v>
      </c>
    </row>
    <row r="158" spans="1:37">
      <c r="A158" s="1">
        <v>157</v>
      </c>
      <c r="B158" s="61" t="s">
        <v>37</v>
      </c>
      <c r="C158" s="2">
        <v>44075</v>
      </c>
      <c r="D158" s="1" t="s">
        <v>2758</v>
      </c>
      <c r="E158" s="61" t="s">
        <v>2759</v>
      </c>
      <c r="F158" s="61" t="s">
        <v>4068</v>
      </c>
      <c r="G158" s="6" t="s">
        <v>221</v>
      </c>
      <c r="H158" s="1" t="s">
        <v>34</v>
      </c>
      <c r="I158" s="1">
        <v>661219847</v>
      </c>
      <c r="J158" s="1"/>
      <c r="K158" s="1" t="s">
        <v>2758</v>
      </c>
      <c r="L158" s="2">
        <v>44104</v>
      </c>
      <c r="M158" s="1" t="s">
        <v>35</v>
      </c>
      <c r="N158" s="14" t="s">
        <v>4069</v>
      </c>
      <c r="O158" s="144">
        <v>60</v>
      </c>
      <c r="P158" s="1">
        <v>1</v>
      </c>
      <c r="Q158" s="90">
        <v>0.21</v>
      </c>
      <c r="R158" s="90">
        <v>0</v>
      </c>
      <c r="S158" s="1" t="s">
        <v>36</v>
      </c>
      <c r="T158" s="95">
        <v>72.599999999999994</v>
      </c>
      <c r="U158" s="1" t="s">
        <v>2758</v>
      </c>
      <c r="V158" s="87" t="s">
        <v>4067</v>
      </c>
      <c r="W158" s="2">
        <v>31594</v>
      </c>
      <c r="X158" s="2">
        <v>44075</v>
      </c>
      <c r="Y158" s="11" t="s">
        <v>4226</v>
      </c>
      <c r="Z158" s="3">
        <v>44119</v>
      </c>
      <c r="AA158" s="80" t="s">
        <v>1339</v>
      </c>
      <c r="AD158" t="s">
        <v>3198</v>
      </c>
    </row>
    <row r="159" spans="1:37">
      <c r="A159" s="1">
        <v>158</v>
      </c>
      <c r="B159" s="61" t="s">
        <v>4074</v>
      </c>
      <c r="C159" s="2">
        <v>44075</v>
      </c>
      <c r="D159" t="s">
        <v>2841</v>
      </c>
      <c r="E159" t="s">
        <v>4070</v>
      </c>
      <c r="F159" t="s">
        <v>4075</v>
      </c>
      <c r="G159" s="6" t="s">
        <v>219</v>
      </c>
      <c r="H159" t="s">
        <v>38</v>
      </c>
      <c r="I159" t="s">
        <v>4071</v>
      </c>
      <c r="K159" t="s">
        <v>2841</v>
      </c>
      <c r="L159" s="3">
        <v>44104</v>
      </c>
      <c r="M159" s="1" t="s">
        <v>35</v>
      </c>
      <c r="N159" s="14" t="s">
        <v>4072</v>
      </c>
      <c r="O159" s="144">
        <v>60</v>
      </c>
      <c r="P159" s="1">
        <v>1</v>
      </c>
      <c r="Q159" s="90">
        <v>0.21</v>
      </c>
      <c r="R159" s="90">
        <v>0</v>
      </c>
      <c r="S159" s="1" t="s">
        <v>36</v>
      </c>
      <c r="T159" s="95">
        <v>72.599999999999994</v>
      </c>
      <c r="U159" t="s">
        <v>2841</v>
      </c>
      <c r="V159" s="87" t="s">
        <v>4076</v>
      </c>
      <c r="W159" s="2">
        <v>33604</v>
      </c>
      <c r="X159" s="2">
        <v>44075</v>
      </c>
      <c r="Y159" s="11" t="s">
        <v>4190</v>
      </c>
      <c r="Z159" s="3">
        <v>44112</v>
      </c>
      <c r="AA159" s="80" t="s">
        <v>1339</v>
      </c>
      <c r="AD159" t="s">
        <v>3198</v>
      </c>
    </row>
    <row r="160" spans="1:37">
      <c r="A160" s="1">
        <v>159</v>
      </c>
      <c r="B160" s="61" t="s">
        <v>3526</v>
      </c>
      <c r="C160" s="2">
        <v>44082</v>
      </c>
      <c r="D160" s="1" t="s">
        <v>4078</v>
      </c>
      <c r="E160" s="61" t="s">
        <v>4077</v>
      </c>
      <c r="F160" s="61" t="s">
        <v>4079</v>
      </c>
      <c r="G160" s="6" t="s">
        <v>4080</v>
      </c>
      <c r="H160" s="1" t="s">
        <v>4081</v>
      </c>
      <c r="K160" s="1" t="s">
        <v>4078</v>
      </c>
      <c r="L160" s="3">
        <v>44104</v>
      </c>
      <c r="M160" s="1" t="s">
        <v>35</v>
      </c>
      <c r="N160" t="s">
        <v>4082</v>
      </c>
      <c r="O160" s="144">
        <v>70</v>
      </c>
      <c r="P160" s="1">
        <v>1</v>
      </c>
      <c r="Q160" s="90">
        <v>0.21</v>
      </c>
      <c r="R160" s="90">
        <v>0.2</v>
      </c>
      <c r="S160" s="1" t="s">
        <v>36</v>
      </c>
      <c r="T160" s="95">
        <f t="shared" si="5"/>
        <v>67.760000000000005</v>
      </c>
      <c r="U160" s="1" t="s">
        <v>4085</v>
      </c>
      <c r="W160" s="2">
        <v>29636</v>
      </c>
      <c r="X160" s="2">
        <v>44082</v>
      </c>
      <c r="Y160" s="11" t="s">
        <v>151</v>
      </c>
      <c r="AA160" s="80" t="s">
        <v>1339</v>
      </c>
      <c r="AD160" t="s">
        <v>3198</v>
      </c>
    </row>
    <row r="161" spans="1:37">
      <c r="A161" s="1">
        <v>160</v>
      </c>
      <c r="B161" s="61" t="s">
        <v>3526</v>
      </c>
      <c r="C161" s="2">
        <v>44082</v>
      </c>
      <c r="D161" s="1" t="s">
        <v>4078</v>
      </c>
      <c r="E161" s="61" t="s">
        <v>4077</v>
      </c>
      <c r="F161" s="61" t="s">
        <v>4079</v>
      </c>
      <c r="G161" s="6" t="s">
        <v>4080</v>
      </c>
      <c r="H161" s="1" t="s">
        <v>4081</v>
      </c>
      <c r="K161" s="1" t="s">
        <v>4078</v>
      </c>
      <c r="L161" s="3">
        <v>44104</v>
      </c>
      <c r="M161" s="1" t="s">
        <v>35</v>
      </c>
      <c r="N161" t="s">
        <v>4083</v>
      </c>
      <c r="O161" s="144">
        <v>70</v>
      </c>
      <c r="P161" s="1">
        <v>1</v>
      </c>
      <c r="Q161" s="90">
        <v>0.21</v>
      </c>
      <c r="R161" s="90">
        <v>0.2</v>
      </c>
      <c r="S161" s="1" t="s">
        <v>36</v>
      </c>
      <c r="T161" s="95">
        <f t="shared" si="5"/>
        <v>67.760000000000005</v>
      </c>
      <c r="U161" s="1" t="s">
        <v>4084</v>
      </c>
      <c r="W161" s="2">
        <v>29882</v>
      </c>
      <c r="X161" s="2">
        <v>44082</v>
      </c>
      <c r="Y161" s="11" t="s">
        <v>151</v>
      </c>
      <c r="AA161" s="80" t="s">
        <v>1339</v>
      </c>
      <c r="AD161" t="s">
        <v>3198</v>
      </c>
    </row>
    <row r="162" spans="1:37">
      <c r="A162" s="1">
        <v>161</v>
      </c>
      <c r="B162" s="61" t="s">
        <v>37</v>
      </c>
      <c r="C162" s="2">
        <v>44084</v>
      </c>
      <c r="D162" s="1" t="s">
        <v>1827</v>
      </c>
      <c r="E162" s="61" t="s">
        <v>1828</v>
      </c>
      <c r="F162" s="61" t="s">
        <v>4086</v>
      </c>
      <c r="G162" s="6" t="s">
        <v>4087</v>
      </c>
      <c r="H162" s="1" t="s">
        <v>4088</v>
      </c>
      <c r="I162" s="1">
        <v>631906364</v>
      </c>
      <c r="K162" s="1" t="s">
        <v>1827</v>
      </c>
      <c r="L162" s="3">
        <v>44104</v>
      </c>
      <c r="M162" s="1" t="s">
        <v>35</v>
      </c>
      <c r="N162" t="s">
        <v>4089</v>
      </c>
      <c r="O162" s="144">
        <v>60</v>
      </c>
      <c r="P162" s="1">
        <v>1</v>
      </c>
      <c r="Q162" s="90">
        <v>0.21</v>
      </c>
      <c r="R162" s="90">
        <v>0</v>
      </c>
      <c r="S162" s="1" t="s">
        <v>36</v>
      </c>
      <c r="T162" s="95">
        <f t="shared" si="5"/>
        <v>72.599999999999994</v>
      </c>
      <c r="U162" s="1" t="s">
        <v>1827</v>
      </c>
      <c r="V162" s="87" t="s">
        <v>4090</v>
      </c>
      <c r="W162" s="2">
        <v>27738</v>
      </c>
      <c r="X162" s="2">
        <v>44084</v>
      </c>
      <c r="Y162" s="11" t="s">
        <v>4319</v>
      </c>
      <c r="Z162" s="3">
        <v>44144</v>
      </c>
      <c r="AA162" s="80" t="s">
        <v>1339</v>
      </c>
      <c r="AD162" t="s">
        <v>3198</v>
      </c>
    </row>
    <row r="163" spans="1:37">
      <c r="A163" s="1">
        <v>162</v>
      </c>
      <c r="B163" s="150" t="s">
        <v>4092</v>
      </c>
      <c r="C163" s="151">
        <v>44089</v>
      </c>
      <c r="D163" s="149" t="s">
        <v>2801</v>
      </c>
      <c r="E163" s="150" t="s">
        <v>4093</v>
      </c>
      <c r="F163" s="150" t="s">
        <v>3879</v>
      </c>
      <c r="G163" s="152" t="s">
        <v>1402</v>
      </c>
      <c r="H163" s="149" t="s">
        <v>3681</v>
      </c>
      <c r="I163" s="149"/>
      <c r="J163" s="153"/>
      <c r="K163" s="149" t="s">
        <v>2801</v>
      </c>
      <c r="L163" s="154">
        <v>44104</v>
      </c>
      <c r="M163" s="149" t="s">
        <v>35</v>
      </c>
      <c r="N163" s="153" t="s">
        <v>4094</v>
      </c>
      <c r="O163" s="155" t="s">
        <v>3407</v>
      </c>
      <c r="P163" s="149" t="s">
        <v>3407</v>
      </c>
      <c r="Q163" s="156" t="s">
        <v>3407</v>
      </c>
      <c r="R163" s="156" t="s">
        <v>3407</v>
      </c>
      <c r="S163" s="149" t="s">
        <v>36</v>
      </c>
      <c r="T163" s="157" t="s">
        <v>3407</v>
      </c>
      <c r="U163" s="149" t="s">
        <v>2801</v>
      </c>
      <c r="V163" s="158" t="s">
        <v>4095</v>
      </c>
      <c r="W163" s="151"/>
      <c r="X163" s="151">
        <v>44089</v>
      </c>
      <c r="Y163" s="11" t="s">
        <v>1326</v>
      </c>
      <c r="Z163" s="153"/>
      <c r="AA163" s="153"/>
      <c r="AB163" s="153"/>
      <c r="AC163" s="153"/>
      <c r="AD163" s="153" t="s">
        <v>3198</v>
      </c>
    </row>
    <row r="164" spans="1:37">
      <c r="A164" s="1">
        <v>163</v>
      </c>
      <c r="B164" s="61" t="s">
        <v>3895</v>
      </c>
      <c r="C164" s="2">
        <v>44095</v>
      </c>
      <c r="D164" s="31" t="s">
        <v>2464</v>
      </c>
      <c r="E164" t="s">
        <v>4189</v>
      </c>
      <c r="F164" s="31" t="s">
        <v>188</v>
      </c>
      <c r="G164" s="33" t="s">
        <v>220</v>
      </c>
      <c r="H164" s="31" t="s">
        <v>92</v>
      </c>
      <c r="I164" s="31"/>
      <c r="J164" s="31"/>
      <c r="K164" s="31" t="s">
        <v>2464</v>
      </c>
      <c r="L164" s="3">
        <v>44104</v>
      </c>
      <c r="M164" s="1" t="s">
        <v>35</v>
      </c>
      <c r="N164" s="14" t="s">
        <v>4097</v>
      </c>
      <c r="O164" s="144">
        <v>60</v>
      </c>
      <c r="P164" s="1">
        <v>1</v>
      </c>
      <c r="Q164" s="90">
        <v>0.21</v>
      </c>
      <c r="R164" s="90">
        <v>0.2</v>
      </c>
      <c r="S164" s="1" t="s">
        <v>36</v>
      </c>
      <c r="T164" s="95">
        <f t="shared" si="5"/>
        <v>58.08</v>
      </c>
      <c r="U164" s="1" t="s">
        <v>4098</v>
      </c>
      <c r="V164" s="87" t="s">
        <v>4099</v>
      </c>
      <c r="W164" s="2">
        <v>31693</v>
      </c>
      <c r="X164" s="2">
        <v>44095</v>
      </c>
      <c r="Y164" s="11" t="s">
        <v>4296</v>
      </c>
      <c r="Z164" s="3">
        <v>44138</v>
      </c>
      <c r="AA164" s="80" t="s">
        <v>1339</v>
      </c>
      <c r="AD164" t="s">
        <v>3198</v>
      </c>
    </row>
    <row r="165" spans="1:37">
      <c r="A165" s="1">
        <v>164</v>
      </c>
      <c r="B165" s="61" t="s">
        <v>37</v>
      </c>
      <c r="C165" s="2">
        <v>44085</v>
      </c>
      <c r="D165" s="1" t="s">
        <v>4101</v>
      </c>
      <c r="E165" s="61" t="s">
        <v>4102</v>
      </c>
      <c r="F165" s="61" t="s">
        <v>4103</v>
      </c>
      <c r="G165" s="6" t="s">
        <v>1402</v>
      </c>
      <c r="H165" s="1" t="s">
        <v>3681</v>
      </c>
      <c r="K165" s="1" t="s">
        <v>4101</v>
      </c>
      <c r="L165" s="3">
        <v>44104</v>
      </c>
      <c r="M165" s="1" t="s">
        <v>35</v>
      </c>
      <c r="N165" s="14" t="s">
        <v>4104</v>
      </c>
      <c r="O165" s="144">
        <v>100</v>
      </c>
      <c r="P165" s="1">
        <v>1</v>
      </c>
      <c r="Q165" s="90">
        <v>0.21</v>
      </c>
      <c r="R165" s="90">
        <v>0</v>
      </c>
      <c r="S165" s="1" t="s">
        <v>36</v>
      </c>
      <c r="T165" s="95">
        <f t="shared" si="5"/>
        <v>121</v>
      </c>
      <c r="U165" s="1" t="s">
        <v>4101</v>
      </c>
      <c r="V165" s="6" t="s">
        <v>4106</v>
      </c>
      <c r="W165" s="2">
        <v>33588</v>
      </c>
      <c r="X165" s="2">
        <v>44085</v>
      </c>
      <c r="Y165" s="11" t="s">
        <v>4327</v>
      </c>
      <c r="Z165" s="3">
        <v>44146</v>
      </c>
      <c r="AA165" s="80" t="s">
        <v>1339</v>
      </c>
      <c r="AD165" t="s">
        <v>3198</v>
      </c>
      <c r="AH165" s="1" t="s">
        <v>77</v>
      </c>
      <c r="AK165" s="2">
        <v>44096</v>
      </c>
    </row>
    <row r="166" spans="1:37">
      <c r="A166" s="1">
        <v>165</v>
      </c>
      <c r="B166" s="61" t="s">
        <v>3526</v>
      </c>
      <c r="C166" s="2">
        <v>44085</v>
      </c>
      <c r="D166" s="1" t="s">
        <v>4107</v>
      </c>
      <c r="E166" s="61" t="s">
        <v>4108</v>
      </c>
      <c r="F166" s="61" t="s">
        <v>4109</v>
      </c>
      <c r="G166" s="6" t="s">
        <v>259</v>
      </c>
      <c r="H166" s="1" t="s">
        <v>4110</v>
      </c>
      <c r="K166" s="1" t="s">
        <v>4107</v>
      </c>
      <c r="L166" s="3">
        <v>44104</v>
      </c>
      <c r="M166" s="1" t="s">
        <v>35</v>
      </c>
      <c r="N166" t="s">
        <v>4112</v>
      </c>
      <c r="O166" s="144">
        <v>100</v>
      </c>
      <c r="P166" s="1">
        <v>1</v>
      </c>
      <c r="Q166" s="90">
        <v>0.21</v>
      </c>
      <c r="R166" s="90">
        <v>0.2</v>
      </c>
      <c r="S166" s="1" t="s">
        <v>36</v>
      </c>
      <c r="T166" s="95">
        <f t="shared" si="5"/>
        <v>96.8</v>
      </c>
      <c r="U166" s="1" t="s">
        <v>4111</v>
      </c>
      <c r="V166" s="87" t="s">
        <v>4113</v>
      </c>
      <c r="W166" s="2">
        <v>33933</v>
      </c>
      <c r="X166" s="2">
        <v>44085</v>
      </c>
      <c r="Y166" s="11" t="s">
        <v>4327</v>
      </c>
      <c r="Z166" s="3">
        <v>44146</v>
      </c>
      <c r="AA166" s="80" t="s">
        <v>1339</v>
      </c>
      <c r="AD166" t="s">
        <v>3198</v>
      </c>
    </row>
    <row r="167" spans="1:37">
      <c r="A167" s="1">
        <v>166</v>
      </c>
      <c r="B167" s="61" t="s">
        <v>37</v>
      </c>
      <c r="C167" s="2">
        <v>44098</v>
      </c>
      <c r="D167" s="1" t="s">
        <v>4114</v>
      </c>
      <c r="E167" s="61" t="s">
        <v>4115</v>
      </c>
      <c r="F167" s="61" t="s">
        <v>4116</v>
      </c>
      <c r="G167" s="6" t="s">
        <v>221</v>
      </c>
      <c r="H167" s="1" t="s">
        <v>39</v>
      </c>
      <c r="K167" s="1" t="s">
        <v>4114</v>
      </c>
      <c r="L167" s="3">
        <v>44104</v>
      </c>
      <c r="M167" s="1" t="s">
        <v>35</v>
      </c>
      <c r="N167" t="s">
        <v>4117</v>
      </c>
      <c r="O167" s="92">
        <v>30</v>
      </c>
      <c r="P167" s="1">
        <v>1</v>
      </c>
      <c r="Q167" s="90">
        <v>0.21</v>
      </c>
      <c r="R167" s="90">
        <v>0</v>
      </c>
      <c r="S167" s="1" t="s">
        <v>36</v>
      </c>
      <c r="T167" s="95">
        <f t="shared" si="5"/>
        <v>36.299999999999997</v>
      </c>
      <c r="U167" s="1" t="s">
        <v>4114</v>
      </c>
      <c r="V167" s="159" t="s">
        <v>4118</v>
      </c>
      <c r="W167" s="2">
        <v>27736</v>
      </c>
      <c r="X167" s="2">
        <v>44098</v>
      </c>
      <c r="Y167" s="11" t="s">
        <v>1326</v>
      </c>
      <c r="AD167" t="s">
        <v>3198</v>
      </c>
    </row>
    <row r="168" spans="1:37">
      <c r="A168" s="1">
        <v>167</v>
      </c>
      <c r="B168" s="61" t="s">
        <v>4119</v>
      </c>
      <c r="C168" s="2">
        <v>44099</v>
      </c>
      <c r="D168" s="1" t="s">
        <v>2878</v>
      </c>
      <c r="E168" s="61" t="s">
        <v>4120</v>
      </c>
      <c r="F168" s="61" t="s">
        <v>4121</v>
      </c>
      <c r="G168" s="6" t="s">
        <v>432</v>
      </c>
      <c r="H168" s="1" t="s">
        <v>3681</v>
      </c>
      <c r="K168" s="1" t="s">
        <v>2878</v>
      </c>
      <c r="L168" s="3">
        <v>44104</v>
      </c>
      <c r="M168" s="1" t="s">
        <v>35</v>
      </c>
      <c r="N168" s="14" t="s">
        <v>4122</v>
      </c>
      <c r="O168" s="92">
        <v>60</v>
      </c>
      <c r="P168" s="1">
        <v>1</v>
      </c>
      <c r="Q168" s="90">
        <v>0.21</v>
      </c>
      <c r="R168" s="90">
        <v>0</v>
      </c>
      <c r="S168" s="1" t="s">
        <v>36</v>
      </c>
      <c r="T168" s="95">
        <f t="shared" si="5"/>
        <v>72.599999999999994</v>
      </c>
      <c r="U168" s="1" t="s">
        <v>2878</v>
      </c>
      <c r="V168" s="87" t="s">
        <v>4149</v>
      </c>
      <c r="W168" s="2">
        <v>27030</v>
      </c>
      <c r="X168" s="2">
        <v>44099</v>
      </c>
      <c r="Y168" s="11" t="s">
        <v>4319</v>
      </c>
      <c r="Z168" s="3">
        <v>44144</v>
      </c>
      <c r="AA168" s="80" t="s">
        <v>1339</v>
      </c>
      <c r="AD168" t="s">
        <v>3198</v>
      </c>
    </row>
    <row r="169" spans="1:37">
      <c r="A169" s="1">
        <v>168</v>
      </c>
      <c r="B169" s="61" t="s">
        <v>4119</v>
      </c>
      <c r="C169" s="2">
        <v>44099</v>
      </c>
      <c r="D169" s="1" t="s">
        <v>2880</v>
      </c>
      <c r="E169" s="61" t="s">
        <v>4123</v>
      </c>
      <c r="F169" s="61" t="s">
        <v>4124</v>
      </c>
      <c r="G169" s="6" t="s">
        <v>270</v>
      </c>
      <c r="H169" s="1" t="s">
        <v>3681</v>
      </c>
      <c r="K169" s="1" t="s">
        <v>2880</v>
      </c>
      <c r="L169" s="3">
        <v>44104</v>
      </c>
      <c r="M169" s="1" t="s">
        <v>35</v>
      </c>
      <c r="N169" s="14" t="s">
        <v>4125</v>
      </c>
      <c r="O169" s="92">
        <v>60</v>
      </c>
      <c r="P169" s="1">
        <v>1</v>
      </c>
      <c r="Q169" s="90">
        <v>0.21</v>
      </c>
      <c r="R169" s="90">
        <v>0</v>
      </c>
      <c r="S169" s="1" t="s">
        <v>36</v>
      </c>
      <c r="T169" s="95">
        <f t="shared" si="5"/>
        <v>72.599999999999994</v>
      </c>
      <c r="U169" s="1" t="s">
        <v>2880</v>
      </c>
      <c r="V169" s="87" t="s">
        <v>4150</v>
      </c>
      <c r="W169" s="2">
        <v>27760</v>
      </c>
      <c r="X169" s="2">
        <v>44099</v>
      </c>
      <c r="Y169" s="11" t="s">
        <v>4319</v>
      </c>
      <c r="Z169" s="3">
        <v>44144</v>
      </c>
      <c r="AA169" s="80" t="s">
        <v>1339</v>
      </c>
      <c r="AD169" t="s">
        <v>3198</v>
      </c>
    </row>
    <row r="170" spans="1:37">
      <c r="A170" s="1">
        <v>169</v>
      </c>
      <c r="B170" s="61" t="s">
        <v>4119</v>
      </c>
      <c r="C170" s="2">
        <v>44099</v>
      </c>
      <c r="D170" s="1" t="s">
        <v>2885</v>
      </c>
      <c r="E170" s="61" t="s">
        <v>4126</v>
      </c>
      <c r="F170" s="61" t="s">
        <v>4127</v>
      </c>
      <c r="G170" s="6" t="s">
        <v>1257</v>
      </c>
      <c r="H170" s="1" t="s">
        <v>1266</v>
      </c>
      <c r="K170" s="1" t="s">
        <v>2885</v>
      </c>
      <c r="L170" s="3">
        <v>44104</v>
      </c>
      <c r="M170" s="1" t="s">
        <v>35</v>
      </c>
      <c r="N170" s="14" t="s">
        <v>4128</v>
      </c>
      <c r="O170" s="92">
        <v>60</v>
      </c>
      <c r="P170" s="1">
        <v>1</v>
      </c>
      <c r="Q170" s="90">
        <v>0.21</v>
      </c>
      <c r="R170" s="90">
        <v>0</v>
      </c>
      <c r="S170" s="1" t="s">
        <v>36</v>
      </c>
      <c r="T170" s="95">
        <f t="shared" ref="T170:T175" si="6">SUM(O170-(O170*R170))*Q170+(O170-(O170*R170))</f>
        <v>72.599999999999994</v>
      </c>
      <c r="U170" s="1" t="s">
        <v>2885</v>
      </c>
      <c r="V170" s="87" t="s">
        <v>4151</v>
      </c>
      <c r="W170" s="2">
        <v>28357</v>
      </c>
      <c r="X170" s="2">
        <v>44099</v>
      </c>
      <c r="Y170" s="11" t="s">
        <v>4319</v>
      </c>
      <c r="Z170" s="3">
        <v>44144</v>
      </c>
      <c r="AA170" s="80" t="s">
        <v>1339</v>
      </c>
      <c r="AD170" t="s">
        <v>3198</v>
      </c>
    </row>
    <row r="171" spans="1:37">
      <c r="A171" s="1">
        <v>170</v>
      </c>
      <c r="B171" s="61" t="s">
        <v>4119</v>
      </c>
      <c r="C171" s="2">
        <v>44099</v>
      </c>
      <c r="D171" s="1" t="s">
        <v>2891</v>
      </c>
      <c r="E171" s="61" t="s">
        <v>4129</v>
      </c>
      <c r="F171" s="61" t="s">
        <v>4130</v>
      </c>
      <c r="G171" s="6" t="s">
        <v>241</v>
      </c>
      <c r="H171" s="1" t="s">
        <v>3454</v>
      </c>
      <c r="K171" s="1" t="s">
        <v>2891</v>
      </c>
      <c r="L171" s="3">
        <v>44104</v>
      </c>
      <c r="M171" s="1" t="s">
        <v>35</v>
      </c>
      <c r="N171" s="14" t="s">
        <v>4131</v>
      </c>
      <c r="O171" s="92">
        <v>60</v>
      </c>
      <c r="P171" s="1">
        <v>1</v>
      </c>
      <c r="Q171" s="90">
        <v>0.21</v>
      </c>
      <c r="R171" s="90">
        <v>0</v>
      </c>
      <c r="S171" s="1" t="s">
        <v>36</v>
      </c>
      <c r="T171" s="95">
        <f t="shared" si="6"/>
        <v>72.599999999999994</v>
      </c>
      <c r="U171" s="1" t="s">
        <v>2891</v>
      </c>
      <c r="V171" s="87" t="s">
        <v>4152</v>
      </c>
      <c r="W171" s="2">
        <v>24473</v>
      </c>
      <c r="X171" s="2">
        <v>44099</v>
      </c>
      <c r="Y171" s="11" t="s">
        <v>4319</v>
      </c>
      <c r="Z171" s="3">
        <v>44144</v>
      </c>
      <c r="AA171" s="80" t="s">
        <v>1339</v>
      </c>
      <c r="AD171" t="s">
        <v>3198</v>
      </c>
    </row>
    <row r="172" spans="1:37">
      <c r="A172" s="1">
        <v>171</v>
      </c>
      <c r="B172" s="61" t="s">
        <v>4119</v>
      </c>
      <c r="C172" s="2">
        <v>44099</v>
      </c>
      <c r="D172" s="1" t="s">
        <v>2888</v>
      </c>
      <c r="E172" s="61" t="s">
        <v>4132</v>
      </c>
      <c r="F172" s="61" t="s">
        <v>4133</v>
      </c>
      <c r="G172" s="6" t="s">
        <v>221</v>
      </c>
      <c r="H172" s="1" t="s">
        <v>34</v>
      </c>
      <c r="K172" s="1" t="s">
        <v>2888</v>
      </c>
      <c r="L172" s="3">
        <v>44104</v>
      </c>
      <c r="M172" s="1" t="s">
        <v>35</v>
      </c>
      <c r="N172" s="14" t="s">
        <v>4134</v>
      </c>
      <c r="O172" s="92">
        <v>60</v>
      </c>
      <c r="P172" s="1">
        <v>1</v>
      </c>
      <c r="Q172" s="90">
        <v>0.21</v>
      </c>
      <c r="R172" s="90">
        <v>0</v>
      </c>
      <c r="S172" s="1" t="s">
        <v>36</v>
      </c>
      <c r="T172" s="95">
        <f t="shared" si="6"/>
        <v>72.599999999999994</v>
      </c>
      <c r="U172" s="1" t="s">
        <v>2888</v>
      </c>
      <c r="V172" s="87" t="s">
        <v>4153</v>
      </c>
      <c r="W172" s="2">
        <v>27395</v>
      </c>
      <c r="X172" s="2">
        <v>44099</v>
      </c>
      <c r="Y172" s="11" t="s">
        <v>4407</v>
      </c>
      <c r="Z172" s="3">
        <v>44158</v>
      </c>
      <c r="AA172" s="80" t="s">
        <v>1339</v>
      </c>
      <c r="AD172" t="s">
        <v>3198</v>
      </c>
    </row>
    <row r="173" spans="1:37">
      <c r="A173" s="1">
        <v>172</v>
      </c>
      <c r="B173" s="61" t="s">
        <v>4119</v>
      </c>
      <c r="C173" s="2">
        <v>44099</v>
      </c>
      <c r="D173" s="1" t="s">
        <v>2900</v>
      </c>
      <c r="E173" s="61" t="s">
        <v>4135</v>
      </c>
      <c r="F173" s="61" t="s">
        <v>4124</v>
      </c>
      <c r="G173" s="6" t="s">
        <v>270</v>
      </c>
      <c r="H173" s="1" t="s">
        <v>3681</v>
      </c>
      <c r="K173" s="1" t="s">
        <v>2900</v>
      </c>
      <c r="L173" s="3">
        <v>44104</v>
      </c>
      <c r="M173" s="1" t="s">
        <v>35</v>
      </c>
      <c r="N173" s="14" t="s">
        <v>4136</v>
      </c>
      <c r="O173" s="92">
        <v>60</v>
      </c>
      <c r="P173" s="1">
        <v>1</v>
      </c>
      <c r="Q173" s="90">
        <v>0.21</v>
      </c>
      <c r="R173" s="90">
        <v>0</v>
      </c>
      <c r="S173" s="1" t="s">
        <v>36</v>
      </c>
      <c r="T173" s="95">
        <f t="shared" si="6"/>
        <v>72.599999999999994</v>
      </c>
      <c r="U173" s="1" t="s">
        <v>2900</v>
      </c>
      <c r="V173" s="87" t="s">
        <v>4154</v>
      </c>
      <c r="W173" s="2">
        <v>26573</v>
      </c>
      <c r="X173" s="2">
        <v>44099</v>
      </c>
      <c r="Y173" s="11" t="s">
        <v>4319</v>
      </c>
      <c r="Z173" s="3">
        <v>44144</v>
      </c>
      <c r="AA173" s="80" t="s">
        <v>1339</v>
      </c>
      <c r="AD173" t="s">
        <v>3198</v>
      </c>
    </row>
    <row r="174" spans="1:37">
      <c r="A174" s="1">
        <v>173</v>
      </c>
      <c r="B174" s="61" t="s">
        <v>4119</v>
      </c>
      <c r="C174" s="2">
        <v>44099</v>
      </c>
      <c r="D174" s="1" t="s">
        <v>2894</v>
      </c>
      <c r="E174" s="61" t="s">
        <v>4137</v>
      </c>
      <c r="F174" s="61" t="s">
        <v>4127</v>
      </c>
      <c r="G174" s="6" t="s">
        <v>1257</v>
      </c>
      <c r="H174" s="1" t="s">
        <v>1266</v>
      </c>
      <c r="K174" s="1" t="s">
        <v>2894</v>
      </c>
      <c r="L174" s="3">
        <v>44104</v>
      </c>
      <c r="M174" s="1" t="s">
        <v>35</v>
      </c>
      <c r="N174" s="14" t="s">
        <v>4138</v>
      </c>
      <c r="O174" s="92">
        <v>60</v>
      </c>
      <c r="P174" s="1">
        <v>1</v>
      </c>
      <c r="Q174" s="90">
        <v>0.21</v>
      </c>
      <c r="R174" s="90">
        <v>0</v>
      </c>
      <c r="S174" s="1" t="s">
        <v>36</v>
      </c>
      <c r="T174" s="95">
        <f t="shared" si="6"/>
        <v>72.599999999999994</v>
      </c>
      <c r="U174" s="1" t="s">
        <v>2894</v>
      </c>
      <c r="V174" s="87" t="s">
        <v>4155</v>
      </c>
      <c r="W174" s="2">
        <v>23743</v>
      </c>
      <c r="X174" s="2">
        <v>44099</v>
      </c>
      <c r="Y174" s="11" t="s">
        <v>4319</v>
      </c>
      <c r="Z174" s="3">
        <v>44144</v>
      </c>
      <c r="AA174" s="80" t="s">
        <v>1339</v>
      </c>
      <c r="AD174" t="s">
        <v>3198</v>
      </c>
    </row>
    <row r="175" spans="1:37">
      <c r="A175" s="1">
        <v>174</v>
      </c>
      <c r="B175" s="61" t="s">
        <v>4119</v>
      </c>
      <c r="C175" s="2">
        <v>44099</v>
      </c>
      <c r="D175" s="1" t="s">
        <v>2906</v>
      </c>
      <c r="E175" s="61" t="s">
        <v>4139</v>
      </c>
      <c r="F175" s="61" t="s">
        <v>4130</v>
      </c>
      <c r="G175" s="6" t="s">
        <v>241</v>
      </c>
      <c r="H175" s="1" t="s">
        <v>3454</v>
      </c>
      <c r="K175" s="1" t="s">
        <v>2906</v>
      </c>
      <c r="L175" s="3">
        <v>44104</v>
      </c>
      <c r="M175" s="1" t="s">
        <v>35</v>
      </c>
      <c r="N175" s="14" t="s">
        <v>4140</v>
      </c>
      <c r="O175" s="92">
        <v>60</v>
      </c>
      <c r="P175" s="1">
        <v>1</v>
      </c>
      <c r="Q175" s="90">
        <v>0.21</v>
      </c>
      <c r="R175" s="90">
        <v>0</v>
      </c>
      <c r="S175" s="1" t="s">
        <v>36</v>
      </c>
      <c r="T175" s="95">
        <f t="shared" si="6"/>
        <v>72.599999999999994</v>
      </c>
      <c r="U175" s="1" t="s">
        <v>4141</v>
      </c>
      <c r="V175" s="87" t="s">
        <v>4156</v>
      </c>
      <c r="W175" s="2">
        <v>26665</v>
      </c>
      <c r="X175" s="2">
        <v>44099</v>
      </c>
      <c r="Y175" s="11" t="s">
        <v>4319</v>
      </c>
      <c r="Z175" s="3">
        <v>44144</v>
      </c>
      <c r="AA175" s="80" t="s">
        <v>1339</v>
      </c>
      <c r="AD175" t="s">
        <v>3198</v>
      </c>
    </row>
    <row r="176" spans="1:37">
      <c r="A176" s="1">
        <v>175</v>
      </c>
      <c r="B176" s="61" t="s">
        <v>4119</v>
      </c>
      <c r="C176" s="2">
        <v>44099</v>
      </c>
      <c r="D176" s="1" t="s">
        <v>2897</v>
      </c>
      <c r="E176" s="61" t="s">
        <v>4142</v>
      </c>
      <c r="F176" s="61" t="s">
        <v>4130</v>
      </c>
      <c r="G176" s="6" t="s">
        <v>241</v>
      </c>
      <c r="H176" s="1" t="s">
        <v>3454</v>
      </c>
      <c r="K176" s="1" t="s">
        <v>2897</v>
      </c>
      <c r="L176" s="3">
        <v>44104</v>
      </c>
      <c r="M176" s="1" t="s">
        <v>35</v>
      </c>
      <c r="N176" s="14" t="s">
        <v>4143</v>
      </c>
      <c r="O176" s="92">
        <v>60</v>
      </c>
      <c r="P176" s="1">
        <v>1</v>
      </c>
      <c r="Q176" s="90">
        <v>0.21</v>
      </c>
      <c r="R176" s="90">
        <v>0</v>
      </c>
      <c r="S176" s="1" t="s">
        <v>36</v>
      </c>
      <c r="T176" s="95">
        <f t="shared" ref="T176:T239" si="7">SUM(O176-(O176*R176))*Q176+(O176-(O176*R176))</f>
        <v>72.599999999999994</v>
      </c>
      <c r="U176" s="1" t="s">
        <v>2897</v>
      </c>
      <c r="V176" s="87" t="s">
        <v>4157</v>
      </c>
      <c r="W176" s="2">
        <v>27065</v>
      </c>
      <c r="X176" s="2">
        <v>44099</v>
      </c>
      <c r="Y176" s="11" t="s">
        <v>4319</v>
      </c>
      <c r="Z176" s="3">
        <v>44144</v>
      </c>
      <c r="AA176" s="80" t="s">
        <v>1339</v>
      </c>
      <c r="AD176" t="s">
        <v>3198</v>
      </c>
    </row>
    <row r="177" spans="1:37">
      <c r="A177" s="1">
        <v>176</v>
      </c>
      <c r="B177" s="61" t="s">
        <v>4119</v>
      </c>
      <c r="C177" s="2">
        <v>44099</v>
      </c>
      <c r="D177" s="1" t="s">
        <v>2903</v>
      </c>
      <c r="E177" s="61" t="s">
        <v>4144</v>
      </c>
      <c r="F177" s="61" t="s">
        <v>4145</v>
      </c>
      <c r="G177" s="6" t="s">
        <v>4146</v>
      </c>
      <c r="H177" s="1" t="s">
        <v>4147</v>
      </c>
      <c r="K177" s="1" t="s">
        <v>2903</v>
      </c>
      <c r="L177" s="3">
        <v>44104</v>
      </c>
      <c r="M177" s="1" t="s">
        <v>35</v>
      </c>
      <c r="N177" s="14" t="s">
        <v>4148</v>
      </c>
      <c r="O177" s="92">
        <v>60</v>
      </c>
      <c r="P177" s="1">
        <v>1</v>
      </c>
      <c r="Q177" s="90">
        <v>0.21</v>
      </c>
      <c r="R177" s="90">
        <v>0</v>
      </c>
      <c r="S177" s="1" t="s">
        <v>36</v>
      </c>
      <c r="T177" s="95">
        <f t="shared" si="7"/>
        <v>72.599999999999994</v>
      </c>
      <c r="U177" s="1" t="s">
        <v>2903</v>
      </c>
      <c r="V177" s="87" t="s">
        <v>4158</v>
      </c>
      <c r="W177" s="2">
        <v>27030</v>
      </c>
      <c r="X177" s="2">
        <v>44099</v>
      </c>
      <c r="Y177" s="11" t="s">
        <v>4319</v>
      </c>
      <c r="Z177" s="3">
        <v>44144</v>
      </c>
      <c r="AA177" s="80" t="s">
        <v>1339</v>
      </c>
      <c r="AD177" t="s">
        <v>3198</v>
      </c>
    </row>
    <row r="178" spans="1:37">
      <c r="A178" s="1">
        <v>177</v>
      </c>
      <c r="B178" s="61" t="s">
        <v>1414</v>
      </c>
      <c r="C178" s="2">
        <v>44096</v>
      </c>
      <c r="D178" s="1" t="s">
        <v>4178</v>
      </c>
      <c r="E178" s="61" t="s">
        <v>4161</v>
      </c>
      <c r="F178" s="61" t="s">
        <v>1409</v>
      </c>
      <c r="G178" s="6" t="s">
        <v>227</v>
      </c>
      <c r="H178" s="1" t="s">
        <v>203</v>
      </c>
      <c r="K178" s="1" t="s">
        <v>4160</v>
      </c>
      <c r="L178" s="3">
        <v>44104</v>
      </c>
      <c r="M178" s="1" t="s">
        <v>35</v>
      </c>
      <c r="N178" s="14" t="s">
        <v>1410</v>
      </c>
      <c r="O178" s="144">
        <v>100</v>
      </c>
      <c r="P178" s="1">
        <v>1</v>
      </c>
      <c r="Q178" s="90">
        <v>0.21</v>
      </c>
      <c r="R178" s="90">
        <v>0.2</v>
      </c>
      <c r="S178" s="1" t="s">
        <v>36</v>
      </c>
      <c r="T178" s="95">
        <f t="shared" si="7"/>
        <v>96.8</v>
      </c>
      <c r="U178" s="1" t="s">
        <v>1411</v>
      </c>
      <c r="V178" s="87" t="s">
        <v>4162</v>
      </c>
      <c r="W178" s="2">
        <v>32980</v>
      </c>
      <c r="X178" s="2">
        <v>44096</v>
      </c>
      <c r="Y178" s="11" t="s">
        <v>4295</v>
      </c>
      <c r="Z178" s="2">
        <v>44134</v>
      </c>
      <c r="AA178" s="80" t="s">
        <v>1339</v>
      </c>
      <c r="AD178" t="s">
        <v>3198</v>
      </c>
      <c r="AE178" t="s">
        <v>4169</v>
      </c>
      <c r="AG178" s="1" t="s">
        <v>3221</v>
      </c>
      <c r="AH178" s="2">
        <v>44096</v>
      </c>
      <c r="AK178" s="2">
        <v>44111</v>
      </c>
    </row>
    <row r="179" spans="1:37">
      <c r="A179" s="1">
        <v>178</v>
      </c>
      <c r="B179" s="61" t="s">
        <v>1414</v>
      </c>
      <c r="C179" s="2">
        <v>44096</v>
      </c>
      <c r="D179" s="1" t="s">
        <v>3619</v>
      </c>
      <c r="E179" s="61" t="s">
        <v>3620</v>
      </c>
      <c r="F179" s="61" t="s">
        <v>3621</v>
      </c>
      <c r="G179" s="6" t="s">
        <v>227</v>
      </c>
      <c r="H179" s="1" t="s">
        <v>34</v>
      </c>
      <c r="K179" s="1" t="s">
        <v>3619</v>
      </c>
      <c r="L179" s="3">
        <v>44104</v>
      </c>
      <c r="M179" s="1" t="s">
        <v>35</v>
      </c>
      <c r="N179" s="14" t="s">
        <v>3623</v>
      </c>
      <c r="O179" s="144">
        <v>100</v>
      </c>
      <c r="P179" s="1">
        <v>1</v>
      </c>
      <c r="Q179" s="90">
        <v>0.21</v>
      </c>
      <c r="R179" s="90">
        <v>0.2</v>
      </c>
      <c r="S179" s="1" t="s">
        <v>36</v>
      </c>
      <c r="T179" s="95">
        <f t="shared" si="7"/>
        <v>96.8</v>
      </c>
      <c r="U179" s="1" t="s">
        <v>3624</v>
      </c>
      <c r="V179" s="87" t="s">
        <v>4163</v>
      </c>
      <c r="W179" s="2">
        <v>34934</v>
      </c>
      <c r="X179" s="2">
        <v>44096</v>
      </c>
      <c r="Y179" s="11" t="s">
        <v>4295</v>
      </c>
      <c r="Z179" s="2">
        <v>44134</v>
      </c>
      <c r="AA179" s="80" t="s">
        <v>1339</v>
      </c>
      <c r="AD179" t="s">
        <v>3198</v>
      </c>
      <c r="AE179" t="s">
        <v>4169</v>
      </c>
      <c r="AG179" s="1" t="s">
        <v>4164</v>
      </c>
      <c r="AH179" s="2">
        <v>44096</v>
      </c>
      <c r="AK179" s="2">
        <v>44104</v>
      </c>
    </row>
    <row r="180" spans="1:37">
      <c r="A180" s="1">
        <v>179</v>
      </c>
      <c r="B180" s="61" t="s">
        <v>52</v>
      </c>
      <c r="C180" s="2">
        <v>44096</v>
      </c>
      <c r="D180" s="1" t="s">
        <v>66</v>
      </c>
      <c r="E180" s="61" t="s">
        <v>65</v>
      </c>
      <c r="F180" s="61" t="s">
        <v>3666</v>
      </c>
      <c r="G180" s="6" t="s">
        <v>230</v>
      </c>
      <c r="H180" s="1" t="s">
        <v>34</v>
      </c>
      <c r="I180" s="1">
        <v>646968420</v>
      </c>
      <c r="K180" s="31" t="s">
        <v>53</v>
      </c>
      <c r="L180" s="3">
        <v>44104</v>
      </c>
      <c r="M180" s="1" t="s">
        <v>35</v>
      </c>
      <c r="N180" s="14" t="s">
        <v>4166</v>
      </c>
      <c r="O180" s="144">
        <v>100</v>
      </c>
      <c r="P180" s="1">
        <v>1</v>
      </c>
      <c r="Q180" s="90">
        <v>0.21</v>
      </c>
      <c r="R180" s="90">
        <v>0.2</v>
      </c>
      <c r="S180" s="1" t="s">
        <v>36</v>
      </c>
      <c r="T180" s="95">
        <f t="shared" si="7"/>
        <v>96.8</v>
      </c>
      <c r="U180" s="1" t="s">
        <v>4165</v>
      </c>
      <c r="V180" s="87" t="s">
        <v>4167</v>
      </c>
      <c r="W180" s="2">
        <v>36588</v>
      </c>
      <c r="X180" s="2">
        <v>44096</v>
      </c>
      <c r="Y180" s="11" t="s">
        <v>4328</v>
      </c>
      <c r="Z180" s="3">
        <v>44146</v>
      </c>
      <c r="AA180" s="80" t="s">
        <v>1339</v>
      </c>
      <c r="AD180" t="s">
        <v>3198</v>
      </c>
      <c r="AE180" t="s">
        <v>4168</v>
      </c>
      <c r="AG180" s="1" t="s">
        <v>3221</v>
      </c>
      <c r="AH180" s="2">
        <v>44096</v>
      </c>
      <c r="AK180" s="2">
        <v>44105</v>
      </c>
    </row>
    <row r="181" spans="1:37">
      <c r="A181" s="1">
        <v>180</v>
      </c>
      <c r="B181" s="61" t="s">
        <v>37</v>
      </c>
      <c r="C181" s="2">
        <v>44098</v>
      </c>
      <c r="D181" s="1" t="s">
        <v>4170</v>
      </c>
      <c r="E181" s="61" t="s">
        <v>4171</v>
      </c>
      <c r="F181" s="61" t="s">
        <v>4172</v>
      </c>
      <c r="G181" s="6" t="s">
        <v>294</v>
      </c>
      <c r="H181" s="1" t="s">
        <v>3681</v>
      </c>
      <c r="K181" s="1" t="s">
        <v>4170</v>
      </c>
      <c r="L181" s="3">
        <v>44104</v>
      </c>
      <c r="M181" s="1" t="s">
        <v>35</v>
      </c>
      <c r="N181" s="14" t="s">
        <v>4173</v>
      </c>
      <c r="O181" s="144">
        <v>100</v>
      </c>
      <c r="P181" s="1">
        <v>1</v>
      </c>
      <c r="Q181" s="90">
        <v>0.21</v>
      </c>
      <c r="R181" s="90">
        <v>0</v>
      </c>
      <c r="S181" s="1" t="s">
        <v>36</v>
      </c>
      <c r="T181" s="95">
        <f t="shared" si="7"/>
        <v>121</v>
      </c>
      <c r="U181" s="1" t="s">
        <v>4170</v>
      </c>
      <c r="V181" s="87" t="s">
        <v>4174</v>
      </c>
      <c r="W181" s="2">
        <v>35681</v>
      </c>
      <c r="X181" s="2">
        <v>44098</v>
      </c>
      <c r="Y181" s="11" t="s">
        <v>4431</v>
      </c>
      <c r="Z181" s="3">
        <v>44161</v>
      </c>
      <c r="AA181" s="80" t="s">
        <v>1339</v>
      </c>
      <c r="AD181" t="s">
        <v>3198</v>
      </c>
      <c r="AG181" s="1" t="s">
        <v>3108</v>
      </c>
      <c r="AH181" s="2">
        <v>44098</v>
      </c>
      <c r="AK181" s="2">
        <v>44105</v>
      </c>
    </row>
    <row r="182" spans="1:37">
      <c r="A182" s="1">
        <v>181</v>
      </c>
      <c r="B182" s="61" t="s">
        <v>37</v>
      </c>
      <c r="C182" s="2">
        <v>44104</v>
      </c>
      <c r="D182" s="1" t="s">
        <v>2582</v>
      </c>
      <c r="E182" s="61" t="s">
        <v>3992</v>
      </c>
      <c r="F182" s="61" t="s">
        <v>4025</v>
      </c>
      <c r="G182" s="6" t="s">
        <v>2579</v>
      </c>
      <c r="H182" s="1" t="s">
        <v>2580</v>
      </c>
      <c r="I182" s="1">
        <v>632709399</v>
      </c>
      <c r="K182" s="1" t="s">
        <v>2582</v>
      </c>
      <c r="L182" s="3">
        <v>44104</v>
      </c>
      <c r="M182" s="1" t="s">
        <v>35</v>
      </c>
      <c r="N182" s="14" t="s">
        <v>4175</v>
      </c>
      <c r="O182" s="92">
        <v>60</v>
      </c>
      <c r="P182" s="1">
        <v>1</v>
      </c>
      <c r="Q182" s="90">
        <v>0.21</v>
      </c>
      <c r="R182" s="90">
        <v>0</v>
      </c>
      <c r="S182" s="1" t="s">
        <v>36</v>
      </c>
      <c r="T182" s="95">
        <f t="shared" si="7"/>
        <v>72.599999999999994</v>
      </c>
      <c r="U182" s="1" t="s">
        <v>2844</v>
      </c>
      <c r="V182" s="87" t="s">
        <v>4176</v>
      </c>
      <c r="W182" s="2">
        <v>37496</v>
      </c>
      <c r="X182" s="2">
        <v>44104</v>
      </c>
      <c r="Y182" s="11" t="s">
        <v>4328</v>
      </c>
      <c r="Z182" s="3">
        <v>44146</v>
      </c>
      <c r="AA182" s="80" t="s">
        <v>1339</v>
      </c>
      <c r="AD182" t="s">
        <v>3198</v>
      </c>
    </row>
    <row r="183" spans="1:37">
      <c r="A183" s="1">
        <v>182</v>
      </c>
      <c r="B183" s="61" t="s">
        <v>33</v>
      </c>
      <c r="C183" s="2">
        <v>44102</v>
      </c>
      <c r="D183" s="1" t="s">
        <v>4018</v>
      </c>
      <c r="E183" s="61" t="s">
        <v>4019</v>
      </c>
      <c r="F183" s="61" t="s">
        <v>4026</v>
      </c>
      <c r="G183" s="6" t="s">
        <v>219</v>
      </c>
      <c r="H183" s="1" t="s">
        <v>34</v>
      </c>
      <c r="I183" s="1">
        <v>616614998</v>
      </c>
      <c r="K183" s="1" t="s">
        <v>237</v>
      </c>
      <c r="L183" s="3">
        <v>44104</v>
      </c>
      <c r="M183" s="1" t="s">
        <v>35</v>
      </c>
      <c r="N183" s="14" t="s">
        <v>4177</v>
      </c>
      <c r="O183" s="144">
        <v>100</v>
      </c>
      <c r="P183" s="1">
        <v>1</v>
      </c>
      <c r="Q183" s="90">
        <v>0.21</v>
      </c>
      <c r="R183" s="90">
        <v>0</v>
      </c>
      <c r="S183" s="1" t="s">
        <v>36</v>
      </c>
      <c r="T183" s="95">
        <f t="shared" si="7"/>
        <v>121</v>
      </c>
      <c r="U183" s="1" t="s">
        <v>4030</v>
      </c>
      <c r="V183" s="87" t="s">
        <v>4031</v>
      </c>
      <c r="W183" s="2">
        <v>34640</v>
      </c>
      <c r="X183" s="2">
        <v>44102</v>
      </c>
      <c r="Y183" s="11" t="s">
        <v>1326</v>
      </c>
      <c r="AD183" t="s">
        <v>3198</v>
      </c>
    </row>
    <row r="184" spans="1:37">
      <c r="A184" s="1">
        <v>183</v>
      </c>
      <c r="B184" s="61" t="s">
        <v>37</v>
      </c>
      <c r="C184" s="2">
        <v>44106</v>
      </c>
      <c r="D184" s="1" t="s">
        <v>1897</v>
      </c>
      <c r="E184" s="61" t="s">
        <v>1898</v>
      </c>
      <c r="F184" s="61" t="s">
        <v>4179</v>
      </c>
      <c r="G184" s="6" t="s">
        <v>221</v>
      </c>
      <c r="H184" s="1" t="s">
        <v>34</v>
      </c>
      <c r="I184" s="1">
        <v>612529234</v>
      </c>
      <c r="K184" s="1" t="s">
        <v>1897</v>
      </c>
      <c r="L184" s="3">
        <v>44135</v>
      </c>
      <c r="M184" s="1" t="s">
        <v>35</v>
      </c>
      <c r="N184" s="14" t="s">
        <v>1905</v>
      </c>
      <c r="O184" s="92">
        <v>50</v>
      </c>
      <c r="P184" s="1">
        <v>1</v>
      </c>
      <c r="Q184" s="90">
        <v>0.21</v>
      </c>
      <c r="R184" s="90">
        <v>0</v>
      </c>
      <c r="S184" s="1" t="s">
        <v>36</v>
      </c>
      <c r="T184" s="95">
        <f t="shared" si="7"/>
        <v>60.5</v>
      </c>
      <c r="U184" s="1" t="s">
        <v>1897</v>
      </c>
      <c r="V184" s="87" t="s">
        <v>4180</v>
      </c>
      <c r="W184" s="2">
        <v>34700</v>
      </c>
      <c r="X184" s="2">
        <v>44106</v>
      </c>
      <c r="Y184" s="11" t="s">
        <v>4319</v>
      </c>
      <c r="Z184" s="3">
        <v>44146</v>
      </c>
      <c r="AA184" s="80" t="s">
        <v>1339</v>
      </c>
      <c r="AD184" t="s">
        <v>3198</v>
      </c>
    </row>
    <row r="185" spans="1:37">
      <c r="A185" s="1">
        <v>184</v>
      </c>
      <c r="B185" s="61" t="s">
        <v>37</v>
      </c>
      <c r="C185" s="2">
        <v>44109</v>
      </c>
      <c r="D185" s="1" t="s">
        <v>4181</v>
      </c>
      <c r="E185" s="61" t="s">
        <v>4182</v>
      </c>
      <c r="F185" s="61" t="s">
        <v>4183</v>
      </c>
      <c r="G185" s="6" t="s">
        <v>221</v>
      </c>
      <c r="H185" s="1" t="s">
        <v>34</v>
      </c>
      <c r="I185" s="1">
        <v>662438793</v>
      </c>
      <c r="K185" s="1" t="s">
        <v>4181</v>
      </c>
      <c r="L185" s="3">
        <v>44135</v>
      </c>
      <c r="M185" s="1" t="s">
        <v>35</v>
      </c>
      <c r="N185" s="14" t="s">
        <v>4184</v>
      </c>
      <c r="O185" s="144">
        <v>100</v>
      </c>
      <c r="P185" s="1">
        <v>1</v>
      </c>
      <c r="Q185" s="90">
        <v>0.21</v>
      </c>
      <c r="R185" s="90">
        <v>0</v>
      </c>
      <c r="S185" s="1" t="s">
        <v>36</v>
      </c>
      <c r="T185" s="95">
        <f t="shared" si="7"/>
        <v>121</v>
      </c>
      <c r="U185" s="1" t="s">
        <v>4181</v>
      </c>
      <c r="V185" s="87" t="s">
        <v>4185</v>
      </c>
      <c r="W185" s="2">
        <v>31923</v>
      </c>
      <c r="X185" s="2">
        <v>44109</v>
      </c>
      <c r="Y185" s="11" t="s">
        <v>4326</v>
      </c>
      <c r="Z185" s="3">
        <v>44145</v>
      </c>
      <c r="AA185" s="80" t="s">
        <v>1339</v>
      </c>
      <c r="AD185" t="s">
        <v>3198</v>
      </c>
    </row>
    <row r="186" spans="1:37">
      <c r="A186" s="1">
        <v>185</v>
      </c>
      <c r="B186" s="61" t="s">
        <v>3526</v>
      </c>
      <c r="C186" s="2">
        <v>44110</v>
      </c>
      <c r="D186" s="1" t="s">
        <v>2651</v>
      </c>
      <c r="E186" s="61" t="s">
        <v>2652</v>
      </c>
      <c r="F186" s="61" t="s">
        <v>4186</v>
      </c>
      <c r="G186" s="6" t="s">
        <v>226</v>
      </c>
      <c r="H186" s="1" t="s">
        <v>4110</v>
      </c>
      <c r="K186" s="1" t="s">
        <v>2651</v>
      </c>
      <c r="L186" s="3">
        <v>44135</v>
      </c>
      <c r="M186" s="1" t="s">
        <v>35</v>
      </c>
      <c r="N186" s="14" t="s">
        <v>4187</v>
      </c>
      <c r="O186" s="92">
        <v>60</v>
      </c>
      <c r="P186" s="1">
        <v>1</v>
      </c>
      <c r="Q186" s="90">
        <v>0.21</v>
      </c>
      <c r="R186" s="90">
        <v>0.2</v>
      </c>
      <c r="S186" s="1" t="s">
        <v>36</v>
      </c>
      <c r="T186" s="95">
        <f t="shared" si="7"/>
        <v>58.08</v>
      </c>
      <c r="U186" s="1" t="s">
        <v>2656</v>
      </c>
      <c r="V186" s="87" t="s">
        <v>4192</v>
      </c>
      <c r="W186" s="2">
        <v>32899</v>
      </c>
      <c r="X186" s="2">
        <v>44110</v>
      </c>
      <c r="Y186" s="11" t="s">
        <v>1326</v>
      </c>
      <c r="Z186" t="s">
        <v>4329</v>
      </c>
      <c r="AD186" t="s">
        <v>3198</v>
      </c>
    </row>
    <row r="187" spans="1:37">
      <c r="A187" s="1">
        <v>186</v>
      </c>
      <c r="B187" s="61" t="s">
        <v>1414</v>
      </c>
      <c r="C187" s="2">
        <v>44111</v>
      </c>
      <c r="D187" s="1" t="s">
        <v>1079</v>
      </c>
      <c r="E187" t="s">
        <v>41</v>
      </c>
      <c r="F187" s="61" t="s">
        <v>2115</v>
      </c>
      <c r="G187" s="1" t="s">
        <v>230</v>
      </c>
      <c r="H187" t="s">
        <v>1262</v>
      </c>
      <c r="I187" s="1">
        <v>631212115</v>
      </c>
      <c r="K187" s="1" t="s">
        <v>1079</v>
      </c>
      <c r="L187" s="3">
        <v>44135</v>
      </c>
      <c r="M187" s="1" t="s">
        <v>35</v>
      </c>
      <c r="N187" s="14" t="s">
        <v>2116</v>
      </c>
      <c r="O187" s="144">
        <v>100</v>
      </c>
      <c r="P187" s="1">
        <v>1</v>
      </c>
      <c r="Q187" s="90">
        <v>0.21</v>
      </c>
      <c r="R187" s="90">
        <v>0.2</v>
      </c>
      <c r="S187" s="1" t="s">
        <v>36</v>
      </c>
      <c r="T187" s="95">
        <f t="shared" si="7"/>
        <v>96.8</v>
      </c>
      <c r="U187" s="1" t="s">
        <v>2117</v>
      </c>
      <c r="V187" s="87" t="s">
        <v>4193</v>
      </c>
      <c r="W187" s="2">
        <v>36758</v>
      </c>
      <c r="X187" s="2">
        <v>44111</v>
      </c>
      <c r="Y187" s="11" t="s">
        <v>4566</v>
      </c>
      <c r="Z187" s="3">
        <v>44202</v>
      </c>
      <c r="AA187" s="80" t="s">
        <v>1339</v>
      </c>
      <c r="AC187" s="115">
        <v>44169</v>
      </c>
      <c r="AD187" t="s">
        <v>3198</v>
      </c>
      <c r="AE187" t="s">
        <v>3402</v>
      </c>
      <c r="AG187" s="1" t="s">
        <v>4194</v>
      </c>
      <c r="AH187" s="2">
        <v>44111</v>
      </c>
      <c r="AK187" s="2">
        <v>44113</v>
      </c>
    </row>
    <row r="188" spans="1:37">
      <c r="A188" s="1">
        <v>187</v>
      </c>
      <c r="B188" s="61" t="s">
        <v>37</v>
      </c>
      <c r="C188" s="2">
        <v>44113</v>
      </c>
      <c r="D188" s="1" t="s">
        <v>664</v>
      </c>
      <c r="E188" s="61" t="s">
        <v>4195</v>
      </c>
      <c r="F188" s="61" t="s">
        <v>4196</v>
      </c>
      <c r="G188" s="6" t="s">
        <v>250</v>
      </c>
      <c r="H188" s="1" t="s">
        <v>86</v>
      </c>
      <c r="I188" s="1">
        <v>632365636</v>
      </c>
      <c r="K188" s="1" t="s">
        <v>664</v>
      </c>
      <c r="L188" s="3">
        <v>44135</v>
      </c>
      <c r="M188" s="1" t="s">
        <v>35</v>
      </c>
      <c r="N188" s="14" t="s">
        <v>1904</v>
      </c>
      <c r="O188" s="92">
        <v>60</v>
      </c>
      <c r="P188" s="1">
        <v>1</v>
      </c>
      <c r="Q188" s="90">
        <v>0.21</v>
      </c>
      <c r="R188" s="90">
        <v>0</v>
      </c>
      <c r="S188" s="1" t="s">
        <v>36</v>
      </c>
      <c r="T188" s="95">
        <f t="shared" si="7"/>
        <v>72.599999999999994</v>
      </c>
      <c r="U188" s="1" t="s">
        <v>664</v>
      </c>
      <c r="V188" s="87" t="s">
        <v>4197</v>
      </c>
      <c r="W188" s="2">
        <v>29314</v>
      </c>
      <c r="X188" s="2">
        <v>44113</v>
      </c>
      <c r="Y188" s="11" t="s">
        <v>4407</v>
      </c>
      <c r="Z188" s="3">
        <v>44158</v>
      </c>
      <c r="AA188" s="80" t="s">
        <v>1339</v>
      </c>
      <c r="AD188" t="s">
        <v>3198</v>
      </c>
    </row>
    <row r="189" spans="1:37">
      <c r="A189" s="1">
        <v>188</v>
      </c>
      <c r="B189" s="61" t="s">
        <v>82</v>
      </c>
      <c r="C189" s="2">
        <v>44111</v>
      </c>
      <c r="D189" s="1" t="s">
        <v>4198</v>
      </c>
      <c r="E189" s="61" t="s">
        <v>4200</v>
      </c>
      <c r="F189" s="61" t="s">
        <v>4199</v>
      </c>
      <c r="G189" s="6" t="s">
        <v>239</v>
      </c>
      <c r="H189" s="1" t="s">
        <v>86</v>
      </c>
      <c r="I189" s="1">
        <v>693745341</v>
      </c>
      <c r="K189" s="1" t="s">
        <v>4198</v>
      </c>
      <c r="L189" s="3">
        <v>44135</v>
      </c>
      <c r="M189" s="1" t="s">
        <v>35</v>
      </c>
      <c r="N189" s="14" t="s">
        <v>3223</v>
      </c>
      <c r="O189" s="144">
        <v>100</v>
      </c>
      <c r="P189" s="1">
        <v>1</v>
      </c>
      <c r="Q189" s="90">
        <v>0.21</v>
      </c>
      <c r="R189" s="90">
        <v>0.2</v>
      </c>
      <c r="S189" s="72" t="s">
        <v>36</v>
      </c>
      <c r="T189" s="95">
        <f t="shared" si="7"/>
        <v>96.8</v>
      </c>
      <c r="U189" s="1" t="s">
        <v>3224</v>
      </c>
      <c r="V189" s="161" t="s">
        <v>4201</v>
      </c>
      <c r="W189" s="2">
        <v>26665</v>
      </c>
      <c r="X189" s="2">
        <v>44111</v>
      </c>
      <c r="Y189" s="11" t="s">
        <v>4366</v>
      </c>
      <c r="Z189" s="3">
        <v>44152</v>
      </c>
      <c r="AA189" s="80" t="s">
        <v>1339</v>
      </c>
      <c r="AD189" t="s">
        <v>3198</v>
      </c>
      <c r="AE189" t="s">
        <v>3402</v>
      </c>
      <c r="AG189" s="1" t="s">
        <v>4202</v>
      </c>
      <c r="AH189" s="2">
        <v>44111</v>
      </c>
      <c r="AK189" s="2">
        <v>44117</v>
      </c>
    </row>
    <row r="190" spans="1:37">
      <c r="A190" s="1">
        <v>189</v>
      </c>
      <c r="B190" s="61" t="s">
        <v>4203</v>
      </c>
      <c r="C190" s="2">
        <v>44110</v>
      </c>
      <c r="D190" s="1" t="s">
        <v>4208</v>
      </c>
      <c r="E190" s="61" t="s">
        <v>2605</v>
      </c>
      <c r="F190" s="61" t="s">
        <v>4209</v>
      </c>
      <c r="G190" s="6" t="s">
        <v>219</v>
      </c>
      <c r="H190" s="1" t="s">
        <v>38</v>
      </c>
      <c r="K190" s="1" t="s">
        <v>4208</v>
      </c>
      <c r="L190" s="3">
        <v>44135</v>
      </c>
      <c r="M190" s="1" t="s">
        <v>35</v>
      </c>
      <c r="N190" s="14" t="s">
        <v>4204</v>
      </c>
      <c r="O190" s="144">
        <v>100</v>
      </c>
      <c r="P190" s="1">
        <v>1</v>
      </c>
      <c r="Q190" s="90">
        <v>0.21</v>
      </c>
      <c r="R190" s="90">
        <v>0.2</v>
      </c>
      <c r="S190" s="72" t="s">
        <v>36</v>
      </c>
      <c r="T190" s="95">
        <f t="shared" si="7"/>
        <v>96.8</v>
      </c>
      <c r="U190" s="1" t="s">
        <v>4205</v>
      </c>
      <c r="V190" s="161" t="s">
        <v>4206</v>
      </c>
      <c r="W190" s="2">
        <v>32853</v>
      </c>
      <c r="X190" s="2">
        <v>44110</v>
      </c>
      <c r="Y190" s="11" t="s">
        <v>4433</v>
      </c>
      <c r="Z190" s="3">
        <v>44162</v>
      </c>
      <c r="AA190" s="80" t="s">
        <v>1339</v>
      </c>
      <c r="AD190" t="s">
        <v>3198</v>
      </c>
      <c r="AG190" s="1" t="s">
        <v>4207</v>
      </c>
      <c r="AH190" s="2">
        <v>44110</v>
      </c>
      <c r="AK190" s="2">
        <v>44117</v>
      </c>
    </row>
    <row r="191" spans="1:37">
      <c r="A191" s="1">
        <v>190</v>
      </c>
      <c r="B191" s="104" t="s">
        <v>1414</v>
      </c>
      <c r="C191" s="97">
        <v>44111</v>
      </c>
      <c r="D191" s="99" t="s">
        <v>1812</v>
      </c>
      <c r="E191" s="96" t="s">
        <v>1813</v>
      </c>
      <c r="F191" s="96" t="s">
        <v>1994</v>
      </c>
      <c r="G191" s="105" t="s">
        <v>221</v>
      </c>
      <c r="H191" s="99" t="s">
        <v>34</v>
      </c>
      <c r="I191" s="99">
        <v>626326758</v>
      </c>
      <c r="J191" s="96"/>
      <c r="K191" s="96" t="s">
        <v>1812</v>
      </c>
      <c r="L191" s="106">
        <v>44135</v>
      </c>
      <c r="M191" s="96" t="s">
        <v>35</v>
      </c>
      <c r="N191" s="98" t="s">
        <v>1995</v>
      </c>
      <c r="O191" s="107" t="s">
        <v>3407</v>
      </c>
      <c r="P191" s="99" t="s">
        <v>3407</v>
      </c>
      <c r="Q191" s="108" t="s">
        <v>3407</v>
      </c>
      <c r="R191" s="109" t="s">
        <v>3407</v>
      </c>
      <c r="S191" s="96" t="s">
        <v>36</v>
      </c>
      <c r="T191" s="110" t="s">
        <v>3407</v>
      </c>
      <c r="U191" s="96" t="s">
        <v>1996</v>
      </c>
      <c r="V191" s="111" t="s">
        <v>4210</v>
      </c>
      <c r="W191" s="97">
        <v>27116</v>
      </c>
      <c r="X191" s="97">
        <v>44111</v>
      </c>
      <c r="Y191" s="11" t="s">
        <v>4775</v>
      </c>
      <c r="Z191" s="3">
        <v>44239</v>
      </c>
      <c r="AA191" s="80" t="s">
        <v>1339</v>
      </c>
      <c r="AC191" s="115">
        <v>44187</v>
      </c>
      <c r="AD191" t="s">
        <v>3198</v>
      </c>
      <c r="AE191" t="s">
        <v>3402</v>
      </c>
      <c r="AG191" s="1" t="s">
        <v>4211</v>
      </c>
      <c r="AH191" s="2">
        <v>44111</v>
      </c>
      <c r="AK191" s="2">
        <v>44117</v>
      </c>
    </row>
    <row r="192" spans="1:37">
      <c r="A192" s="1">
        <v>191</v>
      </c>
      <c r="B192" s="61" t="s">
        <v>82</v>
      </c>
      <c r="C192" s="2">
        <v>44111</v>
      </c>
      <c r="D192" s="1" t="s">
        <v>4198</v>
      </c>
      <c r="E192" s="61" t="s">
        <v>4200</v>
      </c>
      <c r="F192" s="61" t="s">
        <v>4199</v>
      </c>
      <c r="G192" s="6" t="s">
        <v>239</v>
      </c>
      <c r="H192" s="1" t="s">
        <v>86</v>
      </c>
      <c r="I192" s="1">
        <v>693745341</v>
      </c>
      <c r="K192" s="1" t="s">
        <v>4198</v>
      </c>
      <c r="L192" s="3">
        <v>44135</v>
      </c>
      <c r="M192" s="1" t="s">
        <v>35</v>
      </c>
      <c r="N192" s="14" t="s">
        <v>4212</v>
      </c>
      <c r="O192" s="144">
        <v>100</v>
      </c>
      <c r="P192" s="1">
        <v>1</v>
      </c>
      <c r="Q192" s="90">
        <v>0.21</v>
      </c>
      <c r="R192" s="90">
        <v>0.2</v>
      </c>
      <c r="S192" s="72" t="s">
        <v>36</v>
      </c>
      <c r="T192" s="95">
        <f t="shared" si="7"/>
        <v>96.8</v>
      </c>
      <c r="U192" s="1" t="s">
        <v>4213</v>
      </c>
      <c r="V192" s="161" t="s">
        <v>4214</v>
      </c>
      <c r="W192" s="2">
        <v>29587</v>
      </c>
      <c r="X192" s="2">
        <v>44111</v>
      </c>
      <c r="Y192" s="11" t="s">
        <v>4442</v>
      </c>
      <c r="Z192" s="3">
        <v>44167</v>
      </c>
      <c r="AA192" s="80" t="s">
        <v>1339</v>
      </c>
      <c r="AD192" t="s">
        <v>3198</v>
      </c>
      <c r="AG192" s="1" t="s">
        <v>4215</v>
      </c>
      <c r="AH192" s="2">
        <v>44111</v>
      </c>
      <c r="AK192" s="2">
        <v>44117</v>
      </c>
    </row>
    <row r="193" spans="1:37">
      <c r="A193" s="1">
        <v>192</v>
      </c>
      <c r="B193" s="61" t="s">
        <v>37</v>
      </c>
      <c r="C193" s="2">
        <v>44112</v>
      </c>
      <c r="D193" s="1" t="s">
        <v>3600</v>
      </c>
      <c r="E193" s="61" t="s">
        <v>3601</v>
      </c>
      <c r="F193" s="61" t="s">
        <v>3602</v>
      </c>
      <c r="G193" s="6" t="s">
        <v>314</v>
      </c>
      <c r="H193" s="1" t="s">
        <v>3603</v>
      </c>
      <c r="I193" s="1">
        <v>631912608</v>
      </c>
      <c r="J193" s="1"/>
      <c r="K193" t="s">
        <v>3600</v>
      </c>
      <c r="L193" s="2">
        <v>44135</v>
      </c>
      <c r="M193" s="1" t="s">
        <v>35</v>
      </c>
      <c r="N193" s="14" t="s">
        <v>3604</v>
      </c>
      <c r="O193" s="144">
        <v>60</v>
      </c>
      <c r="P193" s="1">
        <v>1</v>
      </c>
      <c r="Q193" s="90">
        <v>0.21</v>
      </c>
      <c r="R193" s="90">
        <v>0</v>
      </c>
      <c r="S193" s="72" t="s">
        <v>36</v>
      </c>
      <c r="T193" s="95">
        <f>(O193*P193)*Q193+O193*P193</f>
        <v>72.599999999999994</v>
      </c>
      <c r="U193" s="1" t="s">
        <v>3600</v>
      </c>
      <c r="V193" s="87" t="s">
        <v>4217</v>
      </c>
      <c r="W193" s="2">
        <v>30089</v>
      </c>
      <c r="X193" s="2">
        <v>44112</v>
      </c>
      <c r="Y193" s="11" t="s">
        <v>4497</v>
      </c>
      <c r="Z193" s="3">
        <v>44181</v>
      </c>
      <c r="AA193" s="80" t="s">
        <v>1339</v>
      </c>
      <c r="AD193" t="s">
        <v>3198</v>
      </c>
      <c r="AG193" s="1" t="s">
        <v>4218</v>
      </c>
      <c r="AH193" s="2">
        <v>44112</v>
      </c>
      <c r="AK193" s="2">
        <v>44118</v>
      </c>
    </row>
    <row r="194" spans="1:37">
      <c r="A194" s="1">
        <v>193</v>
      </c>
      <c r="B194" s="61" t="s">
        <v>3526</v>
      </c>
      <c r="C194" s="2">
        <v>44111</v>
      </c>
      <c r="D194" s="1" t="s">
        <v>4220</v>
      </c>
      <c r="E194" s="61" t="s">
        <v>4219</v>
      </c>
      <c r="F194" s="61" t="s">
        <v>4221</v>
      </c>
      <c r="G194" s="6" t="s">
        <v>294</v>
      </c>
      <c r="H194" s="1" t="s">
        <v>3681</v>
      </c>
      <c r="I194" s="1" t="s">
        <v>4222</v>
      </c>
      <c r="K194" s="1" t="s">
        <v>4220</v>
      </c>
      <c r="L194" s="3">
        <v>44135</v>
      </c>
      <c r="M194" s="1" t="s">
        <v>35</v>
      </c>
      <c r="N194" s="14" t="s">
        <v>4223</v>
      </c>
      <c r="O194" s="144">
        <v>100</v>
      </c>
      <c r="P194" s="1">
        <v>1</v>
      </c>
      <c r="Q194" s="90">
        <v>0.21</v>
      </c>
      <c r="R194" s="90">
        <v>0.2</v>
      </c>
      <c r="S194" t="s">
        <v>36</v>
      </c>
      <c r="T194" s="95">
        <f t="shared" si="7"/>
        <v>96.8</v>
      </c>
      <c r="U194" s="1" t="s">
        <v>4224</v>
      </c>
      <c r="V194" s="161" t="s">
        <v>4225</v>
      </c>
      <c r="W194" s="2">
        <v>34700</v>
      </c>
      <c r="X194" s="2">
        <v>44111</v>
      </c>
      <c r="Y194" s="11" t="s">
        <v>4592</v>
      </c>
      <c r="Z194" s="3">
        <v>44214</v>
      </c>
      <c r="AA194" s="80" t="s">
        <v>1339</v>
      </c>
      <c r="AB194" t="s">
        <v>4468</v>
      </c>
      <c r="AC194" s="115">
        <v>44183</v>
      </c>
      <c r="AD194" t="s">
        <v>3198</v>
      </c>
      <c r="AG194" s="1" t="s">
        <v>4218</v>
      </c>
      <c r="AH194" s="2">
        <v>44111</v>
      </c>
      <c r="AK194" s="2">
        <v>44119</v>
      </c>
    </row>
    <row r="195" spans="1:37">
      <c r="A195" s="1">
        <v>194</v>
      </c>
      <c r="B195" s="61" t="s">
        <v>119</v>
      </c>
      <c r="C195" s="2">
        <v>44120</v>
      </c>
      <c r="D195" s="1" t="s">
        <v>3036</v>
      </c>
      <c r="E195" s="61" t="s">
        <v>3037</v>
      </c>
      <c r="F195" s="61" t="s">
        <v>3828</v>
      </c>
      <c r="G195" s="6" t="s">
        <v>239</v>
      </c>
      <c r="H195" s="1" t="s">
        <v>3681</v>
      </c>
      <c r="K195" t="s">
        <v>174</v>
      </c>
      <c r="L195" s="3">
        <v>44135</v>
      </c>
      <c r="M195" s="1" t="s">
        <v>35</v>
      </c>
      <c r="N195" s="14" t="s">
        <v>4228</v>
      </c>
      <c r="O195" s="92">
        <v>60</v>
      </c>
      <c r="P195" s="1">
        <v>1</v>
      </c>
      <c r="Q195" s="90">
        <v>0.21</v>
      </c>
      <c r="R195" s="90">
        <v>0.2</v>
      </c>
      <c r="S195" t="s">
        <v>36</v>
      </c>
      <c r="T195" s="95">
        <f t="shared" si="7"/>
        <v>58.08</v>
      </c>
      <c r="U195" s="1" t="s">
        <v>3040</v>
      </c>
      <c r="V195" s="161" t="s">
        <v>4233</v>
      </c>
      <c r="W195" s="2">
        <v>35064</v>
      </c>
      <c r="X195" s="2">
        <v>44120</v>
      </c>
      <c r="Y195" s="11" t="s">
        <v>4408</v>
      </c>
      <c r="Z195" s="3">
        <v>44158</v>
      </c>
      <c r="AA195" s="80" t="s">
        <v>1339</v>
      </c>
      <c r="AD195" t="s">
        <v>3198</v>
      </c>
    </row>
    <row r="196" spans="1:37">
      <c r="A196" s="1">
        <v>195</v>
      </c>
      <c r="B196" s="61" t="s">
        <v>37</v>
      </c>
      <c r="C196" s="2">
        <v>44120</v>
      </c>
      <c r="D196" s="1" t="s">
        <v>3065</v>
      </c>
      <c r="E196" s="61" t="s">
        <v>3066</v>
      </c>
      <c r="F196" s="61" t="s">
        <v>4183</v>
      </c>
      <c r="G196" s="6" t="s">
        <v>221</v>
      </c>
      <c r="H196" s="1" t="s">
        <v>34</v>
      </c>
      <c r="I196" s="1" t="s">
        <v>4229</v>
      </c>
      <c r="K196" s="1" t="s">
        <v>3065</v>
      </c>
      <c r="L196" s="3">
        <v>44135</v>
      </c>
      <c r="M196" s="1" t="s">
        <v>35</v>
      </c>
      <c r="N196" s="14" t="s">
        <v>4230</v>
      </c>
      <c r="O196" s="92">
        <v>60</v>
      </c>
      <c r="P196" s="1">
        <v>1</v>
      </c>
      <c r="Q196" s="90">
        <v>0.21</v>
      </c>
      <c r="R196" s="90">
        <v>0</v>
      </c>
      <c r="S196" s="72" t="s">
        <v>36</v>
      </c>
      <c r="T196" s="95">
        <f t="shared" si="7"/>
        <v>72.599999999999994</v>
      </c>
      <c r="U196" s="1" t="s">
        <v>3065</v>
      </c>
      <c r="V196" s="161" t="s">
        <v>4234</v>
      </c>
      <c r="W196" s="2">
        <v>30240</v>
      </c>
      <c r="X196" s="2">
        <v>44120</v>
      </c>
      <c r="Y196" s="11" t="s">
        <v>4408</v>
      </c>
      <c r="Z196" s="3">
        <v>44158</v>
      </c>
      <c r="AA196" s="80" t="s">
        <v>1339</v>
      </c>
      <c r="AD196" t="s">
        <v>3198</v>
      </c>
    </row>
    <row r="197" spans="1:37">
      <c r="A197" s="1">
        <v>196</v>
      </c>
      <c r="B197" s="61" t="s">
        <v>37</v>
      </c>
      <c r="C197" s="2">
        <v>44124</v>
      </c>
      <c r="D197" s="1" t="s">
        <v>1906</v>
      </c>
      <c r="E197" s="61" t="s">
        <v>1907</v>
      </c>
      <c r="F197" s="61" t="s">
        <v>4231</v>
      </c>
      <c r="G197" s="6" t="s">
        <v>1257</v>
      </c>
      <c r="H197" s="1" t="s">
        <v>1266</v>
      </c>
      <c r="I197" s="1" t="s">
        <v>4232</v>
      </c>
      <c r="K197" s="1" t="s">
        <v>1906</v>
      </c>
      <c r="L197" s="3">
        <v>44135</v>
      </c>
      <c r="M197" s="1" t="s">
        <v>35</v>
      </c>
      <c r="N197" s="14" t="s">
        <v>1909</v>
      </c>
      <c r="O197" s="92">
        <v>60</v>
      </c>
      <c r="P197" s="1">
        <v>1</v>
      </c>
      <c r="Q197" s="90">
        <v>0.21</v>
      </c>
      <c r="R197" s="90">
        <v>0</v>
      </c>
      <c r="S197" s="72" t="s">
        <v>36</v>
      </c>
      <c r="T197" s="95">
        <f t="shared" si="7"/>
        <v>72.599999999999994</v>
      </c>
      <c r="U197" s="1" t="s">
        <v>1906</v>
      </c>
      <c r="V197" s="161" t="s">
        <v>4235</v>
      </c>
      <c r="W197" s="2">
        <v>28844</v>
      </c>
      <c r="X197" s="2">
        <v>44124</v>
      </c>
      <c r="Y197" s="11" t="s">
        <v>4406</v>
      </c>
      <c r="Z197" s="3">
        <v>44158</v>
      </c>
      <c r="AA197" s="80" t="s">
        <v>1339</v>
      </c>
      <c r="AD197" t="s">
        <v>3198</v>
      </c>
    </row>
    <row r="198" spans="1:37">
      <c r="A198" s="1">
        <v>197</v>
      </c>
      <c r="B198" s="61" t="s">
        <v>4203</v>
      </c>
      <c r="C198" s="2">
        <v>44120</v>
      </c>
      <c r="D198" s="1" t="s">
        <v>4208</v>
      </c>
      <c r="E198" s="61" t="s">
        <v>4237</v>
      </c>
      <c r="F198" s="61" t="s">
        <v>4209</v>
      </c>
      <c r="G198" s="6" t="s">
        <v>219</v>
      </c>
      <c r="H198" s="1" t="s">
        <v>38</v>
      </c>
      <c r="K198" s="1" t="s">
        <v>4208</v>
      </c>
      <c r="L198" s="3">
        <v>44135</v>
      </c>
      <c r="M198" s="1" t="s">
        <v>35</v>
      </c>
      <c r="N198" s="14" t="s">
        <v>4238</v>
      </c>
      <c r="O198" s="144">
        <v>100</v>
      </c>
      <c r="P198" s="1">
        <v>1</v>
      </c>
      <c r="Q198" s="90">
        <v>0.21</v>
      </c>
      <c r="R198" s="90">
        <v>0.2</v>
      </c>
      <c r="S198" s="72" t="s">
        <v>36</v>
      </c>
      <c r="T198" s="95">
        <f t="shared" si="7"/>
        <v>96.8</v>
      </c>
      <c r="U198" s="1" t="s">
        <v>4236</v>
      </c>
      <c r="V198" s="161" t="s">
        <v>4239</v>
      </c>
      <c r="W198" s="2">
        <v>31326</v>
      </c>
      <c r="X198" s="2">
        <v>44120</v>
      </c>
      <c r="Y198" s="11" t="s">
        <v>5177</v>
      </c>
      <c r="Z198" s="3">
        <v>44306</v>
      </c>
      <c r="AA198" s="80" t="s">
        <v>1339</v>
      </c>
      <c r="AC198" s="162">
        <v>44215</v>
      </c>
      <c r="AD198" t="s">
        <v>3198</v>
      </c>
      <c r="AG198" s="1" t="s">
        <v>3108</v>
      </c>
      <c r="AH198" s="2">
        <v>44120</v>
      </c>
      <c r="AK198" s="2">
        <v>44125</v>
      </c>
    </row>
    <row r="199" spans="1:37">
      <c r="A199" s="1">
        <v>198</v>
      </c>
      <c r="B199" s="61" t="s">
        <v>33</v>
      </c>
      <c r="C199" s="2">
        <v>44119</v>
      </c>
      <c r="D199" s="1" t="s">
        <v>1160</v>
      </c>
      <c r="E199" s="61" t="s">
        <v>1161</v>
      </c>
      <c r="F199" s="61" t="s">
        <v>4240</v>
      </c>
      <c r="G199" s="6" t="s">
        <v>219</v>
      </c>
      <c r="H199" s="1" t="s">
        <v>38</v>
      </c>
      <c r="I199" s="1">
        <v>653077582</v>
      </c>
      <c r="K199" s="1" t="s">
        <v>237</v>
      </c>
      <c r="L199" s="3">
        <v>44135</v>
      </c>
      <c r="M199" s="1" t="s">
        <v>35</v>
      </c>
      <c r="N199" s="14" t="s">
        <v>4241</v>
      </c>
      <c r="O199" s="163">
        <v>100</v>
      </c>
      <c r="P199" s="1">
        <v>1</v>
      </c>
      <c r="Q199" s="128">
        <v>0.21</v>
      </c>
      <c r="R199" s="128">
        <v>0.2</v>
      </c>
      <c r="S199" s="1" t="s">
        <v>36</v>
      </c>
      <c r="T199" s="95">
        <f t="shared" si="7"/>
        <v>96.8</v>
      </c>
      <c r="U199" s="1" t="s">
        <v>4242</v>
      </c>
      <c r="V199" s="161" t="s">
        <v>4243</v>
      </c>
      <c r="W199" s="2">
        <v>35436</v>
      </c>
      <c r="X199" s="2">
        <v>44119</v>
      </c>
      <c r="Y199" s="11" t="s">
        <v>4366</v>
      </c>
      <c r="Z199" s="3">
        <v>44152</v>
      </c>
      <c r="AA199" s="80" t="s">
        <v>1339</v>
      </c>
      <c r="AD199" t="s">
        <v>3198</v>
      </c>
      <c r="AG199" s="1" t="s">
        <v>4244</v>
      </c>
      <c r="AH199" s="2">
        <v>44119</v>
      </c>
      <c r="AK199" s="2">
        <v>44133</v>
      </c>
    </row>
    <row r="200" spans="1:37">
      <c r="A200" s="1">
        <v>199</v>
      </c>
      <c r="B200" s="61" t="s">
        <v>33</v>
      </c>
      <c r="C200" s="2">
        <v>44119</v>
      </c>
      <c r="D200" s="1" t="s">
        <v>4245</v>
      </c>
      <c r="E200" s="61" t="s">
        <v>4246</v>
      </c>
      <c r="F200" s="61" t="s">
        <v>4247</v>
      </c>
      <c r="G200" s="6" t="s">
        <v>230</v>
      </c>
      <c r="H200" s="1" t="s">
        <v>203</v>
      </c>
      <c r="I200" s="1" t="s">
        <v>4248</v>
      </c>
      <c r="K200" s="1" t="s">
        <v>237</v>
      </c>
      <c r="L200" s="3">
        <v>44135</v>
      </c>
      <c r="M200" s="1" t="s">
        <v>35</v>
      </c>
      <c r="N200" s="14" t="s">
        <v>4249</v>
      </c>
      <c r="O200" s="163">
        <v>100</v>
      </c>
      <c r="P200" s="1">
        <v>1</v>
      </c>
      <c r="Q200" s="128">
        <v>0.21</v>
      </c>
      <c r="R200" s="128">
        <v>0.2</v>
      </c>
      <c r="S200" t="s">
        <v>36</v>
      </c>
      <c r="T200" s="95">
        <f t="shared" si="7"/>
        <v>96.8</v>
      </c>
      <c r="U200" s="1" t="s">
        <v>4273</v>
      </c>
      <c r="V200" s="161" t="s">
        <v>4274</v>
      </c>
      <c r="W200" s="2">
        <v>35568</v>
      </c>
      <c r="X200" s="2">
        <v>44119</v>
      </c>
      <c r="Y200" s="11" t="s">
        <v>4522</v>
      </c>
      <c r="Z200" s="3">
        <v>44182</v>
      </c>
      <c r="AA200" s="80" t="s">
        <v>1339</v>
      </c>
      <c r="AD200" t="s">
        <v>3198</v>
      </c>
      <c r="AG200" s="1" t="s">
        <v>3108</v>
      </c>
      <c r="AH200" s="2">
        <v>44119</v>
      </c>
      <c r="AK200" s="2">
        <v>44131</v>
      </c>
    </row>
    <row r="201" spans="1:37">
      <c r="A201" s="1">
        <v>200</v>
      </c>
      <c r="B201" s="61" t="s">
        <v>1242</v>
      </c>
      <c r="C201" s="2">
        <v>44120</v>
      </c>
      <c r="D201" s="1" t="s">
        <v>2831</v>
      </c>
      <c r="E201" s="61" t="s">
        <v>2832</v>
      </c>
      <c r="F201" s="61" t="s">
        <v>4250</v>
      </c>
      <c r="G201" s="6" t="s">
        <v>221</v>
      </c>
      <c r="H201" s="1" t="s">
        <v>34</v>
      </c>
      <c r="I201" s="1">
        <v>609171350</v>
      </c>
      <c r="K201" s="30" t="s">
        <v>1250</v>
      </c>
      <c r="L201" s="3">
        <v>44135</v>
      </c>
      <c r="M201" s="1" t="s">
        <v>35</v>
      </c>
      <c r="N201" s="14" t="s">
        <v>4251</v>
      </c>
      <c r="O201" s="163">
        <v>100</v>
      </c>
      <c r="P201" s="1">
        <v>1</v>
      </c>
      <c r="Q201" s="128">
        <v>0.21</v>
      </c>
      <c r="R201" s="128">
        <v>0.2</v>
      </c>
      <c r="S201" t="s">
        <v>36</v>
      </c>
      <c r="T201" s="95">
        <f t="shared" si="7"/>
        <v>96.8</v>
      </c>
      <c r="U201" s="1" t="s">
        <v>4275</v>
      </c>
      <c r="V201" s="161" t="s">
        <v>4276</v>
      </c>
      <c r="W201" s="2">
        <v>31133</v>
      </c>
      <c r="X201" s="2">
        <v>44120</v>
      </c>
      <c r="Y201" s="11" t="s">
        <v>4370</v>
      </c>
      <c r="Z201" s="3">
        <v>44155</v>
      </c>
      <c r="AA201" s="80" t="s">
        <v>1339</v>
      </c>
      <c r="AD201" t="s">
        <v>3198</v>
      </c>
      <c r="AG201" s="1" t="s">
        <v>3108</v>
      </c>
      <c r="AH201" s="2">
        <v>44120</v>
      </c>
      <c r="AK201" s="2">
        <v>44133</v>
      </c>
    </row>
    <row r="202" spans="1:37">
      <c r="A202" s="1">
        <v>201</v>
      </c>
      <c r="B202" s="61" t="s">
        <v>33</v>
      </c>
      <c r="C202" s="2">
        <v>44123</v>
      </c>
      <c r="D202" s="1" t="s">
        <v>3706</v>
      </c>
      <c r="E202" s="61" t="s">
        <v>3707</v>
      </c>
      <c r="F202" s="61" t="s">
        <v>3708</v>
      </c>
      <c r="G202" s="6" t="s">
        <v>3709</v>
      </c>
      <c r="H202" s="1" t="s">
        <v>34</v>
      </c>
      <c r="I202" s="1">
        <v>627072836</v>
      </c>
      <c r="J202" s="1"/>
      <c r="K202" t="s">
        <v>237</v>
      </c>
      <c r="L202" s="3">
        <v>44135</v>
      </c>
      <c r="M202" s="1" t="s">
        <v>35</v>
      </c>
      <c r="N202" s="14" t="s">
        <v>4252</v>
      </c>
      <c r="O202" s="163">
        <v>100</v>
      </c>
      <c r="P202" s="1">
        <v>1</v>
      </c>
      <c r="Q202" s="128">
        <v>0.21</v>
      </c>
      <c r="R202" s="128">
        <v>0.2</v>
      </c>
      <c r="S202" t="s">
        <v>36</v>
      </c>
      <c r="T202" s="95">
        <f t="shared" si="7"/>
        <v>96.8</v>
      </c>
      <c r="U202" s="1" t="s">
        <v>4253</v>
      </c>
      <c r="V202" s="161" t="s">
        <v>4255</v>
      </c>
      <c r="W202" s="2">
        <v>37196</v>
      </c>
      <c r="X202" s="2">
        <v>44123</v>
      </c>
      <c r="Y202" s="11" t="s">
        <v>4406</v>
      </c>
      <c r="Z202" s="3">
        <v>44158</v>
      </c>
      <c r="AA202" s="80" t="s">
        <v>1339</v>
      </c>
      <c r="AD202" t="s">
        <v>3198</v>
      </c>
      <c r="AE202" t="s">
        <v>3402</v>
      </c>
      <c r="AG202" s="1" t="s">
        <v>4254</v>
      </c>
      <c r="AH202" s="2">
        <v>44123</v>
      </c>
      <c r="AK202" s="2">
        <v>44133</v>
      </c>
    </row>
    <row r="203" spans="1:37">
      <c r="A203" s="1">
        <v>202</v>
      </c>
      <c r="B203" s="61" t="s">
        <v>82</v>
      </c>
      <c r="C203" s="2">
        <v>44123</v>
      </c>
      <c r="D203" s="1" t="s">
        <v>2982</v>
      </c>
      <c r="E203" s="61" t="s">
        <v>4256</v>
      </c>
      <c r="F203" s="61" t="s">
        <v>4257</v>
      </c>
      <c r="G203" s="6" t="s">
        <v>242</v>
      </c>
      <c r="H203" s="1" t="s">
        <v>1474</v>
      </c>
      <c r="I203" s="1">
        <v>618295618</v>
      </c>
      <c r="K203" s="1" t="s">
        <v>2982</v>
      </c>
      <c r="L203" s="3">
        <v>44135</v>
      </c>
      <c r="M203" s="1" t="s">
        <v>35</v>
      </c>
      <c r="N203" s="14" t="s">
        <v>4258</v>
      </c>
      <c r="O203" s="163">
        <v>100</v>
      </c>
      <c r="P203" s="1">
        <v>1</v>
      </c>
      <c r="Q203" s="128">
        <v>0.21</v>
      </c>
      <c r="R203" s="128">
        <v>0.2</v>
      </c>
      <c r="S203" t="s">
        <v>36</v>
      </c>
      <c r="T203" s="95">
        <f t="shared" si="7"/>
        <v>96.8</v>
      </c>
      <c r="U203" s="1" t="s">
        <v>4259</v>
      </c>
      <c r="V203" s="161" t="s">
        <v>4260</v>
      </c>
      <c r="W203" s="2">
        <v>34038</v>
      </c>
      <c r="X203" s="2">
        <v>44123</v>
      </c>
      <c r="Y203" s="11" t="s">
        <v>4406</v>
      </c>
      <c r="Z203" s="3">
        <v>44167</v>
      </c>
      <c r="AA203" s="80" t="s">
        <v>1339</v>
      </c>
      <c r="AD203" t="s">
        <v>3198</v>
      </c>
      <c r="AE203" t="s">
        <v>4365</v>
      </c>
      <c r="AG203" s="1" t="s">
        <v>4282</v>
      </c>
      <c r="AH203" s="2">
        <v>44123</v>
      </c>
      <c r="AK203" s="2">
        <v>44131</v>
      </c>
    </row>
    <row r="204" spans="1:37">
      <c r="A204" s="1">
        <v>203</v>
      </c>
      <c r="B204" s="61" t="s">
        <v>4261</v>
      </c>
      <c r="C204" s="2">
        <v>44125</v>
      </c>
      <c r="D204" s="1" t="s">
        <v>1210</v>
      </c>
      <c r="E204" s="61" t="s">
        <v>1211</v>
      </c>
      <c r="F204" s="61" t="s">
        <v>4262</v>
      </c>
      <c r="G204" s="6" t="s">
        <v>250</v>
      </c>
      <c r="H204" s="1" t="s">
        <v>86</v>
      </c>
      <c r="K204" s="1" t="s">
        <v>1210</v>
      </c>
      <c r="L204" s="3">
        <v>44135</v>
      </c>
      <c r="M204" s="1" t="s">
        <v>35</v>
      </c>
      <c r="N204" s="14" t="s">
        <v>4263</v>
      </c>
      <c r="O204" s="163">
        <v>100</v>
      </c>
      <c r="P204" s="1">
        <v>1</v>
      </c>
      <c r="Q204" s="128">
        <v>0.21</v>
      </c>
      <c r="R204" s="128">
        <v>0.2</v>
      </c>
      <c r="S204" t="s">
        <v>36</v>
      </c>
      <c r="T204" s="95">
        <f t="shared" si="7"/>
        <v>96.8</v>
      </c>
      <c r="U204" s="1" t="s">
        <v>4264</v>
      </c>
      <c r="V204" s="161" t="s">
        <v>4272</v>
      </c>
      <c r="W204" s="2">
        <v>36526</v>
      </c>
      <c r="X204" s="2">
        <v>44125</v>
      </c>
      <c r="Y204" s="195" t="s">
        <v>4759</v>
      </c>
      <c r="Z204" s="3">
        <v>44235</v>
      </c>
      <c r="AA204" s="80" t="s">
        <v>1339</v>
      </c>
      <c r="AC204" s="194">
        <v>44183</v>
      </c>
      <c r="AD204" t="s">
        <v>3198</v>
      </c>
      <c r="AE204" t="s">
        <v>3402</v>
      </c>
      <c r="AG204" s="1" t="s">
        <v>4265</v>
      </c>
      <c r="AH204" s="2">
        <v>44125</v>
      </c>
      <c r="AK204" s="2">
        <v>44130</v>
      </c>
    </row>
    <row r="205" spans="1:37">
      <c r="A205" s="1">
        <v>204</v>
      </c>
      <c r="B205" s="61" t="s">
        <v>52</v>
      </c>
      <c r="C205" s="2">
        <v>44125</v>
      </c>
      <c r="D205" s="1" t="s">
        <v>4266</v>
      </c>
      <c r="E205" s="61" t="s">
        <v>4267</v>
      </c>
      <c r="F205" s="61" t="s">
        <v>4268</v>
      </c>
      <c r="G205" s="6" t="s">
        <v>230</v>
      </c>
      <c r="H205" s="1" t="s">
        <v>1262</v>
      </c>
      <c r="I205" s="1">
        <v>607578135</v>
      </c>
      <c r="K205" s="31" t="s">
        <v>53</v>
      </c>
      <c r="L205" s="3">
        <v>44135</v>
      </c>
      <c r="M205" s="1" t="s">
        <v>35</v>
      </c>
      <c r="N205" s="14" t="s">
        <v>4269</v>
      </c>
      <c r="O205" s="163">
        <v>100</v>
      </c>
      <c r="P205" s="1">
        <v>1</v>
      </c>
      <c r="Q205" s="128">
        <v>0.21</v>
      </c>
      <c r="R205" s="128">
        <v>0.2</v>
      </c>
      <c r="S205" t="s">
        <v>36</v>
      </c>
      <c r="T205" s="95">
        <f t="shared" si="7"/>
        <v>96.8</v>
      </c>
      <c r="U205" s="1" t="s">
        <v>4270</v>
      </c>
      <c r="V205" s="161" t="s">
        <v>4271</v>
      </c>
      <c r="W205" s="2">
        <v>33247</v>
      </c>
      <c r="X205" s="2">
        <v>44125</v>
      </c>
      <c r="Y205" s="11" t="s">
        <v>4431</v>
      </c>
      <c r="Z205" s="3">
        <v>44160</v>
      </c>
      <c r="AA205" s="80" t="s">
        <v>1339</v>
      </c>
      <c r="AD205" t="s">
        <v>3198</v>
      </c>
      <c r="AE205" t="s">
        <v>3402</v>
      </c>
      <c r="AG205" s="1" t="s">
        <v>3221</v>
      </c>
      <c r="AH205" s="2">
        <v>44125</v>
      </c>
      <c r="AK205" s="2">
        <v>44130</v>
      </c>
    </row>
    <row r="206" spans="1:37">
      <c r="A206" s="1">
        <v>205</v>
      </c>
      <c r="B206" s="61" t="s">
        <v>37</v>
      </c>
      <c r="C206" s="2">
        <v>44131</v>
      </c>
      <c r="D206" s="1" t="s">
        <v>4277</v>
      </c>
      <c r="E206" s="61" t="s">
        <v>4278</v>
      </c>
      <c r="F206" s="61" t="s">
        <v>4279</v>
      </c>
      <c r="G206" s="6" t="s">
        <v>245</v>
      </c>
      <c r="H206" s="1" t="s">
        <v>54</v>
      </c>
      <c r="I206" s="1">
        <v>632621431</v>
      </c>
      <c r="K206" s="1" t="s">
        <v>4277</v>
      </c>
      <c r="L206" s="3">
        <v>44135</v>
      </c>
      <c r="M206" s="1" t="s">
        <v>35</v>
      </c>
      <c r="N206" s="14" t="s">
        <v>4280</v>
      </c>
      <c r="O206" s="92">
        <v>60</v>
      </c>
      <c r="P206" s="1">
        <v>1</v>
      </c>
      <c r="Q206" s="90">
        <v>0.21</v>
      </c>
      <c r="R206" s="90">
        <v>0</v>
      </c>
      <c r="S206" s="72" t="s">
        <v>36</v>
      </c>
      <c r="T206" s="95">
        <f t="shared" si="7"/>
        <v>72.599999999999994</v>
      </c>
      <c r="U206" s="1" t="s">
        <v>4277</v>
      </c>
      <c r="V206" s="161" t="s">
        <v>4281</v>
      </c>
      <c r="W206" s="2">
        <v>28797</v>
      </c>
      <c r="X206" s="2">
        <v>44131</v>
      </c>
      <c r="Y206" s="11" t="s">
        <v>4431</v>
      </c>
      <c r="Z206" s="3">
        <v>44161</v>
      </c>
      <c r="AA206" s="80" t="s">
        <v>1339</v>
      </c>
      <c r="AD206" t="s">
        <v>3198</v>
      </c>
    </row>
    <row r="207" spans="1:37">
      <c r="A207" s="1">
        <v>206</v>
      </c>
      <c r="B207" s="61" t="s">
        <v>52</v>
      </c>
      <c r="C207" s="2">
        <v>44132</v>
      </c>
      <c r="D207" s="1" t="s">
        <v>2675</v>
      </c>
      <c r="E207" s="61" t="s">
        <v>2676</v>
      </c>
      <c r="F207" s="61" t="s">
        <v>4283</v>
      </c>
      <c r="G207" s="6" t="s">
        <v>219</v>
      </c>
      <c r="H207" s="1" t="s">
        <v>38</v>
      </c>
      <c r="I207" s="1">
        <v>622198513</v>
      </c>
      <c r="K207" s="31" t="s">
        <v>53</v>
      </c>
      <c r="L207" s="3">
        <v>44135</v>
      </c>
      <c r="M207" s="1" t="s">
        <v>35</v>
      </c>
      <c r="N207" s="14" t="s">
        <v>4284</v>
      </c>
      <c r="O207" s="92">
        <v>60</v>
      </c>
      <c r="P207" s="1">
        <v>1</v>
      </c>
      <c r="Q207" s="90">
        <v>0.21</v>
      </c>
      <c r="R207" s="90">
        <v>0.2</v>
      </c>
      <c r="S207" t="s">
        <v>36</v>
      </c>
      <c r="T207" s="95">
        <f t="shared" si="7"/>
        <v>58.08</v>
      </c>
      <c r="U207" s="1" t="s">
        <v>4286</v>
      </c>
      <c r="V207" s="161" t="s">
        <v>4287</v>
      </c>
      <c r="W207" s="2">
        <v>18072</v>
      </c>
      <c r="X207" s="2">
        <v>44132</v>
      </c>
      <c r="Y207" s="76" t="s">
        <v>4860</v>
      </c>
      <c r="Z207" s="3"/>
      <c r="AD207" t="s">
        <v>3198</v>
      </c>
      <c r="AG207" s="1" t="s">
        <v>4745</v>
      </c>
      <c r="AH207" s="2">
        <v>44232</v>
      </c>
      <c r="AK207" s="2">
        <v>44246</v>
      </c>
    </row>
    <row r="208" spans="1:37">
      <c r="A208" s="1">
        <v>207</v>
      </c>
      <c r="B208" s="61" t="s">
        <v>52</v>
      </c>
      <c r="C208" s="2">
        <v>44132</v>
      </c>
      <c r="D208" s="1" t="s">
        <v>2675</v>
      </c>
      <c r="E208" s="61" t="s">
        <v>2676</v>
      </c>
      <c r="F208" s="61" t="s">
        <v>4283</v>
      </c>
      <c r="G208" s="6" t="s">
        <v>219</v>
      </c>
      <c r="H208" s="1" t="s">
        <v>38</v>
      </c>
      <c r="I208" s="1">
        <v>622198513</v>
      </c>
      <c r="K208" s="31" t="s">
        <v>53</v>
      </c>
      <c r="L208" s="3">
        <v>44135</v>
      </c>
      <c r="M208" s="1" t="s">
        <v>35</v>
      </c>
      <c r="N208" s="14" t="s">
        <v>4285</v>
      </c>
      <c r="O208" s="92">
        <v>60</v>
      </c>
      <c r="P208" s="1">
        <v>1</v>
      </c>
      <c r="Q208" s="90">
        <v>0.21</v>
      </c>
      <c r="R208" s="90">
        <v>0.2</v>
      </c>
      <c r="S208" t="s">
        <v>36</v>
      </c>
      <c r="T208" s="95">
        <f t="shared" si="7"/>
        <v>58.08</v>
      </c>
      <c r="U208" s="1" t="s">
        <v>4288</v>
      </c>
      <c r="V208" s="161" t="s">
        <v>4289</v>
      </c>
      <c r="W208" s="2">
        <v>20280</v>
      </c>
      <c r="X208" s="2">
        <v>44132</v>
      </c>
      <c r="Y208" s="76" t="s">
        <v>4861</v>
      </c>
      <c r="Z208" s="3">
        <v>44258</v>
      </c>
      <c r="AD208" t="s">
        <v>3198</v>
      </c>
      <c r="AH208" s="2">
        <v>44235</v>
      </c>
      <c r="AK208" s="2">
        <v>44246</v>
      </c>
    </row>
    <row r="209" spans="1:37">
      <c r="A209" s="1">
        <v>208</v>
      </c>
      <c r="B209" s="61" t="s">
        <v>119</v>
      </c>
      <c r="C209" s="2">
        <v>44131</v>
      </c>
      <c r="D209" s="1" t="s">
        <v>626</v>
      </c>
      <c r="E209" s="61" t="s">
        <v>625</v>
      </c>
      <c r="F209" s="61" t="s">
        <v>4290</v>
      </c>
      <c r="G209" s="6" t="s">
        <v>250</v>
      </c>
      <c r="H209" s="1" t="s">
        <v>86</v>
      </c>
      <c r="I209" s="1" t="s">
        <v>4291</v>
      </c>
      <c r="K209" t="s">
        <v>174</v>
      </c>
      <c r="L209" s="3">
        <v>44135</v>
      </c>
      <c r="M209" s="1" t="s">
        <v>35</v>
      </c>
      <c r="N209" s="14" t="s">
        <v>4292</v>
      </c>
      <c r="O209" s="163">
        <v>100</v>
      </c>
      <c r="P209" s="1">
        <v>1</v>
      </c>
      <c r="Q209" s="90">
        <v>0.21</v>
      </c>
      <c r="R209" s="90">
        <v>0.2</v>
      </c>
      <c r="S209" t="s">
        <v>36</v>
      </c>
      <c r="T209" s="95">
        <f t="shared" si="7"/>
        <v>96.8</v>
      </c>
      <c r="U209" s="1" t="s">
        <v>4293</v>
      </c>
      <c r="V209" s="161" t="s">
        <v>4294</v>
      </c>
      <c r="W209" s="2">
        <v>33552</v>
      </c>
      <c r="X209" s="2">
        <v>44131</v>
      </c>
      <c r="Y209" s="11" t="s">
        <v>4730</v>
      </c>
      <c r="AA209" s="80" t="s">
        <v>1339</v>
      </c>
      <c r="AD209" t="s">
        <v>3198</v>
      </c>
      <c r="AG209" s="1" t="s">
        <v>4305</v>
      </c>
      <c r="AH209" s="2">
        <v>44133</v>
      </c>
      <c r="AK209" s="2">
        <v>44140</v>
      </c>
    </row>
    <row r="210" spans="1:37">
      <c r="A210" s="1">
        <v>209</v>
      </c>
      <c r="B210" s="160" t="s">
        <v>4203</v>
      </c>
      <c r="C210" s="165">
        <v>44127</v>
      </c>
      <c r="D210" s="164" t="s">
        <v>4297</v>
      </c>
      <c r="E210" s="160" t="s">
        <v>2218</v>
      </c>
      <c r="F210" s="160" t="s">
        <v>4298</v>
      </c>
      <c r="G210" s="166" t="s">
        <v>4299</v>
      </c>
      <c r="H210" s="164" t="s">
        <v>38</v>
      </c>
      <c r="I210" s="164">
        <v>649287284</v>
      </c>
      <c r="J210" s="81"/>
      <c r="K210" s="164" t="s">
        <v>4297</v>
      </c>
      <c r="L210" s="131">
        <v>44135</v>
      </c>
      <c r="M210" s="164" t="s">
        <v>35</v>
      </c>
      <c r="N210" s="167" t="s">
        <v>4300</v>
      </c>
      <c r="O210" s="168">
        <v>100</v>
      </c>
      <c r="P210" s="164">
        <v>1</v>
      </c>
      <c r="Q210" s="169">
        <v>0.21</v>
      </c>
      <c r="R210" s="169">
        <v>0.2</v>
      </c>
      <c r="S210" s="81" t="s">
        <v>36</v>
      </c>
      <c r="T210" s="170">
        <f t="shared" si="7"/>
        <v>96.8</v>
      </c>
      <c r="U210" s="164" t="s">
        <v>4301</v>
      </c>
      <c r="V210" s="171" t="s">
        <v>4302</v>
      </c>
      <c r="W210" s="165">
        <v>33603</v>
      </c>
      <c r="X210" s="165">
        <v>44127</v>
      </c>
      <c r="Y210" s="11" t="s">
        <v>4441</v>
      </c>
      <c r="Z210" s="3">
        <v>44167</v>
      </c>
      <c r="AA210" s="80" t="s">
        <v>1339</v>
      </c>
      <c r="AD210" t="s">
        <v>3198</v>
      </c>
      <c r="AE210" t="s">
        <v>4304</v>
      </c>
      <c r="AG210" s="1" t="s">
        <v>4303</v>
      </c>
      <c r="AH210" s="2">
        <v>44127</v>
      </c>
      <c r="AK210" s="2">
        <v>44140</v>
      </c>
    </row>
    <row r="211" spans="1:37">
      <c r="A211" s="1">
        <v>210</v>
      </c>
      <c r="B211" s="61" t="s">
        <v>37</v>
      </c>
      <c r="C211" s="2">
        <v>44140</v>
      </c>
      <c r="D211" s="1" t="s">
        <v>4306</v>
      </c>
      <c r="E211" s="61" t="s">
        <v>4307</v>
      </c>
      <c r="F211" s="61" t="s">
        <v>4308</v>
      </c>
      <c r="G211" s="6" t="s">
        <v>1257</v>
      </c>
      <c r="H211" s="1" t="s">
        <v>1266</v>
      </c>
      <c r="I211" s="1">
        <v>631833718</v>
      </c>
      <c r="K211" t="s">
        <v>4306</v>
      </c>
      <c r="L211" s="3">
        <v>44165</v>
      </c>
      <c r="M211" s="1" t="s">
        <v>35</v>
      </c>
      <c r="N211" s="14" t="s">
        <v>4309</v>
      </c>
      <c r="O211" s="92">
        <v>60</v>
      </c>
      <c r="P211" s="1">
        <v>1</v>
      </c>
      <c r="Q211" s="90">
        <v>0.21</v>
      </c>
      <c r="R211" s="90">
        <v>0</v>
      </c>
      <c r="S211" t="s">
        <v>36</v>
      </c>
      <c r="T211" s="95">
        <f t="shared" si="7"/>
        <v>72.599999999999994</v>
      </c>
      <c r="U211" s="1" t="s">
        <v>4306</v>
      </c>
      <c r="V211" s="161" t="s">
        <v>4310</v>
      </c>
      <c r="W211" s="2">
        <v>29382</v>
      </c>
      <c r="X211" s="2">
        <v>44140</v>
      </c>
      <c r="Y211" s="11" t="s">
        <v>4553</v>
      </c>
      <c r="Z211" s="3">
        <v>44189</v>
      </c>
      <c r="AA211" s="80" t="s">
        <v>1339</v>
      </c>
      <c r="AD211" t="s">
        <v>3198</v>
      </c>
    </row>
    <row r="212" spans="1:37">
      <c r="A212" s="1">
        <v>211</v>
      </c>
      <c r="B212" s="61" t="s">
        <v>37</v>
      </c>
      <c r="C212" s="2">
        <v>44141</v>
      </c>
      <c r="D212" s="1" t="s">
        <v>4311</v>
      </c>
      <c r="E212" s="61" t="s">
        <v>4312</v>
      </c>
      <c r="F212" s="61" t="s">
        <v>4313</v>
      </c>
      <c r="G212" s="6" t="s">
        <v>2451</v>
      </c>
      <c r="H212" s="1" t="s">
        <v>3681</v>
      </c>
      <c r="I212" s="1">
        <v>612293081</v>
      </c>
      <c r="K212" s="1" t="s">
        <v>4311</v>
      </c>
      <c r="L212" s="3">
        <v>44165</v>
      </c>
      <c r="M212" s="1" t="s">
        <v>35</v>
      </c>
      <c r="N212" s="14" t="s">
        <v>4314</v>
      </c>
      <c r="O212" s="92">
        <v>60</v>
      </c>
      <c r="P212" s="1">
        <v>1</v>
      </c>
      <c r="Q212" s="90">
        <v>0.21</v>
      </c>
      <c r="R212" s="90">
        <v>0</v>
      </c>
      <c r="S212" s="72" t="s">
        <v>36</v>
      </c>
      <c r="T212" s="95">
        <f t="shared" si="7"/>
        <v>72.599999999999994</v>
      </c>
      <c r="U212" s="1" t="s">
        <v>4311</v>
      </c>
      <c r="V212" s="161" t="s">
        <v>4315</v>
      </c>
      <c r="W212" s="2">
        <v>35386</v>
      </c>
      <c r="X212" s="2">
        <v>44141</v>
      </c>
      <c r="Y212" s="11" t="s">
        <v>4566</v>
      </c>
      <c r="Z212" s="3">
        <v>44208</v>
      </c>
      <c r="AA212" s="184" t="s">
        <v>1339</v>
      </c>
      <c r="AD212" t="s">
        <v>3198</v>
      </c>
      <c r="AG212" s="1" t="s">
        <v>4500</v>
      </c>
      <c r="AH212" s="2">
        <v>44182</v>
      </c>
    </row>
    <row r="213" spans="1:37">
      <c r="A213" s="1">
        <v>212</v>
      </c>
      <c r="B213" t="s">
        <v>80</v>
      </c>
      <c r="C213" s="2">
        <v>44139</v>
      </c>
      <c r="D213" t="s">
        <v>1353</v>
      </c>
      <c r="E213" t="s">
        <v>1354</v>
      </c>
      <c r="F213" t="s">
        <v>1842</v>
      </c>
      <c r="G213" s="6" t="s">
        <v>294</v>
      </c>
      <c r="H213" t="s">
        <v>103</v>
      </c>
      <c r="I213"/>
      <c r="K213" t="s">
        <v>1353</v>
      </c>
      <c r="L213" s="3">
        <v>44165</v>
      </c>
      <c r="M213" s="1" t="s">
        <v>35</v>
      </c>
      <c r="N213" s="14" t="s">
        <v>4316</v>
      </c>
      <c r="O213" s="168">
        <v>100</v>
      </c>
      <c r="P213" s="1">
        <v>1</v>
      </c>
      <c r="Q213" s="90">
        <v>0.21</v>
      </c>
      <c r="R213" s="90">
        <v>0.2</v>
      </c>
      <c r="S213" t="s">
        <v>36</v>
      </c>
      <c r="T213" s="95">
        <f t="shared" si="7"/>
        <v>96.8</v>
      </c>
      <c r="U213" s="1" t="s">
        <v>4317</v>
      </c>
      <c r="V213" s="161" t="s">
        <v>4318</v>
      </c>
      <c r="W213" s="2">
        <v>30682</v>
      </c>
      <c r="X213" s="2">
        <v>44139</v>
      </c>
      <c r="Y213" s="11" t="s">
        <v>4713</v>
      </c>
      <c r="Z213" s="3">
        <v>44228</v>
      </c>
      <c r="AA213" s="80" t="s">
        <v>1339</v>
      </c>
      <c r="AD213" t="s">
        <v>3198</v>
      </c>
      <c r="AE213" t="s">
        <v>4363</v>
      </c>
      <c r="AG213" s="1" t="s">
        <v>3108</v>
      </c>
      <c r="AH213" s="2">
        <v>44141</v>
      </c>
      <c r="AK213" s="2">
        <v>44148</v>
      </c>
    </row>
    <row r="214" spans="1:37">
      <c r="A214" s="1">
        <v>213</v>
      </c>
      <c r="B214" s="173" t="s">
        <v>4119</v>
      </c>
      <c r="C214" s="174">
        <v>44134</v>
      </c>
      <c r="D214" s="172" t="s">
        <v>2878</v>
      </c>
      <c r="E214" s="173" t="s">
        <v>4120</v>
      </c>
      <c r="F214" s="173" t="s">
        <v>4121</v>
      </c>
      <c r="G214" s="175" t="s">
        <v>432</v>
      </c>
      <c r="H214" s="172" t="s">
        <v>3681</v>
      </c>
      <c r="I214" s="172"/>
      <c r="J214" s="176"/>
      <c r="K214" s="172" t="s">
        <v>2878</v>
      </c>
      <c r="L214" s="3">
        <v>44165</v>
      </c>
      <c r="M214" s="172" t="s">
        <v>35</v>
      </c>
      <c r="N214" s="177" t="s">
        <v>4320</v>
      </c>
      <c r="O214" s="178">
        <v>41.32</v>
      </c>
      <c r="P214" s="172">
        <v>1</v>
      </c>
      <c r="Q214" s="179">
        <v>0.21</v>
      </c>
      <c r="R214" s="179">
        <v>0</v>
      </c>
      <c r="S214" t="s">
        <v>36</v>
      </c>
      <c r="T214" s="180">
        <f t="shared" si="7"/>
        <v>49.997199999999999</v>
      </c>
      <c r="U214" s="172" t="s">
        <v>2878</v>
      </c>
      <c r="V214" s="161"/>
      <c r="W214" s="2"/>
      <c r="X214" s="2" t="s">
        <v>3407</v>
      </c>
      <c r="Y214" s="11" t="s">
        <v>1326</v>
      </c>
    </row>
    <row r="215" spans="1:37">
      <c r="A215" s="1">
        <v>214</v>
      </c>
      <c r="B215" s="173" t="s">
        <v>4119</v>
      </c>
      <c r="C215" s="174">
        <v>44134</v>
      </c>
      <c r="D215" s="172" t="s">
        <v>2906</v>
      </c>
      <c r="E215" s="173" t="s">
        <v>4139</v>
      </c>
      <c r="F215" s="173" t="s">
        <v>4130</v>
      </c>
      <c r="G215" s="175" t="s">
        <v>241</v>
      </c>
      <c r="H215" s="172" t="s">
        <v>3454</v>
      </c>
      <c r="I215" s="172"/>
      <c r="J215" s="176"/>
      <c r="K215" s="172" t="s">
        <v>2906</v>
      </c>
      <c r="L215" s="3">
        <v>44165</v>
      </c>
      <c r="M215" s="172" t="s">
        <v>35</v>
      </c>
      <c r="N215" s="177" t="s">
        <v>4320</v>
      </c>
      <c r="O215" s="178">
        <v>41.32</v>
      </c>
      <c r="P215" s="172">
        <v>1</v>
      </c>
      <c r="Q215" s="179">
        <v>0.21</v>
      </c>
      <c r="R215" s="181">
        <v>0</v>
      </c>
      <c r="S215" t="s">
        <v>36</v>
      </c>
      <c r="T215" s="180">
        <f t="shared" si="7"/>
        <v>49.997199999999999</v>
      </c>
      <c r="U215" s="172" t="s">
        <v>2906</v>
      </c>
      <c r="V215" s="161"/>
      <c r="W215" s="2"/>
      <c r="X215" s="2" t="s">
        <v>3407</v>
      </c>
      <c r="Y215" s="11" t="s">
        <v>1326</v>
      </c>
    </row>
    <row r="216" spans="1:37">
      <c r="A216" s="1">
        <v>215</v>
      </c>
      <c r="B216" s="173" t="s">
        <v>4119</v>
      </c>
      <c r="C216" s="174">
        <v>44134</v>
      </c>
      <c r="D216" s="172" t="s">
        <v>2903</v>
      </c>
      <c r="E216" s="173" t="s">
        <v>4144</v>
      </c>
      <c r="F216" s="173" t="s">
        <v>4145</v>
      </c>
      <c r="G216" s="175" t="s">
        <v>4146</v>
      </c>
      <c r="H216" s="172" t="s">
        <v>4147</v>
      </c>
      <c r="I216" s="172"/>
      <c r="J216" s="176"/>
      <c r="K216" s="172" t="s">
        <v>2903</v>
      </c>
      <c r="L216" s="3">
        <v>44165</v>
      </c>
      <c r="M216" s="172" t="s">
        <v>35</v>
      </c>
      <c r="N216" s="177" t="s">
        <v>4320</v>
      </c>
      <c r="O216" s="178">
        <v>41.32</v>
      </c>
      <c r="P216" s="172">
        <v>1</v>
      </c>
      <c r="Q216" s="179">
        <v>0.21</v>
      </c>
      <c r="R216" s="179">
        <v>0</v>
      </c>
      <c r="S216" s="81" t="s">
        <v>36</v>
      </c>
      <c r="T216" s="180">
        <f t="shared" si="7"/>
        <v>49.997199999999999</v>
      </c>
      <c r="U216" s="172" t="s">
        <v>2903</v>
      </c>
      <c r="V216" s="161"/>
      <c r="W216" s="2"/>
      <c r="X216" s="2" t="s">
        <v>3407</v>
      </c>
      <c r="Y216" s="11" t="s">
        <v>1326</v>
      </c>
    </row>
    <row r="217" spans="1:37">
      <c r="A217" s="1">
        <v>216</v>
      </c>
      <c r="B217" s="61" t="s">
        <v>4321</v>
      </c>
      <c r="C217" s="2">
        <v>44144</v>
      </c>
      <c r="D217" s="1" t="s">
        <v>4322</v>
      </c>
      <c r="E217" s="61" t="s">
        <v>4323</v>
      </c>
      <c r="F217" s="61" t="s">
        <v>4324</v>
      </c>
      <c r="G217" s="6" t="s">
        <v>270</v>
      </c>
      <c r="H217" s="1" t="s">
        <v>3681</v>
      </c>
      <c r="I217" s="1">
        <v>674096615</v>
      </c>
      <c r="K217" s="1" t="s">
        <v>4322</v>
      </c>
      <c r="L217" s="3">
        <v>44165</v>
      </c>
      <c r="M217" s="1" t="s">
        <v>35</v>
      </c>
      <c r="N217" s="14" t="s">
        <v>4325</v>
      </c>
      <c r="O217" s="92">
        <v>60</v>
      </c>
      <c r="P217" s="1">
        <v>1</v>
      </c>
      <c r="Q217" s="90">
        <v>0.21</v>
      </c>
      <c r="R217" s="90">
        <v>0.2</v>
      </c>
      <c r="S217" t="s">
        <v>36</v>
      </c>
      <c r="T217" s="95">
        <f t="shared" si="7"/>
        <v>58.08</v>
      </c>
      <c r="U217" s="1" t="s">
        <v>4322</v>
      </c>
      <c r="V217" s="161" t="s">
        <v>3407</v>
      </c>
      <c r="W217" s="2">
        <v>32751</v>
      </c>
      <c r="X217" s="2">
        <v>44144</v>
      </c>
      <c r="Y217" s="11" t="s">
        <v>151</v>
      </c>
      <c r="AD217" t="s">
        <v>3198</v>
      </c>
    </row>
    <row r="218" spans="1:37">
      <c r="A218" s="1">
        <v>217</v>
      </c>
      <c r="B218" s="61" t="s">
        <v>33</v>
      </c>
      <c r="C218" s="2">
        <v>44144</v>
      </c>
      <c r="D218" s="1" t="s">
        <v>4330</v>
      </c>
      <c r="E218" s="61" t="s">
        <v>4331</v>
      </c>
      <c r="F218" s="61" t="s">
        <v>4333</v>
      </c>
      <c r="G218" s="6" t="s">
        <v>219</v>
      </c>
      <c r="H218" s="1" t="s">
        <v>4334</v>
      </c>
      <c r="I218" s="1" t="s">
        <v>4332</v>
      </c>
      <c r="K218" s="1" t="s">
        <v>237</v>
      </c>
      <c r="L218" s="3">
        <v>44165</v>
      </c>
      <c r="M218" s="1" t="s">
        <v>35</v>
      </c>
      <c r="N218" s="14" t="s">
        <v>4335</v>
      </c>
      <c r="O218" s="163">
        <v>100</v>
      </c>
      <c r="P218" s="1">
        <v>1</v>
      </c>
      <c r="Q218" s="128">
        <v>0.21</v>
      </c>
      <c r="R218" s="128">
        <v>0.2</v>
      </c>
      <c r="S218" s="72" t="s">
        <v>36</v>
      </c>
      <c r="T218" s="95">
        <f t="shared" si="7"/>
        <v>96.8</v>
      </c>
      <c r="U218" s="1" t="s">
        <v>4336</v>
      </c>
      <c r="V218" s="161" t="s">
        <v>4337</v>
      </c>
      <c r="W218" s="2">
        <v>29007</v>
      </c>
      <c r="X218" s="2">
        <v>44144</v>
      </c>
      <c r="Y218" s="11" t="s">
        <v>5064</v>
      </c>
      <c r="Z218" s="3">
        <v>44285</v>
      </c>
      <c r="AA218" s="80" t="s">
        <v>1339</v>
      </c>
      <c r="AB218" t="s">
        <v>4763</v>
      </c>
      <c r="AC218" s="162">
        <v>44244</v>
      </c>
      <c r="AD218" t="s">
        <v>3198</v>
      </c>
      <c r="AG218" s="1" t="s">
        <v>3108</v>
      </c>
      <c r="AH218" s="2">
        <v>44147</v>
      </c>
      <c r="AK218" s="2">
        <v>44147</v>
      </c>
    </row>
    <row r="219" spans="1:37">
      <c r="A219" s="1">
        <v>218</v>
      </c>
      <c r="B219" s="61" t="s">
        <v>1414</v>
      </c>
      <c r="C219" s="2">
        <v>44144</v>
      </c>
      <c r="D219" s="1" t="s">
        <v>2776</v>
      </c>
      <c r="E219" s="61" t="s">
        <v>4338</v>
      </c>
      <c r="F219" s="61" t="s">
        <v>4339</v>
      </c>
      <c r="G219" s="6" t="s">
        <v>221</v>
      </c>
      <c r="H219" s="1" t="s">
        <v>34</v>
      </c>
      <c r="I219" s="1">
        <v>653915166</v>
      </c>
      <c r="K219" s="1" t="s">
        <v>2776</v>
      </c>
      <c r="L219" s="3">
        <v>44165</v>
      </c>
      <c r="M219" s="1" t="s">
        <v>35</v>
      </c>
      <c r="N219" s="14" t="s">
        <v>4340</v>
      </c>
      <c r="O219" s="163">
        <v>100</v>
      </c>
      <c r="P219" s="1">
        <v>1</v>
      </c>
      <c r="Q219" s="128">
        <v>0.21</v>
      </c>
      <c r="R219" s="128">
        <v>0.2</v>
      </c>
      <c r="S219" t="s">
        <v>36</v>
      </c>
      <c r="T219" s="95">
        <f t="shared" si="7"/>
        <v>96.8</v>
      </c>
      <c r="U219" s="1" t="s">
        <v>4341</v>
      </c>
      <c r="V219" s="161" t="s">
        <v>4342</v>
      </c>
      <c r="W219" s="2">
        <v>32874</v>
      </c>
      <c r="X219" s="2">
        <v>44144</v>
      </c>
      <c r="Y219" s="11" t="s">
        <v>4472</v>
      </c>
      <c r="Z219" s="3">
        <v>44176</v>
      </c>
      <c r="AA219" s="80" t="s">
        <v>1339</v>
      </c>
      <c r="AD219" t="s">
        <v>3198</v>
      </c>
      <c r="AG219" s="1" t="s">
        <v>3108</v>
      </c>
      <c r="AH219" s="2">
        <v>44147</v>
      </c>
      <c r="AK219" s="2">
        <v>44155</v>
      </c>
    </row>
    <row r="220" spans="1:37">
      <c r="A220" s="1">
        <v>219</v>
      </c>
      <c r="B220" s="61" t="s">
        <v>82</v>
      </c>
      <c r="C220" s="2">
        <v>44144</v>
      </c>
      <c r="D220" s="1" t="s">
        <v>263</v>
      </c>
      <c r="E220" s="61" t="s">
        <v>264</v>
      </c>
      <c r="F220" s="61" t="s">
        <v>4343</v>
      </c>
      <c r="G220" s="6" t="s">
        <v>250</v>
      </c>
      <c r="H220" s="1" t="s">
        <v>86</v>
      </c>
      <c r="I220" s="1">
        <v>657359536</v>
      </c>
      <c r="K220" s="1" t="s">
        <v>263</v>
      </c>
      <c r="L220" s="3">
        <v>44165</v>
      </c>
      <c r="M220" s="1" t="s">
        <v>35</v>
      </c>
      <c r="N220" s="14" t="s">
        <v>4344</v>
      </c>
      <c r="O220" s="163">
        <v>100</v>
      </c>
      <c r="P220" s="1">
        <v>1</v>
      </c>
      <c r="Q220" s="90">
        <v>0.21</v>
      </c>
      <c r="R220" s="90">
        <v>0.2</v>
      </c>
      <c r="S220" t="s">
        <v>36</v>
      </c>
      <c r="T220" s="95">
        <f t="shared" si="7"/>
        <v>96.8</v>
      </c>
      <c r="U220" s="1" t="s">
        <v>4345</v>
      </c>
      <c r="V220" s="161" t="s">
        <v>4346</v>
      </c>
      <c r="W220" s="2">
        <v>34197</v>
      </c>
      <c r="X220" s="2">
        <v>44144</v>
      </c>
      <c r="Y220" s="11" t="s">
        <v>4471</v>
      </c>
      <c r="Z220" s="3">
        <v>44175</v>
      </c>
      <c r="AA220" s="80" t="s">
        <v>1339</v>
      </c>
      <c r="AD220" t="s">
        <v>3198</v>
      </c>
      <c r="AG220" s="1" t="s">
        <v>4347</v>
      </c>
      <c r="AH220" s="2">
        <v>44147</v>
      </c>
      <c r="AK220" s="2">
        <v>44153</v>
      </c>
    </row>
    <row r="221" spans="1:37">
      <c r="A221" s="1">
        <v>220</v>
      </c>
      <c r="B221" s="61" t="s">
        <v>82</v>
      </c>
      <c r="C221" s="2">
        <v>44144</v>
      </c>
      <c r="D221" s="1" t="s">
        <v>1968</v>
      </c>
      <c r="E221" s="61" t="s">
        <v>1969</v>
      </c>
      <c r="F221" s="61" t="s">
        <v>4343</v>
      </c>
      <c r="G221" s="6" t="s">
        <v>250</v>
      </c>
      <c r="H221" s="1" t="s">
        <v>86</v>
      </c>
      <c r="I221" s="1">
        <v>657359536</v>
      </c>
      <c r="K221" s="1" t="s">
        <v>1968</v>
      </c>
      <c r="L221" s="3">
        <v>44165</v>
      </c>
      <c r="M221" s="1" t="s">
        <v>35</v>
      </c>
      <c r="N221" s="14" t="s">
        <v>4348</v>
      </c>
      <c r="O221" s="163">
        <v>100</v>
      </c>
      <c r="P221" s="1">
        <v>1</v>
      </c>
      <c r="Q221" s="90">
        <v>0.21</v>
      </c>
      <c r="R221" s="90">
        <v>0.2</v>
      </c>
      <c r="S221" t="s">
        <v>36</v>
      </c>
      <c r="T221" s="95">
        <f t="shared" si="7"/>
        <v>96.8</v>
      </c>
      <c r="U221" s="1" t="s">
        <v>4349</v>
      </c>
      <c r="V221" s="161" t="s">
        <v>4350</v>
      </c>
      <c r="W221" s="2">
        <v>35489</v>
      </c>
      <c r="X221" s="2">
        <v>44144</v>
      </c>
      <c r="Y221" s="11" t="s">
        <v>4471</v>
      </c>
      <c r="Z221" s="3">
        <v>44175</v>
      </c>
      <c r="AA221" s="80" t="s">
        <v>1339</v>
      </c>
      <c r="AD221" t="s">
        <v>3198</v>
      </c>
      <c r="AG221" s="1" t="s">
        <v>3108</v>
      </c>
      <c r="AH221" s="2">
        <v>44147</v>
      </c>
      <c r="AK221" s="2">
        <v>44147</v>
      </c>
    </row>
    <row r="222" spans="1:37">
      <c r="A222" s="1">
        <v>221</v>
      </c>
      <c r="B222" s="61" t="s">
        <v>37</v>
      </c>
      <c r="C222" s="2">
        <v>44146</v>
      </c>
      <c r="D222" s="1" t="s">
        <v>4351</v>
      </c>
      <c r="E222" s="61" t="s">
        <v>4352</v>
      </c>
      <c r="F222" s="61" t="s">
        <v>4353</v>
      </c>
      <c r="G222" s="6" t="s">
        <v>2451</v>
      </c>
      <c r="H222" s="1" t="s">
        <v>3681</v>
      </c>
      <c r="I222" s="1">
        <v>632863829</v>
      </c>
      <c r="K222" s="1" t="s">
        <v>4351</v>
      </c>
      <c r="L222" s="3">
        <v>44165</v>
      </c>
      <c r="M222" s="1" t="s">
        <v>35</v>
      </c>
      <c r="N222" s="14" t="s">
        <v>4354</v>
      </c>
      <c r="O222" s="163">
        <v>100</v>
      </c>
      <c r="P222" s="1">
        <v>1</v>
      </c>
      <c r="Q222" s="90">
        <v>0.21</v>
      </c>
      <c r="R222" s="90">
        <v>0</v>
      </c>
      <c r="S222" s="81" t="s">
        <v>36</v>
      </c>
      <c r="T222" s="95">
        <f t="shared" si="7"/>
        <v>121</v>
      </c>
      <c r="U222" s="1" t="s">
        <v>4351</v>
      </c>
      <c r="V222" s="161" t="s">
        <v>4355</v>
      </c>
      <c r="W222" s="2">
        <v>34021</v>
      </c>
      <c r="X222" s="2">
        <v>44146</v>
      </c>
      <c r="Y222" s="207" t="s">
        <v>4886</v>
      </c>
      <c r="Z222" s="3">
        <v>44244</v>
      </c>
      <c r="AA222" s="80" t="s">
        <v>1339</v>
      </c>
      <c r="AB222" t="s">
        <v>4785</v>
      </c>
      <c r="AD222" t="s">
        <v>3198</v>
      </c>
      <c r="AG222" s="1" t="s">
        <v>4356</v>
      </c>
      <c r="AH222" s="2">
        <v>44148</v>
      </c>
      <c r="AK222" s="2">
        <v>44152</v>
      </c>
    </row>
    <row r="223" spans="1:37">
      <c r="A223" s="1">
        <v>222</v>
      </c>
      <c r="B223" s="61" t="s">
        <v>52</v>
      </c>
      <c r="C223" s="2">
        <v>44146</v>
      </c>
      <c r="D223" s="1" t="s">
        <v>66</v>
      </c>
      <c r="E223" s="61" t="s">
        <v>65</v>
      </c>
      <c r="F223" s="61" t="s">
        <v>3666</v>
      </c>
      <c r="G223" s="6" t="s">
        <v>230</v>
      </c>
      <c r="H223" s="1" t="s">
        <v>34</v>
      </c>
      <c r="I223" s="1">
        <v>609312130</v>
      </c>
      <c r="J223" s="1"/>
      <c r="K223" t="s">
        <v>4432</v>
      </c>
      <c r="L223" s="3">
        <v>44165</v>
      </c>
      <c r="M223" s="1" t="s">
        <v>35</v>
      </c>
      <c r="N223" s="14" t="s">
        <v>3872</v>
      </c>
      <c r="O223" s="92">
        <v>60</v>
      </c>
      <c r="P223" s="1">
        <v>1</v>
      </c>
      <c r="Q223" s="90">
        <v>0.21</v>
      </c>
      <c r="R223" s="90">
        <v>0</v>
      </c>
      <c r="S223" t="s">
        <v>36</v>
      </c>
      <c r="T223" s="95">
        <f t="shared" si="7"/>
        <v>72.599999999999994</v>
      </c>
      <c r="U223" s="1" t="s">
        <v>3873</v>
      </c>
      <c r="V223" s="161" t="s">
        <v>4357</v>
      </c>
      <c r="W223" s="2">
        <v>35288</v>
      </c>
      <c r="X223" s="2">
        <v>44146</v>
      </c>
      <c r="Y223" s="11" t="s">
        <v>4762</v>
      </c>
      <c r="Z223" s="3">
        <v>44235</v>
      </c>
      <c r="AA223" s="80" t="s">
        <v>1339</v>
      </c>
      <c r="AD223" t="s">
        <v>3198</v>
      </c>
      <c r="AG223" s="1" t="s">
        <v>3705</v>
      </c>
      <c r="AH223" s="2">
        <v>44148</v>
      </c>
      <c r="AK223" s="2">
        <v>44151</v>
      </c>
    </row>
    <row r="224" spans="1:37">
      <c r="A224" s="1">
        <v>223</v>
      </c>
      <c r="B224" s="61" t="s">
        <v>111</v>
      </c>
      <c r="C224" s="2">
        <v>44146</v>
      </c>
      <c r="D224" s="1" t="s">
        <v>4358</v>
      </c>
      <c r="E224" s="61" t="s">
        <v>4359</v>
      </c>
      <c r="F224" t="s">
        <v>2922</v>
      </c>
      <c r="G224" s="6" t="s">
        <v>220</v>
      </c>
      <c r="H224" t="s">
        <v>39</v>
      </c>
      <c r="I224">
        <v>686382523</v>
      </c>
      <c r="K224" s="1" t="s">
        <v>4358</v>
      </c>
      <c r="L224" s="3">
        <v>44165</v>
      </c>
      <c r="M224" s="1" t="s">
        <v>35</v>
      </c>
      <c r="N224" s="14" t="s">
        <v>4360</v>
      </c>
      <c r="O224" s="163">
        <v>100</v>
      </c>
      <c r="P224" s="1">
        <v>1</v>
      </c>
      <c r="Q224" s="90">
        <v>0.21</v>
      </c>
      <c r="R224" s="90">
        <v>0.2</v>
      </c>
      <c r="S224" s="72" t="s">
        <v>36</v>
      </c>
      <c r="T224" s="95">
        <f t="shared" si="7"/>
        <v>96.8</v>
      </c>
      <c r="U224" s="1" t="s">
        <v>4362</v>
      </c>
      <c r="V224" s="161" t="s">
        <v>4361</v>
      </c>
      <c r="W224" s="2">
        <v>32542</v>
      </c>
      <c r="X224" s="2">
        <v>44146</v>
      </c>
      <c r="Y224" s="11" t="s">
        <v>4762</v>
      </c>
      <c r="Z224" s="3">
        <v>44235</v>
      </c>
      <c r="AA224" s="80" t="s">
        <v>1339</v>
      </c>
      <c r="AD224" t="s">
        <v>3198</v>
      </c>
      <c r="AG224" s="1" t="s">
        <v>3108</v>
      </c>
      <c r="AH224" s="2">
        <v>44148</v>
      </c>
      <c r="AK224" s="2">
        <v>44151</v>
      </c>
    </row>
    <row r="225" spans="1:37">
      <c r="A225" s="1">
        <v>224</v>
      </c>
      <c r="B225" s="61" t="s">
        <v>3526</v>
      </c>
      <c r="C225" s="2">
        <v>44153</v>
      </c>
      <c r="D225" s="1" t="s">
        <v>1961</v>
      </c>
      <c r="E225" s="61" t="s">
        <v>4367</v>
      </c>
      <c r="F225" s="61" t="s">
        <v>4368</v>
      </c>
      <c r="G225" s="6" t="s">
        <v>2654</v>
      </c>
      <c r="H225" s="1" t="s">
        <v>2359</v>
      </c>
      <c r="I225" s="1">
        <v>697814962</v>
      </c>
      <c r="K225" s="1" t="s">
        <v>1961</v>
      </c>
      <c r="L225" s="3">
        <v>44165</v>
      </c>
      <c r="M225" s="1" t="s">
        <v>35</v>
      </c>
      <c r="N225" t="s">
        <v>4369</v>
      </c>
      <c r="O225" s="92">
        <v>60</v>
      </c>
      <c r="P225" s="1">
        <v>1</v>
      </c>
      <c r="Q225" s="90">
        <v>0.21</v>
      </c>
      <c r="R225" s="90">
        <v>0.2</v>
      </c>
      <c r="S225" t="s">
        <v>36</v>
      </c>
      <c r="T225" s="95">
        <f t="shared" si="7"/>
        <v>58.08</v>
      </c>
      <c r="U225" s="1" t="s">
        <v>1961</v>
      </c>
      <c r="V225" s="161" t="s">
        <v>4573</v>
      </c>
      <c r="W225" s="2">
        <v>35221</v>
      </c>
      <c r="X225" s="2">
        <v>44153</v>
      </c>
      <c r="Y225" s="11" t="s">
        <v>4574</v>
      </c>
      <c r="Z225" s="3">
        <v>43842</v>
      </c>
      <c r="AA225" s="80" t="s">
        <v>1339</v>
      </c>
      <c r="AD225" t="s">
        <v>3198</v>
      </c>
    </row>
    <row r="226" spans="1:37">
      <c r="A226" s="1">
        <v>225</v>
      </c>
      <c r="B226" s="61" t="s">
        <v>3232</v>
      </c>
      <c r="C226" s="2">
        <v>44153</v>
      </c>
      <c r="D226" t="s">
        <v>1522</v>
      </c>
      <c r="E226" t="s">
        <v>3233</v>
      </c>
      <c r="F226" t="s">
        <v>3241</v>
      </c>
      <c r="G226" s="6" t="s">
        <v>3234</v>
      </c>
      <c r="H226" t="s">
        <v>3235</v>
      </c>
      <c r="I226">
        <v>680761760</v>
      </c>
      <c r="K226" t="s">
        <v>1522</v>
      </c>
      <c r="L226" s="3">
        <v>44165</v>
      </c>
      <c r="M226" s="1" t="s">
        <v>35</v>
      </c>
      <c r="N226" s="14" t="s">
        <v>4371</v>
      </c>
      <c r="O226" s="163">
        <v>100</v>
      </c>
      <c r="P226" s="1">
        <v>1</v>
      </c>
      <c r="Q226" s="90">
        <v>0.21</v>
      </c>
      <c r="R226" s="90">
        <v>0.2</v>
      </c>
      <c r="S226" t="s">
        <v>36</v>
      </c>
      <c r="T226" s="95">
        <f t="shared" si="7"/>
        <v>96.8</v>
      </c>
      <c r="U226" s="1" t="s">
        <v>4372</v>
      </c>
      <c r="V226" s="161" t="s">
        <v>4373</v>
      </c>
      <c r="W226" s="2">
        <v>36947</v>
      </c>
      <c r="X226" s="2">
        <v>44153</v>
      </c>
      <c r="Y226" s="11" t="s">
        <v>4866</v>
      </c>
      <c r="Z226" s="3">
        <v>44259</v>
      </c>
      <c r="AA226" s="80" t="s">
        <v>1339</v>
      </c>
      <c r="AB226" t="s">
        <v>4499</v>
      </c>
      <c r="AC226" s="162">
        <v>44189</v>
      </c>
      <c r="AD226" t="s">
        <v>3198</v>
      </c>
      <c r="AE226" t="s">
        <v>3402</v>
      </c>
      <c r="AG226" s="1" t="s">
        <v>4443</v>
      </c>
      <c r="AH226" s="2">
        <v>44154</v>
      </c>
      <c r="AK226" s="2">
        <v>44160</v>
      </c>
    </row>
    <row r="227" spans="1:37">
      <c r="A227" s="1">
        <v>226</v>
      </c>
      <c r="B227" s="61" t="s">
        <v>1414</v>
      </c>
      <c r="C227" s="2">
        <v>44153</v>
      </c>
      <c r="D227" t="s">
        <v>2781</v>
      </c>
      <c r="E227" s="14" t="s">
        <v>229</v>
      </c>
      <c r="F227" t="s">
        <v>4023</v>
      </c>
      <c r="G227" s="6" t="s">
        <v>230</v>
      </c>
      <c r="H227" t="s">
        <v>1262</v>
      </c>
      <c r="I227" s="1">
        <v>637571817</v>
      </c>
      <c r="K227" t="s">
        <v>2781</v>
      </c>
      <c r="L227" s="3">
        <v>44165</v>
      </c>
      <c r="M227" s="1" t="s">
        <v>35</v>
      </c>
      <c r="N227" s="14" t="s">
        <v>4374</v>
      </c>
      <c r="O227" s="163">
        <v>100</v>
      </c>
      <c r="P227" s="1">
        <v>1</v>
      </c>
      <c r="Q227" s="90">
        <v>0.21</v>
      </c>
      <c r="R227" s="90">
        <v>0.2</v>
      </c>
      <c r="S227" t="s">
        <v>36</v>
      </c>
      <c r="T227" s="95">
        <f t="shared" si="7"/>
        <v>96.8</v>
      </c>
      <c r="U227" s="1" t="s">
        <v>4375</v>
      </c>
      <c r="V227" s="161" t="s">
        <v>4376</v>
      </c>
      <c r="W227" s="2">
        <v>36434</v>
      </c>
      <c r="X227" s="2">
        <v>44153</v>
      </c>
      <c r="Y227" s="11" t="s">
        <v>4498</v>
      </c>
      <c r="Z227" s="3">
        <v>44182</v>
      </c>
      <c r="AA227" s="80" t="s">
        <v>1339</v>
      </c>
      <c r="AD227" t="s">
        <v>3198</v>
      </c>
      <c r="AG227" s="1" t="s">
        <v>4377</v>
      </c>
      <c r="AH227" s="2">
        <v>44154</v>
      </c>
      <c r="AK227" s="2">
        <v>44160</v>
      </c>
    </row>
    <row r="228" spans="1:37">
      <c r="A228" s="1">
        <v>227</v>
      </c>
      <c r="B228" s="61" t="s">
        <v>3526</v>
      </c>
      <c r="C228" s="2">
        <v>44153</v>
      </c>
      <c r="D228" s="1" t="s">
        <v>210</v>
      </c>
      <c r="E228" s="61" t="s">
        <v>211</v>
      </c>
      <c r="F228" s="61" t="s">
        <v>4378</v>
      </c>
      <c r="G228" s="6" t="s">
        <v>294</v>
      </c>
      <c r="H228" t="s">
        <v>103</v>
      </c>
      <c r="I228" s="1">
        <v>637571817</v>
      </c>
      <c r="K228" t="s">
        <v>210</v>
      </c>
      <c r="L228" s="3">
        <v>44165</v>
      </c>
      <c r="M228" s="1" t="s">
        <v>35</v>
      </c>
      <c r="N228" s="14" t="s">
        <v>4379</v>
      </c>
      <c r="O228" s="163">
        <v>100</v>
      </c>
      <c r="P228" s="1">
        <v>1</v>
      </c>
      <c r="Q228" s="90">
        <v>0.21</v>
      </c>
      <c r="R228" s="90">
        <v>0.2</v>
      </c>
      <c r="S228" s="81" t="s">
        <v>36</v>
      </c>
      <c r="T228" s="95">
        <f t="shared" si="7"/>
        <v>96.8</v>
      </c>
      <c r="U228" s="1" t="s">
        <v>4380</v>
      </c>
      <c r="V228" s="161" t="s">
        <v>4381</v>
      </c>
      <c r="W228" s="2">
        <v>34901</v>
      </c>
      <c r="X228" s="2">
        <v>44153</v>
      </c>
      <c r="Y228" s="11" t="s">
        <v>4497</v>
      </c>
      <c r="Z228" s="3">
        <v>44182</v>
      </c>
      <c r="AA228" s="80" t="s">
        <v>1339</v>
      </c>
      <c r="AD228" t="s">
        <v>3198</v>
      </c>
      <c r="AG228" s="1" t="s">
        <v>3108</v>
      </c>
      <c r="AH228" s="2">
        <v>44154</v>
      </c>
      <c r="AK228" s="2">
        <v>44160</v>
      </c>
    </row>
    <row r="229" spans="1:37">
      <c r="A229" s="1">
        <v>228</v>
      </c>
      <c r="B229" s="61" t="s">
        <v>33</v>
      </c>
      <c r="C229" s="2">
        <v>44153</v>
      </c>
      <c r="D229" s="1" t="s">
        <v>4382</v>
      </c>
      <c r="E229" s="61" t="s">
        <v>4383</v>
      </c>
      <c r="F229" s="61" t="s">
        <v>4384</v>
      </c>
      <c r="G229" s="6" t="s">
        <v>219</v>
      </c>
      <c r="H229" t="s">
        <v>38</v>
      </c>
      <c r="I229" s="1" t="s">
        <v>4385</v>
      </c>
      <c r="K229" s="1" t="s">
        <v>237</v>
      </c>
      <c r="L229" s="3">
        <v>44165</v>
      </c>
      <c r="M229" s="1" t="s">
        <v>35</v>
      </c>
      <c r="N229" s="14" t="s">
        <v>4386</v>
      </c>
      <c r="O229" s="163">
        <v>100</v>
      </c>
      <c r="P229" s="1">
        <v>1</v>
      </c>
      <c r="Q229" s="90">
        <v>0.21</v>
      </c>
      <c r="R229" s="90">
        <v>0.2</v>
      </c>
      <c r="S229" t="s">
        <v>36</v>
      </c>
      <c r="T229" s="95">
        <f t="shared" si="7"/>
        <v>96.8</v>
      </c>
      <c r="U229" s="1" t="s">
        <v>4387</v>
      </c>
      <c r="V229" s="161" t="s">
        <v>4388</v>
      </c>
      <c r="W229" s="2">
        <v>35796</v>
      </c>
      <c r="X229" s="2">
        <v>44153</v>
      </c>
      <c r="Y229" s="11" t="s">
        <v>5152</v>
      </c>
      <c r="Z229" s="3">
        <v>44305</v>
      </c>
      <c r="AA229" s="80" t="s">
        <v>1339</v>
      </c>
      <c r="AB229" t="s">
        <v>4799</v>
      </c>
      <c r="AC229" s="162">
        <v>44270</v>
      </c>
      <c r="AD229" t="s">
        <v>3198</v>
      </c>
      <c r="AG229" s="1" t="s">
        <v>3108</v>
      </c>
      <c r="AH229" s="2">
        <v>44154</v>
      </c>
      <c r="AK229" s="2">
        <v>44160</v>
      </c>
    </row>
    <row r="230" spans="1:37">
      <c r="A230" s="1">
        <v>229</v>
      </c>
      <c r="B230" s="61" t="s">
        <v>119</v>
      </c>
      <c r="C230" s="2">
        <v>44154</v>
      </c>
      <c r="D230" s="1" t="s">
        <v>4389</v>
      </c>
      <c r="E230" s="61" t="s">
        <v>2349</v>
      </c>
      <c r="F230" s="61" t="s">
        <v>4390</v>
      </c>
      <c r="G230" s="6" t="s">
        <v>242</v>
      </c>
      <c r="H230" t="s">
        <v>86</v>
      </c>
      <c r="I230" s="1" t="s">
        <v>4391</v>
      </c>
      <c r="K230" t="s">
        <v>174</v>
      </c>
      <c r="L230" s="3">
        <v>44165</v>
      </c>
      <c r="M230" s="1" t="s">
        <v>35</v>
      </c>
      <c r="N230" s="14" t="s">
        <v>4392</v>
      </c>
      <c r="O230" s="163">
        <v>100</v>
      </c>
      <c r="P230" s="1">
        <v>1</v>
      </c>
      <c r="Q230" s="90">
        <v>0.21</v>
      </c>
      <c r="R230" s="90">
        <v>0.2</v>
      </c>
      <c r="S230" s="72" t="s">
        <v>36</v>
      </c>
      <c r="T230" s="95">
        <f t="shared" si="7"/>
        <v>96.8</v>
      </c>
      <c r="U230" s="1" t="s">
        <v>4416</v>
      </c>
      <c r="V230" s="161" t="s">
        <v>4417</v>
      </c>
      <c r="W230" s="2">
        <v>31837</v>
      </c>
      <c r="X230" s="2">
        <v>44154</v>
      </c>
      <c r="Y230" s="11" t="s">
        <v>4822</v>
      </c>
      <c r="AD230" t="s">
        <v>3198</v>
      </c>
      <c r="AG230" s="1" t="s">
        <v>4393</v>
      </c>
      <c r="AH230" s="2">
        <v>44154</v>
      </c>
      <c r="AK230" s="2">
        <v>44162</v>
      </c>
    </row>
    <row r="231" spans="1:37">
      <c r="A231" s="1">
        <v>230</v>
      </c>
      <c r="B231" s="61" t="s">
        <v>119</v>
      </c>
      <c r="C231" s="2">
        <v>44154</v>
      </c>
      <c r="D231" s="1" t="s">
        <v>4394</v>
      </c>
      <c r="E231" s="61" t="s">
        <v>4395</v>
      </c>
      <c r="F231" s="61" t="s">
        <v>4396</v>
      </c>
      <c r="G231" s="6" t="s">
        <v>250</v>
      </c>
      <c r="H231" t="s">
        <v>86</v>
      </c>
      <c r="I231" s="1" t="s">
        <v>4397</v>
      </c>
      <c r="K231" t="s">
        <v>174</v>
      </c>
      <c r="L231" s="3">
        <v>44165</v>
      </c>
      <c r="M231" s="1" t="s">
        <v>35</v>
      </c>
      <c r="N231" s="14" t="s">
        <v>4398</v>
      </c>
      <c r="O231" s="163">
        <v>100</v>
      </c>
      <c r="P231" s="1">
        <v>1</v>
      </c>
      <c r="Q231" s="90">
        <v>0.21</v>
      </c>
      <c r="R231" s="90">
        <v>0.2</v>
      </c>
      <c r="S231" t="s">
        <v>36</v>
      </c>
      <c r="T231" s="95">
        <f t="shared" si="7"/>
        <v>96.8</v>
      </c>
      <c r="U231" s="1" t="s">
        <v>4399</v>
      </c>
      <c r="V231" s="161" t="s">
        <v>4400</v>
      </c>
      <c r="W231" s="2">
        <v>30682</v>
      </c>
      <c r="X231" s="2">
        <v>44154</v>
      </c>
      <c r="Y231" s="11" t="s">
        <v>4800</v>
      </c>
      <c r="Z231" s="3">
        <v>44246</v>
      </c>
      <c r="AA231" s="80" t="s">
        <v>1339</v>
      </c>
      <c r="AD231" t="s">
        <v>3198</v>
      </c>
      <c r="AG231" s="1" t="s">
        <v>3108</v>
      </c>
      <c r="AH231" s="2">
        <v>44154</v>
      </c>
      <c r="AK231" s="2">
        <v>44160</v>
      </c>
    </row>
    <row r="232" spans="1:37">
      <c r="A232" s="1">
        <v>231</v>
      </c>
      <c r="B232" s="61" t="s">
        <v>119</v>
      </c>
      <c r="C232" s="2">
        <v>44154</v>
      </c>
      <c r="D232" s="1" t="s">
        <v>1083</v>
      </c>
      <c r="E232" s="61" t="s">
        <v>1084</v>
      </c>
      <c r="F232" s="61" t="s">
        <v>4402</v>
      </c>
      <c r="G232" s="6" t="s">
        <v>242</v>
      </c>
      <c r="H232" t="s">
        <v>86</v>
      </c>
      <c r="I232" s="1" t="s">
        <v>4403</v>
      </c>
      <c r="K232" t="s">
        <v>174</v>
      </c>
      <c r="L232" s="3">
        <v>44165</v>
      </c>
      <c r="M232" s="1" t="s">
        <v>35</v>
      </c>
      <c r="N232" s="14" t="s">
        <v>4404</v>
      </c>
      <c r="O232" s="163">
        <v>100</v>
      </c>
      <c r="P232" s="1">
        <v>1</v>
      </c>
      <c r="Q232" s="90">
        <v>0.21</v>
      </c>
      <c r="R232" s="90">
        <v>0.2</v>
      </c>
      <c r="S232" t="s">
        <v>36</v>
      </c>
      <c r="T232" s="95">
        <f t="shared" si="7"/>
        <v>96.8</v>
      </c>
      <c r="U232" s="1" t="s">
        <v>4401</v>
      </c>
      <c r="V232" s="161" t="s">
        <v>4405</v>
      </c>
      <c r="W232" s="2">
        <v>31048</v>
      </c>
      <c r="X232" s="2">
        <v>44154</v>
      </c>
      <c r="Y232" s="11" t="s">
        <v>4864</v>
      </c>
      <c r="Z232" s="3">
        <v>44259</v>
      </c>
      <c r="AA232" s="80" t="s">
        <v>1339</v>
      </c>
      <c r="AD232" t="s">
        <v>3198</v>
      </c>
      <c r="AG232" s="1" t="s">
        <v>4467</v>
      </c>
      <c r="AH232" s="2">
        <v>44154</v>
      </c>
      <c r="AK232" s="2">
        <v>44160</v>
      </c>
    </row>
    <row r="233" spans="1:37">
      <c r="A233" s="1">
        <v>232</v>
      </c>
      <c r="B233" s="61" t="s">
        <v>3526</v>
      </c>
      <c r="C233" s="2">
        <v>44159</v>
      </c>
      <c r="D233" s="1" t="s">
        <v>4409</v>
      </c>
      <c r="E233" s="61" t="s">
        <v>4410</v>
      </c>
      <c r="F233" s="61" t="s">
        <v>4411</v>
      </c>
      <c r="G233" s="6" t="s">
        <v>270</v>
      </c>
      <c r="H233" t="s">
        <v>3681</v>
      </c>
      <c r="K233" s="1" t="s">
        <v>4409</v>
      </c>
      <c r="L233" s="3">
        <v>44165</v>
      </c>
      <c r="M233" s="1" t="s">
        <v>35</v>
      </c>
      <c r="N233" t="s">
        <v>4412</v>
      </c>
      <c r="O233" s="163">
        <v>100</v>
      </c>
      <c r="P233" s="1">
        <v>1</v>
      </c>
      <c r="Q233" s="90">
        <v>0.21</v>
      </c>
      <c r="R233" s="90">
        <v>0.2</v>
      </c>
      <c r="S233" t="s">
        <v>36</v>
      </c>
      <c r="T233" s="95">
        <f t="shared" si="7"/>
        <v>96.8</v>
      </c>
      <c r="U233" s="1" t="s">
        <v>4413</v>
      </c>
      <c r="V233" s="6" t="s">
        <v>4493</v>
      </c>
      <c r="W233" s="2">
        <v>35065</v>
      </c>
      <c r="X233" s="2">
        <v>44159</v>
      </c>
      <c r="Y233" s="206" t="s">
        <v>4686</v>
      </c>
      <c r="Z233" s="3">
        <v>44224</v>
      </c>
      <c r="AA233" s="80" t="s">
        <v>1339</v>
      </c>
      <c r="AD233" t="s">
        <v>3198</v>
      </c>
      <c r="AG233" s="1" t="s">
        <v>3108</v>
      </c>
      <c r="AH233" s="2">
        <v>44179</v>
      </c>
      <c r="AK233" s="2">
        <v>44179</v>
      </c>
    </row>
    <row r="234" spans="1:37">
      <c r="A234" s="1">
        <v>233</v>
      </c>
      <c r="B234" s="150" t="s">
        <v>4092</v>
      </c>
      <c r="C234" s="151">
        <v>44148</v>
      </c>
      <c r="D234" s="149" t="s">
        <v>2801</v>
      </c>
      <c r="E234" s="150" t="s">
        <v>4093</v>
      </c>
      <c r="F234" s="150" t="s">
        <v>3879</v>
      </c>
      <c r="G234" s="152" t="s">
        <v>1402</v>
      </c>
      <c r="H234" s="149" t="s">
        <v>3681</v>
      </c>
      <c r="I234" s="149"/>
      <c r="J234" s="153"/>
      <c r="K234" s="149" t="s">
        <v>2801</v>
      </c>
      <c r="L234" s="154">
        <v>44165</v>
      </c>
      <c r="M234" s="149" t="s">
        <v>35</v>
      </c>
      <c r="N234" s="153" t="s">
        <v>4414</v>
      </c>
      <c r="O234" s="155" t="s">
        <v>3407</v>
      </c>
      <c r="P234" s="149" t="s">
        <v>3407</v>
      </c>
      <c r="Q234" s="156" t="s">
        <v>3407</v>
      </c>
      <c r="R234" s="156" t="s">
        <v>3407</v>
      </c>
      <c r="S234" s="81" t="s">
        <v>36</v>
      </c>
      <c r="T234" s="157" t="s">
        <v>3407</v>
      </c>
      <c r="U234" s="149" t="s">
        <v>2801</v>
      </c>
      <c r="V234" s="158" t="s">
        <v>4415</v>
      </c>
      <c r="W234" s="151">
        <v>31256</v>
      </c>
      <c r="X234" s="151">
        <v>44148</v>
      </c>
      <c r="Y234" s="11" t="s">
        <v>5072</v>
      </c>
      <c r="Z234" s="154">
        <v>44286</v>
      </c>
      <c r="AA234" s="193" t="s">
        <v>1339</v>
      </c>
      <c r="AB234" s="153"/>
      <c r="AC234" s="162">
        <v>44237</v>
      </c>
      <c r="AD234" s="153" t="s">
        <v>3198</v>
      </c>
      <c r="AG234" s="1" t="s">
        <v>3108</v>
      </c>
      <c r="AH234" s="2">
        <v>44160</v>
      </c>
      <c r="AK234" s="2">
        <v>44162</v>
      </c>
    </row>
    <row r="235" spans="1:37">
      <c r="A235" s="1">
        <v>234</v>
      </c>
      <c r="B235" s="61" t="s">
        <v>33</v>
      </c>
      <c r="C235" s="2">
        <v>44158</v>
      </c>
      <c r="D235" s="1" t="s">
        <v>2237</v>
      </c>
      <c r="E235" s="61" t="s">
        <v>2238</v>
      </c>
      <c r="F235" s="61" t="s">
        <v>3518</v>
      </c>
      <c r="G235" s="6" t="s">
        <v>219</v>
      </c>
      <c r="H235" t="s">
        <v>38</v>
      </c>
      <c r="I235" s="1" t="s">
        <v>3519</v>
      </c>
      <c r="K235" s="1" t="s">
        <v>237</v>
      </c>
      <c r="L235" s="3">
        <v>44165</v>
      </c>
      <c r="M235" s="1" t="s">
        <v>35</v>
      </c>
      <c r="N235" s="14" t="s">
        <v>3520</v>
      </c>
      <c r="O235" s="92">
        <v>60</v>
      </c>
      <c r="P235" s="1">
        <v>1</v>
      </c>
      <c r="Q235" s="90">
        <v>0.21</v>
      </c>
      <c r="R235" s="90">
        <v>0</v>
      </c>
      <c r="S235" t="s">
        <v>36</v>
      </c>
      <c r="T235" s="95">
        <f t="shared" si="7"/>
        <v>72.599999999999994</v>
      </c>
      <c r="U235" s="1" t="s">
        <v>3517</v>
      </c>
      <c r="V235" s="161" t="s">
        <v>4418</v>
      </c>
      <c r="W235" s="2">
        <v>31842</v>
      </c>
      <c r="X235" s="2">
        <v>44158</v>
      </c>
      <c r="Y235" s="11" t="s">
        <v>4863</v>
      </c>
      <c r="Z235" s="3">
        <v>44259</v>
      </c>
      <c r="AA235" s="80" t="s">
        <v>1339</v>
      </c>
      <c r="AD235" t="s">
        <v>3198</v>
      </c>
      <c r="AG235" s="1" t="s">
        <v>4419</v>
      </c>
      <c r="AH235" s="2">
        <v>44160</v>
      </c>
      <c r="AK235" s="2">
        <v>44162</v>
      </c>
    </row>
    <row r="236" spans="1:37">
      <c r="A236" s="1">
        <v>235</v>
      </c>
      <c r="B236" s="61" t="s">
        <v>1511</v>
      </c>
      <c r="C236" s="2">
        <v>44158</v>
      </c>
      <c r="D236" s="1" t="s">
        <v>4420</v>
      </c>
      <c r="E236" s="61" t="s">
        <v>4421</v>
      </c>
      <c r="F236" s="61" t="s">
        <v>4422</v>
      </c>
      <c r="G236" s="6" t="s">
        <v>250</v>
      </c>
      <c r="H236" t="s">
        <v>86</v>
      </c>
      <c r="I236" s="1" t="s">
        <v>4423</v>
      </c>
      <c r="K236" s="1" t="s">
        <v>4420</v>
      </c>
      <c r="L236" s="3">
        <v>44165</v>
      </c>
      <c r="M236" s="1" t="s">
        <v>35</v>
      </c>
      <c r="N236" s="14" t="s">
        <v>4424</v>
      </c>
      <c r="O236" s="163">
        <v>100</v>
      </c>
      <c r="P236" s="1">
        <v>1</v>
      </c>
      <c r="Q236" s="90">
        <v>0.21</v>
      </c>
      <c r="R236" s="90">
        <v>0.2</v>
      </c>
      <c r="S236" s="72" t="s">
        <v>36</v>
      </c>
      <c r="T236" s="95">
        <f t="shared" si="7"/>
        <v>96.8</v>
      </c>
      <c r="U236" s="1" t="s">
        <v>4420</v>
      </c>
      <c r="V236" s="161" t="s">
        <v>4425</v>
      </c>
      <c r="W236" s="2">
        <v>34700</v>
      </c>
      <c r="X236" s="2">
        <v>44158</v>
      </c>
      <c r="Y236" s="11" t="s">
        <v>4863</v>
      </c>
      <c r="Z236" s="3">
        <v>44259</v>
      </c>
      <c r="AA236" s="80" t="s">
        <v>1339</v>
      </c>
      <c r="AD236" t="s">
        <v>3198</v>
      </c>
      <c r="AG236" s="1" t="s">
        <v>4426</v>
      </c>
      <c r="AH236" s="2">
        <v>44160</v>
      </c>
      <c r="AK236" s="2">
        <v>44162</v>
      </c>
    </row>
    <row r="237" spans="1:37">
      <c r="A237" s="1">
        <v>236</v>
      </c>
      <c r="B237" t="s">
        <v>131</v>
      </c>
      <c r="C237" s="2">
        <v>44158</v>
      </c>
      <c r="D237" t="s">
        <v>246</v>
      </c>
      <c r="E237" t="s">
        <v>115</v>
      </c>
      <c r="F237" t="s">
        <v>1212</v>
      </c>
      <c r="G237" s="6" t="s">
        <v>242</v>
      </c>
      <c r="H237" t="s">
        <v>154</v>
      </c>
      <c r="I237"/>
      <c r="K237" t="s">
        <v>246</v>
      </c>
      <c r="L237" s="3">
        <v>44165</v>
      </c>
      <c r="M237" s="1" t="s">
        <v>35</v>
      </c>
      <c r="N237" s="14" t="s">
        <v>4427</v>
      </c>
      <c r="O237" s="163">
        <v>100</v>
      </c>
      <c r="P237" s="1">
        <v>1</v>
      </c>
      <c r="Q237" s="90">
        <v>0.21</v>
      </c>
      <c r="R237" s="90">
        <v>0.2</v>
      </c>
      <c r="S237" t="s">
        <v>36</v>
      </c>
      <c r="T237" s="95">
        <f t="shared" si="7"/>
        <v>96.8</v>
      </c>
      <c r="U237" s="1" t="s">
        <v>4428</v>
      </c>
      <c r="V237" s="161" t="s">
        <v>4429</v>
      </c>
      <c r="W237" s="2">
        <v>29844</v>
      </c>
      <c r="X237" s="2">
        <v>44158</v>
      </c>
      <c r="Y237" s="208" t="s">
        <v>4820</v>
      </c>
      <c r="Z237" s="3">
        <v>44251</v>
      </c>
      <c r="AA237" s="80" t="s">
        <v>1339</v>
      </c>
      <c r="AB237" t="s">
        <v>4936</v>
      </c>
      <c r="AD237" t="s">
        <v>3198</v>
      </c>
      <c r="AG237" s="1" t="s">
        <v>4430</v>
      </c>
      <c r="AH237" s="2">
        <v>44160</v>
      </c>
      <c r="AK237" s="2">
        <v>44180</v>
      </c>
    </row>
    <row r="238" spans="1:37">
      <c r="A238" s="1">
        <v>237</v>
      </c>
      <c r="B238" s="61" t="s">
        <v>4434</v>
      </c>
      <c r="C238" s="2">
        <v>44166</v>
      </c>
      <c r="D238" s="1" t="s">
        <v>3237</v>
      </c>
      <c r="E238" s="61" t="s">
        <v>4436</v>
      </c>
      <c r="F238" s="61" t="s">
        <v>4437</v>
      </c>
      <c r="G238" s="6" t="s">
        <v>3234</v>
      </c>
      <c r="H238" t="s">
        <v>4438</v>
      </c>
      <c r="I238" s="1">
        <v>664517735</v>
      </c>
      <c r="K238" s="1" t="s">
        <v>4435</v>
      </c>
      <c r="L238" s="3">
        <v>44165</v>
      </c>
      <c r="M238" s="1" t="s">
        <v>35</v>
      </c>
      <c r="N238" s="14" t="s">
        <v>4439</v>
      </c>
      <c r="O238" s="163">
        <v>60</v>
      </c>
      <c r="P238" s="1">
        <v>1</v>
      </c>
      <c r="Q238" s="90">
        <v>0.21</v>
      </c>
      <c r="R238" s="90">
        <v>0.2</v>
      </c>
      <c r="S238" t="s">
        <v>36</v>
      </c>
      <c r="T238" s="95">
        <f t="shared" si="7"/>
        <v>58.08</v>
      </c>
      <c r="U238" s="1" t="s">
        <v>3237</v>
      </c>
      <c r="V238" s="161" t="s">
        <v>4440</v>
      </c>
      <c r="W238" s="2">
        <v>31628</v>
      </c>
      <c r="X238" s="2">
        <v>44166</v>
      </c>
      <c r="Y238" s="11" t="s">
        <v>4744</v>
      </c>
      <c r="Z238" s="3">
        <v>44232</v>
      </c>
      <c r="AA238" s="80" t="s">
        <v>1339</v>
      </c>
      <c r="AD238" t="s">
        <v>3198</v>
      </c>
    </row>
    <row r="239" spans="1:37">
      <c r="A239" s="1">
        <v>238</v>
      </c>
      <c r="B239" s="61" t="s">
        <v>3526</v>
      </c>
      <c r="C239" s="2">
        <v>44168</v>
      </c>
      <c r="D239" s="1" t="s">
        <v>210</v>
      </c>
      <c r="E239" s="61" t="s">
        <v>211</v>
      </c>
      <c r="F239" s="61" t="s">
        <v>4378</v>
      </c>
      <c r="G239" s="6" t="s">
        <v>294</v>
      </c>
      <c r="H239" t="s">
        <v>103</v>
      </c>
      <c r="I239" s="1">
        <v>637571817</v>
      </c>
      <c r="K239" t="s">
        <v>210</v>
      </c>
      <c r="L239" s="3">
        <v>44196</v>
      </c>
      <c r="M239" s="1" t="s">
        <v>35</v>
      </c>
      <c r="N239" s="14" t="s">
        <v>4444</v>
      </c>
      <c r="O239" s="92">
        <v>60</v>
      </c>
      <c r="P239" s="1">
        <v>1</v>
      </c>
      <c r="Q239" s="90">
        <v>0.21</v>
      </c>
      <c r="R239" s="90">
        <v>0.2</v>
      </c>
      <c r="S239" t="s">
        <v>36</v>
      </c>
      <c r="T239" s="95">
        <f t="shared" si="7"/>
        <v>58.08</v>
      </c>
      <c r="U239" s="1" t="s">
        <v>4445</v>
      </c>
      <c r="V239" s="161" t="s">
        <v>4555</v>
      </c>
      <c r="W239" s="2">
        <v>37301</v>
      </c>
      <c r="X239" s="2">
        <v>44168</v>
      </c>
      <c r="Y239" s="11" t="s">
        <v>4761</v>
      </c>
      <c r="Z239" s="3">
        <v>44235</v>
      </c>
      <c r="AA239" s="80" t="s">
        <v>1339</v>
      </c>
      <c r="AD239" t="s">
        <v>3198</v>
      </c>
    </row>
    <row r="240" spans="1:37">
      <c r="A240" s="1">
        <v>239</v>
      </c>
      <c r="B240" s="61" t="s">
        <v>3526</v>
      </c>
      <c r="C240" s="2">
        <v>44160</v>
      </c>
      <c r="D240" t="s">
        <v>1073</v>
      </c>
      <c r="E240" t="s">
        <v>81</v>
      </c>
      <c r="F240" t="s">
        <v>4446</v>
      </c>
      <c r="G240" s="6" t="s">
        <v>294</v>
      </c>
      <c r="H240" t="s">
        <v>103</v>
      </c>
      <c r="I240">
        <v>649440826</v>
      </c>
      <c r="K240" t="s">
        <v>1073</v>
      </c>
      <c r="L240" s="3">
        <v>44196</v>
      </c>
      <c r="M240" s="1" t="s">
        <v>35</v>
      </c>
      <c r="N240" s="14" t="s">
        <v>4447</v>
      </c>
      <c r="O240" s="163">
        <v>100</v>
      </c>
      <c r="P240" s="1">
        <v>1</v>
      </c>
      <c r="Q240" s="90">
        <v>0.21</v>
      </c>
      <c r="R240" s="90">
        <v>0.2</v>
      </c>
      <c r="S240" s="81" t="s">
        <v>36</v>
      </c>
      <c r="T240" s="95">
        <f t="shared" ref="T240:T261" si="8">SUM(O240-(O240*R240))*Q240+(O240-(O240*R240))</f>
        <v>96.8</v>
      </c>
      <c r="U240" s="1" t="s">
        <v>4448</v>
      </c>
      <c r="V240" s="161" t="s">
        <v>4449</v>
      </c>
      <c r="W240" s="2">
        <v>35604</v>
      </c>
      <c r="X240" s="2">
        <v>44160</v>
      </c>
      <c r="Y240" s="11" t="s">
        <v>4554</v>
      </c>
      <c r="Z240" s="3">
        <v>44189</v>
      </c>
      <c r="AA240" s="80" t="s">
        <v>1339</v>
      </c>
      <c r="AD240" t="s">
        <v>3198</v>
      </c>
      <c r="AG240" s="1" t="s">
        <v>4450</v>
      </c>
      <c r="AH240" s="2">
        <v>44168</v>
      </c>
      <c r="AK240" s="2">
        <v>44174</v>
      </c>
    </row>
    <row r="241" spans="1:37">
      <c r="A241" s="1">
        <v>240</v>
      </c>
      <c r="B241" s="61" t="s">
        <v>1414</v>
      </c>
      <c r="C241" s="2">
        <v>44160</v>
      </c>
      <c r="D241" t="s">
        <v>3076</v>
      </c>
      <c r="E241" t="s">
        <v>3077</v>
      </c>
      <c r="F241" t="s">
        <v>3078</v>
      </c>
      <c r="G241" s="6" t="s">
        <v>227</v>
      </c>
      <c r="H241" t="s">
        <v>203</v>
      </c>
      <c r="I241" t="s">
        <v>4451</v>
      </c>
      <c r="K241" t="s">
        <v>3076</v>
      </c>
      <c r="L241" s="3">
        <v>44196</v>
      </c>
      <c r="M241" s="1" t="s">
        <v>35</v>
      </c>
      <c r="N241" s="14" t="s">
        <v>4452</v>
      </c>
      <c r="O241" s="163">
        <v>100</v>
      </c>
      <c r="P241" s="1">
        <v>1</v>
      </c>
      <c r="Q241" s="90">
        <v>0.21</v>
      </c>
      <c r="R241" s="90">
        <v>0.2</v>
      </c>
      <c r="S241" t="s">
        <v>36</v>
      </c>
      <c r="T241" s="95">
        <f t="shared" si="8"/>
        <v>96.8</v>
      </c>
      <c r="U241" s="1" t="s">
        <v>4453</v>
      </c>
      <c r="V241" s="161" t="s">
        <v>4454</v>
      </c>
      <c r="W241" s="2">
        <v>32291</v>
      </c>
      <c r="X241" s="2">
        <v>44160</v>
      </c>
      <c r="Y241" s="11" t="s">
        <v>5017</v>
      </c>
      <c r="Z241" s="3">
        <v>44278</v>
      </c>
      <c r="AA241" s="80" t="s">
        <v>1339</v>
      </c>
      <c r="AD241" t="s">
        <v>3198</v>
      </c>
      <c r="AG241" s="1" t="s">
        <v>4455</v>
      </c>
      <c r="AH241" s="2">
        <v>44168</v>
      </c>
      <c r="AK241" s="2">
        <v>44175</v>
      </c>
    </row>
    <row r="242" spans="1:37">
      <c r="A242" s="1">
        <v>241</v>
      </c>
      <c r="B242" s="61" t="s">
        <v>4261</v>
      </c>
      <c r="C242" s="2">
        <v>44160</v>
      </c>
      <c r="D242" s="1" t="s">
        <v>1210</v>
      </c>
      <c r="E242" s="61" t="s">
        <v>1211</v>
      </c>
      <c r="F242" s="61" t="s">
        <v>4262</v>
      </c>
      <c r="G242" s="6" t="s">
        <v>250</v>
      </c>
      <c r="H242" s="1" t="s">
        <v>86</v>
      </c>
      <c r="K242" s="1" t="s">
        <v>1210</v>
      </c>
      <c r="L242" s="3">
        <v>44196</v>
      </c>
      <c r="M242" s="1" t="s">
        <v>35</v>
      </c>
      <c r="N242" s="14" t="s">
        <v>4456</v>
      </c>
      <c r="O242" s="163">
        <v>100</v>
      </c>
      <c r="P242" s="1">
        <v>1</v>
      </c>
      <c r="Q242" s="90">
        <v>0.21</v>
      </c>
      <c r="R242" s="90">
        <v>0.2</v>
      </c>
      <c r="S242" t="s">
        <v>36</v>
      </c>
      <c r="T242" s="95">
        <f t="shared" si="8"/>
        <v>96.8</v>
      </c>
      <c r="U242" s="1" t="s">
        <v>4457</v>
      </c>
      <c r="V242" s="161" t="s">
        <v>4458</v>
      </c>
      <c r="W242" s="2">
        <v>36753</v>
      </c>
      <c r="X242" s="2">
        <v>44160</v>
      </c>
      <c r="Y242" s="206" t="s">
        <v>4821</v>
      </c>
      <c r="Z242" s="3">
        <v>44251</v>
      </c>
      <c r="AA242" s="80" t="s">
        <v>1339</v>
      </c>
      <c r="AB242" t="s">
        <v>3572</v>
      </c>
      <c r="AD242" t="s">
        <v>3198</v>
      </c>
      <c r="AE242" t="s">
        <v>3402</v>
      </c>
      <c r="AG242" s="1" t="s">
        <v>4459</v>
      </c>
      <c r="AH242" s="2">
        <v>44168</v>
      </c>
    </row>
    <row r="243" spans="1:37">
      <c r="A243" s="1">
        <v>242</v>
      </c>
      <c r="B243" s="61" t="s">
        <v>1414</v>
      </c>
      <c r="C243" s="2">
        <v>44160</v>
      </c>
      <c r="D243" s="1" t="s">
        <v>176</v>
      </c>
      <c r="E243" s="61" t="s">
        <v>4460</v>
      </c>
      <c r="F243" s="61" t="s">
        <v>4461</v>
      </c>
      <c r="G243" s="6">
        <v>4710</v>
      </c>
      <c r="H243" t="s">
        <v>1262</v>
      </c>
      <c r="I243" s="1">
        <v>637571817</v>
      </c>
      <c r="K243" s="1" t="s">
        <v>176</v>
      </c>
      <c r="L243" s="3">
        <v>44196</v>
      </c>
      <c r="M243" s="1" t="s">
        <v>35</v>
      </c>
      <c r="N243" s="14" t="s">
        <v>4462</v>
      </c>
      <c r="O243" s="163">
        <v>100</v>
      </c>
      <c r="P243" s="1">
        <v>1</v>
      </c>
      <c r="Q243" s="90">
        <v>0.21</v>
      </c>
      <c r="R243" s="90">
        <v>0.2</v>
      </c>
      <c r="S243" t="s">
        <v>36</v>
      </c>
      <c r="T243" s="95">
        <f t="shared" si="8"/>
        <v>96.8</v>
      </c>
      <c r="U243" s="1" t="s">
        <v>4463</v>
      </c>
      <c r="V243" s="161" t="s">
        <v>4464</v>
      </c>
      <c r="W243" s="2">
        <v>34700</v>
      </c>
      <c r="X243" s="2">
        <v>44160</v>
      </c>
      <c r="Y243" s="11" t="s">
        <v>4822</v>
      </c>
      <c r="Z243" s="3">
        <v>44251</v>
      </c>
      <c r="AA243" s="80" t="s">
        <v>1339</v>
      </c>
      <c r="AD243" t="s">
        <v>3198</v>
      </c>
      <c r="AG243" s="1" t="s">
        <v>3705</v>
      </c>
      <c r="AH243" s="2">
        <v>44168</v>
      </c>
      <c r="AK243" s="2">
        <v>44180</v>
      </c>
    </row>
    <row r="244" spans="1:37">
      <c r="A244" s="1">
        <v>243</v>
      </c>
      <c r="B244" s="61" t="s">
        <v>40</v>
      </c>
      <c r="C244" s="2">
        <v>44168</v>
      </c>
      <c r="D244" t="s">
        <v>3167</v>
      </c>
      <c r="E244" t="s">
        <v>3168</v>
      </c>
      <c r="F244" t="s">
        <v>3169</v>
      </c>
      <c r="G244" s="6" t="s">
        <v>221</v>
      </c>
      <c r="H244" t="s">
        <v>34</v>
      </c>
      <c r="I244" t="s">
        <v>3437</v>
      </c>
      <c r="K244" t="s">
        <v>3167</v>
      </c>
      <c r="L244" s="3">
        <v>44196</v>
      </c>
      <c r="M244" s="1" t="s">
        <v>35</v>
      </c>
      <c r="N244" s="14" t="s">
        <v>4465</v>
      </c>
      <c r="O244" s="92">
        <v>60</v>
      </c>
      <c r="P244" s="1">
        <v>1</v>
      </c>
      <c r="Q244" s="90">
        <v>0.21</v>
      </c>
      <c r="R244" s="90">
        <v>0.2</v>
      </c>
      <c r="S244" t="s">
        <v>36</v>
      </c>
      <c r="T244" s="95">
        <f t="shared" si="8"/>
        <v>58.08</v>
      </c>
      <c r="U244" s="1" t="s">
        <v>3171</v>
      </c>
      <c r="V244" s="161" t="s">
        <v>4466</v>
      </c>
      <c r="W244" s="2">
        <v>31997</v>
      </c>
      <c r="X244" s="2">
        <v>44168</v>
      </c>
      <c r="Y244" s="11" t="s">
        <v>4761</v>
      </c>
      <c r="Z244" s="3">
        <v>44235</v>
      </c>
      <c r="AA244" s="80" t="s">
        <v>1339</v>
      </c>
      <c r="AD244" t="s">
        <v>3198</v>
      </c>
    </row>
    <row r="245" spans="1:37">
      <c r="A245" s="1">
        <v>244</v>
      </c>
      <c r="B245" s="61" t="s">
        <v>37</v>
      </c>
      <c r="C245" s="2">
        <v>44175</v>
      </c>
      <c r="D245" t="s">
        <v>1512</v>
      </c>
      <c r="E245" t="s">
        <v>1513</v>
      </c>
      <c r="F245" t="s">
        <v>1514</v>
      </c>
      <c r="G245" s="6" t="s">
        <v>219</v>
      </c>
      <c r="H245" t="s">
        <v>38</v>
      </c>
      <c r="I245">
        <v>631437787</v>
      </c>
      <c r="K245" t="s">
        <v>1512</v>
      </c>
      <c r="L245" s="3">
        <v>44196</v>
      </c>
      <c r="M245" s="1" t="s">
        <v>35</v>
      </c>
      <c r="N245" s="14" t="s">
        <v>4469</v>
      </c>
      <c r="O245" s="92">
        <v>60</v>
      </c>
      <c r="P245" s="1">
        <v>1</v>
      </c>
      <c r="Q245" s="90">
        <v>0.21</v>
      </c>
      <c r="R245" s="90">
        <v>0.2</v>
      </c>
      <c r="S245" t="s">
        <v>36</v>
      </c>
      <c r="T245" s="95">
        <f t="shared" si="8"/>
        <v>58.08</v>
      </c>
      <c r="U245" s="1" t="s">
        <v>1517</v>
      </c>
      <c r="V245" s="161" t="s">
        <v>4470</v>
      </c>
      <c r="W245" s="2">
        <v>36220</v>
      </c>
      <c r="X245" s="2">
        <v>44175</v>
      </c>
      <c r="Y245" s="11" t="s">
        <v>4786</v>
      </c>
      <c r="Z245" s="3">
        <v>44244</v>
      </c>
      <c r="AA245" s="80" t="s">
        <v>1339</v>
      </c>
      <c r="AD245" t="s">
        <v>3198</v>
      </c>
    </row>
    <row r="246" spans="1:37">
      <c r="A246" s="1">
        <v>245</v>
      </c>
      <c r="B246" s="61" t="s">
        <v>33</v>
      </c>
      <c r="C246" s="2">
        <v>44167</v>
      </c>
      <c r="D246" s="1" t="s">
        <v>4330</v>
      </c>
      <c r="E246" s="61" t="s">
        <v>4331</v>
      </c>
      <c r="F246" s="61" t="s">
        <v>4333</v>
      </c>
      <c r="G246" s="6" t="s">
        <v>219</v>
      </c>
      <c r="H246" s="1" t="s">
        <v>4334</v>
      </c>
      <c r="K246" s="1" t="s">
        <v>237</v>
      </c>
      <c r="L246" s="3">
        <v>44196</v>
      </c>
      <c r="M246" s="1" t="s">
        <v>35</v>
      </c>
      <c r="N246" s="14" t="s">
        <v>4473</v>
      </c>
      <c r="O246" s="163">
        <v>100</v>
      </c>
      <c r="P246" s="1">
        <v>1</v>
      </c>
      <c r="Q246" s="90">
        <v>0.21</v>
      </c>
      <c r="R246" s="90">
        <v>0.2</v>
      </c>
      <c r="S246" t="s">
        <v>36</v>
      </c>
      <c r="T246" s="95">
        <f t="shared" si="8"/>
        <v>96.8</v>
      </c>
      <c r="U246" s="1" t="s">
        <v>4474</v>
      </c>
      <c r="V246" s="161" t="s">
        <v>4475</v>
      </c>
      <c r="W246" s="2">
        <v>33604</v>
      </c>
      <c r="X246" s="2">
        <v>44167</v>
      </c>
      <c r="Y246" s="11" t="s">
        <v>5250</v>
      </c>
      <c r="Z246" s="3">
        <v>44320</v>
      </c>
      <c r="AA246" s="80" t="s">
        <v>1339</v>
      </c>
      <c r="AB246" t="s">
        <v>4937</v>
      </c>
      <c r="AC246" s="115">
        <v>44278</v>
      </c>
      <c r="AD246" t="s">
        <v>3198</v>
      </c>
      <c r="AG246" s="1" t="s">
        <v>4476</v>
      </c>
      <c r="AH246" s="2">
        <v>44176</v>
      </c>
      <c r="AK246" s="2">
        <v>44182</v>
      </c>
    </row>
    <row r="247" spans="1:37">
      <c r="A247" s="1">
        <v>246</v>
      </c>
      <c r="B247" s="61" t="s">
        <v>33</v>
      </c>
      <c r="C247" s="2">
        <v>44168</v>
      </c>
      <c r="D247" s="1" t="s">
        <v>4477</v>
      </c>
      <c r="E247" s="61" t="s">
        <v>4478</v>
      </c>
      <c r="F247" s="61" t="s">
        <v>4479</v>
      </c>
      <c r="G247" s="6" t="s">
        <v>304</v>
      </c>
      <c r="H247" t="s">
        <v>4480</v>
      </c>
      <c r="K247" s="1" t="s">
        <v>237</v>
      </c>
      <c r="L247" s="3">
        <v>44196</v>
      </c>
      <c r="M247" s="1" t="s">
        <v>35</v>
      </c>
      <c r="N247" s="14" t="s">
        <v>4481</v>
      </c>
      <c r="O247" s="163">
        <v>100</v>
      </c>
      <c r="P247" s="1">
        <v>1</v>
      </c>
      <c r="Q247" s="90">
        <v>0.21</v>
      </c>
      <c r="R247" s="90">
        <v>0.2</v>
      </c>
      <c r="S247" t="s">
        <v>36</v>
      </c>
      <c r="T247" s="95">
        <f t="shared" si="8"/>
        <v>96.8</v>
      </c>
      <c r="U247" s="1" t="s">
        <v>4482</v>
      </c>
      <c r="V247" s="161" t="s">
        <v>4483</v>
      </c>
      <c r="W247" s="2">
        <v>24249</v>
      </c>
      <c r="X247" s="2">
        <v>44168</v>
      </c>
      <c r="Y247" s="215" t="s">
        <v>4935</v>
      </c>
      <c r="Z247" s="3">
        <v>44272</v>
      </c>
      <c r="AA247" s="80" t="s">
        <v>1339</v>
      </c>
      <c r="AB247" t="s">
        <v>4938</v>
      </c>
      <c r="AD247" t="s">
        <v>3198</v>
      </c>
      <c r="AG247" s="1" t="s">
        <v>4484</v>
      </c>
      <c r="AH247" s="2">
        <v>44176</v>
      </c>
      <c r="AK247" s="2">
        <v>44188</v>
      </c>
    </row>
    <row r="248" spans="1:37">
      <c r="A248" s="1">
        <v>247</v>
      </c>
      <c r="B248" s="61" t="s">
        <v>3526</v>
      </c>
      <c r="C248" s="2">
        <v>44168</v>
      </c>
      <c r="D248" s="1" t="s">
        <v>4107</v>
      </c>
      <c r="E248" s="61" t="s">
        <v>4108</v>
      </c>
      <c r="F248" s="61" t="s">
        <v>4109</v>
      </c>
      <c r="G248" s="6" t="s">
        <v>259</v>
      </c>
      <c r="H248" s="1" t="s">
        <v>4110</v>
      </c>
      <c r="K248" s="1" t="s">
        <v>4107</v>
      </c>
      <c r="L248" s="3">
        <v>44196</v>
      </c>
      <c r="M248" s="1" t="s">
        <v>35</v>
      </c>
      <c r="N248" s="14" t="s">
        <v>4485</v>
      </c>
      <c r="O248" s="163">
        <v>100</v>
      </c>
      <c r="P248" s="1">
        <v>1</v>
      </c>
      <c r="Q248" s="90">
        <v>0.21</v>
      </c>
      <c r="R248" s="90">
        <v>0.2</v>
      </c>
      <c r="S248" t="s">
        <v>36</v>
      </c>
      <c r="T248" s="95">
        <f t="shared" si="8"/>
        <v>96.8</v>
      </c>
      <c r="U248" s="1" t="s">
        <v>4486</v>
      </c>
      <c r="V248" s="161" t="s">
        <v>4487</v>
      </c>
      <c r="W248" s="2">
        <v>34475</v>
      </c>
      <c r="X248" s="2">
        <v>44168</v>
      </c>
      <c r="Y248" s="11" t="s">
        <v>4934</v>
      </c>
      <c r="Z248" s="3">
        <v>44272</v>
      </c>
      <c r="AA248" s="80" t="s">
        <v>1339</v>
      </c>
      <c r="AD248" t="s">
        <v>3198</v>
      </c>
      <c r="AG248" s="1" t="s">
        <v>4215</v>
      </c>
      <c r="AH248" s="2">
        <v>44176</v>
      </c>
      <c r="AK248" s="2">
        <v>44182</v>
      </c>
    </row>
    <row r="249" spans="1:37">
      <c r="A249" s="1">
        <v>248</v>
      </c>
      <c r="B249" s="61" t="s">
        <v>33</v>
      </c>
      <c r="C249" s="2">
        <v>44168</v>
      </c>
      <c r="D249" s="1" t="s">
        <v>1777</v>
      </c>
      <c r="E249" s="61" t="s">
        <v>1778</v>
      </c>
      <c r="F249" s="61" t="s">
        <v>4479</v>
      </c>
      <c r="G249" s="6" t="s">
        <v>304</v>
      </c>
      <c r="H249" t="s">
        <v>4480</v>
      </c>
      <c r="I249" s="1" t="s">
        <v>4488</v>
      </c>
      <c r="K249" s="1" t="s">
        <v>237</v>
      </c>
      <c r="L249" s="3">
        <v>44196</v>
      </c>
      <c r="M249" s="1" t="s">
        <v>35</v>
      </c>
      <c r="N249" s="14" t="s">
        <v>4489</v>
      </c>
      <c r="O249" s="163">
        <v>100</v>
      </c>
      <c r="P249" s="1">
        <v>1</v>
      </c>
      <c r="Q249" s="90">
        <v>0.21</v>
      </c>
      <c r="R249" s="90">
        <v>0.2</v>
      </c>
      <c r="S249" t="s">
        <v>36</v>
      </c>
      <c r="T249" s="95">
        <f t="shared" si="8"/>
        <v>96.8</v>
      </c>
      <c r="U249" s="1" t="s">
        <v>4490</v>
      </c>
      <c r="V249" s="161" t="s">
        <v>4491</v>
      </c>
      <c r="W249" s="2">
        <v>35081</v>
      </c>
      <c r="X249" s="2">
        <v>44168</v>
      </c>
      <c r="Y249" s="11" t="s">
        <v>5455</v>
      </c>
      <c r="Z249" s="3">
        <v>44351</v>
      </c>
      <c r="AA249" s="80" t="s">
        <v>1339</v>
      </c>
      <c r="AB249" t="s">
        <v>4936</v>
      </c>
      <c r="AC249" s="162">
        <v>44302</v>
      </c>
      <c r="AD249" t="s">
        <v>3198</v>
      </c>
      <c r="AG249" s="1" t="s">
        <v>4492</v>
      </c>
      <c r="AH249" s="2">
        <v>44176</v>
      </c>
      <c r="AK249" s="2">
        <v>44188</v>
      </c>
    </row>
    <row r="250" spans="1:37">
      <c r="A250" s="1">
        <v>249</v>
      </c>
      <c r="B250" s="61" t="s">
        <v>37</v>
      </c>
      <c r="C250" s="2">
        <v>44180</v>
      </c>
      <c r="D250" s="1" t="s">
        <v>2968</v>
      </c>
      <c r="E250" s="61" t="s">
        <v>2969</v>
      </c>
      <c r="F250" s="61" t="s">
        <v>4494</v>
      </c>
      <c r="G250" s="6" t="s">
        <v>221</v>
      </c>
      <c r="H250" s="1" t="s">
        <v>34</v>
      </c>
      <c r="K250" s="1" t="s">
        <v>2968</v>
      </c>
      <c r="L250" s="3">
        <v>44196</v>
      </c>
      <c r="M250" s="1" t="s">
        <v>35</v>
      </c>
      <c r="N250" s="14" t="s">
        <v>4495</v>
      </c>
      <c r="O250" s="92">
        <v>60</v>
      </c>
      <c r="P250" s="1">
        <v>1</v>
      </c>
      <c r="Q250" s="90">
        <v>0.21</v>
      </c>
      <c r="R250" s="90">
        <v>0.2</v>
      </c>
      <c r="S250" t="s">
        <v>36</v>
      </c>
      <c r="T250" s="95">
        <f t="shared" si="8"/>
        <v>58.08</v>
      </c>
      <c r="U250" s="1" t="s">
        <v>2968</v>
      </c>
      <c r="V250" s="161" t="s">
        <v>4496</v>
      </c>
      <c r="W250" s="2">
        <v>32978</v>
      </c>
      <c r="X250" s="2">
        <v>44180</v>
      </c>
      <c r="Y250" s="11" t="s">
        <v>4784</v>
      </c>
      <c r="Z250" s="3">
        <v>44244</v>
      </c>
      <c r="AA250" s="80" t="s">
        <v>1339</v>
      </c>
      <c r="AD250" t="s">
        <v>3198</v>
      </c>
    </row>
    <row r="251" spans="1:37">
      <c r="A251" s="1">
        <v>250</v>
      </c>
      <c r="B251" s="61" t="s">
        <v>3783</v>
      </c>
      <c r="C251" s="2">
        <v>44179</v>
      </c>
      <c r="D251" t="s">
        <v>3109</v>
      </c>
      <c r="E251" t="s">
        <v>3110</v>
      </c>
      <c r="F251" t="s">
        <v>3111</v>
      </c>
      <c r="G251" s="6" t="s">
        <v>2579</v>
      </c>
      <c r="H251" t="s">
        <v>2580</v>
      </c>
      <c r="I251"/>
      <c r="K251" t="s">
        <v>3109</v>
      </c>
      <c r="L251" s="3">
        <v>44196</v>
      </c>
      <c r="M251" s="1" t="s">
        <v>35</v>
      </c>
      <c r="N251" s="14" t="s">
        <v>4501</v>
      </c>
      <c r="O251" s="163">
        <v>100</v>
      </c>
      <c r="P251" s="1">
        <v>1</v>
      </c>
      <c r="Q251" s="90">
        <v>0.21</v>
      </c>
      <c r="R251" s="90">
        <v>0.2</v>
      </c>
      <c r="S251" t="s">
        <v>36</v>
      </c>
      <c r="T251" s="95">
        <f t="shared" si="8"/>
        <v>96.8</v>
      </c>
      <c r="U251" s="1" t="s">
        <v>4502</v>
      </c>
      <c r="V251" s="161" t="s">
        <v>4503</v>
      </c>
      <c r="W251" s="2">
        <v>31471</v>
      </c>
      <c r="X251" s="2">
        <v>44179</v>
      </c>
      <c r="Y251" s="11" t="s">
        <v>4940</v>
      </c>
      <c r="Z251" s="3">
        <v>44272</v>
      </c>
      <c r="AA251" s="80" t="s">
        <v>1339</v>
      </c>
      <c r="AD251" t="s">
        <v>3198</v>
      </c>
      <c r="AG251" s="1" t="s">
        <v>4504</v>
      </c>
      <c r="AH251" s="2">
        <v>44182</v>
      </c>
      <c r="AK251" s="2">
        <v>44187</v>
      </c>
    </row>
    <row r="252" spans="1:37">
      <c r="A252" s="1">
        <v>251</v>
      </c>
      <c r="B252" s="61" t="s">
        <v>4321</v>
      </c>
      <c r="C252" s="2">
        <v>44179</v>
      </c>
      <c r="D252" s="1" t="s">
        <v>4505</v>
      </c>
      <c r="E252" s="61" t="s">
        <v>4506</v>
      </c>
      <c r="F252" s="61" t="s">
        <v>4507</v>
      </c>
      <c r="G252" s="6" t="s">
        <v>239</v>
      </c>
      <c r="H252" s="1" t="s">
        <v>86</v>
      </c>
      <c r="K252" s="1" t="s">
        <v>4505</v>
      </c>
      <c r="L252" s="3">
        <v>44196</v>
      </c>
      <c r="M252" s="1" t="s">
        <v>35</v>
      </c>
      <c r="N252" s="14" t="s">
        <v>4508</v>
      </c>
      <c r="O252" s="163">
        <v>100</v>
      </c>
      <c r="P252" s="1">
        <v>1</v>
      </c>
      <c r="Q252" s="90">
        <v>0.21</v>
      </c>
      <c r="R252" s="90">
        <v>0.2</v>
      </c>
      <c r="S252" t="s">
        <v>36</v>
      </c>
      <c r="T252" s="95">
        <f t="shared" si="8"/>
        <v>96.8</v>
      </c>
      <c r="U252" s="1" t="s">
        <v>4509</v>
      </c>
      <c r="V252" s="161" t="s">
        <v>4510</v>
      </c>
      <c r="W252" s="2">
        <v>35676</v>
      </c>
      <c r="X252" s="2">
        <v>44179</v>
      </c>
      <c r="Y252" s="11" t="s">
        <v>4705</v>
      </c>
      <c r="Z252" s="3">
        <v>44224</v>
      </c>
      <c r="AA252" s="80" t="s">
        <v>1339</v>
      </c>
      <c r="AD252" t="s">
        <v>3198</v>
      </c>
      <c r="AE252" t="s">
        <v>3402</v>
      </c>
      <c r="AG252" s="1" t="s">
        <v>4254</v>
      </c>
      <c r="AH252" s="2">
        <v>44182</v>
      </c>
      <c r="AK252" s="2">
        <v>44194</v>
      </c>
    </row>
    <row r="253" spans="1:37">
      <c r="A253" s="1">
        <v>252</v>
      </c>
      <c r="B253" s="61" t="s">
        <v>3526</v>
      </c>
      <c r="C253" s="2">
        <v>44179</v>
      </c>
      <c r="D253" s="1" t="s">
        <v>4512</v>
      </c>
      <c r="E253" s="61" t="s">
        <v>4511</v>
      </c>
      <c r="F253" s="61" t="s">
        <v>4971</v>
      </c>
      <c r="G253" s="6" t="s">
        <v>250</v>
      </c>
      <c r="H253" s="1" t="s">
        <v>86</v>
      </c>
      <c r="K253" s="1" t="s">
        <v>4512</v>
      </c>
      <c r="L253" s="3">
        <v>44196</v>
      </c>
      <c r="M253" s="1" t="s">
        <v>35</v>
      </c>
      <c r="N253" s="14" t="s">
        <v>4513</v>
      </c>
      <c r="O253" s="163">
        <v>100</v>
      </c>
      <c r="P253" s="1">
        <v>1</v>
      </c>
      <c r="Q253" s="90">
        <v>0.21</v>
      </c>
      <c r="R253" s="90">
        <v>0.2</v>
      </c>
      <c r="S253" t="s">
        <v>36</v>
      </c>
      <c r="T253" s="95">
        <f t="shared" si="8"/>
        <v>96.8</v>
      </c>
      <c r="U253" s="1" t="s">
        <v>4514</v>
      </c>
      <c r="V253" s="161" t="s">
        <v>4515</v>
      </c>
      <c r="W253" s="2">
        <v>33725</v>
      </c>
      <c r="X253" s="2">
        <v>44179</v>
      </c>
      <c r="Y253" s="11" t="s">
        <v>4965</v>
      </c>
      <c r="Z253" s="3">
        <v>44277</v>
      </c>
      <c r="AA253" s="80" t="s">
        <v>1339</v>
      </c>
      <c r="AD253" t="s">
        <v>3198</v>
      </c>
      <c r="AG253" s="1" t="s">
        <v>3108</v>
      </c>
      <c r="AH253" s="2">
        <v>44182</v>
      </c>
      <c r="AK253" s="2">
        <v>44187</v>
      </c>
    </row>
    <row r="254" spans="1:37">
      <c r="A254" s="1">
        <v>253</v>
      </c>
      <c r="B254" s="61" t="s">
        <v>40</v>
      </c>
      <c r="C254" s="2">
        <v>44180</v>
      </c>
      <c r="D254" t="s">
        <v>2611</v>
      </c>
      <c r="E254" t="s">
        <v>2612</v>
      </c>
      <c r="F254" t="s">
        <v>4516</v>
      </c>
      <c r="G254" s="6" t="s">
        <v>221</v>
      </c>
      <c r="H254" t="s">
        <v>3283</v>
      </c>
      <c r="I254">
        <v>697501300</v>
      </c>
      <c r="K254" t="s">
        <v>2611</v>
      </c>
      <c r="L254" s="3">
        <v>44196</v>
      </c>
      <c r="M254" s="1" t="s">
        <v>35</v>
      </c>
      <c r="N254" s="14" t="s">
        <v>4517</v>
      </c>
      <c r="O254" s="163">
        <v>100</v>
      </c>
      <c r="P254" s="1">
        <v>1</v>
      </c>
      <c r="Q254" s="90">
        <v>0.21</v>
      </c>
      <c r="R254" s="90">
        <v>0.2</v>
      </c>
      <c r="S254" t="s">
        <v>36</v>
      </c>
      <c r="T254" s="95">
        <f t="shared" si="8"/>
        <v>96.8</v>
      </c>
      <c r="U254" s="1" t="s">
        <v>4518</v>
      </c>
      <c r="V254" s="161" t="s">
        <v>4519</v>
      </c>
      <c r="W254" s="2">
        <v>34557</v>
      </c>
      <c r="X254" s="2">
        <v>44180</v>
      </c>
      <c r="Y254" s="11" t="s">
        <v>4705</v>
      </c>
      <c r="Z254" s="3">
        <v>44224</v>
      </c>
      <c r="AA254" s="80" t="s">
        <v>1339</v>
      </c>
      <c r="AD254" t="s">
        <v>3198</v>
      </c>
      <c r="AE254" t="s">
        <v>4520</v>
      </c>
      <c r="AG254" s="1" t="s">
        <v>4521</v>
      </c>
      <c r="AH254" s="2">
        <v>44182</v>
      </c>
      <c r="AK254" s="2">
        <v>44195</v>
      </c>
    </row>
    <row r="255" spans="1:37">
      <c r="A255" s="1">
        <v>254</v>
      </c>
      <c r="B255" s="61" t="s">
        <v>40</v>
      </c>
      <c r="C255" s="2">
        <v>44180</v>
      </c>
      <c r="D255" s="1" t="s">
        <v>4523</v>
      </c>
      <c r="E255" s="61" t="s">
        <v>4524</v>
      </c>
      <c r="F255" s="61" t="s">
        <v>4525</v>
      </c>
      <c r="G255" s="6" t="s">
        <v>964</v>
      </c>
      <c r="H255" s="1" t="s">
        <v>34</v>
      </c>
      <c r="I255" s="1">
        <v>697501300</v>
      </c>
      <c r="K255" s="1" t="s">
        <v>4523</v>
      </c>
      <c r="L255" s="3">
        <v>44196</v>
      </c>
      <c r="M255" s="1" t="s">
        <v>35</v>
      </c>
      <c r="N255" s="14" t="s">
        <v>4526</v>
      </c>
      <c r="O255" s="163">
        <v>100</v>
      </c>
      <c r="P255" s="1">
        <v>1</v>
      </c>
      <c r="Q255" s="90">
        <v>0.21</v>
      </c>
      <c r="R255" s="90">
        <v>0.2</v>
      </c>
      <c r="S255" t="s">
        <v>36</v>
      </c>
      <c r="T255" s="95">
        <f t="shared" si="8"/>
        <v>96.8</v>
      </c>
      <c r="U255" s="1" t="s">
        <v>4527</v>
      </c>
      <c r="V255" s="161" t="s">
        <v>4528</v>
      </c>
      <c r="W255" s="2">
        <v>34552</v>
      </c>
      <c r="X255" s="2">
        <v>44180</v>
      </c>
      <c r="Y255" s="11" t="s">
        <v>4705</v>
      </c>
      <c r="Z255" s="3">
        <v>44224</v>
      </c>
      <c r="AA255" s="80" t="s">
        <v>1339</v>
      </c>
      <c r="AD255" t="s">
        <v>3198</v>
      </c>
      <c r="AG255" s="1" t="s">
        <v>3812</v>
      </c>
      <c r="AH255" s="2">
        <v>44182</v>
      </c>
      <c r="AK255" s="2">
        <v>44187</v>
      </c>
    </row>
    <row r="256" spans="1:37">
      <c r="A256" s="1">
        <v>255</v>
      </c>
      <c r="B256" s="61" t="s">
        <v>33</v>
      </c>
      <c r="C256" s="2">
        <v>44179</v>
      </c>
      <c r="D256" s="1" t="s">
        <v>4330</v>
      </c>
      <c r="E256" s="61" t="s">
        <v>4331</v>
      </c>
      <c r="F256" s="61" t="s">
        <v>4333</v>
      </c>
      <c r="G256" s="6" t="s">
        <v>219</v>
      </c>
      <c r="H256" s="1" t="s">
        <v>4334</v>
      </c>
      <c r="K256" s="1" t="s">
        <v>237</v>
      </c>
      <c r="L256" s="3">
        <v>44196</v>
      </c>
      <c r="M256" s="1" t="s">
        <v>35</v>
      </c>
      <c r="N256" s="14" t="s">
        <v>4529</v>
      </c>
      <c r="O256" s="163">
        <v>100</v>
      </c>
      <c r="P256" s="1">
        <v>1</v>
      </c>
      <c r="Q256" s="90">
        <v>0.21</v>
      </c>
      <c r="R256" s="90">
        <v>0.2</v>
      </c>
      <c r="S256" t="s">
        <v>36</v>
      </c>
      <c r="T256" s="95">
        <f t="shared" si="8"/>
        <v>96.8</v>
      </c>
      <c r="U256" s="1" t="s">
        <v>4543</v>
      </c>
      <c r="V256" s="161" t="s">
        <v>4544</v>
      </c>
      <c r="W256" s="2">
        <v>30297</v>
      </c>
      <c r="X256" s="2">
        <v>44179</v>
      </c>
      <c r="Y256" s="11" t="s">
        <v>4940</v>
      </c>
      <c r="Z256" s="3">
        <v>44277</v>
      </c>
      <c r="AA256" s="80" t="s">
        <v>1339</v>
      </c>
      <c r="AD256" t="s">
        <v>3198</v>
      </c>
      <c r="AG256" s="1" t="s">
        <v>3108</v>
      </c>
      <c r="AH256" s="2">
        <v>44187</v>
      </c>
      <c r="AK256" s="2">
        <v>44187</v>
      </c>
    </row>
    <row r="257" spans="1:37">
      <c r="A257" s="1">
        <v>256</v>
      </c>
      <c r="B257" s="61" t="s">
        <v>37</v>
      </c>
      <c r="C257" s="2">
        <v>44180</v>
      </c>
      <c r="D257" s="1" t="s">
        <v>4535</v>
      </c>
      <c r="E257" s="61" t="s">
        <v>4530</v>
      </c>
      <c r="F257" s="61" t="s">
        <v>4531</v>
      </c>
      <c r="G257" s="6" t="s">
        <v>220</v>
      </c>
      <c r="H257" s="1" t="s">
        <v>4532</v>
      </c>
      <c r="I257" s="1">
        <v>631213737</v>
      </c>
      <c r="K257" s="1" t="s">
        <v>4535</v>
      </c>
      <c r="L257" s="3">
        <v>44196</v>
      </c>
      <c r="M257" s="1" t="s">
        <v>35</v>
      </c>
      <c r="N257" s="14" t="s">
        <v>4533</v>
      </c>
      <c r="O257" s="163">
        <v>100</v>
      </c>
      <c r="P257" s="1">
        <v>1</v>
      </c>
      <c r="Q257" s="90">
        <v>0.21</v>
      </c>
      <c r="R257" s="90">
        <v>0.2</v>
      </c>
      <c r="S257" s="76" t="s">
        <v>4073</v>
      </c>
      <c r="T257" s="95">
        <f t="shared" si="8"/>
        <v>96.8</v>
      </c>
      <c r="U257" s="1" t="s">
        <v>4535</v>
      </c>
      <c r="V257" s="161" t="s">
        <v>4536</v>
      </c>
      <c r="W257" s="2">
        <v>32616</v>
      </c>
      <c r="X257" s="2">
        <v>44180</v>
      </c>
      <c r="Y257" s="11" t="s">
        <v>5104</v>
      </c>
      <c r="Z257" s="3">
        <v>44284</v>
      </c>
      <c r="AA257" s="80" t="s">
        <v>1339</v>
      </c>
      <c r="AD257" t="s">
        <v>3198</v>
      </c>
      <c r="AG257" s="1" t="s">
        <v>3108</v>
      </c>
      <c r="AH257" s="2">
        <v>44187</v>
      </c>
      <c r="AK257" s="2">
        <v>44187</v>
      </c>
    </row>
    <row r="258" spans="1:37">
      <c r="A258" s="1">
        <v>257</v>
      </c>
      <c r="B258" s="61" t="s">
        <v>37</v>
      </c>
      <c r="C258" s="2">
        <v>44183</v>
      </c>
      <c r="D258" s="1" t="s">
        <v>1210</v>
      </c>
      <c r="E258" s="61" t="s">
        <v>1211</v>
      </c>
      <c r="F258" s="61" t="s">
        <v>4262</v>
      </c>
      <c r="G258" s="6" t="s">
        <v>250</v>
      </c>
      <c r="H258" s="1" t="s">
        <v>86</v>
      </c>
      <c r="K258" s="1" t="s">
        <v>1210</v>
      </c>
      <c r="L258" s="3">
        <v>44196</v>
      </c>
      <c r="M258" s="1" t="s">
        <v>35</v>
      </c>
      <c r="N258" s="14" t="s">
        <v>4534</v>
      </c>
      <c r="O258" s="163">
        <v>100</v>
      </c>
      <c r="P258" s="1">
        <v>1</v>
      </c>
      <c r="Q258" s="128">
        <v>0.21</v>
      </c>
      <c r="R258" s="128">
        <v>0</v>
      </c>
      <c r="S258" t="s">
        <v>36</v>
      </c>
      <c r="T258" s="95">
        <f t="shared" si="8"/>
        <v>121</v>
      </c>
      <c r="U258" s="1" t="s">
        <v>4264</v>
      </c>
      <c r="V258" s="161" t="s">
        <v>4272</v>
      </c>
      <c r="W258" s="2">
        <v>36526</v>
      </c>
      <c r="X258" s="2">
        <v>44183</v>
      </c>
      <c r="Y258" s="11" t="s">
        <v>1326</v>
      </c>
      <c r="AD258" t="s">
        <v>3198</v>
      </c>
    </row>
    <row r="259" spans="1:37">
      <c r="A259" s="1">
        <v>258</v>
      </c>
      <c r="B259" s="61" t="s">
        <v>33</v>
      </c>
      <c r="C259" s="2">
        <v>44187</v>
      </c>
      <c r="D259" s="1" t="s">
        <v>4537</v>
      </c>
      <c r="E259" s="61" t="s">
        <v>4540</v>
      </c>
      <c r="F259" s="61" t="s">
        <v>4538</v>
      </c>
      <c r="G259" s="6" t="s">
        <v>220</v>
      </c>
      <c r="H259" s="1" t="s">
        <v>34</v>
      </c>
      <c r="K259" s="1" t="s">
        <v>4537</v>
      </c>
      <c r="L259" s="3">
        <v>44196</v>
      </c>
      <c r="M259" s="1" t="s">
        <v>35</v>
      </c>
      <c r="N259" s="14" t="s">
        <v>4539</v>
      </c>
      <c r="O259" s="163">
        <v>100</v>
      </c>
      <c r="P259" s="1">
        <v>1</v>
      </c>
      <c r="Q259" s="90">
        <v>0.21</v>
      </c>
      <c r="R259" s="90">
        <v>0</v>
      </c>
      <c r="S259" t="s">
        <v>36</v>
      </c>
      <c r="T259" s="95">
        <f t="shared" si="8"/>
        <v>121</v>
      </c>
      <c r="U259" s="1" t="s">
        <v>4541</v>
      </c>
      <c r="V259" s="87" t="s">
        <v>4542</v>
      </c>
      <c r="W259" s="2">
        <v>33327</v>
      </c>
      <c r="X259" s="2">
        <v>44187</v>
      </c>
      <c r="Y259" s="11" t="s">
        <v>4761</v>
      </c>
      <c r="Z259" s="3">
        <v>44235</v>
      </c>
      <c r="AA259" s="80" t="s">
        <v>1339</v>
      </c>
      <c r="AD259" t="s">
        <v>3198</v>
      </c>
    </row>
    <row r="260" spans="1:37">
      <c r="A260" s="1">
        <v>259</v>
      </c>
      <c r="B260" s="61" t="s">
        <v>37</v>
      </c>
      <c r="C260" s="2">
        <v>44188</v>
      </c>
      <c r="D260" s="1" t="s">
        <v>4546</v>
      </c>
      <c r="E260" s="61" t="s">
        <v>4545</v>
      </c>
      <c r="F260" s="61" t="s">
        <v>4547</v>
      </c>
      <c r="G260" s="6" t="s">
        <v>238</v>
      </c>
      <c r="H260" s="1" t="s">
        <v>48</v>
      </c>
      <c r="I260" s="1">
        <v>658605756</v>
      </c>
      <c r="K260" s="1" t="s">
        <v>4546</v>
      </c>
      <c r="L260" s="3">
        <v>44196</v>
      </c>
      <c r="M260" s="1" t="s">
        <v>35</v>
      </c>
      <c r="N260" t="s">
        <v>4556</v>
      </c>
      <c r="O260" s="92">
        <v>60</v>
      </c>
      <c r="P260" s="1">
        <v>1</v>
      </c>
      <c r="Q260" s="90">
        <v>0.21</v>
      </c>
      <c r="R260" s="90">
        <v>0</v>
      </c>
      <c r="S260" s="76" t="s">
        <v>4551</v>
      </c>
      <c r="T260" s="95">
        <f t="shared" si="8"/>
        <v>72.599999999999994</v>
      </c>
      <c r="U260" s="1" t="s">
        <v>4546</v>
      </c>
      <c r="V260" s="87" t="s">
        <v>4685</v>
      </c>
      <c r="W260" s="2">
        <v>26671</v>
      </c>
      <c r="X260" s="2">
        <v>44188</v>
      </c>
      <c r="Y260" s="206" t="s">
        <v>4798</v>
      </c>
      <c r="Z260" s="3">
        <v>44252</v>
      </c>
      <c r="AA260" s="80" t="s">
        <v>1339</v>
      </c>
      <c r="AD260" t="s">
        <v>3198</v>
      </c>
    </row>
    <row r="261" spans="1:37">
      <c r="A261" s="1">
        <v>260</v>
      </c>
      <c r="B261" s="61" t="s">
        <v>37</v>
      </c>
      <c r="C261" s="2">
        <v>44188</v>
      </c>
      <c r="D261" s="1" t="s">
        <v>1010</v>
      </c>
      <c r="E261" s="61" t="s">
        <v>1011</v>
      </c>
      <c r="F261" s="61" t="s">
        <v>4548</v>
      </c>
      <c r="G261" s="6" t="s">
        <v>221</v>
      </c>
      <c r="H261" s="1" t="s">
        <v>34</v>
      </c>
      <c r="I261" s="1">
        <v>631519503</v>
      </c>
      <c r="K261" s="1" t="s">
        <v>1010</v>
      </c>
      <c r="L261" s="3">
        <v>44196</v>
      </c>
      <c r="M261" s="1" t="s">
        <v>35</v>
      </c>
      <c r="N261" s="14" t="s">
        <v>4549</v>
      </c>
      <c r="O261" s="92">
        <v>60</v>
      </c>
      <c r="P261" s="1">
        <v>1</v>
      </c>
      <c r="Q261" s="90">
        <v>0.21</v>
      </c>
      <c r="R261" s="90">
        <v>0</v>
      </c>
      <c r="S261" s="76" t="s">
        <v>4551</v>
      </c>
      <c r="T261" s="95">
        <f t="shared" si="8"/>
        <v>72.599999999999994</v>
      </c>
      <c r="U261" s="1" t="s">
        <v>1010</v>
      </c>
      <c r="V261" s="87" t="s">
        <v>4550</v>
      </c>
      <c r="W261" s="2">
        <v>31200</v>
      </c>
      <c r="X261" s="2">
        <v>44188</v>
      </c>
      <c r="Y261" s="11" t="s">
        <v>4864</v>
      </c>
      <c r="Z261" s="3">
        <v>44259</v>
      </c>
      <c r="AA261" s="80" t="s">
        <v>1339</v>
      </c>
      <c r="AD261" t="s">
        <v>3198</v>
      </c>
    </row>
    <row r="262" spans="1:37">
      <c r="A262" s="1">
        <v>261</v>
      </c>
      <c r="B262" s="61" t="s">
        <v>37</v>
      </c>
      <c r="C262" s="2">
        <v>44189</v>
      </c>
      <c r="D262" s="1" t="s">
        <v>1210</v>
      </c>
      <c r="E262" s="61" t="s">
        <v>1211</v>
      </c>
      <c r="F262" s="61" t="s">
        <v>4262</v>
      </c>
      <c r="G262" s="6" t="s">
        <v>250</v>
      </c>
      <c r="H262" s="1" t="s">
        <v>86</v>
      </c>
      <c r="K262" s="1" t="s">
        <v>1210</v>
      </c>
      <c r="L262" s="3">
        <v>44196</v>
      </c>
      <c r="M262" s="1" t="s">
        <v>35</v>
      </c>
      <c r="N262" s="14" t="s">
        <v>4552</v>
      </c>
      <c r="O262" s="163">
        <v>100</v>
      </c>
      <c r="P262" s="1">
        <v>1</v>
      </c>
      <c r="Q262" s="128">
        <v>0.21</v>
      </c>
      <c r="R262" s="128">
        <v>0</v>
      </c>
      <c r="S262" t="s">
        <v>36</v>
      </c>
      <c r="T262" s="95">
        <f>SUM(O262-(O262*R262))*Q262+(O262-(O262*R262))</f>
        <v>121</v>
      </c>
      <c r="U262" s="1" t="s">
        <v>4457</v>
      </c>
      <c r="V262" s="161" t="s">
        <v>4458</v>
      </c>
      <c r="W262" s="2">
        <v>36753</v>
      </c>
      <c r="X262" s="2">
        <v>44189</v>
      </c>
      <c r="Y262" s="11" t="s">
        <v>1326</v>
      </c>
      <c r="AD262" t="s">
        <v>3198</v>
      </c>
    </row>
    <row r="263" spans="1:37">
      <c r="A263" s="1">
        <v>262</v>
      </c>
      <c r="B263" s="61" t="s">
        <v>1414</v>
      </c>
      <c r="C263" s="2">
        <v>44195</v>
      </c>
      <c r="D263" s="1" t="s">
        <v>4558</v>
      </c>
      <c r="E263" s="61" t="s">
        <v>4559</v>
      </c>
      <c r="F263" s="61" t="s">
        <v>4560</v>
      </c>
      <c r="G263" s="6" t="s">
        <v>221</v>
      </c>
      <c r="H263" s="1" t="s">
        <v>34</v>
      </c>
      <c r="K263" s="1" t="s">
        <v>4558</v>
      </c>
      <c r="L263" s="3">
        <v>44196</v>
      </c>
      <c r="M263" s="1" t="s">
        <v>35</v>
      </c>
      <c r="N263" s="14" t="s">
        <v>4561</v>
      </c>
      <c r="O263" s="92">
        <v>30</v>
      </c>
      <c r="P263" s="1">
        <v>1</v>
      </c>
      <c r="Q263" s="90">
        <v>0.21</v>
      </c>
      <c r="R263" s="90">
        <v>0</v>
      </c>
      <c r="S263" t="s">
        <v>36</v>
      </c>
      <c r="T263" s="95">
        <f>SUM(O263-(O263*R263))*Q263+(O263-(O263*R263))</f>
        <v>36.299999999999997</v>
      </c>
      <c r="U263" s="1" t="s">
        <v>4558</v>
      </c>
      <c r="W263" s="2">
        <v>25569</v>
      </c>
      <c r="X263" s="2">
        <v>44195</v>
      </c>
      <c r="Y263" s="11" t="s">
        <v>1326</v>
      </c>
    </row>
    <row r="264" spans="1:37">
      <c r="A264" s="1">
        <v>263</v>
      </c>
      <c r="B264" s="61" t="s">
        <v>1414</v>
      </c>
      <c r="C264" s="2">
        <v>44195</v>
      </c>
      <c r="D264" s="1" t="s">
        <v>4558</v>
      </c>
      <c r="E264" s="61" t="s">
        <v>4559</v>
      </c>
      <c r="F264" s="61" t="s">
        <v>4560</v>
      </c>
      <c r="G264" s="6" t="s">
        <v>221</v>
      </c>
      <c r="H264" s="1" t="s">
        <v>34</v>
      </c>
      <c r="K264" s="1" t="s">
        <v>4558</v>
      </c>
      <c r="L264" s="3">
        <v>44196</v>
      </c>
      <c r="M264" s="1" t="s">
        <v>35</v>
      </c>
      <c r="N264" s="14" t="s">
        <v>4562</v>
      </c>
      <c r="O264" s="92">
        <v>30</v>
      </c>
      <c r="P264" s="1">
        <v>1</v>
      </c>
      <c r="Q264" s="90">
        <v>0.21</v>
      </c>
      <c r="R264" s="90">
        <v>0</v>
      </c>
      <c r="S264" t="s">
        <v>36</v>
      </c>
      <c r="T264" s="95">
        <f>SUM(O264-(O264*R264))*Q264+(O264-(O264*R264))</f>
        <v>36.299999999999997</v>
      </c>
      <c r="U264" s="1" t="s">
        <v>4564</v>
      </c>
      <c r="W264" s="2">
        <v>39876</v>
      </c>
      <c r="X264" s="2">
        <v>44195</v>
      </c>
      <c r="Y264" s="11" t="s">
        <v>1326</v>
      </c>
    </row>
    <row r="265" spans="1:37">
      <c r="A265" s="1">
        <v>264</v>
      </c>
      <c r="B265" s="61" t="s">
        <v>1414</v>
      </c>
      <c r="C265" s="2">
        <v>44195</v>
      </c>
      <c r="D265" s="1" t="s">
        <v>4558</v>
      </c>
      <c r="E265" s="61" t="s">
        <v>4559</v>
      </c>
      <c r="F265" s="61" t="s">
        <v>4560</v>
      </c>
      <c r="G265" s="6" t="s">
        <v>221</v>
      </c>
      <c r="H265" s="1" t="s">
        <v>34</v>
      </c>
      <c r="K265" s="1" t="s">
        <v>4558</v>
      </c>
      <c r="L265" s="3">
        <v>44196</v>
      </c>
      <c r="M265" s="1" t="s">
        <v>35</v>
      </c>
      <c r="N265" s="14" t="s">
        <v>4563</v>
      </c>
      <c r="O265" s="92">
        <v>30</v>
      </c>
      <c r="P265" s="1">
        <v>1</v>
      </c>
      <c r="Q265" s="90">
        <v>0.21</v>
      </c>
      <c r="R265" s="90">
        <v>0</v>
      </c>
      <c r="S265" t="s">
        <v>36</v>
      </c>
      <c r="T265" s="95">
        <f>SUM(O265-(O265*R265))*Q265+(O265-(O265*R265))</f>
        <v>36.299999999999997</v>
      </c>
      <c r="U265" s="1" t="s">
        <v>4565</v>
      </c>
      <c r="W265" s="2">
        <v>42306</v>
      </c>
      <c r="X265" s="2">
        <v>44195</v>
      </c>
      <c r="Y265" s="11" t="s">
        <v>1326</v>
      </c>
    </row>
    <row r="266" spans="1:37">
      <c r="B266" s="61"/>
      <c r="G266" s="6"/>
      <c r="H266" s="1"/>
      <c r="Q266" s="90"/>
      <c r="R266" s="90"/>
      <c r="W266" s="2"/>
      <c r="X266" s="2"/>
    </row>
    <row r="267" spans="1:37">
      <c r="G267" s="6"/>
      <c r="Q267" s="90"/>
      <c r="R267" s="90"/>
      <c r="W267" s="2"/>
      <c r="X267" s="2"/>
    </row>
    <row r="268" spans="1:37">
      <c r="G268" s="6"/>
      <c r="Q268" s="90"/>
      <c r="R268" s="90"/>
      <c r="W268" s="2"/>
      <c r="X268" s="2"/>
    </row>
    <row r="269" spans="1:37">
      <c r="G269" s="6"/>
      <c r="Q269" s="90"/>
      <c r="R269" s="90"/>
      <c r="W269" s="2"/>
      <c r="X269" s="2"/>
    </row>
    <row r="270" spans="1:37">
      <c r="Q270" s="90"/>
      <c r="R270" s="90"/>
      <c r="W270" s="2"/>
      <c r="X270" s="2"/>
    </row>
    <row r="271" spans="1:37">
      <c r="Q271" s="90"/>
      <c r="R271" s="90"/>
      <c r="W271" s="2"/>
      <c r="X271" s="2"/>
    </row>
    <row r="272" spans="1:37">
      <c r="R272" s="90"/>
      <c r="W272" s="2"/>
      <c r="X272" s="2"/>
    </row>
    <row r="273" spans="18:24">
      <c r="R273" s="90"/>
      <c r="W273" s="2"/>
      <c r="X273" s="2"/>
    </row>
    <row r="274" spans="18:24">
      <c r="R274" s="90"/>
      <c r="W274" s="2"/>
      <c r="X274" s="2"/>
    </row>
    <row r="275" spans="18:24">
      <c r="R275" s="90"/>
      <c r="W275" s="2"/>
      <c r="X275" s="2"/>
    </row>
    <row r="276" spans="18:24">
      <c r="R276" s="90"/>
      <c r="W276" s="2"/>
      <c r="X276" s="2"/>
    </row>
    <row r="277" spans="18:24">
      <c r="R277" s="90"/>
      <c r="W277" s="2"/>
      <c r="X277" s="2"/>
    </row>
    <row r="278" spans="18:24">
      <c r="R278" s="90"/>
    </row>
    <row r="279" spans="18:24">
      <c r="R279" s="90"/>
    </row>
  </sheetData>
  <autoFilter ref="A1:AM265" xr:uid="{00000000-0009-0000-0000-000003000000}"/>
  <phoneticPr fontId="14" type="noConversion"/>
  <hyperlinks>
    <hyperlink ref="AN19" r:id="rId1" xr:uid="{00000000-0004-0000-0300-000000000000}"/>
  </hyperlinks>
  <pageMargins left="0.7" right="0.7" top="0.75" bottom="0.75" header="0.3" footer="0.3"/>
  <pageSetup paperSize="9" scale="13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EG401"/>
  <sheetViews>
    <sheetView topLeftCell="A41" zoomScale="85" zoomScaleNormal="85" workbookViewId="0">
      <pane xSplit="2" topLeftCell="C1" activePane="topRight" state="frozen"/>
      <selection pane="topRight" activeCell="E63" sqref="E63"/>
    </sheetView>
  </sheetViews>
  <sheetFormatPr baseColWidth="10" defaultRowHeight="15"/>
  <cols>
    <col min="1" max="1" width="4.7109375" style="1" customWidth="1"/>
    <col min="2" max="2" width="29.140625" bestFit="1" customWidth="1"/>
    <col min="3" max="4" width="11.42578125" style="1"/>
    <col min="5" max="5" width="44.42578125" bestFit="1" customWidth="1"/>
    <col min="6" max="6" width="44.7109375" bestFit="1" customWidth="1"/>
    <col min="7" max="7" width="11.42578125" style="1"/>
    <col min="8" max="8" width="27.85546875" style="1" bestFit="1" customWidth="1"/>
    <col min="9" max="9" width="12.5703125" style="1" bestFit="1" customWidth="1"/>
    <col min="10" max="10" width="35.7109375" bestFit="1" customWidth="1"/>
    <col min="11" max="11" width="11.42578125" style="1"/>
    <col min="13" max="13" width="30.42578125" bestFit="1" customWidth="1"/>
    <col min="14" max="14" width="61.85546875" bestFit="1" customWidth="1"/>
    <col min="15" max="15" width="9.42578125" style="187" bestFit="1" customWidth="1"/>
    <col min="16" max="16" width="8.85546875" style="1" bestFit="1" customWidth="1"/>
    <col min="17" max="17" width="6.7109375" style="90" bestFit="1" customWidth="1"/>
    <col min="18" max="18" width="6.85546875" style="90" customWidth="1"/>
    <col min="19" max="19" width="15.85546875" bestFit="1" customWidth="1"/>
    <col min="20" max="20" width="10.28515625" bestFit="1" customWidth="1"/>
    <col min="21" max="21" width="11.42578125" style="1"/>
    <col min="22" max="22" width="17.140625" style="1" bestFit="1" customWidth="1"/>
    <col min="23" max="24" width="11.42578125" style="1"/>
    <col min="25" max="25" width="26.5703125" bestFit="1" customWidth="1"/>
    <col min="26" max="26" width="10.5703125" bestFit="1" customWidth="1"/>
    <col min="30" max="30" width="14" bestFit="1" customWidth="1"/>
    <col min="31" max="31" width="24.85546875" bestFit="1" customWidth="1"/>
    <col min="32" max="32" width="17.5703125" bestFit="1" customWidth="1"/>
    <col min="33" max="33" width="20.5703125" customWidth="1"/>
    <col min="34" max="34" width="11.42578125" style="1"/>
  </cols>
  <sheetData>
    <row r="1" spans="1:137" ht="45">
      <c r="A1" s="65"/>
      <c r="B1" s="16" t="s">
        <v>0</v>
      </c>
      <c r="C1" s="83" t="s">
        <v>1</v>
      </c>
      <c r="D1" s="18" t="s">
        <v>2</v>
      </c>
      <c r="E1" s="88" t="s">
        <v>3</v>
      </c>
      <c r="F1" s="88" t="s">
        <v>4</v>
      </c>
      <c r="G1" s="19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20" t="s">
        <v>10</v>
      </c>
      <c r="M1" s="18" t="s">
        <v>11</v>
      </c>
      <c r="N1" s="21" t="s">
        <v>12</v>
      </c>
      <c r="O1" s="185" t="s">
        <v>13</v>
      </c>
      <c r="P1" s="18" t="s">
        <v>14</v>
      </c>
      <c r="Q1" s="188" t="s">
        <v>15</v>
      </c>
      <c r="R1" s="189" t="s">
        <v>16</v>
      </c>
      <c r="S1" s="18" t="s">
        <v>17</v>
      </c>
      <c r="T1" s="84" t="s">
        <v>18</v>
      </c>
      <c r="U1" s="25" t="s">
        <v>19</v>
      </c>
      <c r="V1" s="86" t="s">
        <v>20</v>
      </c>
      <c r="W1" s="27" t="s">
        <v>21</v>
      </c>
      <c r="X1" s="83" t="s">
        <v>1</v>
      </c>
      <c r="Y1" s="25" t="s">
        <v>22</v>
      </c>
      <c r="Z1" s="82" t="s">
        <v>1338</v>
      </c>
      <c r="AA1" s="25" t="s">
        <v>3362</v>
      </c>
      <c r="AB1" s="82" t="s">
        <v>1490</v>
      </c>
      <c r="AC1" s="25" t="s">
        <v>153</v>
      </c>
      <c r="AD1" s="25" t="s">
        <v>218</v>
      </c>
      <c r="AE1" s="94" t="s">
        <v>3382</v>
      </c>
      <c r="AF1" s="25" t="s">
        <v>1359</v>
      </c>
      <c r="AG1" s="25" t="s">
        <v>25</v>
      </c>
      <c r="AH1" s="27" t="s">
        <v>26</v>
      </c>
      <c r="AI1" s="27" t="s">
        <v>27</v>
      </c>
      <c r="AJ1" s="27" t="s">
        <v>28</v>
      </c>
      <c r="AK1" s="27" t="s">
        <v>29</v>
      </c>
      <c r="AL1" s="28" t="s">
        <v>31</v>
      </c>
      <c r="AM1" s="25" t="s">
        <v>32</v>
      </c>
    </row>
    <row r="2" spans="1:137">
      <c r="A2" s="1">
        <v>1</v>
      </c>
      <c r="B2" s="61" t="s">
        <v>4119</v>
      </c>
      <c r="C2" s="2">
        <v>44207</v>
      </c>
      <c r="D2" s="1" t="s">
        <v>4567</v>
      </c>
      <c r="E2" s="61" t="s">
        <v>4568</v>
      </c>
      <c r="F2" s="61" t="s">
        <v>4569</v>
      </c>
      <c r="G2" s="6" t="s">
        <v>221</v>
      </c>
      <c r="H2" s="1" t="s">
        <v>34</v>
      </c>
      <c r="I2" s="1" t="s">
        <v>4570</v>
      </c>
      <c r="K2" s="1" t="s">
        <v>4567</v>
      </c>
      <c r="L2" s="3">
        <v>44227</v>
      </c>
      <c r="M2" s="1" t="s">
        <v>35</v>
      </c>
      <c r="N2" s="14" t="s">
        <v>4571</v>
      </c>
      <c r="O2" s="186">
        <v>100</v>
      </c>
      <c r="P2" s="1">
        <v>1</v>
      </c>
      <c r="Q2" s="128">
        <v>0.21</v>
      </c>
      <c r="R2" s="128">
        <v>0.2</v>
      </c>
      <c r="T2" s="95">
        <f t="shared" ref="T2:T33" si="0">SUM(O2-(O2*R2))*Q2+(O2-(O2*R2))</f>
        <v>96.8</v>
      </c>
      <c r="U2" s="1" t="s">
        <v>4728</v>
      </c>
      <c r="V2" s="87" t="s">
        <v>4729</v>
      </c>
      <c r="W2" s="2">
        <v>37386</v>
      </c>
      <c r="X2" s="2">
        <v>44207</v>
      </c>
      <c r="Y2" s="11" t="s">
        <v>4793</v>
      </c>
      <c r="Z2" s="3">
        <v>43879</v>
      </c>
      <c r="AA2" s="80" t="s">
        <v>1339</v>
      </c>
      <c r="AD2" t="s">
        <v>3198</v>
      </c>
      <c r="AE2" t="s">
        <v>3402</v>
      </c>
      <c r="AF2" t="s">
        <v>4572</v>
      </c>
      <c r="AG2" s="1" t="s">
        <v>3108</v>
      </c>
      <c r="AH2" s="2">
        <v>44230</v>
      </c>
      <c r="AI2" s="1"/>
      <c r="AK2" s="2">
        <v>44231</v>
      </c>
    </row>
    <row r="3" spans="1:137">
      <c r="A3" s="1">
        <v>2</v>
      </c>
      <c r="B3" t="s">
        <v>37</v>
      </c>
      <c r="C3" s="2">
        <v>44180</v>
      </c>
      <c r="D3" s="1" t="s">
        <v>4575</v>
      </c>
      <c r="E3" t="s">
        <v>4576</v>
      </c>
      <c r="F3" t="s">
        <v>4577</v>
      </c>
      <c r="G3" s="6" t="s">
        <v>219</v>
      </c>
      <c r="H3" s="1" t="s">
        <v>38</v>
      </c>
      <c r="I3" s="1">
        <v>681677471</v>
      </c>
      <c r="K3" s="1" t="s">
        <v>4575</v>
      </c>
      <c r="L3" s="3">
        <v>44227</v>
      </c>
      <c r="M3" t="s">
        <v>35</v>
      </c>
      <c r="N3" s="14" t="s">
        <v>4578</v>
      </c>
      <c r="O3" s="187">
        <v>80</v>
      </c>
      <c r="P3" s="1">
        <v>1</v>
      </c>
      <c r="Q3" s="90">
        <v>0.21</v>
      </c>
      <c r="R3" s="90">
        <v>0</v>
      </c>
      <c r="T3" s="95">
        <f t="shared" si="0"/>
        <v>96.8</v>
      </c>
      <c r="U3" s="1" t="s">
        <v>4642</v>
      </c>
      <c r="V3" s="6" t="s">
        <v>4754</v>
      </c>
      <c r="W3" s="2">
        <v>35983</v>
      </c>
      <c r="X3" s="3">
        <v>44180</v>
      </c>
      <c r="Y3" s="235" t="s">
        <v>6045</v>
      </c>
      <c r="Z3" s="3">
        <v>44503</v>
      </c>
      <c r="AA3" s="80" t="s">
        <v>1339</v>
      </c>
      <c r="AC3" s="236">
        <v>44351</v>
      </c>
      <c r="AD3" t="s">
        <v>3198</v>
      </c>
      <c r="AE3" t="s">
        <v>4581</v>
      </c>
      <c r="AG3" t="s">
        <v>5229</v>
      </c>
      <c r="AH3" s="2">
        <v>44299</v>
      </c>
      <c r="AK3" s="3">
        <v>44277</v>
      </c>
    </row>
    <row r="4" spans="1:137">
      <c r="A4" s="1">
        <v>3</v>
      </c>
      <c r="B4" t="s">
        <v>37</v>
      </c>
      <c r="C4" s="2">
        <v>44208</v>
      </c>
      <c r="D4" s="1" t="s">
        <v>4575</v>
      </c>
      <c r="E4" t="s">
        <v>4576</v>
      </c>
      <c r="F4" t="s">
        <v>4577</v>
      </c>
      <c r="G4" s="6" t="s">
        <v>219</v>
      </c>
      <c r="H4" s="1" t="s">
        <v>38</v>
      </c>
      <c r="I4" s="1">
        <v>681677471</v>
      </c>
      <c r="K4" s="1" t="s">
        <v>4575</v>
      </c>
      <c r="L4" s="3">
        <v>44227</v>
      </c>
      <c r="M4" t="s">
        <v>35</v>
      </c>
      <c r="N4" s="14" t="s">
        <v>4579</v>
      </c>
      <c r="O4" s="187">
        <v>80</v>
      </c>
      <c r="P4" s="1">
        <v>1</v>
      </c>
      <c r="Q4" s="90">
        <v>0.21</v>
      </c>
      <c r="R4" s="90">
        <v>0</v>
      </c>
      <c r="T4" s="95">
        <f t="shared" si="0"/>
        <v>96.8</v>
      </c>
      <c r="U4" s="1" t="s">
        <v>4750</v>
      </c>
      <c r="V4" s="6" t="s">
        <v>4751</v>
      </c>
      <c r="W4" s="2">
        <v>37564</v>
      </c>
      <c r="X4" s="2">
        <v>44208</v>
      </c>
      <c r="Y4" s="11" t="s">
        <v>5344</v>
      </c>
      <c r="Z4" s="3">
        <v>44330</v>
      </c>
      <c r="AA4" s="80" t="s">
        <v>1339</v>
      </c>
      <c r="AB4" t="s">
        <v>5907</v>
      </c>
      <c r="AD4" t="s">
        <v>3198</v>
      </c>
      <c r="AE4" t="s">
        <v>4581</v>
      </c>
    </row>
    <row r="5" spans="1:137">
      <c r="A5" s="1">
        <v>4</v>
      </c>
      <c r="B5" t="s">
        <v>37</v>
      </c>
      <c r="C5" s="2">
        <v>44208</v>
      </c>
      <c r="D5" s="1" t="s">
        <v>4575</v>
      </c>
      <c r="E5" t="s">
        <v>4576</v>
      </c>
      <c r="F5" t="s">
        <v>4577</v>
      </c>
      <c r="G5" s="6" t="s">
        <v>219</v>
      </c>
      <c r="H5" s="1" t="s">
        <v>38</v>
      </c>
      <c r="I5" s="1">
        <v>681677471</v>
      </c>
      <c r="K5" s="1" t="s">
        <v>4575</v>
      </c>
      <c r="L5" s="3">
        <v>44227</v>
      </c>
      <c r="M5" t="s">
        <v>35</v>
      </c>
      <c r="N5" s="14" t="s">
        <v>4580</v>
      </c>
      <c r="O5" s="187">
        <v>80</v>
      </c>
      <c r="P5" s="1">
        <v>1</v>
      </c>
      <c r="Q5" s="90">
        <v>0.21</v>
      </c>
      <c r="R5" s="90">
        <v>0</v>
      </c>
      <c r="T5" s="95">
        <f t="shared" si="0"/>
        <v>96.8</v>
      </c>
      <c r="U5" s="1" t="s">
        <v>4752</v>
      </c>
      <c r="V5" s="6" t="s">
        <v>4753</v>
      </c>
      <c r="W5" s="2">
        <v>27699</v>
      </c>
      <c r="X5" s="2">
        <v>44208</v>
      </c>
      <c r="Y5" s="207" t="s">
        <v>5488</v>
      </c>
      <c r="Z5" s="3">
        <v>44358</v>
      </c>
      <c r="AA5" s="80" t="s">
        <v>1339</v>
      </c>
      <c r="AC5" s="3"/>
      <c r="AD5" t="s">
        <v>3198</v>
      </c>
      <c r="AE5" t="s">
        <v>4581</v>
      </c>
      <c r="AG5" t="s">
        <v>5334</v>
      </c>
      <c r="AH5" s="2">
        <v>44326</v>
      </c>
    </row>
    <row r="6" spans="1:137" s="197" customFormat="1">
      <c r="A6" s="1">
        <v>5</v>
      </c>
      <c r="B6" t="s">
        <v>119</v>
      </c>
      <c r="C6" s="2">
        <v>44208</v>
      </c>
      <c r="D6" s="1" t="s">
        <v>4582</v>
      </c>
      <c r="E6" t="s">
        <v>4583</v>
      </c>
      <c r="F6" t="s">
        <v>4584</v>
      </c>
      <c r="G6" s="6" t="s">
        <v>239</v>
      </c>
      <c r="H6" s="1" t="s">
        <v>86</v>
      </c>
      <c r="I6" s="1"/>
      <c r="J6"/>
      <c r="K6" s="1" t="s">
        <v>174</v>
      </c>
      <c r="L6" s="3">
        <v>44227</v>
      </c>
      <c r="M6" t="s">
        <v>35</v>
      </c>
      <c r="N6" s="14" t="s">
        <v>4585</v>
      </c>
      <c r="O6" s="187">
        <v>100</v>
      </c>
      <c r="P6" s="1">
        <v>1</v>
      </c>
      <c r="Q6" s="128">
        <v>0.21</v>
      </c>
      <c r="R6" s="128">
        <v>0.2</v>
      </c>
      <c r="S6"/>
      <c r="T6" s="95">
        <f t="shared" si="0"/>
        <v>96.8</v>
      </c>
      <c r="U6" s="1" t="s">
        <v>4791</v>
      </c>
      <c r="V6" s="6" t="s">
        <v>4792</v>
      </c>
      <c r="W6" s="2">
        <v>35994</v>
      </c>
      <c r="X6" s="2">
        <v>44208</v>
      </c>
      <c r="Y6" s="11" t="s">
        <v>5454</v>
      </c>
      <c r="Z6" s="3">
        <v>44351</v>
      </c>
      <c r="AA6" s="80" t="s">
        <v>4832</v>
      </c>
      <c r="AB6" t="s">
        <v>5227</v>
      </c>
      <c r="AC6" s="162">
        <v>44315</v>
      </c>
      <c r="AD6" t="s">
        <v>3198</v>
      </c>
      <c r="AE6"/>
      <c r="AF6"/>
      <c r="AG6" t="s">
        <v>3108</v>
      </c>
      <c r="AH6" s="2">
        <v>44245</v>
      </c>
      <c r="AI6"/>
      <c r="AJ6"/>
      <c r="AK6" s="3">
        <v>44252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</row>
    <row r="7" spans="1:137">
      <c r="A7" s="1">
        <v>6</v>
      </c>
      <c r="B7" t="s">
        <v>1242</v>
      </c>
      <c r="C7" s="2">
        <v>44209</v>
      </c>
      <c r="D7" s="1" t="s">
        <v>344</v>
      </c>
      <c r="E7" s="61" t="s">
        <v>345</v>
      </c>
      <c r="F7" s="61" t="s">
        <v>1249</v>
      </c>
      <c r="G7" s="6" t="s">
        <v>221</v>
      </c>
      <c r="H7" s="1" t="s">
        <v>34</v>
      </c>
      <c r="I7" s="1">
        <v>677842922</v>
      </c>
      <c r="J7" s="1"/>
      <c r="K7" s="30" t="s">
        <v>1250</v>
      </c>
      <c r="L7" s="3">
        <v>44227</v>
      </c>
      <c r="M7" t="s">
        <v>35</v>
      </c>
      <c r="N7" s="14" t="s">
        <v>4586</v>
      </c>
      <c r="O7" s="187">
        <v>100</v>
      </c>
      <c r="P7" s="1">
        <v>1</v>
      </c>
      <c r="Q7" s="90">
        <v>0.21</v>
      </c>
      <c r="R7" s="90">
        <v>0.2</v>
      </c>
      <c r="T7" s="95">
        <f t="shared" si="0"/>
        <v>96.8</v>
      </c>
      <c r="U7" s="1" t="s">
        <v>4768</v>
      </c>
      <c r="V7" s="6" t="s">
        <v>4769</v>
      </c>
      <c r="W7" s="2">
        <v>28491</v>
      </c>
      <c r="X7" s="2">
        <v>44209</v>
      </c>
      <c r="Y7" s="11" t="s">
        <v>5129</v>
      </c>
      <c r="Z7" s="3">
        <v>44301</v>
      </c>
      <c r="AA7" s="80" t="s">
        <v>4832</v>
      </c>
      <c r="AD7" t="s">
        <v>3198</v>
      </c>
      <c r="AG7" t="s">
        <v>4767</v>
      </c>
      <c r="AH7" s="2">
        <v>44238</v>
      </c>
      <c r="AK7" s="3">
        <v>44249</v>
      </c>
    </row>
    <row r="8" spans="1:137">
      <c r="A8" s="1">
        <v>7</v>
      </c>
      <c r="B8" t="s">
        <v>1511</v>
      </c>
      <c r="C8" s="2">
        <v>44210</v>
      </c>
      <c r="D8" s="1" t="s">
        <v>4664</v>
      </c>
      <c r="E8" s="61" t="s">
        <v>4665</v>
      </c>
      <c r="F8" s="61" t="s">
        <v>4666</v>
      </c>
      <c r="G8" s="6" t="s">
        <v>4667</v>
      </c>
      <c r="H8" s="1" t="s">
        <v>4668</v>
      </c>
      <c r="J8" s="1"/>
      <c r="K8" s="1" t="s">
        <v>4664</v>
      </c>
      <c r="L8" s="3">
        <v>44227</v>
      </c>
      <c r="M8" t="s">
        <v>35</v>
      </c>
      <c r="N8" s="14" t="s">
        <v>4669</v>
      </c>
      <c r="O8" s="187">
        <v>100</v>
      </c>
      <c r="P8" s="1">
        <v>1</v>
      </c>
      <c r="Q8" s="90">
        <v>0.21</v>
      </c>
      <c r="R8" s="90">
        <v>0.2</v>
      </c>
      <c r="T8" s="95">
        <f t="shared" si="0"/>
        <v>96.8</v>
      </c>
      <c r="U8" s="1" t="s">
        <v>4771</v>
      </c>
      <c r="V8" s="6" t="s">
        <v>4770</v>
      </c>
      <c r="W8" s="2">
        <v>37259</v>
      </c>
      <c r="X8" s="2">
        <v>44210</v>
      </c>
      <c r="Y8" s="206" t="s">
        <v>5226</v>
      </c>
      <c r="Z8" s="3">
        <v>44308</v>
      </c>
      <c r="AA8" s="80" t="s">
        <v>4832</v>
      </c>
      <c r="AB8" t="s">
        <v>5228</v>
      </c>
      <c r="AC8" s="212">
        <v>44270</v>
      </c>
      <c r="AD8" t="s">
        <v>3198</v>
      </c>
      <c r="AF8" s="146" t="s">
        <v>4572</v>
      </c>
      <c r="AG8" t="s">
        <v>3108</v>
      </c>
      <c r="AH8" s="2">
        <v>44238</v>
      </c>
      <c r="AK8" s="3">
        <v>44239</v>
      </c>
    </row>
    <row r="9" spans="1:137">
      <c r="A9" s="1">
        <v>8</v>
      </c>
      <c r="B9" t="s">
        <v>119</v>
      </c>
      <c r="C9" s="2">
        <v>44210</v>
      </c>
      <c r="D9" s="1" t="s">
        <v>4631</v>
      </c>
      <c r="E9" s="61" t="s">
        <v>145</v>
      </c>
      <c r="F9" s="61" t="s">
        <v>4632</v>
      </c>
      <c r="G9" s="6" t="s">
        <v>239</v>
      </c>
      <c r="H9" s="1" t="s">
        <v>4633</v>
      </c>
      <c r="J9" s="1"/>
      <c r="K9" s="1" t="s">
        <v>174</v>
      </c>
      <c r="L9" s="3">
        <v>44227</v>
      </c>
      <c r="M9" t="s">
        <v>35</v>
      </c>
      <c r="N9" s="14" t="s">
        <v>4634</v>
      </c>
      <c r="O9" s="187">
        <v>100</v>
      </c>
      <c r="P9" s="1">
        <v>1</v>
      </c>
      <c r="Q9" s="90">
        <v>0.21</v>
      </c>
      <c r="R9" s="90">
        <v>0.2</v>
      </c>
      <c r="T9" s="95">
        <f t="shared" si="0"/>
        <v>96.8</v>
      </c>
      <c r="U9" s="164" t="s">
        <v>4787</v>
      </c>
      <c r="V9" s="6" t="s">
        <v>4788</v>
      </c>
      <c r="W9" s="2">
        <v>31413</v>
      </c>
      <c r="X9" s="2">
        <v>44210</v>
      </c>
      <c r="Y9" s="215" t="s">
        <v>5189</v>
      </c>
      <c r="Z9" s="3">
        <v>44307</v>
      </c>
      <c r="AA9" s="80" t="s">
        <v>4832</v>
      </c>
      <c r="AB9" t="s">
        <v>3765</v>
      </c>
      <c r="AD9" t="s">
        <v>3198</v>
      </c>
      <c r="AG9" t="s">
        <v>4636</v>
      </c>
      <c r="AH9" s="2">
        <v>44245</v>
      </c>
      <c r="AK9" s="3">
        <v>44250</v>
      </c>
    </row>
    <row r="10" spans="1:137">
      <c r="A10" s="1">
        <v>9</v>
      </c>
      <c r="B10" t="s">
        <v>119</v>
      </c>
      <c r="C10" s="2">
        <v>44210</v>
      </c>
      <c r="D10" s="1" t="s">
        <v>4631</v>
      </c>
      <c r="E10" s="61" t="s">
        <v>145</v>
      </c>
      <c r="F10" s="61" t="s">
        <v>4632</v>
      </c>
      <c r="G10" s="6" t="s">
        <v>239</v>
      </c>
      <c r="H10" s="1" t="s">
        <v>4633</v>
      </c>
      <c r="J10" s="1"/>
      <c r="K10" s="1" t="s">
        <v>174</v>
      </c>
      <c r="L10" s="3">
        <v>44227</v>
      </c>
      <c r="M10" t="s">
        <v>35</v>
      </c>
      <c r="N10" s="14" t="s">
        <v>4635</v>
      </c>
      <c r="O10" s="187">
        <v>100</v>
      </c>
      <c r="P10" s="1">
        <v>1</v>
      </c>
      <c r="Q10" s="90">
        <v>0.21</v>
      </c>
      <c r="R10" s="90">
        <v>0.2</v>
      </c>
      <c r="T10" s="95">
        <f t="shared" si="0"/>
        <v>96.8</v>
      </c>
      <c r="U10" s="1" t="s">
        <v>4774</v>
      </c>
      <c r="V10" s="6" t="s">
        <v>4801</v>
      </c>
      <c r="W10" s="2">
        <v>32729</v>
      </c>
      <c r="X10" s="2">
        <v>44210</v>
      </c>
      <c r="Y10" s="11" t="s">
        <v>5188</v>
      </c>
      <c r="Z10" s="3">
        <v>44307</v>
      </c>
      <c r="AA10" s="80" t="s">
        <v>4832</v>
      </c>
      <c r="AC10" s="115">
        <v>44278</v>
      </c>
      <c r="AD10" t="s">
        <v>3198</v>
      </c>
      <c r="AG10" t="s">
        <v>4636</v>
      </c>
      <c r="AH10" s="2">
        <v>44238</v>
      </c>
      <c r="AK10" s="3">
        <v>44249</v>
      </c>
    </row>
    <row r="11" spans="1:137">
      <c r="A11" s="1">
        <v>10</v>
      </c>
      <c r="B11" t="s">
        <v>3526</v>
      </c>
      <c r="C11" s="2">
        <v>44210</v>
      </c>
      <c r="D11" s="1" t="s">
        <v>4587</v>
      </c>
      <c r="E11" t="s">
        <v>4588</v>
      </c>
      <c r="F11" t="s">
        <v>4589</v>
      </c>
      <c r="G11" s="6" t="s">
        <v>294</v>
      </c>
      <c r="H11" s="1" t="s">
        <v>3681</v>
      </c>
      <c r="I11" s="1">
        <v>660977248</v>
      </c>
      <c r="K11" s="1" t="s">
        <v>4587</v>
      </c>
      <c r="L11" s="3">
        <v>44227</v>
      </c>
      <c r="M11" t="s">
        <v>35</v>
      </c>
      <c r="N11" s="14" t="s">
        <v>4590</v>
      </c>
      <c r="O11" s="187">
        <v>100</v>
      </c>
      <c r="P11" s="1">
        <v>1</v>
      </c>
      <c r="Q11" s="90">
        <v>0.21</v>
      </c>
      <c r="R11" s="90">
        <v>0.2</v>
      </c>
      <c r="T11" s="95">
        <f t="shared" si="0"/>
        <v>96.8</v>
      </c>
      <c r="U11" s="1" t="s">
        <v>4772</v>
      </c>
      <c r="V11" s="6" t="s">
        <v>4773</v>
      </c>
      <c r="W11" s="2">
        <v>33958</v>
      </c>
      <c r="X11" s="2">
        <v>44210</v>
      </c>
      <c r="Y11" s="11" t="s">
        <v>5177</v>
      </c>
      <c r="Z11" s="3">
        <v>44307</v>
      </c>
      <c r="AA11" s="80" t="s">
        <v>4832</v>
      </c>
      <c r="AD11" t="s">
        <v>3198</v>
      </c>
      <c r="AG11" t="s">
        <v>4591</v>
      </c>
      <c r="AH11" s="2">
        <v>44238</v>
      </c>
      <c r="AK11" s="3">
        <v>44239</v>
      </c>
    </row>
    <row r="12" spans="1:137" s="195" customFormat="1">
      <c r="A12" s="198">
        <v>11</v>
      </c>
      <c r="B12" s="195" t="s">
        <v>3526</v>
      </c>
      <c r="C12" s="204">
        <v>44214</v>
      </c>
      <c r="D12" s="198" t="s">
        <v>4593</v>
      </c>
      <c r="E12" s="195" t="s">
        <v>4594</v>
      </c>
      <c r="F12" s="195" t="s">
        <v>4595</v>
      </c>
      <c r="G12" s="199" t="s">
        <v>220</v>
      </c>
      <c r="H12" s="198" t="s">
        <v>4596</v>
      </c>
      <c r="I12" s="14">
        <v>607186191</v>
      </c>
      <c r="K12" s="198" t="s">
        <v>4593</v>
      </c>
      <c r="L12" s="194">
        <v>44227</v>
      </c>
      <c r="M12" s="195" t="s">
        <v>35</v>
      </c>
      <c r="N12" s="200" t="s">
        <v>4597</v>
      </c>
      <c r="O12" s="201">
        <v>100</v>
      </c>
      <c r="P12" s="198">
        <v>1</v>
      </c>
      <c r="Q12" s="202">
        <v>0.21</v>
      </c>
      <c r="R12" s="202">
        <v>0.2</v>
      </c>
      <c r="T12" s="203">
        <f t="shared" si="0"/>
        <v>96.8</v>
      </c>
      <c r="U12" s="1" t="s">
        <v>5126</v>
      </c>
      <c r="V12" s="199" t="s">
        <v>5125</v>
      </c>
      <c r="W12" s="204">
        <v>37452</v>
      </c>
      <c r="X12" s="204">
        <v>44214</v>
      </c>
      <c r="Y12" s="205" t="s">
        <v>4659</v>
      </c>
      <c r="Z12" s="205"/>
      <c r="AD12" s="195" t="s">
        <v>3198</v>
      </c>
      <c r="AF12" s="195" t="s">
        <v>4572</v>
      </c>
      <c r="AH12" s="198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</row>
    <row r="13" spans="1:137">
      <c r="A13" s="1">
        <v>12</v>
      </c>
      <c r="B13" t="s">
        <v>40</v>
      </c>
      <c r="C13" s="2">
        <v>44211</v>
      </c>
      <c r="D13" s="1" t="s">
        <v>4598</v>
      </c>
      <c r="E13" t="s">
        <v>3127</v>
      </c>
      <c r="F13" t="s">
        <v>4599</v>
      </c>
      <c r="G13" s="6" t="s">
        <v>227</v>
      </c>
      <c r="H13" s="1" t="s">
        <v>4600</v>
      </c>
      <c r="K13" s="1" t="s">
        <v>4598</v>
      </c>
      <c r="L13" s="3">
        <v>44227</v>
      </c>
      <c r="M13" t="s">
        <v>35</v>
      </c>
      <c r="N13" s="14" t="s">
        <v>4601</v>
      </c>
      <c r="O13" s="187">
        <v>100</v>
      </c>
      <c r="P13" s="1">
        <v>1</v>
      </c>
      <c r="Q13" s="90">
        <v>0.21</v>
      </c>
      <c r="R13" s="90">
        <v>0.2</v>
      </c>
      <c r="T13" s="95">
        <f t="shared" si="0"/>
        <v>96.8</v>
      </c>
      <c r="U13" s="1" t="s">
        <v>4602</v>
      </c>
      <c r="V13" s="6" t="s">
        <v>4862</v>
      </c>
      <c r="W13" s="2">
        <v>35216</v>
      </c>
      <c r="X13" s="2">
        <v>44211</v>
      </c>
      <c r="Y13" s="11" t="s">
        <v>5178</v>
      </c>
      <c r="Z13" s="3">
        <v>44307</v>
      </c>
      <c r="AA13" s="80" t="s">
        <v>4832</v>
      </c>
      <c r="AD13" t="s">
        <v>3198</v>
      </c>
      <c r="AG13" t="s">
        <v>2830</v>
      </c>
      <c r="AH13" s="2">
        <v>44215</v>
      </c>
      <c r="AK13" s="3">
        <v>44215</v>
      </c>
    </row>
    <row r="14" spans="1:137">
      <c r="A14" s="1">
        <v>13</v>
      </c>
      <c r="B14" t="s">
        <v>37</v>
      </c>
      <c r="C14" s="2">
        <v>44215</v>
      </c>
      <c r="D14" s="1" t="s">
        <v>2159</v>
      </c>
      <c r="E14" t="s">
        <v>2160</v>
      </c>
      <c r="F14" t="s">
        <v>4603</v>
      </c>
      <c r="G14" s="6" t="s">
        <v>4604</v>
      </c>
      <c r="H14" s="1" t="s">
        <v>4605</v>
      </c>
      <c r="I14" s="1">
        <v>642798128</v>
      </c>
      <c r="K14" s="1" t="s">
        <v>2159</v>
      </c>
      <c r="L14" s="3">
        <v>44227</v>
      </c>
      <c r="M14" t="s">
        <v>35</v>
      </c>
      <c r="N14" t="s">
        <v>4606</v>
      </c>
      <c r="O14" s="187">
        <v>60</v>
      </c>
      <c r="P14" s="1">
        <v>1</v>
      </c>
      <c r="Q14" s="90">
        <v>0.21</v>
      </c>
      <c r="R14" s="90">
        <v>0</v>
      </c>
      <c r="S14" t="s">
        <v>4723</v>
      </c>
      <c r="T14" s="95">
        <f t="shared" si="0"/>
        <v>72.599999999999994</v>
      </c>
      <c r="U14" s="1" t="s">
        <v>2159</v>
      </c>
      <c r="V14" s="6" t="s">
        <v>4607</v>
      </c>
      <c r="W14" s="2">
        <v>33605</v>
      </c>
      <c r="X14" s="2">
        <v>44215</v>
      </c>
      <c r="Y14" s="11" t="s">
        <v>4939</v>
      </c>
      <c r="Z14" s="3">
        <v>44272</v>
      </c>
      <c r="AA14" s="80" t="s">
        <v>4832</v>
      </c>
      <c r="AD14" t="s">
        <v>3198</v>
      </c>
    </row>
    <row r="15" spans="1:137" s="197" customFormat="1">
      <c r="A15" s="1">
        <v>14</v>
      </c>
      <c r="B15" t="s">
        <v>3526</v>
      </c>
      <c r="C15" s="2">
        <v>44215</v>
      </c>
      <c r="D15" s="1" t="s">
        <v>4608</v>
      </c>
      <c r="E15" t="s">
        <v>4609</v>
      </c>
      <c r="F15" t="s">
        <v>4610</v>
      </c>
      <c r="G15" s="6" t="s">
        <v>294</v>
      </c>
      <c r="H15" s="1" t="s">
        <v>4611</v>
      </c>
      <c r="I15" s="1">
        <v>633031379</v>
      </c>
      <c r="J15"/>
      <c r="K15" s="1" t="s">
        <v>4608</v>
      </c>
      <c r="L15" s="3">
        <v>44227</v>
      </c>
      <c r="M15" t="s">
        <v>35</v>
      </c>
      <c r="N15" s="14" t="s">
        <v>4612</v>
      </c>
      <c r="O15" s="187">
        <v>100</v>
      </c>
      <c r="P15" s="1">
        <v>1</v>
      </c>
      <c r="Q15" s="128">
        <v>0.21</v>
      </c>
      <c r="R15" s="128">
        <v>0.2</v>
      </c>
      <c r="S15"/>
      <c r="T15" s="95">
        <f t="shared" si="0"/>
        <v>96.8</v>
      </c>
      <c r="U15" s="1" t="s">
        <v>4871</v>
      </c>
      <c r="V15" s="6" t="s">
        <v>4872</v>
      </c>
      <c r="W15" s="2">
        <v>32582</v>
      </c>
      <c r="X15" s="2">
        <v>44215</v>
      </c>
      <c r="Y15" s="11" t="s">
        <v>5605</v>
      </c>
      <c r="Z15" s="3">
        <v>44390</v>
      </c>
      <c r="AA15" s="80" t="s">
        <v>4832</v>
      </c>
      <c r="AB15" t="s">
        <v>5333</v>
      </c>
      <c r="AC15" s="115">
        <v>44334</v>
      </c>
      <c r="AD15" t="s">
        <v>3198</v>
      </c>
      <c r="AE15"/>
      <c r="AF15"/>
      <c r="AG15" t="s">
        <v>3108</v>
      </c>
      <c r="AH15" s="2">
        <v>44259</v>
      </c>
      <c r="AI15"/>
      <c r="AJ15"/>
      <c r="AK15" s="3">
        <v>44263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</row>
    <row r="16" spans="1:137">
      <c r="A16" s="1">
        <v>15</v>
      </c>
      <c r="B16" t="s">
        <v>3526</v>
      </c>
      <c r="C16" s="2">
        <v>44215</v>
      </c>
      <c r="D16" s="1" t="s">
        <v>4512</v>
      </c>
      <c r="E16" t="s">
        <v>4613</v>
      </c>
      <c r="F16" t="s">
        <v>4614</v>
      </c>
      <c r="G16" s="6" t="s">
        <v>242</v>
      </c>
      <c r="H16" s="1" t="s">
        <v>86</v>
      </c>
      <c r="I16" s="1">
        <v>673821555</v>
      </c>
      <c r="K16" s="1" t="s">
        <v>4512</v>
      </c>
      <c r="L16" s="3">
        <v>44227</v>
      </c>
      <c r="M16" t="s">
        <v>35</v>
      </c>
      <c r="N16" s="14" t="s">
        <v>4615</v>
      </c>
      <c r="O16" s="187">
        <v>100</v>
      </c>
      <c r="P16" s="1">
        <v>1</v>
      </c>
      <c r="Q16" s="90">
        <v>0.21</v>
      </c>
      <c r="R16" s="90">
        <v>0.2</v>
      </c>
      <c r="T16" s="95">
        <f t="shared" si="0"/>
        <v>96.8</v>
      </c>
      <c r="U16" s="1" t="s">
        <v>4790</v>
      </c>
      <c r="V16" s="6" t="s">
        <v>4789</v>
      </c>
      <c r="W16" s="2">
        <v>35065</v>
      </c>
      <c r="X16" s="2">
        <v>44215</v>
      </c>
      <c r="Y16" s="11" t="s">
        <v>5027</v>
      </c>
      <c r="Z16" s="3">
        <v>44279</v>
      </c>
      <c r="AA16" s="80" t="s">
        <v>1339</v>
      </c>
      <c r="AD16" t="s">
        <v>3198</v>
      </c>
      <c r="AE16" t="s">
        <v>4616</v>
      </c>
      <c r="AF16" t="s">
        <v>4572</v>
      </c>
      <c r="AG16" t="s">
        <v>3221</v>
      </c>
      <c r="AH16" s="2">
        <v>44245</v>
      </c>
      <c r="AK16" s="3">
        <v>44249</v>
      </c>
    </row>
    <row r="17" spans="1:137" s="196" customFormat="1">
      <c r="A17" s="1">
        <v>16</v>
      </c>
      <c r="B17" t="s">
        <v>37</v>
      </c>
      <c r="C17" s="2">
        <v>44215</v>
      </c>
      <c r="D17" s="1" t="s">
        <v>4869</v>
      </c>
      <c r="E17" t="s">
        <v>4617</v>
      </c>
      <c r="F17" t="s">
        <v>4618</v>
      </c>
      <c r="G17" s="6" t="s">
        <v>245</v>
      </c>
      <c r="H17" s="1" t="s">
        <v>54</v>
      </c>
      <c r="I17" s="1"/>
      <c r="J17"/>
      <c r="K17" s="1"/>
      <c r="L17" s="3">
        <v>44227</v>
      </c>
      <c r="M17" t="s">
        <v>35</v>
      </c>
      <c r="N17" s="14" t="s">
        <v>4619</v>
      </c>
      <c r="O17" s="187">
        <v>100</v>
      </c>
      <c r="P17" s="1">
        <v>1</v>
      </c>
      <c r="Q17" s="128">
        <v>0.21</v>
      </c>
      <c r="R17" s="128">
        <v>0.2</v>
      </c>
      <c r="S17"/>
      <c r="T17" s="95">
        <f t="shared" si="0"/>
        <v>96.8</v>
      </c>
      <c r="U17" s="1" t="s">
        <v>4869</v>
      </c>
      <c r="V17" s="6" t="s">
        <v>4870</v>
      </c>
      <c r="W17" s="2">
        <v>32510</v>
      </c>
      <c r="X17" s="2">
        <v>44215</v>
      </c>
      <c r="Y17" s="11" t="s">
        <v>5188</v>
      </c>
      <c r="Z17" s="3">
        <v>44307</v>
      </c>
      <c r="AA17" s="80" t="s">
        <v>1339</v>
      </c>
      <c r="AB17"/>
      <c r="AC17"/>
      <c r="AD17" t="s">
        <v>3198</v>
      </c>
      <c r="AE17" t="s">
        <v>4621</v>
      </c>
      <c r="AF17"/>
      <c r="AG17" t="s">
        <v>4620</v>
      </c>
      <c r="AH17" s="2">
        <v>44259</v>
      </c>
      <c r="AI17"/>
      <c r="AJ17"/>
      <c r="AK17" s="3">
        <v>44270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</row>
    <row r="18" spans="1:137" s="197" customFormat="1">
      <c r="A18" s="1">
        <v>17</v>
      </c>
      <c r="B18" t="s">
        <v>1242</v>
      </c>
      <c r="C18" s="2">
        <v>44216</v>
      </c>
      <c r="D18" s="1" t="s">
        <v>4622</v>
      </c>
      <c r="E18" t="s">
        <v>4623</v>
      </c>
      <c r="F18" t="s">
        <v>4624</v>
      </c>
      <c r="G18" s="6" t="s">
        <v>221</v>
      </c>
      <c r="H18" s="1" t="s">
        <v>34</v>
      </c>
      <c r="I18" s="1"/>
      <c r="J18"/>
      <c r="K18" s="30" t="s">
        <v>1250</v>
      </c>
      <c r="L18" s="3">
        <v>44227</v>
      </c>
      <c r="M18" t="s">
        <v>35</v>
      </c>
      <c r="N18" s="14" t="s">
        <v>4625</v>
      </c>
      <c r="O18" s="187">
        <v>100</v>
      </c>
      <c r="P18" s="1">
        <v>1</v>
      </c>
      <c r="Q18" s="128">
        <v>0.21</v>
      </c>
      <c r="R18" s="128">
        <v>0.2</v>
      </c>
      <c r="S18"/>
      <c r="T18" s="95">
        <f t="shared" si="0"/>
        <v>96.8</v>
      </c>
      <c r="U18" s="1" t="s">
        <v>4873</v>
      </c>
      <c r="V18" s="6" t="s">
        <v>4874</v>
      </c>
      <c r="W18" s="2">
        <v>35141</v>
      </c>
      <c r="X18" s="2">
        <v>44216</v>
      </c>
      <c r="Y18" s="11" t="s">
        <v>5339</v>
      </c>
      <c r="Z18" s="3">
        <v>44326</v>
      </c>
      <c r="AA18" s="80" t="s">
        <v>1339</v>
      </c>
      <c r="AB18"/>
      <c r="AC18"/>
      <c r="AD18" t="s">
        <v>3198</v>
      </c>
      <c r="AE18"/>
      <c r="AF18"/>
      <c r="AG18" t="s">
        <v>3108</v>
      </c>
      <c r="AH18" s="2">
        <v>44259</v>
      </c>
      <c r="AI18"/>
      <c r="AJ18"/>
      <c r="AK18" s="3">
        <v>44263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</row>
    <row r="19" spans="1:137" s="197" customFormat="1">
      <c r="A19" s="1">
        <v>18</v>
      </c>
      <c r="B19" t="s">
        <v>40</v>
      </c>
      <c r="C19" s="2">
        <v>44216</v>
      </c>
      <c r="D19" s="1" t="s">
        <v>4626</v>
      </c>
      <c r="E19" t="s">
        <v>4627</v>
      </c>
      <c r="F19" t="s">
        <v>4628</v>
      </c>
      <c r="G19" s="6" t="s">
        <v>236</v>
      </c>
      <c r="H19" s="1" t="s">
        <v>34</v>
      </c>
      <c r="I19" s="1"/>
      <c r="J19"/>
      <c r="K19" s="1" t="s">
        <v>4626</v>
      </c>
      <c r="L19" s="3">
        <v>44227</v>
      </c>
      <c r="M19" t="s">
        <v>35</v>
      </c>
      <c r="N19" s="14" t="s">
        <v>4629</v>
      </c>
      <c r="O19" s="187">
        <v>100</v>
      </c>
      <c r="P19" s="1">
        <v>1</v>
      </c>
      <c r="Q19" s="128">
        <v>0.21</v>
      </c>
      <c r="R19" s="128">
        <v>0.2</v>
      </c>
      <c r="S19"/>
      <c r="T19" s="95">
        <f t="shared" si="0"/>
        <v>96.8</v>
      </c>
      <c r="U19" s="1" t="s">
        <v>4794</v>
      </c>
      <c r="V19" s="6" t="s">
        <v>4795</v>
      </c>
      <c r="W19" s="2">
        <v>29221</v>
      </c>
      <c r="X19" s="2">
        <v>44216</v>
      </c>
      <c r="Y19" s="11" t="s">
        <v>5250</v>
      </c>
      <c r="Z19" s="3">
        <v>44312</v>
      </c>
      <c r="AA19" s="80" t="s">
        <v>1339</v>
      </c>
      <c r="AB19"/>
      <c r="AC19"/>
      <c r="AD19" t="s">
        <v>3198</v>
      </c>
      <c r="AE19" t="s">
        <v>4630</v>
      </c>
      <c r="AF19"/>
      <c r="AG19" t="s">
        <v>3108</v>
      </c>
      <c r="AH19" s="2">
        <v>44246</v>
      </c>
      <c r="AI19"/>
      <c r="AJ19"/>
      <c r="AK19" s="3">
        <v>44251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</row>
    <row r="20" spans="1:137" s="197" customFormat="1">
      <c r="A20" s="1">
        <v>19</v>
      </c>
      <c r="B20" s="61" t="s">
        <v>4321</v>
      </c>
      <c r="C20" s="2">
        <v>44217</v>
      </c>
      <c r="D20" s="1" t="s">
        <v>3427</v>
      </c>
      <c r="E20" s="61" t="s">
        <v>3428</v>
      </c>
      <c r="F20" s="61" t="s">
        <v>3433</v>
      </c>
      <c r="G20" s="6" t="s">
        <v>3429</v>
      </c>
      <c r="H20" s="1" t="s">
        <v>86</v>
      </c>
      <c r="I20" s="1">
        <v>650379091</v>
      </c>
      <c r="J20" s="1"/>
      <c r="K20" s="1" t="s">
        <v>3427</v>
      </c>
      <c r="L20" s="3">
        <v>44227</v>
      </c>
      <c r="M20" t="s">
        <v>35</v>
      </c>
      <c r="N20" s="14" t="s">
        <v>3430</v>
      </c>
      <c r="O20" s="187">
        <v>100</v>
      </c>
      <c r="P20" s="1">
        <v>1</v>
      </c>
      <c r="Q20" s="128">
        <v>0.21</v>
      </c>
      <c r="R20" s="128">
        <v>0.2</v>
      </c>
      <c r="S20"/>
      <c r="T20" s="95">
        <f t="shared" si="0"/>
        <v>96.8</v>
      </c>
      <c r="U20" s="1" t="s">
        <v>3503</v>
      </c>
      <c r="V20" s="6" t="s">
        <v>4896</v>
      </c>
      <c r="W20" s="2">
        <v>37048</v>
      </c>
      <c r="X20" s="2">
        <v>44217</v>
      </c>
      <c r="Y20" s="11" t="s">
        <v>5110</v>
      </c>
      <c r="Z20" s="3">
        <v>44300</v>
      </c>
      <c r="AA20" s="80" t="s">
        <v>1339</v>
      </c>
      <c r="AB20"/>
      <c r="AC20"/>
      <c r="AD20" t="s">
        <v>3198</v>
      </c>
      <c r="AE20" t="s">
        <v>4637</v>
      </c>
      <c r="AF20" s="146" t="s">
        <v>4572</v>
      </c>
      <c r="AG20" t="s">
        <v>3221</v>
      </c>
      <c r="AH20" s="2">
        <v>44266</v>
      </c>
      <c r="AI20"/>
      <c r="AJ20"/>
      <c r="AK20" s="3">
        <v>44272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</row>
    <row r="21" spans="1:137" s="196" customFormat="1">
      <c r="A21" s="1">
        <v>20</v>
      </c>
      <c r="B21" t="s">
        <v>1242</v>
      </c>
      <c r="C21" s="2">
        <v>44217</v>
      </c>
      <c r="D21" s="1" t="s">
        <v>4638</v>
      </c>
      <c r="E21" t="s">
        <v>4639</v>
      </c>
      <c r="F21" t="s">
        <v>4640</v>
      </c>
      <c r="G21" s="6" t="s">
        <v>221</v>
      </c>
      <c r="H21" s="1" t="s">
        <v>34</v>
      </c>
      <c r="I21" s="1"/>
      <c r="J21"/>
      <c r="K21" s="30" t="s">
        <v>1250</v>
      </c>
      <c r="L21" s="3">
        <v>44227</v>
      </c>
      <c r="M21" t="s">
        <v>35</v>
      </c>
      <c r="N21" s="14" t="s">
        <v>4641</v>
      </c>
      <c r="O21" s="187">
        <v>100</v>
      </c>
      <c r="P21" s="1">
        <v>1</v>
      </c>
      <c r="Q21" s="128">
        <v>0.21</v>
      </c>
      <c r="R21" s="128">
        <v>0.2</v>
      </c>
      <c r="S21"/>
      <c r="T21" s="95">
        <f t="shared" si="0"/>
        <v>96.8</v>
      </c>
      <c r="U21" s="1" t="s">
        <v>4897</v>
      </c>
      <c r="V21" s="6" t="s">
        <v>4898</v>
      </c>
      <c r="W21" s="2">
        <v>37580</v>
      </c>
      <c r="X21" s="2">
        <v>44217</v>
      </c>
      <c r="Y21" s="11" t="s">
        <v>5109</v>
      </c>
      <c r="Z21" s="3">
        <v>44300</v>
      </c>
      <c r="AA21" s="80" t="s">
        <v>1339</v>
      </c>
      <c r="AB21"/>
      <c r="AC21"/>
      <c r="AD21" t="s">
        <v>3198</v>
      </c>
      <c r="AE21"/>
      <c r="AF21" s="190" t="s">
        <v>4572</v>
      </c>
      <c r="AG21" t="s">
        <v>3221</v>
      </c>
      <c r="AH21" s="2">
        <v>44266</v>
      </c>
      <c r="AI21"/>
      <c r="AJ21"/>
      <c r="AK21" s="3">
        <v>44270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</row>
    <row r="22" spans="1:137" s="197" customFormat="1">
      <c r="A22" s="1">
        <v>21</v>
      </c>
      <c r="B22" t="s">
        <v>1242</v>
      </c>
      <c r="C22" s="2">
        <v>44217</v>
      </c>
      <c r="D22" s="1" t="s">
        <v>4643</v>
      </c>
      <c r="E22" t="s">
        <v>4644</v>
      </c>
      <c r="F22" t="s">
        <v>4645</v>
      </c>
      <c r="G22" s="6" t="s">
        <v>221</v>
      </c>
      <c r="H22" s="1" t="s">
        <v>34</v>
      </c>
      <c r="I22" s="1"/>
      <c r="J22"/>
      <c r="K22" s="30" t="s">
        <v>1250</v>
      </c>
      <c r="L22" s="3">
        <v>44227</v>
      </c>
      <c r="M22" t="s">
        <v>35</v>
      </c>
      <c r="N22" s="14" t="s">
        <v>4646</v>
      </c>
      <c r="O22" s="187">
        <v>100</v>
      </c>
      <c r="P22" s="1">
        <v>1</v>
      </c>
      <c r="Q22" s="128">
        <v>0.21</v>
      </c>
      <c r="R22" s="128">
        <v>0.2</v>
      </c>
      <c r="S22"/>
      <c r="T22" s="95">
        <f t="shared" si="0"/>
        <v>96.8</v>
      </c>
      <c r="U22" s="1" t="s">
        <v>4899</v>
      </c>
      <c r="V22" s="6" t="s">
        <v>4900</v>
      </c>
      <c r="W22" s="2">
        <v>36128</v>
      </c>
      <c r="X22" s="2">
        <v>44217</v>
      </c>
      <c r="Y22" s="11" t="s">
        <v>5109</v>
      </c>
      <c r="Z22" s="3">
        <v>44300</v>
      </c>
      <c r="AA22" s="80" t="s">
        <v>1339</v>
      </c>
      <c r="AB22"/>
      <c r="AC22"/>
      <c r="AD22" t="s">
        <v>3198</v>
      </c>
      <c r="AE22"/>
      <c r="AF22" s="190" t="s">
        <v>4572</v>
      </c>
      <c r="AG22" t="s">
        <v>3221</v>
      </c>
      <c r="AH22" s="2">
        <v>44266</v>
      </c>
      <c r="AI22"/>
      <c r="AJ22"/>
      <c r="AK22" s="3">
        <v>44270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</row>
    <row r="23" spans="1:137" s="197" customFormat="1">
      <c r="A23" s="1">
        <v>22</v>
      </c>
      <c r="B23" t="s">
        <v>40</v>
      </c>
      <c r="C23" s="2">
        <v>44217</v>
      </c>
      <c r="D23" s="1" t="s">
        <v>4647</v>
      </c>
      <c r="E23" t="s">
        <v>4648</v>
      </c>
      <c r="F23" t="s">
        <v>4649</v>
      </c>
      <c r="G23" s="6" t="s">
        <v>964</v>
      </c>
      <c r="H23" s="1" t="s">
        <v>34</v>
      </c>
      <c r="I23" s="1"/>
      <c r="J23"/>
      <c r="K23" s="1" t="s">
        <v>4647</v>
      </c>
      <c r="L23" s="3">
        <v>44227</v>
      </c>
      <c r="M23" t="s">
        <v>35</v>
      </c>
      <c r="N23" s="14" t="s">
        <v>4650</v>
      </c>
      <c r="O23" s="187">
        <v>100</v>
      </c>
      <c r="P23" s="1">
        <v>1</v>
      </c>
      <c r="Q23" s="128">
        <v>0.21</v>
      </c>
      <c r="R23" s="128">
        <v>0.2</v>
      </c>
      <c r="S23"/>
      <c r="T23" s="95">
        <f t="shared" si="0"/>
        <v>96.8</v>
      </c>
      <c r="U23" s="1" t="s">
        <v>4901</v>
      </c>
      <c r="V23" s="6" t="s">
        <v>4902</v>
      </c>
      <c r="W23" s="2">
        <v>31269</v>
      </c>
      <c r="X23" s="2">
        <v>44217</v>
      </c>
      <c r="Y23" s="11" t="s">
        <v>5109</v>
      </c>
      <c r="Z23" s="3">
        <v>44300</v>
      </c>
      <c r="AA23" s="80" t="s">
        <v>1339</v>
      </c>
      <c r="AB23"/>
      <c r="AC23"/>
      <c r="AD23" t="s">
        <v>3198</v>
      </c>
      <c r="AE23" t="s">
        <v>4651</v>
      </c>
      <c r="AF23" s="146" t="s">
        <v>4572</v>
      </c>
      <c r="AG23" t="s">
        <v>3221</v>
      </c>
      <c r="AH23" s="2">
        <v>44266</v>
      </c>
      <c r="AI23"/>
      <c r="AJ23"/>
      <c r="AK23" s="3">
        <v>44270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</row>
    <row r="24" spans="1:137" s="196" customFormat="1">
      <c r="A24" s="1">
        <v>23</v>
      </c>
      <c r="B24" t="s">
        <v>37</v>
      </c>
      <c r="C24" s="2">
        <v>44217</v>
      </c>
      <c r="D24" s="1" t="s">
        <v>4652</v>
      </c>
      <c r="E24" t="s">
        <v>4653</v>
      </c>
      <c r="F24" t="s">
        <v>4654</v>
      </c>
      <c r="G24" s="6" t="s">
        <v>219</v>
      </c>
      <c r="H24" s="1" t="s">
        <v>38</v>
      </c>
      <c r="I24" s="1">
        <v>631601405</v>
      </c>
      <c r="J24"/>
      <c r="K24" s="1" t="s">
        <v>4652</v>
      </c>
      <c r="L24" s="3">
        <v>44227</v>
      </c>
      <c r="M24" t="s">
        <v>35</v>
      </c>
      <c r="N24" s="14" t="s">
        <v>4655</v>
      </c>
      <c r="O24" s="187">
        <v>100</v>
      </c>
      <c r="P24" s="1">
        <v>1</v>
      </c>
      <c r="Q24" s="128">
        <v>0.21</v>
      </c>
      <c r="R24" s="128">
        <v>0</v>
      </c>
      <c r="S24"/>
      <c r="T24" s="95">
        <f t="shared" si="0"/>
        <v>121</v>
      </c>
      <c r="U24" s="1" t="s">
        <v>4764</v>
      </c>
      <c r="V24" s="6" t="s">
        <v>4760</v>
      </c>
      <c r="W24" s="2">
        <v>38111</v>
      </c>
      <c r="X24" s="2">
        <v>44217</v>
      </c>
      <c r="Y24" s="11" t="s">
        <v>5345</v>
      </c>
      <c r="Z24" s="3">
        <v>44334</v>
      </c>
      <c r="AA24" s="80" t="s">
        <v>1339</v>
      </c>
      <c r="AB24"/>
      <c r="AC24"/>
      <c r="AD24" t="s">
        <v>3198</v>
      </c>
      <c r="AE24" t="s">
        <v>4616</v>
      </c>
      <c r="AF24"/>
      <c r="AG24" t="s">
        <v>4656</v>
      </c>
      <c r="AH24" s="2">
        <v>44238</v>
      </c>
      <c r="AI24"/>
      <c r="AJ24"/>
      <c r="AK24" s="3">
        <v>44244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</row>
    <row r="25" spans="1:137" s="197" customFormat="1">
      <c r="A25" s="1">
        <v>24</v>
      </c>
      <c r="B25" t="s">
        <v>111</v>
      </c>
      <c r="C25" s="2">
        <v>44218</v>
      </c>
      <c r="D25" s="1" t="s">
        <v>462</v>
      </c>
      <c r="E25" t="s">
        <v>463</v>
      </c>
      <c r="F25" t="s">
        <v>4657</v>
      </c>
      <c r="G25" s="6" t="s">
        <v>221</v>
      </c>
      <c r="H25" s="1" t="s">
        <v>34</v>
      </c>
      <c r="I25" s="1">
        <v>605914210</v>
      </c>
      <c r="J25"/>
      <c r="K25" s="1" t="s">
        <v>462</v>
      </c>
      <c r="L25" s="3">
        <v>44227</v>
      </c>
      <c r="M25" t="s">
        <v>35</v>
      </c>
      <c r="N25" s="14" t="s">
        <v>4658</v>
      </c>
      <c r="O25" s="187">
        <v>100</v>
      </c>
      <c r="P25" s="1">
        <v>1</v>
      </c>
      <c r="Q25" s="128">
        <v>0.21</v>
      </c>
      <c r="R25" s="128">
        <v>0.2</v>
      </c>
      <c r="S25"/>
      <c r="T25" s="95">
        <f t="shared" si="0"/>
        <v>96.8</v>
      </c>
      <c r="U25" s="1" t="s">
        <v>4875</v>
      </c>
      <c r="V25" s="6" t="s">
        <v>4876</v>
      </c>
      <c r="W25" s="2">
        <v>30218</v>
      </c>
      <c r="X25" s="2">
        <v>44218</v>
      </c>
      <c r="Y25" s="207" t="s">
        <v>5320</v>
      </c>
      <c r="Z25" s="3">
        <v>44323</v>
      </c>
      <c r="AA25" s="80" t="s">
        <v>1339</v>
      </c>
      <c r="AB25" t="s">
        <v>5321</v>
      </c>
      <c r="AC25"/>
      <c r="AD25" t="s">
        <v>3198</v>
      </c>
      <c r="AE25"/>
      <c r="AF25"/>
      <c r="AG25" t="s">
        <v>3108</v>
      </c>
      <c r="AH25" s="2">
        <v>44259</v>
      </c>
      <c r="AI25"/>
      <c r="AJ25"/>
      <c r="AK25" s="3">
        <v>44263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</row>
    <row r="26" spans="1:137" s="196" customFormat="1">
      <c r="A26" s="1">
        <v>25</v>
      </c>
      <c r="B26" t="s">
        <v>45</v>
      </c>
      <c r="C26" s="2">
        <v>44221</v>
      </c>
      <c r="D26" s="1" t="s">
        <v>4660</v>
      </c>
      <c r="E26" t="s">
        <v>4661</v>
      </c>
      <c r="F26" t="s">
        <v>4662</v>
      </c>
      <c r="G26" s="6" t="s">
        <v>220</v>
      </c>
      <c r="H26" s="1" t="s">
        <v>34</v>
      </c>
      <c r="I26" s="1"/>
      <c r="J26"/>
      <c r="K26" s="1" t="s">
        <v>4660</v>
      </c>
      <c r="L26" s="3">
        <v>44227</v>
      </c>
      <c r="M26" t="s">
        <v>35</v>
      </c>
      <c r="N26" s="14" t="s">
        <v>4663</v>
      </c>
      <c r="O26" s="187">
        <v>100</v>
      </c>
      <c r="P26" s="1">
        <v>1</v>
      </c>
      <c r="Q26" s="128">
        <v>0.21</v>
      </c>
      <c r="R26" s="128">
        <v>0.2</v>
      </c>
      <c r="S26"/>
      <c r="T26" s="95">
        <f t="shared" si="0"/>
        <v>96.8</v>
      </c>
      <c r="U26" s="1" t="s">
        <v>4845</v>
      </c>
      <c r="V26" s="6" t="s">
        <v>4846</v>
      </c>
      <c r="W26" s="2">
        <v>33703</v>
      </c>
      <c r="X26" s="2">
        <v>44221</v>
      </c>
      <c r="Y26" s="11" t="s">
        <v>5109</v>
      </c>
      <c r="Z26" s="3">
        <v>44300</v>
      </c>
      <c r="AA26" s="80" t="s">
        <v>1339</v>
      </c>
      <c r="AB26"/>
      <c r="AC26"/>
      <c r="AD26" t="s">
        <v>3198</v>
      </c>
      <c r="AE26" t="s">
        <v>4616</v>
      </c>
      <c r="AF26" s="190" t="s">
        <v>4572</v>
      </c>
      <c r="AG26" t="s">
        <v>3221</v>
      </c>
      <c r="AH26" s="2">
        <v>44257</v>
      </c>
      <c r="AI26"/>
      <c r="AJ26"/>
      <c r="AK26" s="3">
        <v>44270</v>
      </c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</row>
    <row r="27" spans="1:137" s="196" customFormat="1">
      <c r="A27" s="1">
        <v>26</v>
      </c>
      <c r="B27" t="s">
        <v>45</v>
      </c>
      <c r="C27" s="2">
        <v>44221</v>
      </c>
      <c r="D27" s="1" t="s">
        <v>4660</v>
      </c>
      <c r="E27" t="s">
        <v>4661</v>
      </c>
      <c r="F27" t="s">
        <v>4662</v>
      </c>
      <c r="G27" s="6" t="s">
        <v>220</v>
      </c>
      <c r="H27" s="1" t="s">
        <v>34</v>
      </c>
      <c r="I27" s="1"/>
      <c r="J27"/>
      <c r="K27" s="1" t="s">
        <v>4660</v>
      </c>
      <c r="L27" s="3">
        <v>44227</v>
      </c>
      <c r="M27" t="s">
        <v>35</v>
      </c>
      <c r="N27" s="14" t="s">
        <v>4670</v>
      </c>
      <c r="O27" s="187">
        <v>100</v>
      </c>
      <c r="P27" s="1">
        <v>1</v>
      </c>
      <c r="Q27" s="128">
        <v>0.21</v>
      </c>
      <c r="R27" s="128">
        <v>0.2</v>
      </c>
      <c r="S27"/>
      <c r="T27" s="95">
        <f t="shared" si="0"/>
        <v>96.8</v>
      </c>
      <c r="U27" s="1" t="s">
        <v>4848</v>
      </c>
      <c r="V27" s="6" t="s">
        <v>4849</v>
      </c>
      <c r="W27" s="2">
        <v>35691</v>
      </c>
      <c r="X27" s="2">
        <v>44221</v>
      </c>
      <c r="Y27" s="11" t="s">
        <v>5109</v>
      </c>
      <c r="Z27" s="3">
        <v>44300</v>
      </c>
      <c r="AA27" s="80" t="s">
        <v>1339</v>
      </c>
      <c r="AB27"/>
      <c r="AC27"/>
      <c r="AD27" t="s">
        <v>3198</v>
      </c>
      <c r="AE27" t="s">
        <v>4616</v>
      </c>
      <c r="AF27" s="190" t="s">
        <v>4572</v>
      </c>
      <c r="AG27" t="s">
        <v>3221</v>
      </c>
      <c r="AH27" s="2">
        <v>44258</v>
      </c>
      <c r="AI27"/>
      <c r="AJ27"/>
      <c r="AK27" s="3">
        <v>44270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</row>
    <row r="28" spans="1:137" s="196" customFormat="1">
      <c r="A28" s="1">
        <v>27</v>
      </c>
      <c r="B28" t="s">
        <v>40</v>
      </c>
      <c r="C28" s="2">
        <v>44221</v>
      </c>
      <c r="D28" s="1" t="s">
        <v>2176</v>
      </c>
      <c r="E28" t="s">
        <v>2177</v>
      </c>
      <c r="F28" t="s">
        <v>4671</v>
      </c>
      <c r="G28" s="6" t="s">
        <v>221</v>
      </c>
      <c r="H28" s="1" t="s">
        <v>34</v>
      </c>
      <c r="I28" s="1"/>
      <c r="J28"/>
      <c r="K28" s="1" t="s">
        <v>2176</v>
      </c>
      <c r="L28" s="3">
        <v>44227</v>
      </c>
      <c r="M28" t="s">
        <v>35</v>
      </c>
      <c r="N28" s="14" t="s">
        <v>4672</v>
      </c>
      <c r="O28" s="187">
        <v>100</v>
      </c>
      <c r="P28" s="1">
        <v>1</v>
      </c>
      <c r="Q28" s="128">
        <v>0.21</v>
      </c>
      <c r="R28" s="128">
        <v>0.2</v>
      </c>
      <c r="S28"/>
      <c r="T28" s="95">
        <f t="shared" si="0"/>
        <v>96.8</v>
      </c>
      <c r="U28" s="1" t="s">
        <v>4796</v>
      </c>
      <c r="V28" s="6" t="s">
        <v>4797</v>
      </c>
      <c r="W28" s="2">
        <v>34384</v>
      </c>
      <c r="X28" s="2">
        <v>44221</v>
      </c>
      <c r="Y28" s="11" t="s">
        <v>5291</v>
      </c>
      <c r="Z28" s="3">
        <v>44319</v>
      </c>
      <c r="AA28" s="80" t="s">
        <v>1339</v>
      </c>
      <c r="AB28"/>
      <c r="AC28"/>
      <c r="AD28" t="s">
        <v>3198</v>
      </c>
      <c r="AE28" t="s">
        <v>4616</v>
      </c>
      <c r="AF28"/>
      <c r="AG28" t="s">
        <v>3108</v>
      </c>
      <c r="AH28" s="2">
        <v>44246</v>
      </c>
      <c r="AI28"/>
      <c r="AJ28"/>
      <c r="AK28" s="3">
        <v>44258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</row>
    <row r="29" spans="1:137">
      <c r="A29" s="1">
        <v>28</v>
      </c>
      <c r="B29" t="s">
        <v>37</v>
      </c>
      <c r="C29" s="2">
        <v>44221</v>
      </c>
      <c r="D29" s="1" t="s">
        <v>4714</v>
      </c>
      <c r="E29" t="s">
        <v>4673</v>
      </c>
      <c r="F29" t="s">
        <v>4674</v>
      </c>
      <c r="G29" s="6" t="s">
        <v>219</v>
      </c>
      <c r="H29" s="1" t="s">
        <v>38</v>
      </c>
      <c r="K29" s="1" t="s">
        <v>4714</v>
      </c>
      <c r="L29" s="3">
        <v>44227</v>
      </c>
      <c r="M29" t="s">
        <v>35</v>
      </c>
      <c r="N29" t="s">
        <v>4675</v>
      </c>
      <c r="O29" s="187">
        <v>60</v>
      </c>
      <c r="P29" s="1">
        <v>1</v>
      </c>
      <c r="Q29" s="90">
        <v>0.21</v>
      </c>
      <c r="R29" s="90">
        <v>0</v>
      </c>
      <c r="T29" s="95">
        <f t="shared" si="0"/>
        <v>72.599999999999994</v>
      </c>
      <c r="U29" s="1" t="s">
        <v>1189</v>
      </c>
      <c r="V29" s="6" t="s">
        <v>4781</v>
      </c>
      <c r="W29" s="2">
        <v>39760</v>
      </c>
      <c r="X29" s="2">
        <v>44221</v>
      </c>
      <c r="Y29" s="206" t="s">
        <v>4820</v>
      </c>
      <c r="Z29" s="3">
        <v>44259</v>
      </c>
      <c r="AA29" s="80" t="s">
        <v>1339</v>
      </c>
      <c r="AB29" t="s">
        <v>4865</v>
      </c>
      <c r="AD29" t="s">
        <v>3198</v>
      </c>
    </row>
    <row r="30" spans="1:137">
      <c r="A30" s="1">
        <v>29</v>
      </c>
      <c r="B30" t="s">
        <v>37</v>
      </c>
      <c r="C30" s="2">
        <v>44221</v>
      </c>
      <c r="D30" s="1" t="s">
        <v>4714</v>
      </c>
      <c r="E30" t="s">
        <v>4673</v>
      </c>
      <c r="F30" t="s">
        <v>4674</v>
      </c>
      <c r="G30" s="6" t="s">
        <v>219</v>
      </c>
      <c r="H30" s="1" t="s">
        <v>38</v>
      </c>
      <c r="K30" s="1" t="s">
        <v>4714</v>
      </c>
      <c r="L30" s="3">
        <v>44227</v>
      </c>
      <c r="M30" t="s">
        <v>35</v>
      </c>
      <c r="N30" t="s">
        <v>4676</v>
      </c>
      <c r="O30" s="187">
        <v>60</v>
      </c>
      <c r="P30" s="1">
        <v>1</v>
      </c>
      <c r="Q30" s="90">
        <v>0.21</v>
      </c>
      <c r="R30" s="90">
        <v>0</v>
      </c>
      <c r="T30" s="95">
        <f t="shared" si="0"/>
        <v>72.599999999999994</v>
      </c>
      <c r="U30" s="1" t="s">
        <v>1191</v>
      </c>
      <c r="V30" s="6" t="s">
        <v>4782</v>
      </c>
      <c r="W30" s="2">
        <v>40274</v>
      </c>
      <c r="X30" s="2">
        <v>44221</v>
      </c>
      <c r="Y30" s="206" t="s">
        <v>4820</v>
      </c>
      <c r="Z30" s="3">
        <v>44259</v>
      </c>
      <c r="AA30" s="80" t="s">
        <v>1339</v>
      </c>
      <c r="AB30" t="s">
        <v>4865</v>
      </c>
      <c r="AD30" t="s">
        <v>3198</v>
      </c>
    </row>
    <row r="31" spans="1:137" s="196" customFormat="1">
      <c r="A31" s="1">
        <v>30</v>
      </c>
      <c r="B31" s="61" t="s">
        <v>3631</v>
      </c>
      <c r="C31" s="2">
        <v>44221</v>
      </c>
      <c r="D31" s="1" t="s">
        <v>3632</v>
      </c>
      <c r="E31" s="61" t="s">
        <v>3633</v>
      </c>
      <c r="F31" s="61" t="s">
        <v>3634</v>
      </c>
      <c r="G31" s="6" t="s">
        <v>221</v>
      </c>
      <c r="H31" s="1" t="s">
        <v>34</v>
      </c>
      <c r="I31" s="1">
        <v>649862685</v>
      </c>
      <c r="J31"/>
      <c r="K31" s="1" t="s">
        <v>3632</v>
      </c>
      <c r="L31" s="2">
        <v>44227</v>
      </c>
      <c r="M31" s="1" t="s">
        <v>35</v>
      </c>
      <c r="N31" s="14" t="s">
        <v>3635</v>
      </c>
      <c r="O31" s="92">
        <v>100</v>
      </c>
      <c r="P31" s="1">
        <v>1</v>
      </c>
      <c r="Q31" s="128">
        <v>0.21</v>
      </c>
      <c r="R31" s="128">
        <v>0.2</v>
      </c>
      <c r="S31" s="1"/>
      <c r="T31" s="95">
        <f t="shared" si="0"/>
        <v>96.8</v>
      </c>
      <c r="U31" s="1" t="s">
        <v>3636</v>
      </c>
      <c r="V31" s="6" t="s">
        <v>4847</v>
      </c>
      <c r="W31" s="2">
        <v>36246</v>
      </c>
      <c r="X31" s="2">
        <v>44221</v>
      </c>
      <c r="Y31" s="11" t="s">
        <v>5109</v>
      </c>
      <c r="Z31" s="3">
        <v>44300</v>
      </c>
      <c r="AA31" s="80" t="s">
        <v>1339</v>
      </c>
      <c r="AB31"/>
      <c r="AC31"/>
      <c r="AD31" t="s">
        <v>3198</v>
      </c>
      <c r="AE31"/>
      <c r="AF31" s="190" t="s">
        <v>4572</v>
      </c>
      <c r="AG31" t="s">
        <v>4677</v>
      </c>
      <c r="AH31" s="2">
        <v>44258</v>
      </c>
      <c r="AI31"/>
      <c r="AJ31"/>
      <c r="AK31" s="3">
        <v>44267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</row>
    <row r="32" spans="1:137" s="196" customFormat="1">
      <c r="A32" s="1">
        <v>31</v>
      </c>
      <c r="B32" t="s">
        <v>4678</v>
      </c>
      <c r="C32" s="2">
        <v>44222</v>
      </c>
      <c r="D32" s="1" t="s">
        <v>4679</v>
      </c>
      <c r="E32" t="s">
        <v>4680</v>
      </c>
      <c r="F32" t="s">
        <v>4681</v>
      </c>
      <c r="G32" s="6" t="s">
        <v>238</v>
      </c>
      <c r="H32" s="1" t="s">
        <v>48</v>
      </c>
      <c r="I32" s="1"/>
      <c r="J32"/>
      <c r="K32" s="1" t="s">
        <v>4679</v>
      </c>
      <c r="L32" s="3">
        <v>44227</v>
      </c>
      <c r="M32" t="s">
        <v>35</v>
      </c>
      <c r="N32" s="14" t="s">
        <v>4682</v>
      </c>
      <c r="O32" s="187">
        <v>60</v>
      </c>
      <c r="P32" s="1">
        <v>1</v>
      </c>
      <c r="Q32" s="128">
        <v>0.21</v>
      </c>
      <c r="R32" s="128">
        <v>0.2</v>
      </c>
      <c r="S32"/>
      <c r="T32" s="95">
        <f t="shared" si="0"/>
        <v>58.08</v>
      </c>
      <c r="U32" s="1" t="s">
        <v>4850</v>
      </c>
      <c r="V32" s="6" t="s">
        <v>4851</v>
      </c>
      <c r="W32" s="2">
        <v>35834</v>
      </c>
      <c r="X32" s="2">
        <v>44222</v>
      </c>
      <c r="Y32" s="11" t="s">
        <v>5109</v>
      </c>
      <c r="Z32" s="3">
        <v>44300</v>
      </c>
      <c r="AA32" s="80" t="s">
        <v>1339</v>
      </c>
      <c r="AB32"/>
      <c r="AC32"/>
      <c r="AD32" t="s">
        <v>3198</v>
      </c>
      <c r="AE32"/>
      <c r="AF32" s="190" t="s">
        <v>4572</v>
      </c>
      <c r="AG32" t="s">
        <v>3108</v>
      </c>
      <c r="AH32" s="2">
        <v>44258</v>
      </c>
      <c r="AI32"/>
      <c r="AJ32"/>
      <c r="AK32" s="3">
        <v>44260</v>
      </c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</row>
    <row r="33" spans="1:137" s="196" customFormat="1">
      <c r="A33" s="1">
        <v>32</v>
      </c>
      <c r="B33" t="s">
        <v>52</v>
      </c>
      <c r="C33" s="2">
        <v>44222</v>
      </c>
      <c r="D33" s="1" t="s">
        <v>2109</v>
      </c>
      <c r="E33" t="s">
        <v>2110</v>
      </c>
      <c r="F33" t="s">
        <v>4683</v>
      </c>
      <c r="G33" s="6" t="s">
        <v>221</v>
      </c>
      <c r="H33" s="1" t="s">
        <v>34</v>
      </c>
      <c r="I33" s="1"/>
      <c r="J33"/>
      <c r="K33" s="1" t="s">
        <v>4432</v>
      </c>
      <c r="L33" s="3">
        <v>44227</v>
      </c>
      <c r="M33" t="s">
        <v>35</v>
      </c>
      <c r="N33" s="14" t="s">
        <v>4684</v>
      </c>
      <c r="O33" s="187">
        <v>100</v>
      </c>
      <c r="P33" s="1">
        <v>1</v>
      </c>
      <c r="Q33" s="128">
        <v>0.21</v>
      </c>
      <c r="R33" s="128">
        <v>0.2</v>
      </c>
      <c r="S33"/>
      <c r="T33" s="95">
        <f t="shared" si="0"/>
        <v>96.8</v>
      </c>
      <c r="U33" s="1" t="s">
        <v>4852</v>
      </c>
      <c r="V33" s="6" t="s">
        <v>4853</v>
      </c>
      <c r="W33" s="2">
        <v>32121</v>
      </c>
      <c r="X33" s="2">
        <v>44222</v>
      </c>
      <c r="Y33" s="11" t="s">
        <v>5477</v>
      </c>
      <c r="Z33" s="3">
        <v>44356</v>
      </c>
      <c r="AA33" s="80" t="s">
        <v>1339</v>
      </c>
      <c r="AB33" t="s">
        <v>5087</v>
      </c>
      <c r="AC33" s="162">
        <v>44307</v>
      </c>
      <c r="AD33" t="s">
        <v>3198</v>
      </c>
      <c r="AE33"/>
      <c r="AF33" s="190" t="s">
        <v>4572</v>
      </c>
      <c r="AG33" t="s">
        <v>3108</v>
      </c>
      <c r="AH33" s="2">
        <v>44258</v>
      </c>
      <c r="AI33"/>
      <c r="AJ33"/>
      <c r="AK33" s="3">
        <v>44263</v>
      </c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</row>
    <row r="34" spans="1:137">
      <c r="A34" s="1">
        <v>33</v>
      </c>
      <c r="B34" t="s">
        <v>4119</v>
      </c>
      <c r="C34" s="2">
        <v>44223</v>
      </c>
      <c r="D34" s="1" t="s">
        <v>2885</v>
      </c>
      <c r="E34" s="61" t="s">
        <v>4126</v>
      </c>
      <c r="F34" s="61" t="s">
        <v>4127</v>
      </c>
      <c r="G34" s="6" t="s">
        <v>1257</v>
      </c>
      <c r="H34" s="1" t="s">
        <v>1266</v>
      </c>
      <c r="K34" s="1" t="s">
        <v>2885</v>
      </c>
      <c r="L34" s="3">
        <v>44227</v>
      </c>
      <c r="M34" s="1" t="s">
        <v>35</v>
      </c>
      <c r="N34" s="14" t="s">
        <v>4320</v>
      </c>
      <c r="O34" s="187">
        <v>41.32</v>
      </c>
      <c r="P34" s="1">
        <v>1</v>
      </c>
      <c r="Q34" s="90">
        <v>0.21</v>
      </c>
      <c r="R34" s="90">
        <v>0</v>
      </c>
      <c r="T34" s="95">
        <f t="shared" ref="T34:T65" si="1">SUM(O34-(O34*R34))*Q34+(O34-(O34*R34))</f>
        <v>49.997199999999999</v>
      </c>
      <c r="V34" s="6"/>
      <c r="Y34" s="11" t="s">
        <v>1326</v>
      </c>
    </row>
    <row r="35" spans="1:137" s="196" customFormat="1">
      <c r="A35" s="1">
        <v>34</v>
      </c>
      <c r="B35" t="s">
        <v>45</v>
      </c>
      <c r="C35" s="2">
        <v>44224</v>
      </c>
      <c r="D35" s="1" t="s">
        <v>4687</v>
      </c>
      <c r="E35" t="s">
        <v>4688</v>
      </c>
      <c r="F35" t="s">
        <v>4689</v>
      </c>
      <c r="G35" s="6" t="s">
        <v>1229</v>
      </c>
      <c r="H35" s="1" t="s">
        <v>3454</v>
      </c>
      <c r="I35" s="1"/>
      <c r="J35"/>
      <c r="K35" s="1" t="s">
        <v>4687</v>
      </c>
      <c r="L35" s="3">
        <v>44227</v>
      </c>
      <c r="M35" t="s">
        <v>35</v>
      </c>
      <c r="N35" s="14" t="s">
        <v>4690</v>
      </c>
      <c r="O35" s="187">
        <v>100</v>
      </c>
      <c r="P35" s="1">
        <v>1</v>
      </c>
      <c r="Q35" s="128">
        <v>0.21</v>
      </c>
      <c r="R35" s="128">
        <v>0.2</v>
      </c>
      <c r="S35"/>
      <c r="T35" s="95">
        <f t="shared" si="1"/>
        <v>96.8</v>
      </c>
      <c r="U35" s="1" t="s">
        <v>4890</v>
      </c>
      <c r="V35" s="6" t="s">
        <v>4891</v>
      </c>
      <c r="W35" s="2">
        <v>34212</v>
      </c>
      <c r="X35" s="2">
        <v>44224</v>
      </c>
      <c r="Y35" s="11" t="s">
        <v>5754</v>
      </c>
      <c r="Z35" s="3">
        <v>44438</v>
      </c>
      <c r="AA35" s="80" t="s">
        <v>1339</v>
      </c>
      <c r="AB35" t="s">
        <v>5379</v>
      </c>
      <c r="AC35" s="162">
        <v>44365</v>
      </c>
      <c r="AD35" t="s">
        <v>3198</v>
      </c>
      <c r="AE35"/>
      <c r="AF35"/>
      <c r="AG35" t="s">
        <v>3108</v>
      </c>
      <c r="AH35" s="2">
        <v>44264</v>
      </c>
      <c r="AI35"/>
      <c r="AJ35"/>
      <c r="AK35" s="3">
        <v>44274</v>
      </c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</row>
    <row r="36" spans="1:137" s="196" customFormat="1">
      <c r="A36" s="1">
        <v>35</v>
      </c>
      <c r="B36" t="s">
        <v>119</v>
      </c>
      <c r="C36" s="2">
        <v>44224</v>
      </c>
      <c r="D36" s="1" t="s">
        <v>4011</v>
      </c>
      <c r="E36" s="61" t="s">
        <v>4012</v>
      </c>
      <c r="F36" s="61" t="s">
        <v>4024</v>
      </c>
      <c r="G36" s="6" t="s">
        <v>239</v>
      </c>
      <c r="H36" s="1" t="s">
        <v>86</v>
      </c>
      <c r="I36" s="1"/>
      <c r="J36" s="1"/>
      <c r="K36" s="30" t="s">
        <v>174</v>
      </c>
      <c r="L36" s="3">
        <v>44227</v>
      </c>
      <c r="M36" t="s">
        <v>35</v>
      </c>
      <c r="N36" s="14" t="s">
        <v>4691</v>
      </c>
      <c r="O36" s="187">
        <v>100</v>
      </c>
      <c r="P36" s="1">
        <v>1</v>
      </c>
      <c r="Q36" s="128">
        <v>0.21</v>
      </c>
      <c r="R36" s="128">
        <v>0.2</v>
      </c>
      <c r="S36"/>
      <c r="T36" s="95">
        <f t="shared" si="1"/>
        <v>96.8</v>
      </c>
      <c r="U36" s="1" t="s">
        <v>4894</v>
      </c>
      <c r="V36" s="6" t="s">
        <v>4895</v>
      </c>
      <c r="W36" s="2">
        <v>28953</v>
      </c>
      <c r="X36" s="2">
        <v>44224</v>
      </c>
      <c r="Y36" s="11" t="s">
        <v>5306</v>
      </c>
      <c r="Z36" s="3">
        <v>44323</v>
      </c>
      <c r="AA36" s="80" t="s">
        <v>1339</v>
      </c>
      <c r="AB36"/>
      <c r="AC36"/>
      <c r="AD36" t="s">
        <v>3198</v>
      </c>
      <c r="AE36"/>
      <c r="AF36"/>
      <c r="AG36" t="s">
        <v>3108</v>
      </c>
      <c r="AH36" s="2">
        <v>44264</v>
      </c>
      <c r="AI36"/>
      <c r="AJ36"/>
      <c r="AK36" s="3">
        <v>44274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</row>
    <row r="37" spans="1:137" s="196" customFormat="1">
      <c r="A37" s="1">
        <v>36</v>
      </c>
      <c r="B37" t="s">
        <v>1242</v>
      </c>
      <c r="C37" s="2">
        <v>44224</v>
      </c>
      <c r="D37" s="1" t="s">
        <v>1095</v>
      </c>
      <c r="E37" t="s">
        <v>1096</v>
      </c>
      <c r="F37" t="s">
        <v>1097</v>
      </c>
      <c r="G37" s="6" t="s">
        <v>227</v>
      </c>
      <c r="H37" s="1" t="s">
        <v>203</v>
      </c>
      <c r="I37" s="31"/>
      <c r="J37"/>
      <c r="K37" s="30" t="s">
        <v>1250</v>
      </c>
      <c r="L37" s="3">
        <v>44227</v>
      </c>
      <c r="M37" t="s">
        <v>35</v>
      </c>
      <c r="N37" s="14" t="s">
        <v>4692</v>
      </c>
      <c r="O37" s="187">
        <v>100</v>
      </c>
      <c r="P37" s="1">
        <v>1</v>
      </c>
      <c r="Q37" s="128">
        <v>0.21</v>
      </c>
      <c r="R37" s="128">
        <v>0.2</v>
      </c>
      <c r="S37"/>
      <c r="T37" s="95">
        <f t="shared" si="1"/>
        <v>96.8</v>
      </c>
      <c r="U37" s="1" t="s">
        <v>4903</v>
      </c>
      <c r="V37" s="6" t="s">
        <v>4904</v>
      </c>
      <c r="W37" s="2">
        <v>34091</v>
      </c>
      <c r="X37" s="2">
        <v>44224</v>
      </c>
      <c r="Y37" s="11" t="s">
        <v>5293</v>
      </c>
      <c r="Z37" s="3">
        <v>44323</v>
      </c>
      <c r="AA37" s="80" t="s">
        <v>1339</v>
      </c>
      <c r="AB37"/>
      <c r="AC37"/>
      <c r="AD37" t="s">
        <v>3198</v>
      </c>
      <c r="AE37"/>
      <c r="AF37"/>
      <c r="AG37" t="s">
        <v>3108</v>
      </c>
      <c r="AH37" s="2">
        <v>44266</v>
      </c>
      <c r="AI37"/>
      <c r="AJ37"/>
      <c r="AK37" s="3">
        <v>44270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</row>
    <row r="38" spans="1:137" s="196" customFormat="1">
      <c r="A38" s="1">
        <v>37</v>
      </c>
      <c r="B38" t="s">
        <v>1414</v>
      </c>
      <c r="C38" s="2">
        <v>44224</v>
      </c>
      <c r="D38" s="1" t="s">
        <v>1407</v>
      </c>
      <c r="E38" t="s">
        <v>1408</v>
      </c>
      <c r="F38" s="61" t="s">
        <v>1409</v>
      </c>
      <c r="G38" s="6" t="s">
        <v>227</v>
      </c>
      <c r="H38" s="1" t="s">
        <v>203</v>
      </c>
      <c r="I38" s="1"/>
      <c r="J38"/>
      <c r="K38" s="1" t="s">
        <v>1407</v>
      </c>
      <c r="L38" s="3">
        <v>44227</v>
      </c>
      <c r="M38" t="s">
        <v>35</v>
      </c>
      <c r="N38" s="14" t="s">
        <v>4693</v>
      </c>
      <c r="O38" s="187">
        <v>100</v>
      </c>
      <c r="P38" s="1">
        <v>1</v>
      </c>
      <c r="Q38" s="128">
        <v>0.21</v>
      </c>
      <c r="R38" s="128">
        <v>0.2</v>
      </c>
      <c r="S38"/>
      <c r="T38" s="95">
        <f t="shared" si="1"/>
        <v>96.8</v>
      </c>
      <c r="U38" s="1" t="s">
        <v>4888</v>
      </c>
      <c r="V38" s="6" t="s">
        <v>4889</v>
      </c>
      <c r="W38" s="2">
        <v>33188</v>
      </c>
      <c r="X38" s="2">
        <v>44224</v>
      </c>
      <c r="Y38" s="11" t="s">
        <v>5293</v>
      </c>
      <c r="Z38" s="3">
        <v>44319</v>
      </c>
      <c r="AA38" s="80" t="s">
        <v>1339</v>
      </c>
      <c r="AB38"/>
      <c r="AC38"/>
      <c r="AD38" t="s">
        <v>3198</v>
      </c>
      <c r="AE38"/>
      <c r="AF38"/>
      <c r="AG38" t="s">
        <v>4694</v>
      </c>
      <c r="AH38" s="2">
        <v>44264</v>
      </c>
      <c r="AI38"/>
      <c r="AJ38"/>
      <c r="AK38" s="3">
        <v>44272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</row>
    <row r="39" spans="1:137" s="196" customFormat="1">
      <c r="A39" s="1">
        <v>38</v>
      </c>
      <c r="B39" t="s">
        <v>37</v>
      </c>
      <c r="C39" s="2">
        <v>44224</v>
      </c>
      <c r="D39" s="1" t="s">
        <v>4695</v>
      </c>
      <c r="E39" t="s">
        <v>4696</v>
      </c>
      <c r="F39" t="s">
        <v>4697</v>
      </c>
      <c r="G39" s="6" t="s">
        <v>1257</v>
      </c>
      <c r="H39" s="1" t="s">
        <v>1266</v>
      </c>
      <c r="I39" s="1"/>
      <c r="J39"/>
      <c r="K39" s="1" t="s">
        <v>4695</v>
      </c>
      <c r="L39" s="3">
        <v>44227</v>
      </c>
      <c r="M39" t="s">
        <v>35</v>
      </c>
      <c r="N39" s="14" t="s">
        <v>4698</v>
      </c>
      <c r="O39" s="187">
        <v>100</v>
      </c>
      <c r="P39" s="1">
        <v>1</v>
      </c>
      <c r="Q39" s="128">
        <v>0.21</v>
      </c>
      <c r="R39" s="128">
        <v>0</v>
      </c>
      <c r="S39"/>
      <c r="T39" s="95">
        <f t="shared" si="1"/>
        <v>121</v>
      </c>
      <c r="U39" s="1" t="s">
        <v>4695</v>
      </c>
      <c r="V39" s="6" t="s">
        <v>4887</v>
      </c>
      <c r="W39" s="2">
        <v>28781</v>
      </c>
      <c r="X39" s="2">
        <v>44224</v>
      </c>
      <c r="Y39" s="208" t="s">
        <v>5716</v>
      </c>
      <c r="Z39" s="3">
        <v>44425</v>
      </c>
      <c r="AA39" s="80" t="s">
        <v>1339</v>
      </c>
      <c r="AB39" t="s">
        <v>3765</v>
      </c>
      <c r="AC39" s="226">
        <v>44349</v>
      </c>
      <c r="AD39" t="s">
        <v>3198</v>
      </c>
      <c r="AE39"/>
      <c r="AF39"/>
      <c r="AG39" t="s">
        <v>4699</v>
      </c>
      <c r="AH39" s="2">
        <v>44264</v>
      </c>
      <c r="AI39"/>
      <c r="AJ39"/>
      <c r="AK39" s="3">
        <v>44267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</row>
    <row r="40" spans="1:137" s="196" customFormat="1">
      <c r="A40" s="1">
        <v>39</v>
      </c>
      <c r="B40" t="s">
        <v>80</v>
      </c>
      <c r="C40" s="2">
        <v>44224</v>
      </c>
      <c r="D40" s="1" t="s">
        <v>1353</v>
      </c>
      <c r="E40" t="s">
        <v>1354</v>
      </c>
      <c r="F40" t="s">
        <v>1842</v>
      </c>
      <c r="G40" s="6" t="s">
        <v>294</v>
      </c>
      <c r="H40" s="1" t="s">
        <v>103</v>
      </c>
      <c r="I40"/>
      <c r="J40"/>
      <c r="K40" s="1" t="s">
        <v>1353</v>
      </c>
      <c r="L40" s="3">
        <v>44227</v>
      </c>
      <c r="M40" s="1" t="s">
        <v>35</v>
      </c>
      <c r="N40" s="14" t="s">
        <v>4700</v>
      </c>
      <c r="O40" s="187">
        <v>100</v>
      </c>
      <c r="P40" s="1">
        <v>1</v>
      </c>
      <c r="Q40" s="128">
        <v>0.21</v>
      </c>
      <c r="R40" s="128">
        <v>0.2</v>
      </c>
      <c r="S40"/>
      <c r="T40" s="95">
        <f t="shared" si="1"/>
        <v>96.8</v>
      </c>
      <c r="U40" s="1" t="s">
        <v>4854</v>
      </c>
      <c r="V40" s="6" t="s">
        <v>4855</v>
      </c>
      <c r="W40" s="2">
        <v>27153</v>
      </c>
      <c r="X40" s="2">
        <v>44224</v>
      </c>
      <c r="Y40" s="215" t="s">
        <v>5101</v>
      </c>
      <c r="Z40" s="3">
        <v>44299</v>
      </c>
      <c r="AA40" s="80" t="s">
        <v>1339</v>
      </c>
      <c r="AB40" t="s">
        <v>5087</v>
      </c>
      <c r="AC40" s="226">
        <v>44321</v>
      </c>
      <c r="AD40" t="s">
        <v>3198</v>
      </c>
      <c r="AE40" t="s">
        <v>3402</v>
      </c>
      <c r="AF40" s="190" t="s">
        <v>4572</v>
      </c>
      <c r="AG40" t="s">
        <v>3221</v>
      </c>
      <c r="AH40" s="2">
        <v>44258</v>
      </c>
      <c r="AI40"/>
      <c r="AJ40"/>
      <c r="AK40" s="3">
        <v>44271</v>
      </c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</row>
    <row r="41" spans="1:137" s="196" customFormat="1">
      <c r="A41" s="1">
        <v>40</v>
      </c>
      <c r="B41" t="s">
        <v>45</v>
      </c>
      <c r="C41" s="2">
        <v>44224</v>
      </c>
      <c r="D41" s="1" t="s">
        <v>4701</v>
      </c>
      <c r="E41" t="s">
        <v>4702</v>
      </c>
      <c r="F41" t="s">
        <v>4703</v>
      </c>
      <c r="G41" s="6" t="s">
        <v>1229</v>
      </c>
      <c r="H41" s="1" t="s">
        <v>3454</v>
      </c>
      <c r="I41">
        <v>615371464</v>
      </c>
      <c r="J41" s="114" t="s">
        <v>5888</v>
      </c>
      <c r="K41" s="1" t="s">
        <v>4701</v>
      </c>
      <c r="L41" s="3">
        <v>44227</v>
      </c>
      <c r="M41" s="1" t="s">
        <v>35</v>
      </c>
      <c r="N41" s="14" t="s">
        <v>4704</v>
      </c>
      <c r="O41" s="187">
        <v>100</v>
      </c>
      <c r="P41" s="1">
        <v>1</v>
      </c>
      <c r="Q41" s="128">
        <v>0.21</v>
      </c>
      <c r="R41" s="128">
        <v>0.2</v>
      </c>
      <c r="S41"/>
      <c r="T41" s="95">
        <f t="shared" si="1"/>
        <v>96.8</v>
      </c>
      <c r="U41" s="1" t="s">
        <v>4892</v>
      </c>
      <c r="V41" s="6" t="s">
        <v>4893</v>
      </c>
      <c r="W41" s="2">
        <v>27499</v>
      </c>
      <c r="X41" s="2">
        <v>44224</v>
      </c>
      <c r="Y41" s="11" t="s">
        <v>5293</v>
      </c>
      <c r="Z41" s="3">
        <v>44319</v>
      </c>
      <c r="AA41" s="80" t="s">
        <v>1339</v>
      </c>
      <c r="AB41"/>
      <c r="AC41"/>
      <c r="AD41" t="s">
        <v>3198</v>
      </c>
      <c r="AE41" t="s">
        <v>4616</v>
      </c>
      <c r="AF41"/>
      <c r="AG41" t="s">
        <v>3108</v>
      </c>
      <c r="AH41" s="2">
        <v>44264</v>
      </c>
      <c r="AI41"/>
      <c r="AJ41"/>
      <c r="AK41" s="3">
        <v>44271</v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</row>
    <row r="42" spans="1:137" s="196" customFormat="1">
      <c r="A42" s="1">
        <v>41</v>
      </c>
      <c r="B42" t="s">
        <v>45</v>
      </c>
      <c r="C42" s="2">
        <v>44228</v>
      </c>
      <c r="D42" s="1" t="s">
        <v>4701</v>
      </c>
      <c r="E42" t="s">
        <v>4702</v>
      </c>
      <c r="F42" t="s">
        <v>4703</v>
      </c>
      <c r="G42" s="6" t="s">
        <v>1229</v>
      </c>
      <c r="H42" s="1" t="s">
        <v>3454</v>
      </c>
      <c r="I42">
        <v>615371464</v>
      </c>
      <c r="J42" s="114" t="s">
        <v>5888</v>
      </c>
      <c r="K42" s="1" t="s">
        <v>4701</v>
      </c>
      <c r="L42" s="3">
        <v>44227</v>
      </c>
      <c r="M42" s="1" t="s">
        <v>35</v>
      </c>
      <c r="N42" s="14" t="s">
        <v>4833</v>
      </c>
      <c r="O42" s="187">
        <v>100</v>
      </c>
      <c r="P42" s="1">
        <v>1</v>
      </c>
      <c r="Q42" s="128">
        <v>0.21</v>
      </c>
      <c r="R42" s="128">
        <v>0.2</v>
      </c>
      <c r="S42"/>
      <c r="T42" s="95">
        <f t="shared" si="1"/>
        <v>96.8</v>
      </c>
      <c r="U42" s="1" t="s">
        <v>4911</v>
      </c>
      <c r="V42" s="6" t="s">
        <v>4877</v>
      </c>
      <c r="W42" s="2">
        <v>32629</v>
      </c>
      <c r="X42" s="2">
        <v>44228</v>
      </c>
      <c r="Y42" s="11" t="s">
        <v>5292</v>
      </c>
      <c r="Z42" s="3">
        <v>44319</v>
      </c>
      <c r="AA42" s="80" t="s">
        <v>1339</v>
      </c>
      <c r="AB42"/>
      <c r="AC42"/>
      <c r="AD42" t="s">
        <v>3198</v>
      </c>
      <c r="AE42" t="s">
        <v>4616</v>
      </c>
      <c r="AF42"/>
      <c r="AG42" t="s">
        <v>3108</v>
      </c>
      <c r="AH42" s="2">
        <v>44259</v>
      </c>
      <c r="AI42"/>
      <c r="AJ42"/>
      <c r="AK42" s="3">
        <v>44267</v>
      </c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</row>
    <row r="43" spans="1:137" s="196" customFormat="1">
      <c r="A43" s="1">
        <v>42</v>
      </c>
      <c r="B43" t="s">
        <v>40</v>
      </c>
      <c r="C43" s="2">
        <v>44228</v>
      </c>
      <c r="D43" s="1" t="s">
        <v>4727</v>
      </c>
      <c r="E43" t="s">
        <v>4707</v>
      </c>
      <c r="F43" t="s">
        <v>4708</v>
      </c>
      <c r="G43" s="6" t="s">
        <v>4709</v>
      </c>
      <c r="H43" s="1" t="s">
        <v>4710</v>
      </c>
      <c r="I43" s="1"/>
      <c r="J43"/>
      <c r="K43" s="1" t="s">
        <v>4706</v>
      </c>
      <c r="L43" s="3">
        <v>44227</v>
      </c>
      <c r="M43" s="1" t="s">
        <v>35</v>
      </c>
      <c r="N43" s="14" t="s">
        <v>4711</v>
      </c>
      <c r="O43" s="187">
        <v>100</v>
      </c>
      <c r="P43" s="1">
        <v>1</v>
      </c>
      <c r="Q43" s="128">
        <v>0.21</v>
      </c>
      <c r="R43" s="128">
        <v>0.2</v>
      </c>
      <c r="S43"/>
      <c r="T43" s="95">
        <f t="shared" si="1"/>
        <v>96.8</v>
      </c>
      <c r="U43" s="1" t="s">
        <v>4856</v>
      </c>
      <c r="V43" s="6" t="s">
        <v>4857</v>
      </c>
      <c r="W43" s="2">
        <v>35503</v>
      </c>
      <c r="X43" s="2">
        <v>44228</v>
      </c>
      <c r="Y43" s="11" t="s">
        <v>5109</v>
      </c>
      <c r="Z43" s="3">
        <v>44300</v>
      </c>
      <c r="AA43" s="80" t="s">
        <v>1339</v>
      </c>
      <c r="AB43"/>
      <c r="AC43"/>
      <c r="AD43" t="s">
        <v>3198</v>
      </c>
      <c r="AE43"/>
      <c r="AF43" s="190" t="s">
        <v>4572</v>
      </c>
      <c r="AG43" t="s">
        <v>4712</v>
      </c>
      <c r="AH43" s="2">
        <v>44258</v>
      </c>
      <c r="AI43"/>
      <c r="AJ43"/>
      <c r="AK43" s="3">
        <v>44263</v>
      </c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</row>
    <row r="44" spans="1:137">
      <c r="A44" s="149">
        <v>43</v>
      </c>
      <c r="B44" s="153" t="s">
        <v>4715</v>
      </c>
      <c r="C44" s="151">
        <v>44228</v>
      </c>
      <c r="D44" s="149" t="s">
        <v>4716</v>
      </c>
      <c r="E44" s="153" t="s">
        <v>4717</v>
      </c>
      <c r="F44" s="153" t="s">
        <v>4718</v>
      </c>
      <c r="G44" s="152" t="s">
        <v>227</v>
      </c>
      <c r="H44" s="149" t="s">
        <v>4719</v>
      </c>
      <c r="I44" s="149"/>
      <c r="J44" s="153"/>
      <c r="K44" s="149" t="s">
        <v>4716</v>
      </c>
      <c r="L44" s="154">
        <v>44255</v>
      </c>
      <c r="M44" s="149" t="s">
        <v>35</v>
      </c>
      <c r="N44" s="191" t="s">
        <v>4720</v>
      </c>
      <c r="O44" s="192">
        <v>0</v>
      </c>
      <c r="P44" s="149">
        <v>1</v>
      </c>
      <c r="Q44" s="156">
        <v>0.21</v>
      </c>
      <c r="R44" s="156">
        <v>0.2</v>
      </c>
      <c r="S44" s="153"/>
      <c r="T44" s="157">
        <f t="shared" si="1"/>
        <v>0</v>
      </c>
      <c r="U44" s="149" t="s">
        <v>4878</v>
      </c>
      <c r="V44" s="152" t="s">
        <v>4881</v>
      </c>
      <c r="W44" s="151">
        <v>31100</v>
      </c>
      <c r="X44" s="151">
        <v>44228</v>
      </c>
      <c r="Y44" s="151">
        <v>44294</v>
      </c>
      <c r="Z44" s="154">
        <v>44299</v>
      </c>
      <c r="AA44" s="153"/>
      <c r="AB44" s="153" t="s">
        <v>5100</v>
      </c>
      <c r="AC44" s="153"/>
      <c r="AD44" s="153" t="s">
        <v>3198</v>
      </c>
      <c r="AE44" s="153"/>
      <c r="AF44" s="153" t="s">
        <v>4572</v>
      </c>
      <c r="AG44" s="153" t="s">
        <v>3221</v>
      </c>
    </row>
    <row r="45" spans="1:137">
      <c r="A45" s="149">
        <v>44</v>
      </c>
      <c r="B45" s="153" t="s">
        <v>4715</v>
      </c>
      <c r="C45" s="151">
        <v>44228</v>
      </c>
      <c r="D45" s="149" t="s">
        <v>4716</v>
      </c>
      <c r="E45" s="153" t="s">
        <v>4717</v>
      </c>
      <c r="F45" s="153" t="s">
        <v>4718</v>
      </c>
      <c r="G45" s="152" t="s">
        <v>227</v>
      </c>
      <c r="H45" s="149" t="s">
        <v>4719</v>
      </c>
      <c r="I45" s="149"/>
      <c r="J45" s="153"/>
      <c r="K45" s="149" t="s">
        <v>4716</v>
      </c>
      <c r="L45" s="154">
        <v>44255</v>
      </c>
      <c r="M45" s="149" t="s">
        <v>35</v>
      </c>
      <c r="N45" s="191" t="s">
        <v>4721</v>
      </c>
      <c r="O45" s="192">
        <v>0</v>
      </c>
      <c r="P45" s="149">
        <v>1</v>
      </c>
      <c r="Q45" s="156">
        <v>0.21</v>
      </c>
      <c r="R45" s="156">
        <v>0.2</v>
      </c>
      <c r="S45" s="153"/>
      <c r="T45" s="157">
        <f t="shared" si="1"/>
        <v>0</v>
      </c>
      <c r="U45" s="149" t="s">
        <v>4879</v>
      </c>
      <c r="V45" s="152" t="s">
        <v>4880</v>
      </c>
      <c r="W45" s="151">
        <v>30543</v>
      </c>
      <c r="X45" s="151">
        <v>44228</v>
      </c>
      <c r="Y45" s="151">
        <v>44294</v>
      </c>
      <c r="Z45" s="154">
        <v>44299</v>
      </c>
      <c r="AA45" s="153"/>
      <c r="AB45" s="153" t="s">
        <v>5100</v>
      </c>
      <c r="AC45" s="153"/>
      <c r="AD45" s="153" t="s">
        <v>3198</v>
      </c>
      <c r="AE45" s="153"/>
      <c r="AF45" s="153" t="s">
        <v>4572</v>
      </c>
      <c r="AG45" s="153" t="s">
        <v>4722</v>
      </c>
    </row>
    <row r="46" spans="1:137">
      <c r="A46" s="1">
        <v>45</v>
      </c>
      <c r="B46" t="s">
        <v>37</v>
      </c>
      <c r="C46" s="2">
        <v>44228</v>
      </c>
      <c r="D46" s="1" t="s">
        <v>223</v>
      </c>
      <c r="E46" t="s">
        <v>224</v>
      </c>
      <c r="F46" t="s">
        <v>4724</v>
      </c>
      <c r="G46" s="6" t="s">
        <v>250</v>
      </c>
      <c r="H46" s="1" t="s">
        <v>86</v>
      </c>
      <c r="K46" s="1" t="s">
        <v>223</v>
      </c>
      <c r="L46" s="3">
        <v>44255</v>
      </c>
      <c r="M46" s="1" t="s">
        <v>35</v>
      </c>
      <c r="N46" t="s">
        <v>4725</v>
      </c>
      <c r="O46" s="187">
        <v>60</v>
      </c>
      <c r="P46" s="1">
        <v>1</v>
      </c>
      <c r="Q46" s="90">
        <v>0.21</v>
      </c>
      <c r="R46" s="90">
        <v>0.2</v>
      </c>
      <c r="T46" s="95">
        <f t="shared" si="1"/>
        <v>58.08</v>
      </c>
      <c r="U46" s="1" t="s">
        <v>223</v>
      </c>
      <c r="V46" s="6" t="s">
        <v>4726</v>
      </c>
      <c r="W46" s="2">
        <v>29600</v>
      </c>
      <c r="X46" s="2">
        <v>44228</v>
      </c>
      <c r="Y46" s="11" t="s">
        <v>4965</v>
      </c>
      <c r="Z46" s="3">
        <v>44274</v>
      </c>
      <c r="AA46" s="80" t="s">
        <v>1339</v>
      </c>
      <c r="AD46" t="s">
        <v>3198</v>
      </c>
    </row>
    <row r="47" spans="1:137" s="196" customFormat="1">
      <c r="A47" s="1">
        <v>46</v>
      </c>
      <c r="B47" t="s">
        <v>4321</v>
      </c>
      <c r="C47" s="2">
        <v>44231</v>
      </c>
      <c r="D47" s="1" t="s">
        <v>4731</v>
      </c>
      <c r="E47" t="s">
        <v>4732</v>
      </c>
      <c r="F47" t="s">
        <v>4733</v>
      </c>
      <c r="G47" s="6" t="s">
        <v>250</v>
      </c>
      <c r="H47" s="1" t="s">
        <v>86</v>
      </c>
      <c r="I47" s="1"/>
      <c r="J47"/>
      <c r="K47" s="1" t="s">
        <v>4731</v>
      </c>
      <c r="L47" s="3">
        <v>44255</v>
      </c>
      <c r="M47" s="1" t="s">
        <v>35</v>
      </c>
      <c r="N47" s="14" t="s">
        <v>4734</v>
      </c>
      <c r="O47" s="187">
        <v>100</v>
      </c>
      <c r="P47" s="1">
        <v>1</v>
      </c>
      <c r="Q47" s="128">
        <v>0.21</v>
      </c>
      <c r="R47" s="128">
        <v>0.2</v>
      </c>
      <c r="S47"/>
      <c r="T47" s="95">
        <f t="shared" si="1"/>
        <v>96.8</v>
      </c>
      <c r="U47" s="1" t="s">
        <v>4858</v>
      </c>
      <c r="V47" s="6" t="s">
        <v>4859</v>
      </c>
      <c r="W47" s="2">
        <v>34459</v>
      </c>
      <c r="X47" s="2">
        <v>44231</v>
      </c>
      <c r="Y47" s="11" t="s">
        <v>5338</v>
      </c>
      <c r="Z47" s="3">
        <v>44326</v>
      </c>
      <c r="AA47" s="80" t="s">
        <v>1339</v>
      </c>
      <c r="AB47"/>
      <c r="AC47"/>
      <c r="AD47" t="s">
        <v>3198</v>
      </c>
      <c r="AE47" t="s">
        <v>4735</v>
      </c>
      <c r="AF47"/>
      <c r="AG47" t="s">
        <v>3108</v>
      </c>
      <c r="AH47" s="2">
        <v>44258</v>
      </c>
      <c r="AI47"/>
      <c r="AJ47"/>
      <c r="AK47" s="3">
        <v>44270</v>
      </c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</row>
    <row r="48" spans="1:137">
      <c r="A48" s="1">
        <v>47</v>
      </c>
      <c r="B48" t="s">
        <v>37</v>
      </c>
      <c r="C48" s="2">
        <v>44231</v>
      </c>
      <c r="D48" s="1" t="s">
        <v>4736</v>
      </c>
      <c r="E48" t="s">
        <v>4737</v>
      </c>
      <c r="F48" t="s">
        <v>4738</v>
      </c>
      <c r="G48" s="6" t="s">
        <v>221</v>
      </c>
      <c r="H48" s="1" t="s">
        <v>34</v>
      </c>
      <c r="K48" s="1" t="s">
        <v>4736</v>
      </c>
      <c r="L48" s="3">
        <v>44255</v>
      </c>
      <c r="M48" s="1" t="s">
        <v>35</v>
      </c>
      <c r="N48" s="14" t="s">
        <v>4739</v>
      </c>
      <c r="O48" s="187">
        <v>60</v>
      </c>
      <c r="P48" s="1">
        <v>1</v>
      </c>
      <c r="Q48" s="90">
        <v>0.21</v>
      </c>
      <c r="R48" s="90">
        <v>0</v>
      </c>
      <c r="T48" s="95">
        <f t="shared" si="1"/>
        <v>72.599999999999994</v>
      </c>
      <c r="U48" s="1" t="s">
        <v>4736</v>
      </c>
      <c r="V48" s="6" t="s">
        <v>4783</v>
      </c>
      <c r="W48" s="2">
        <v>36228</v>
      </c>
      <c r="X48" s="2">
        <v>44231</v>
      </c>
      <c r="Y48" s="11" t="s">
        <v>5161</v>
      </c>
      <c r="Z48" s="3">
        <v>44305</v>
      </c>
      <c r="AA48" s="80" t="s">
        <v>1339</v>
      </c>
      <c r="AC48" s="162">
        <v>44271</v>
      </c>
      <c r="AD48" t="s">
        <v>3198</v>
      </c>
    </row>
    <row r="49" spans="1:137" s="196" customFormat="1">
      <c r="A49" s="1">
        <v>48</v>
      </c>
      <c r="B49" t="s">
        <v>45</v>
      </c>
      <c r="C49" s="2">
        <v>44231</v>
      </c>
      <c r="D49" s="1" t="s">
        <v>4740</v>
      </c>
      <c r="E49" t="s">
        <v>4741</v>
      </c>
      <c r="F49" t="s">
        <v>4742</v>
      </c>
      <c r="G49" s="6" t="s">
        <v>1229</v>
      </c>
      <c r="H49" s="1" t="s">
        <v>3454</v>
      </c>
      <c r="I49" s="1"/>
      <c r="J49"/>
      <c r="K49" s="1" t="s">
        <v>4740</v>
      </c>
      <c r="L49" s="3">
        <v>44255</v>
      </c>
      <c r="M49" s="1" t="s">
        <v>35</v>
      </c>
      <c r="N49" s="14" t="s">
        <v>4743</v>
      </c>
      <c r="O49" s="187">
        <v>100</v>
      </c>
      <c r="P49" s="1">
        <v>1</v>
      </c>
      <c r="Q49" s="128">
        <v>0.21</v>
      </c>
      <c r="R49" s="128">
        <v>0.2</v>
      </c>
      <c r="S49"/>
      <c r="T49" s="95">
        <f t="shared" si="1"/>
        <v>96.8</v>
      </c>
      <c r="U49" s="1" t="s">
        <v>4867</v>
      </c>
      <c r="V49" s="6" t="s">
        <v>4868</v>
      </c>
      <c r="W49" s="2">
        <v>31422</v>
      </c>
      <c r="X49" s="2">
        <v>44231</v>
      </c>
      <c r="Y49" s="208" t="s">
        <v>5716</v>
      </c>
      <c r="Z49" s="3">
        <v>44425</v>
      </c>
      <c r="AA49" s="80" t="s">
        <v>1339</v>
      </c>
      <c r="AB49" t="s">
        <v>3765</v>
      </c>
      <c r="AC49" s="226">
        <v>44349</v>
      </c>
      <c r="AD49" t="s">
        <v>3198</v>
      </c>
      <c r="AE49"/>
      <c r="AF49"/>
      <c r="AG49" t="s">
        <v>3108</v>
      </c>
      <c r="AH49" s="2">
        <v>44259</v>
      </c>
      <c r="AI49"/>
      <c r="AJ49"/>
      <c r="AK49" s="3">
        <v>44270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</row>
    <row r="50" spans="1:137">
      <c r="A50" s="1">
        <v>49</v>
      </c>
      <c r="B50" t="s">
        <v>3526</v>
      </c>
      <c r="C50" s="2">
        <v>44232</v>
      </c>
      <c r="D50" s="1" t="s">
        <v>4746</v>
      </c>
      <c r="E50" t="s">
        <v>4747</v>
      </c>
      <c r="F50" t="s">
        <v>4748</v>
      </c>
      <c r="G50" s="6" t="s">
        <v>1062</v>
      </c>
      <c r="H50" s="1" t="s">
        <v>4749</v>
      </c>
      <c r="I50" s="14">
        <v>662263148</v>
      </c>
      <c r="J50" s="14" t="s">
        <v>5835</v>
      </c>
      <c r="K50" s="1" t="s">
        <v>4746</v>
      </c>
      <c r="L50" s="3">
        <v>44255</v>
      </c>
      <c r="M50" s="1" t="s">
        <v>35</v>
      </c>
      <c r="N50" s="14" t="s">
        <v>2329</v>
      </c>
      <c r="O50" s="187">
        <v>60</v>
      </c>
      <c r="P50" s="1">
        <v>1</v>
      </c>
      <c r="Q50" s="90">
        <v>0.21</v>
      </c>
      <c r="R50" s="90">
        <v>0.2</v>
      </c>
      <c r="T50" s="95">
        <f t="shared" si="1"/>
        <v>58.08</v>
      </c>
      <c r="U50" s="1" t="s">
        <v>1065</v>
      </c>
      <c r="V50" s="6" t="s">
        <v>4757</v>
      </c>
      <c r="W50" s="2">
        <v>30331</v>
      </c>
      <c r="X50" s="2">
        <v>44232</v>
      </c>
      <c r="Y50" s="11" t="s">
        <v>5128</v>
      </c>
      <c r="Z50" s="3">
        <v>44301</v>
      </c>
      <c r="AA50" s="80" t="s">
        <v>1339</v>
      </c>
      <c r="AD50" t="s">
        <v>3198</v>
      </c>
    </row>
    <row r="51" spans="1:137">
      <c r="A51" s="1">
        <v>50</v>
      </c>
      <c r="B51" t="s">
        <v>37</v>
      </c>
      <c r="C51" s="2">
        <v>44235</v>
      </c>
      <c r="D51" s="1" t="s">
        <v>1043</v>
      </c>
      <c r="E51" t="s">
        <v>1044</v>
      </c>
      <c r="F51" t="s">
        <v>4755</v>
      </c>
      <c r="G51" s="6" t="s">
        <v>1046</v>
      </c>
      <c r="H51" s="1" t="s">
        <v>1047</v>
      </c>
      <c r="K51" s="1" t="s">
        <v>1043</v>
      </c>
      <c r="L51" s="3">
        <v>44255</v>
      </c>
      <c r="M51" s="1" t="s">
        <v>35</v>
      </c>
      <c r="N51" s="14" t="s">
        <v>4756</v>
      </c>
      <c r="O51" s="187">
        <v>60</v>
      </c>
      <c r="P51" s="1">
        <v>1</v>
      </c>
      <c r="Q51" s="90">
        <v>0.21</v>
      </c>
      <c r="R51" s="90">
        <v>0</v>
      </c>
      <c r="T51" s="95">
        <f t="shared" si="1"/>
        <v>72.599999999999994</v>
      </c>
      <c r="U51" s="1" t="s">
        <v>1043</v>
      </c>
      <c r="V51" s="6" t="s">
        <v>4758</v>
      </c>
      <c r="W51" s="2">
        <v>25933</v>
      </c>
      <c r="X51" s="2">
        <v>44235</v>
      </c>
      <c r="Y51" s="11" t="s">
        <v>5128</v>
      </c>
      <c r="Z51" s="3">
        <v>44301</v>
      </c>
      <c r="AA51" s="80" t="s">
        <v>1339</v>
      </c>
      <c r="AD51" t="s">
        <v>3198</v>
      </c>
    </row>
    <row r="52" spans="1:137">
      <c r="A52" s="1">
        <v>51</v>
      </c>
      <c r="B52" t="s">
        <v>33</v>
      </c>
      <c r="C52" s="2">
        <v>44238</v>
      </c>
      <c r="D52" s="1" t="s">
        <v>3327</v>
      </c>
      <c r="E52" t="s">
        <v>3328</v>
      </c>
      <c r="F52" t="s">
        <v>3329</v>
      </c>
      <c r="G52" s="6" t="s">
        <v>304</v>
      </c>
      <c r="H52" s="1" t="s">
        <v>68</v>
      </c>
      <c r="I52" t="s">
        <v>3330</v>
      </c>
      <c r="K52" s="30" t="s">
        <v>237</v>
      </c>
      <c r="L52" s="3">
        <v>44255</v>
      </c>
      <c r="M52" s="1" t="s">
        <v>35</v>
      </c>
      <c r="N52" s="14" t="s">
        <v>4765</v>
      </c>
      <c r="O52" s="187">
        <v>60</v>
      </c>
      <c r="P52" s="1">
        <v>1</v>
      </c>
      <c r="Q52" s="90">
        <v>0.21</v>
      </c>
      <c r="R52" s="90">
        <v>0.2</v>
      </c>
      <c r="T52" s="95">
        <f t="shared" si="1"/>
        <v>58.08</v>
      </c>
      <c r="U52" s="1" t="s">
        <v>3332</v>
      </c>
      <c r="V52" s="6" t="s">
        <v>4766</v>
      </c>
      <c r="W52" s="2">
        <v>31124</v>
      </c>
      <c r="X52" s="2">
        <v>44238</v>
      </c>
      <c r="Y52" s="11" t="s">
        <v>5190</v>
      </c>
      <c r="Z52" s="3">
        <v>44307</v>
      </c>
      <c r="AA52" s="80" t="s">
        <v>1339</v>
      </c>
      <c r="AD52" t="s">
        <v>3198</v>
      </c>
    </row>
    <row r="53" spans="1:137" s="196" customFormat="1">
      <c r="A53" s="1">
        <v>52</v>
      </c>
      <c r="B53" t="s">
        <v>119</v>
      </c>
      <c r="C53" s="2">
        <v>44242</v>
      </c>
      <c r="D53" s="1" t="s">
        <v>4394</v>
      </c>
      <c r="E53" s="61" t="s">
        <v>4395</v>
      </c>
      <c r="F53" s="61" t="s">
        <v>4396</v>
      </c>
      <c r="G53" s="6" t="s">
        <v>250</v>
      </c>
      <c r="H53" s="1" t="s">
        <v>86</v>
      </c>
      <c r="I53" s="1"/>
      <c r="J53"/>
      <c r="K53" s="1" t="s">
        <v>174</v>
      </c>
      <c r="L53" s="3">
        <v>44255</v>
      </c>
      <c r="M53" s="1" t="s">
        <v>35</v>
      </c>
      <c r="N53" s="14" t="s">
        <v>4776</v>
      </c>
      <c r="O53" s="187">
        <v>100</v>
      </c>
      <c r="P53" s="1">
        <v>1</v>
      </c>
      <c r="Q53" s="128">
        <v>0.21</v>
      </c>
      <c r="R53" s="128">
        <v>0.2</v>
      </c>
      <c r="S53"/>
      <c r="T53" s="95">
        <f t="shared" si="1"/>
        <v>96.8</v>
      </c>
      <c r="U53" s="1" t="s">
        <v>4961</v>
      </c>
      <c r="V53" s="6" t="s">
        <v>4962</v>
      </c>
      <c r="W53" s="2">
        <v>34442</v>
      </c>
      <c r="X53" s="2">
        <v>44242</v>
      </c>
      <c r="Y53" s="11" t="s">
        <v>5177</v>
      </c>
      <c r="Z53" s="3">
        <v>44309</v>
      </c>
      <c r="AA53" s="80" t="s">
        <v>1339</v>
      </c>
      <c r="AB53"/>
      <c r="AC53"/>
      <c r="AD53" t="s">
        <v>3198</v>
      </c>
      <c r="AE53"/>
      <c r="AF53" s="190" t="s">
        <v>4572</v>
      </c>
      <c r="AG53" t="s">
        <v>4777</v>
      </c>
      <c r="AH53" s="2">
        <v>44274</v>
      </c>
      <c r="AI53"/>
      <c r="AJ53"/>
      <c r="AK53" s="3">
        <v>44286</v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</row>
    <row r="54" spans="1:137" s="196" customFormat="1">
      <c r="A54" s="1">
        <v>53</v>
      </c>
      <c r="B54" t="s">
        <v>37</v>
      </c>
      <c r="C54" s="2">
        <v>44242</v>
      </c>
      <c r="D54" s="1" t="s">
        <v>217</v>
      </c>
      <c r="E54" t="s">
        <v>4778</v>
      </c>
      <c r="F54" t="s">
        <v>4779</v>
      </c>
      <c r="G54" s="6" t="s">
        <v>270</v>
      </c>
      <c r="H54" s="1" t="s">
        <v>3681</v>
      </c>
      <c r="I54" s="1">
        <v>610191552</v>
      </c>
      <c r="J54"/>
      <c r="K54" s="1" t="s">
        <v>217</v>
      </c>
      <c r="L54" s="3">
        <v>44255</v>
      </c>
      <c r="M54" s="1" t="s">
        <v>35</v>
      </c>
      <c r="N54" s="14" t="s">
        <v>4780</v>
      </c>
      <c r="O54" s="187">
        <v>100</v>
      </c>
      <c r="P54" s="1">
        <v>1</v>
      </c>
      <c r="Q54" s="128">
        <v>0.21</v>
      </c>
      <c r="R54" s="128">
        <v>0</v>
      </c>
      <c r="S54" t="s">
        <v>4551</v>
      </c>
      <c r="T54" s="95">
        <f t="shared" si="1"/>
        <v>121</v>
      </c>
      <c r="U54" s="1" t="s">
        <v>4963</v>
      </c>
      <c r="V54" s="6" t="s">
        <v>4964</v>
      </c>
      <c r="W54" s="2">
        <v>33281</v>
      </c>
      <c r="X54" s="2">
        <v>44242</v>
      </c>
      <c r="Y54" s="11" t="s">
        <v>5345</v>
      </c>
      <c r="Z54" s="3">
        <v>44330</v>
      </c>
      <c r="AA54" s="80" t="s">
        <v>1339</v>
      </c>
      <c r="AB54" t="s">
        <v>5236</v>
      </c>
      <c r="AC54" s="162">
        <v>44316</v>
      </c>
      <c r="AD54" t="s">
        <v>3198</v>
      </c>
      <c r="AE54" t="s">
        <v>4616</v>
      </c>
      <c r="AF54"/>
      <c r="AG54" t="s">
        <v>3812</v>
      </c>
      <c r="AH54" s="2">
        <v>44274</v>
      </c>
      <c r="AI54"/>
      <c r="AJ54"/>
      <c r="AK54" s="3">
        <v>44277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</row>
    <row r="55" spans="1:137">
      <c r="A55" s="1">
        <v>54</v>
      </c>
      <c r="B55" s="61" t="s">
        <v>4805</v>
      </c>
      <c r="C55" s="2">
        <v>44249</v>
      </c>
      <c r="D55" s="1" t="s">
        <v>4806</v>
      </c>
      <c r="E55" t="s">
        <v>4807</v>
      </c>
      <c r="F55" t="s">
        <v>4830</v>
      </c>
      <c r="G55" s="6" t="s">
        <v>4808</v>
      </c>
      <c r="H55" s="1" t="s">
        <v>4809</v>
      </c>
      <c r="I55" s="31"/>
      <c r="J55" s="31"/>
      <c r="K55" s="1" t="s">
        <v>4806</v>
      </c>
      <c r="L55" s="3">
        <v>44255</v>
      </c>
      <c r="M55" s="1" t="s">
        <v>35</v>
      </c>
      <c r="N55" s="14" t="s">
        <v>4802</v>
      </c>
      <c r="O55" s="187">
        <v>60</v>
      </c>
      <c r="P55" s="1">
        <v>1</v>
      </c>
      <c r="Q55" s="90">
        <v>0.21</v>
      </c>
      <c r="R55" s="90">
        <v>0.2</v>
      </c>
      <c r="T55" s="95">
        <f t="shared" si="1"/>
        <v>58.08</v>
      </c>
      <c r="U55" s="1" t="s">
        <v>4803</v>
      </c>
      <c r="V55" s="6" t="s">
        <v>4804</v>
      </c>
      <c r="W55" s="2">
        <v>31572</v>
      </c>
      <c r="X55" s="2">
        <v>44249</v>
      </c>
      <c r="Y55" s="11" t="s">
        <v>5454</v>
      </c>
      <c r="Z55" s="3">
        <v>44350</v>
      </c>
      <c r="AA55" s="80" t="s">
        <v>1339</v>
      </c>
      <c r="AB55" t="s">
        <v>4844</v>
      </c>
      <c r="AC55" s="162">
        <v>44278</v>
      </c>
      <c r="AD55" t="s">
        <v>3198</v>
      </c>
    </row>
    <row r="56" spans="1:137">
      <c r="A56" s="1">
        <v>55</v>
      </c>
      <c r="B56" t="s">
        <v>3526</v>
      </c>
      <c r="C56" s="2">
        <v>44249</v>
      </c>
      <c r="D56" s="1" t="s">
        <v>2046</v>
      </c>
      <c r="E56" t="s">
        <v>2047</v>
      </c>
      <c r="F56" t="s">
        <v>4810</v>
      </c>
      <c r="G56" s="6" t="s">
        <v>294</v>
      </c>
      <c r="H56" s="1" t="s">
        <v>4811</v>
      </c>
      <c r="K56" s="1" t="s">
        <v>2046</v>
      </c>
      <c r="L56" s="3">
        <v>44255</v>
      </c>
      <c r="M56" s="1" t="s">
        <v>35</v>
      </c>
      <c r="N56" s="14" t="s">
        <v>4812</v>
      </c>
      <c r="O56" s="187">
        <v>100</v>
      </c>
      <c r="P56" s="1">
        <v>1</v>
      </c>
      <c r="Q56" s="90">
        <v>0.21</v>
      </c>
      <c r="R56" s="90">
        <v>0.2</v>
      </c>
      <c r="T56" s="95">
        <f t="shared" si="1"/>
        <v>96.8</v>
      </c>
      <c r="U56" s="1" t="s">
        <v>5065</v>
      </c>
      <c r="V56" s="6" t="s">
        <v>5066</v>
      </c>
      <c r="W56" s="2">
        <v>34066</v>
      </c>
      <c r="X56" s="2">
        <v>44249</v>
      </c>
      <c r="Y56" s="11" t="s">
        <v>5400</v>
      </c>
      <c r="Z56" s="3">
        <v>44341</v>
      </c>
      <c r="AA56" s="80" t="s">
        <v>1339</v>
      </c>
      <c r="AD56" t="s">
        <v>3198</v>
      </c>
      <c r="AG56" t="s">
        <v>3108</v>
      </c>
      <c r="AH56" s="2">
        <v>44285</v>
      </c>
      <c r="AK56" s="3">
        <v>44286</v>
      </c>
    </row>
    <row r="57" spans="1:137">
      <c r="A57" s="1">
        <v>56</v>
      </c>
      <c r="B57" t="s">
        <v>1414</v>
      </c>
      <c r="C57" s="2">
        <v>44249</v>
      </c>
      <c r="D57" s="1" t="s">
        <v>3076</v>
      </c>
      <c r="E57" t="s">
        <v>3077</v>
      </c>
      <c r="F57" t="s">
        <v>3078</v>
      </c>
      <c r="G57" s="6" t="s">
        <v>227</v>
      </c>
      <c r="H57" s="1" t="s">
        <v>203</v>
      </c>
      <c r="I57"/>
      <c r="K57" s="1" t="s">
        <v>3076</v>
      </c>
      <c r="L57" s="3">
        <v>44255</v>
      </c>
      <c r="M57" s="1" t="s">
        <v>35</v>
      </c>
      <c r="N57" s="14" t="s">
        <v>4813</v>
      </c>
      <c r="O57" s="187">
        <v>100</v>
      </c>
      <c r="P57" s="1">
        <v>1</v>
      </c>
      <c r="Q57" s="90">
        <v>0.21</v>
      </c>
      <c r="R57" s="90">
        <v>0.2</v>
      </c>
      <c r="T57" s="95">
        <f t="shared" si="1"/>
        <v>96.8</v>
      </c>
      <c r="U57" s="1" t="s">
        <v>4968</v>
      </c>
      <c r="V57" s="6" t="s">
        <v>4969</v>
      </c>
      <c r="W57" s="2">
        <v>33752</v>
      </c>
      <c r="X57" s="2">
        <v>44249</v>
      </c>
      <c r="Y57" s="208" t="s">
        <v>5711</v>
      </c>
      <c r="Z57" s="3">
        <v>44424</v>
      </c>
      <c r="AA57" s="80" t="s">
        <v>1339</v>
      </c>
      <c r="AB57" t="s">
        <v>5088</v>
      </c>
      <c r="AC57" s="226">
        <v>44321</v>
      </c>
      <c r="AD57" t="s">
        <v>3198</v>
      </c>
      <c r="AF57" s="190" t="s">
        <v>4572</v>
      </c>
      <c r="AG57" t="s">
        <v>3221</v>
      </c>
      <c r="AH57" s="2">
        <v>44277</v>
      </c>
      <c r="AK57" s="3">
        <v>44284</v>
      </c>
    </row>
    <row r="58" spans="1:137">
      <c r="A58" s="1">
        <v>57</v>
      </c>
      <c r="B58" t="s">
        <v>4814</v>
      </c>
      <c r="C58" s="2">
        <v>44249</v>
      </c>
      <c r="D58" s="1" t="s">
        <v>4815</v>
      </c>
      <c r="E58" t="s">
        <v>4816</v>
      </c>
      <c r="F58" t="s">
        <v>4817</v>
      </c>
      <c r="G58" s="6" t="s">
        <v>2654</v>
      </c>
      <c r="H58" s="1" t="s">
        <v>2359</v>
      </c>
      <c r="I58" s="1">
        <v>637986412</v>
      </c>
      <c r="K58" s="1" t="s">
        <v>4815</v>
      </c>
      <c r="L58" s="3">
        <v>44255</v>
      </c>
      <c r="M58" s="1" t="s">
        <v>35</v>
      </c>
      <c r="N58" s="14" t="s">
        <v>4818</v>
      </c>
      <c r="O58" s="187">
        <v>100</v>
      </c>
      <c r="P58" s="1">
        <v>1</v>
      </c>
      <c r="Q58" s="90">
        <v>0.21</v>
      </c>
      <c r="R58" s="90">
        <v>0.2</v>
      </c>
      <c r="T58" s="95">
        <f t="shared" si="1"/>
        <v>96.8</v>
      </c>
      <c r="U58" s="1" t="s">
        <v>4966</v>
      </c>
      <c r="V58" s="6" t="s">
        <v>4967</v>
      </c>
      <c r="W58" s="2">
        <v>35657</v>
      </c>
      <c r="X58" s="2">
        <v>44249</v>
      </c>
      <c r="Y58" s="11" t="s">
        <v>5546</v>
      </c>
      <c r="Z58" s="3">
        <v>44374</v>
      </c>
      <c r="AA58" s="80" t="s">
        <v>1339</v>
      </c>
      <c r="AB58" t="s">
        <v>5087</v>
      </c>
      <c r="AC58" s="162">
        <v>44319</v>
      </c>
      <c r="AD58" t="s">
        <v>3198</v>
      </c>
      <c r="AF58" s="190" t="s">
        <v>4572</v>
      </c>
      <c r="AG58" t="s">
        <v>4819</v>
      </c>
      <c r="AH58" s="2">
        <v>44277</v>
      </c>
      <c r="AK58" s="3">
        <v>44284</v>
      </c>
    </row>
    <row r="59" spans="1:137">
      <c r="A59" s="1">
        <v>58</v>
      </c>
      <c r="B59" t="s">
        <v>40</v>
      </c>
      <c r="C59" s="2">
        <v>44251</v>
      </c>
      <c r="D59" s="1" t="s">
        <v>4831</v>
      </c>
      <c r="E59" t="s">
        <v>4824</v>
      </c>
      <c r="F59" t="s">
        <v>4825</v>
      </c>
      <c r="G59" s="6" t="s">
        <v>227</v>
      </c>
      <c r="H59" s="1" t="s">
        <v>4719</v>
      </c>
      <c r="K59" s="1" t="s">
        <v>4823</v>
      </c>
      <c r="L59" s="3">
        <v>44255</v>
      </c>
      <c r="M59" s="1" t="s">
        <v>35</v>
      </c>
      <c r="N59" s="14" t="s">
        <v>4826</v>
      </c>
      <c r="O59" s="187">
        <v>100</v>
      </c>
      <c r="P59" s="1">
        <v>1</v>
      </c>
      <c r="Q59" s="90">
        <v>0.21</v>
      </c>
      <c r="R59" s="90">
        <v>0.2</v>
      </c>
      <c r="T59" s="95">
        <f t="shared" si="1"/>
        <v>96.8</v>
      </c>
      <c r="U59" s="1" t="s">
        <v>5025</v>
      </c>
      <c r="V59" s="6" t="s">
        <v>5026</v>
      </c>
      <c r="W59" s="2">
        <v>37120</v>
      </c>
      <c r="X59" s="2">
        <v>44249</v>
      </c>
      <c r="Y59" s="11" t="s">
        <v>5073</v>
      </c>
      <c r="Z59" s="3">
        <v>44291</v>
      </c>
      <c r="AA59" s="80" t="s">
        <v>1339</v>
      </c>
      <c r="AD59" t="s">
        <v>3198</v>
      </c>
      <c r="AF59" s="190" t="s">
        <v>4572</v>
      </c>
      <c r="AG59" t="s">
        <v>3221</v>
      </c>
      <c r="AH59" s="2">
        <v>44279</v>
      </c>
      <c r="AK59" s="3">
        <v>44280</v>
      </c>
    </row>
    <row r="60" spans="1:137">
      <c r="A60" s="1">
        <v>59</v>
      </c>
      <c r="B60" t="s">
        <v>40</v>
      </c>
      <c r="C60" s="2">
        <v>44251</v>
      </c>
      <c r="D60" s="1" t="s">
        <v>186</v>
      </c>
      <c r="E60" t="s">
        <v>4827</v>
      </c>
      <c r="F60" t="s">
        <v>4828</v>
      </c>
      <c r="G60" s="6" t="s">
        <v>227</v>
      </c>
      <c r="H60" s="1" t="s">
        <v>4719</v>
      </c>
      <c r="K60" s="1" t="s">
        <v>186</v>
      </c>
      <c r="L60" s="3">
        <v>44255</v>
      </c>
      <c r="M60" s="1" t="s">
        <v>35</v>
      </c>
      <c r="N60" s="14" t="s">
        <v>4829</v>
      </c>
      <c r="O60" s="187">
        <v>100</v>
      </c>
      <c r="P60" s="1">
        <v>1</v>
      </c>
      <c r="Q60" s="90">
        <v>0.21</v>
      </c>
      <c r="R60" s="90">
        <v>0.2</v>
      </c>
      <c r="T60" s="95">
        <f t="shared" si="1"/>
        <v>96.8</v>
      </c>
      <c r="U60" s="1" t="s">
        <v>5024</v>
      </c>
      <c r="V60" s="6" t="s">
        <v>5023</v>
      </c>
      <c r="W60" s="2">
        <v>36894</v>
      </c>
      <c r="X60" s="2">
        <v>44249</v>
      </c>
      <c r="Y60" s="11" t="s">
        <v>5152</v>
      </c>
      <c r="Z60" s="3">
        <v>44309</v>
      </c>
      <c r="AA60" s="80" t="s">
        <v>1339</v>
      </c>
      <c r="AD60" t="s">
        <v>3198</v>
      </c>
      <c r="AF60" s="190" t="s">
        <v>4572</v>
      </c>
      <c r="AG60" t="s">
        <v>3221</v>
      </c>
      <c r="AH60" s="2">
        <v>44279</v>
      </c>
      <c r="AK60" s="3">
        <v>44281</v>
      </c>
    </row>
    <row r="61" spans="1:137">
      <c r="A61" s="1">
        <v>60</v>
      </c>
      <c r="B61" t="s">
        <v>1414</v>
      </c>
      <c r="C61" s="2">
        <v>44253</v>
      </c>
      <c r="D61" s="1" t="s">
        <v>4834</v>
      </c>
      <c r="E61" t="s">
        <v>4835</v>
      </c>
      <c r="F61" t="s">
        <v>4836</v>
      </c>
      <c r="G61" s="6" t="s">
        <v>227</v>
      </c>
      <c r="H61" s="1" t="s">
        <v>4719</v>
      </c>
      <c r="K61" s="1" t="s">
        <v>4834</v>
      </c>
      <c r="L61" s="3">
        <v>44255</v>
      </c>
      <c r="M61" s="1" t="s">
        <v>35</v>
      </c>
      <c r="N61" s="14" t="s">
        <v>4837</v>
      </c>
      <c r="O61" s="187">
        <v>100</v>
      </c>
      <c r="P61" s="1">
        <v>1</v>
      </c>
      <c r="Q61" s="90">
        <v>0.21</v>
      </c>
      <c r="R61" s="90">
        <v>0.2</v>
      </c>
      <c r="T61" s="95">
        <f t="shared" si="1"/>
        <v>96.8</v>
      </c>
      <c r="U61" s="1" t="s">
        <v>5018</v>
      </c>
      <c r="V61" s="6" t="s">
        <v>5019</v>
      </c>
      <c r="W61" s="2">
        <v>36331</v>
      </c>
      <c r="X61" s="2">
        <v>44253</v>
      </c>
      <c r="Y61" s="11" t="s">
        <v>5250</v>
      </c>
      <c r="Z61" s="3">
        <v>44322</v>
      </c>
      <c r="AA61" s="80" t="s">
        <v>1339</v>
      </c>
      <c r="AD61" t="s">
        <v>3198</v>
      </c>
      <c r="AF61" s="190" t="s">
        <v>4572</v>
      </c>
      <c r="AG61" t="s">
        <v>3221</v>
      </c>
      <c r="AH61" s="2">
        <v>44278</v>
      </c>
      <c r="AK61" s="3">
        <v>44281</v>
      </c>
    </row>
    <row r="62" spans="1:137">
      <c r="A62" s="1">
        <v>61</v>
      </c>
      <c r="B62" t="s">
        <v>40</v>
      </c>
      <c r="C62" s="2">
        <v>44253</v>
      </c>
      <c r="D62" s="1" t="s">
        <v>1392</v>
      </c>
      <c r="E62" t="s">
        <v>4838</v>
      </c>
      <c r="F62" t="s">
        <v>4839</v>
      </c>
      <c r="G62" s="6" t="s">
        <v>221</v>
      </c>
      <c r="H62" s="1" t="s">
        <v>34</v>
      </c>
      <c r="K62" s="1" t="s">
        <v>1392</v>
      </c>
      <c r="L62" s="3">
        <v>44255</v>
      </c>
      <c r="M62" s="1" t="s">
        <v>35</v>
      </c>
      <c r="N62" s="14" t="s">
        <v>4840</v>
      </c>
      <c r="O62" s="187">
        <v>100</v>
      </c>
      <c r="P62" s="1">
        <v>1</v>
      </c>
      <c r="Q62" s="90">
        <v>0.21</v>
      </c>
      <c r="R62" s="90">
        <v>0.2</v>
      </c>
      <c r="T62" s="95">
        <f t="shared" si="1"/>
        <v>96.8</v>
      </c>
      <c r="U62" s="1" t="s">
        <v>5011</v>
      </c>
      <c r="V62" s="6" t="s">
        <v>5012</v>
      </c>
      <c r="W62" s="2">
        <v>29952</v>
      </c>
      <c r="X62" s="2">
        <v>44253</v>
      </c>
      <c r="Y62" s="13" t="s">
        <v>5335</v>
      </c>
      <c r="Z62" s="3">
        <v>44326</v>
      </c>
      <c r="AA62" s="80" t="s">
        <v>1339</v>
      </c>
      <c r="AB62" t="s">
        <v>5228</v>
      </c>
      <c r="AD62" t="s">
        <v>3198</v>
      </c>
      <c r="AF62" s="190" t="s">
        <v>4572</v>
      </c>
      <c r="AG62" t="s">
        <v>4841</v>
      </c>
      <c r="AK62" s="3">
        <v>44285</v>
      </c>
    </row>
    <row r="63" spans="1:137">
      <c r="A63" s="1">
        <v>62</v>
      </c>
      <c r="B63" t="s">
        <v>52</v>
      </c>
      <c r="C63" s="2">
        <v>44253</v>
      </c>
      <c r="D63" s="1" t="s">
        <v>919</v>
      </c>
      <c r="E63" s="14" t="s">
        <v>139</v>
      </c>
      <c r="F63" t="s">
        <v>2866</v>
      </c>
      <c r="G63" s="6" t="s">
        <v>221</v>
      </c>
      <c r="H63" s="1" t="s">
        <v>34</v>
      </c>
      <c r="I63">
        <v>659896436</v>
      </c>
      <c r="K63" s="1" t="s">
        <v>4432</v>
      </c>
      <c r="L63" s="3">
        <v>44255</v>
      </c>
      <c r="M63" s="1" t="s">
        <v>35</v>
      </c>
      <c r="N63" s="14" t="s">
        <v>4842</v>
      </c>
      <c r="O63" s="187">
        <v>100</v>
      </c>
      <c r="P63" s="1">
        <v>1</v>
      </c>
      <c r="Q63" s="90">
        <v>0.21</v>
      </c>
      <c r="R63" s="90">
        <v>0.2</v>
      </c>
      <c r="T63" s="95">
        <f t="shared" si="1"/>
        <v>96.8</v>
      </c>
      <c r="U63" s="1" t="s">
        <v>5009</v>
      </c>
      <c r="V63" s="6" t="s">
        <v>5010</v>
      </c>
      <c r="W63" s="2">
        <v>36022</v>
      </c>
      <c r="X63" s="2">
        <v>44253</v>
      </c>
      <c r="Y63" s="11" t="s">
        <v>5250</v>
      </c>
      <c r="Z63" s="3">
        <v>44322</v>
      </c>
      <c r="AA63" s="80" t="s">
        <v>1339</v>
      </c>
      <c r="AD63" t="s">
        <v>3198</v>
      </c>
      <c r="AF63" s="190" t="s">
        <v>4572</v>
      </c>
      <c r="AG63" t="s">
        <v>3221</v>
      </c>
      <c r="AH63" s="2">
        <v>44277</v>
      </c>
      <c r="AJ63" t="s">
        <v>4957</v>
      </c>
      <c r="AK63" s="3">
        <v>44278</v>
      </c>
    </row>
    <row r="64" spans="1:137">
      <c r="A64" s="1">
        <v>63</v>
      </c>
      <c r="B64" t="s">
        <v>1414</v>
      </c>
      <c r="C64" s="2">
        <v>44253</v>
      </c>
      <c r="D64" s="1" t="s">
        <v>2963</v>
      </c>
      <c r="E64" s="14" t="s">
        <v>2964</v>
      </c>
      <c r="F64" t="s">
        <v>2115</v>
      </c>
      <c r="G64" s="6" t="s">
        <v>230</v>
      </c>
      <c r="H64" s="1" t="s">
        <v>1262</v>
      </c>
      <c r="I64"/>
      <c r="K64" s="1" t="s">
        <v>2963</v>
      </c>
      <c r="L64" s="3">
        <v>44255</v>
      </c>
      <c r="M64" s="1" t="s">
        <v>35</v>
      </c>
      <c r="N64" s="14" t="s">
        <v>2965</v>
      </c>
      <c r="O64" s="187">
        <v>100</v>
      </c>
      <c r="P64" s="1">
        <v>1</v>
      </c>
      <c r="Q64" s="90">
        <v>0.21</v>
      </c>
      <c r="R64" s="90">
        <v>0.2</v>
      </c>
      <c r="T64" s="95">
        <f t="shared" si="1"/>
        <v>96.8</v>
      </c>
      <c r="U64" s="1" t="s">
        <v>2966</v>
      </c>
      <c r="V64" s="6" t="s">
        <v>5022</v>
      </c>
      <c r="W64" s="2">
        <v>35477</v>
      </c>
      <c r="X64" s="2">
        <v>44253</v>
      </c>
      <c r="Y64" s="11" t="s">
        <v>5306</v>
      </c>
      <c r="Z64" s="3">
        <v>44322</v>
      </c>
      <c r="AA64" s="80" t="s">
        <v>1339</v>
      </c>
      <c r="AD64" t="s">
        <v>3198</v>
      </c>
      <c r="AF64" s="190" t="s">
        <v>4572</v>
      </c>
      <c r="AG64" t="s">
        <v>4843</v>
      </c>
      <c r="AH64" s="2">
        <v>44279</v>
      </c>
      <c r="AK64" s="3">
        <v>44281</v>
      </c>
    </row>
    <row r="65" spans="1:37">
      <c r="A65" s="1">
        <v>64</v>
      </c>
      <c r="B65" t="s">
        <v>3526</v>
      </c>
      <c r="C65" s="2">
        <v>44260</v>
      </c>
      <c r="D65" s="1" t="s">
        <v>4883</v>
      </c>
      <c r="E65" t="s">
        <v>4882</v>
      </c>
      <c r="F65" t="s">
        <v>4884</v>
      </c>
      <c r="G65" s="6" t="s">
        <v>294</v>
      </c>
      <c r="H65" s="1" t="s">
        <v>103</v>
      </c>
      <c r="K65" s="1" t="s">
        <v>4883</v>
      </c>
      <c r="L65" s="3">
        <v>44286</v>
      </c>
      <c r="M65" s="1" t="s">
        <v>35</v>
      </c>
      <c r="N65" s="14" t="s">
        <v>4885</v>
      </c>
      <c r="O65" s="187">
        <v>100</v>
      </c>
      <c r="P65" s="1">
        <v>1</v>
      </c>
      <c r="Q65" s="90">
        <v>0.21</v>
      </c>
      <c r="R65" s="90">
        <v>0.2</v>
      </c>
      <c r="T65" s="95">
        <f t="shared" si="1"/>
        <v>96.8</v>
      </c>
      <c r="U65" s="1" t="s">
        <v>5090</v>
      </c>
      <c r="V65" s="6" t="s">
        <v>5091</v>
      </c>
      <c r="W65" s="2">
        <v>33329</v>
      </c>
      <c r="X65" s="2">
        <v>44260</v>
      </c>
      <c r="Y65" s="11" t="s">
        <v>5425</v>
      </c>
      <c r="Z65" s="3">
        <v>44344</v>
      </c>
      <c r="AA65" s="80" t="s">
        <v>1339</v>
      </c>
      <c r="AD65" t="s">
        <v>3198</v>
      </c>
      <c r="AG65" t="s">
        <v>3108</v>
      </c>
      <c r="AH65" s="2">
        <v>44293</v>
      </c>
      <c r="AK65" s="3">
        <v>44295</v>
      </c>
    </row>
    <row r="66" spans="1:37">
      <c r="A66" s="1">
        <v>65</v>
      </c>
      <c r="B66" t="s">
        <v>4814</v>
      </c>
      <c r="C66" s="2">
        <v>44266</v>
      </c>
      <c r="D66" s="1" t="s">
        <v>3202</v>
      </c>
      <c r="E66" t="s">
        <v>1182</v>
      </c>
      <c r="F66" t="s">
        <v>3203</v>
      </c>
      <c r="G66" s="6" t="s">
        <v>239</v>
      </c>
      <c r="H66" s="1" t="s">
        <v>3204</v>
      </c>
      <c r="I66" t="s">
        <v>4905</v>
      </c>
      <c r="K66" s="1" t="s">
        <v>3202</v>
      </c>
      <c r="L66" s="3">
        <v>44286</v>
      </c>
      <c r="M66" s="1" t="s">
        <v>35</v>
      </c>
      <c r="N66" s="14" t="s">
        <v>4906</v>
      </c>
      <c r="O66" s="187">
        <v>60</v>
      </c>
      <c r="P66" s="1">
        <v>1</v>
      </c>
      <c r="Q66" s="90">
        <v>0.21</v>
      </c>
      <c r="R66" s="90">
        <v>0.2</v>
      </c>
      <c r="T66" s="95">
        <f t="shared" ref="T66:T76" si="2">SUM(O66-(O66*R66))*Q66+(O66-(O66*R66))</f>
        <v>58.08</v>
      </c>
      <c r="U66" s="1" t="s">
        <v>1173</v>
      </c>
      <c r="V66" s="6" t="s">
        <v>4907</v>
      </c>
      <c r="W66" s="2">
        <v>27528</v>
      </c>
      <c r="X66" s="2">
        <v>44266</v>
      </c>
      <c r="Y66" s="11" t="s">
        <v>5364</v>
      </c>
      <c r="Z66" s="3">
        <v>44333</v>
      </c>
      <c r="AA66" s="80" t="s">
        <v>1339</v>
      </c>
      <c r="AD66" t="s">
        <v>3198</v>
      </c>
    </row>
    <row r="67" spans="1:37">
      <c r="A67" s="1">
        <v>66</v>
      </c>
      <c r="B67" t="s">
        <v>37</v>
      </c>
      <c r="C67" s="2">
        <v>44266</v>
      </c>
      <c r="D67" s="1" t="s">
        <v>5102</v>
      </c>
      <c r="E67" t="s">
        <v>4908</v>
      </c>
      <c r="F67" t="s">
        <v>4909</v>
      </c>
      <c r="G67" s="6" t="s">
        <v>219</v>
      </c>
      <c r="H67" s="1" t="s">
        <v>38</v>
      </c>
      <c r="I67" s="1">
        <v>632864476</v>
      </c>
      <c r="K67" s="1" t="s">
        <v>5102</v>
      </c>
      <c r="L67" s="3">
        <v>44286</v>
      </c>
      <c r="M67" s="1" t="s">
        <v>35</v>
      </c>
      <c r="N67" s="14" t="s">
        <v>4910</v>
      </c>
      <c r="O67" s="187">
        <v>100</v>
      </c>
      <c r="P67" s="1">
        <v>1</v>
      </c>
      <c r="Q67" s="90">
        <v>0.21</v>
      </c>
      <c r="R67" s="90">
        <v>0</v>
      </c>
      <c r="T67" s="95">
        <f t="shared" si="2"/>
        <v>121</v>
      </c>
      <c r="U67" s="1" t="s">
        <v>5102</v>
      </c>
      <c r="V67" s="6" t="s">
        <v>5103</v>
      </c>
      <c r="W67" s="2">
        <v>32875</v>
      </c>
      <c r="X67" s="2">
        <v>44266</v>
      </c>
      <c r="Y67" s="11" t="s">
        <v>5770</v>
      </c>
      <c r="Z67" s="3">
        <v>44441</v>
      </c>
      <c r="AA67" s="80" t="s">
        <v>1339</v>
      </c>
      <c r="AB67" t="s">
        <v>3246</v>
      </c>
      <c r="AC67" s="115">
        <v>44372</v>
      </c>
      <c r="AD67" t="s">
        <v>3198</v>
      </c>
      <c r="AG67" t="s">
        <v>3812</v>
      </c>
      <c r="AH67" s="2">
        <v>44299</v>
      </c>
      <c r="AK67" s="3">
        <v>44306</v>
      </c>
    </row>
    <row r="68" spans="1:37">
      <c r="A68" s="1">
        <v>67</v>
      </c>
      <c r="B68" t="s">
        <v>37</v>
      </c>
      <c r="C68" s="2">
        <v>44270</v>
      </c>
      <c r="D68" s="1" t="s">
        <v>4387</v>
      </c>
      <c r="E68" t="s">
        <v>4912</v>
      </c>
      <c r="F68" t="s">
        <v>4913</v>
      </c>
      <c r="G68" s="6" t="s">
        <v>219</v>
      </c>
      <c r="H68" s="1" t="s">
        <v>38</v>
      </c>
      <c r="I68" s="1">
        <v>632359649</v>
      </c>
      <c r="K68" s="1" t="s">
        <v>4387</v>
      </c>
      <c r="L68" s="2">
        <v>44286</v>
      </c>
      <c r="M68" s="1" t="s">
        <v>35</v>
      </c>
      <c r="N68" s="14" t="s">
        <v>4914</v>
      </c>
      <c r="O68" s="187">
        <v>60</v>
      </c>
      <c r="P68" s="1">
        <v>1</v>
      </c>
      <c r="Q68" s="90">
        <v>0.21</v>
      </c>
      <c r="R68" s="90">
        <v>0</v>
      </c>
      <c r="T68" s="95">
        <f t="shared" si="2"/>
        <v>72.599999999999994</v>
      </c>
      <c r="U68" s="1" t="s">
        <v>4387</v>
      </c>
      <c r="V68" s="6" t="s">
        <v>4388</v>
      </c>
      <c r="W68" s="2">
        <v>35796</v>
      </c>
      <c r="X68" s="2">
        <v>44270</v>
      </c>
      <c r="Y68" s="11" t="s">
        <v>1326</v>
      </c>
      <c r="AD68" t="s">
        <v>3198</v>
      </c>
    </row>
    <row r="69" spans="1:37">
      <c r="A69" s="1">
        <v>68</v>
      </c>
      <c r="B69" t="s">
        <v>37</v>
      </c>
      <c r="C69" s="2">
        <v>44270</v>
      </c>
      <c r="D69" s="1" t="s">
        <v>4915</v>
      </c>
      <c r="E69" t="s">
        <v>4916</v>
      </c>
      <c r="F69" t="s">
        <v>4917</v>
      </c>
      <c r="G69" s="6" t="s">
        <v>4918</v>
      </c>
      <c r="H69" s="1" t="s">
        <v>4919</v>
      </c>
      <c r="K69" s="1" t="s">
        <v>4915</v>
      </c>
      <c r="L69" s="2">
        <v>44286</v>
      </c>
      <c r="M69" s="1" t="s">
        <v>35</v>
      </c>
      <c r="N69" s="14" t="s">
        <v>4920</v>
      </c>
      <c r="O69" s="187">
        <v>100</v>
      </c>
      <c r="P69" s="1">
        <v>1</v>
      </c>
      <c r="Q69" s="90">
        <v>0.21</v>
      </c>
      <c r="R69" s="90">
        <v>0</v>
      </c>
      <c r="S69" s="76" t="s">
        <v>4723</v>
      </c>
      <c r="T69" s="95">
        <f t="shared" si="2"/>
        <v>121</v>
      </c>
      <c r="U69" s="1" t="s">
        <v>4915</v>
      </c>
      <c r="V69" s="6" t="s">
        <v>4921</v>
      </c>
      <c r="W69" s="2">
        <v>32357</v>
      </c>
      <c r="X69" s="2">
        <v>44180</v>
      </c>
      <c r="Y69" s="11" t="s">
        <v>1326</v>
      </c>
      <c r="Z69" s="3">
        <v>44301</v>
      </c>
      <c r="AA69" s="80" t="s">
        <v>1339</v>
      </c>
      <c r="AD69" t="s">
        <v>3198</v>
      </c>
    </row>
    <row r="70" spans="1:37">
      <c r="A70" s="1">
        <v>69</v>
      </c>
      <c r="B70" t="s">
        <v>1511</v>
      </c>
      <c r="C70" s="2">
        <v>44270</v>
      </c>
      <c r="D70" s="1" t="s">
        <v>4664</v>
      </c>
      <c r="E70" s="61" t="s">
        <v>4665</v>
      </c>
      <c r="F70" s="61" t="s">
        <v>4666</v>
      </c>
      <c r="G70" s="6" t="s">
        <v>4667</v>
      </c>
      <c r="H70" s="1" t="s">
        <v>4668</v>
      </c>
      <c r="J70" s="1"/>
      <c r="K70" s="1" t="s">
        <v>4664</v>
      </c>
      <c r="L70" s="2">
        <v>44286</v>
      </c>
      <c r="M70" t="s">
        <v>35</v>
      </c>
      <c r="N70" s="14" t="s">
        <v>4922</v>
      </c>
      <c r="O70" s="187">
        <v>100</v>
      </c>
      <c r="P70" s="1">
        <v>1</v>
      </c>
      <c r="Q70" s="90">
        <v>0.21</v>
      </c>
      <c r="R70" s="90">
        <v>0.2</v>
      </c>
      <c r="T70" s="95">
        <f t="shared" si="2"/>
        <v>96.8</v>
      </c>
      <c r="U70" s="1" t="s">
        <v>4771</v>
      </c>
      <c r="V70" s="6" t="s">
        <v>4770</v>
      </c>
      <c r="W70" s="2">
        <v>37259</v>
      </c>
      <c r="X70" s="2">
        <v>44210</v>
      </c>
      <c r="Y70" s="11" t="s">
        <v>1326</v>
      </c>
      <c r="AD70" t="s">
        <v>3198</v>
      </c>
    </row>
    <row r="71" spans="1:37">
      <c r="A71" s="1">
        <v>70</v>
      </c>
      <c r="B71" t="s">
        <v>37</v>
      </c>
      <c r="C71" s="2">
        <v>44271</v>
      </c>
      <c r="D71" s="1" t="s">
        <v>4923</v>
      </c>
      <c r="E71" t="s">
        <v>4924</v>
      </c>
      <c r="F71" t="s">
        <v>4925</v>
      </c>
      <c r="G71" s="6" t="s">
        <v>221</v>
      </c>
      <c r="H71" s="1" t="s">
        <v>34</v>
      </c>
      <c r="I71" s="1">
        <v>632595852</v>
      </c>
      <c r="K71" s="1" t="s">
        <v>4923</v>
      </c>
      <c r="L71" s="2">
        <v>44286</v>
      </c>
      <c r="M71" t="s">
        <v>35</v>
      </c>
      <c r="N71" s="14" t="s">
        <v>4926</v>
      </c>
      <c r="O71" s="187">
        <v>41.32</v>
      </c>
      <c r="P71" s="1">
        <v>1</v>
      </c>
      <c r="Q71" s="90">
        <v>0.21</v>
      </c>
      <c r="R71" s="90">
        <v>0</v>
      </c>
      <c r="T71" s="95">
        <f t="shared" si="2"/>
        <v>49.997199999999999</v>
      </c>
      <c r="U71" s="1" t="s">
        <v>4933</v>
      </c>
      <c r="V71" s="6" t="s">
        <v>5067</v>
      </c>
      <c r="W71" s="2">
        <v>35680</v>
      </c>
      <c r="X71" s="2">
        <v>44271</v>
      </c>
      <c r="Y71" s="241" t="s">
        <v>6175</v>
      </c>
      <c r="Z71" s="3">
        <v>44529</v>
      </c>
      <c r="AA71" s="80" t="s">
        <v>1339</v>
      </c>
      <c r="AC71" s="182">
        <v>44442</v>
      </c>
      <c r="AD71" t="s">
        <v>3198</v>
      </c>
    </row>
    <row r="72" spans="1:37">
      <c r="A72" s="1">
        <v>71</v>
      </c>
      <c r="B72" t="s">
        <v>37</v>
      </c>
      <c r="C72" s="2">
        <v>44271</v>
      </c>
      <c r="D72" s="1" t="s">
        <v>4927</v>
      </c>
      <c r="E72" t="s">
        <v>5050</v>
      </c>
      <c r="F72" t="s">
        <v>4928</v>
      </c>
      <c r="G72" s="6" t="s">
        <v>4929</v>
      </c>
      <c r="H72" s="1" t="s">
        <v>4930</v>
      </c>
      <c r="I72" s="1">
        <v>669744208</v>
      </c>
      <c r="K72" s="1" t="s">
        <v>4927</v>
      </c>
      <c r="L72" s="2">
        <v>44286</v>
      </c>
      <c r="M72" t="s">
        <v>35</v>
      </c>
      <c r="N72" s="14" t="s">
        <v>4931</v>
      </c>
      <c r="O72" s="187">
        <v>100</v>
      </c>
      <c r="P72" s="1">
        <v>1</v>
      </c>
      <c r="Q72" s="90">
        <v>0.21</v>
      </c>
      <c r="R72" s="90">
        <v>0</v>
      </c>
      <c r="T72" s="95">
        <f t="shared" si="2"/>
        <v>121</v>
      </c>
      <c r="U72" s="1" t="s">
        <v>5130</v>
      </c>
      <c r="V72" s="6" t="s">
        <v>5131</v>
      </c>
      <c r="W72" s="2">
        <v>32682</v>
      </c>
      <c r="X72" s="2">
        <v>44271</v>
      </c>
      <c r="Y72" s="11" t="s">
        <v>5778</v>
      </c>
      <c r="Z72" s="3">
        <v>44441</v>
      </c>
      <c r="AA72" s="80" t="s">
        <v>1339</v>
      </c>
      <c r="AC72" s="115">
        <v>44376</v>
      </c>
      <c r="AD72" t="s">
        <v>3198</v>
      </c>
      <c r="AG72" t="s">
        <v>4932</v>
      </c>
      <c r="AH72" s="2">
        <v>44301</v>
      </c>
      <c r="AK72" s="3">
        <v>44305</v>
      </c>
    </row>
    <row r="73" spans="1:37">
      <c r="A73" s="1">
        <v>72</v>
      </c>
      <c r="B73" t="s">
        <v>52</v>
      </c>
      <c r="C73" s="2">
        <v>44272</v>
      </c>
      <c r="D73" s="1" t="s">
        <v>4266</v>
      </c>
      <c r="E73" s="61" t="s">
        <v>4267</v>
      </c>
      <c r="F73" s="61" t="s">
        <v>4268</v>
      </c>
      <c r="G73" s="6" t="s">
        <v>230</v>
      </c>
      <c r="H73" s="1" t="s">
        <v>1262</v>
      </c>
      <c r="I73" s="1">
        <v>607578135</v>
      </c>
      <c r="K73" s="1" t="s">
        <v>4432</v>
      </c>
      <c r="L73" s="2">
        <v>44286</v>
      </c>
      <c r="M73" t="s">
        <v>35</v>
      </c>
      <c r="N73" s="14" t="s">
        <v>4941</v>
      </c>
      <c r="O73" s="187">
        <v>100</v>
      </c>
      <c r="P73" s="1">
        <v>1</v>
      </c>
      <c r="Q73" s="90">
        <v>0.21</v>
      </c>
      <c r="R73" s="90">
        <v>0.2</v>
      </c>
      <c r="T73" s="95">
        <f t="shared" si="2"/>
        <v>96.8</v>
      </c>
      <c r="U73" s="1" t="s">
        <v>4270</v>
      </c>
      <c r="V73" s="6" t="s">
        <v>5157</v>
      </c>
      <c r="W73" s="2">
        <v>33247</v>
      </c>
      <c r="X73" s="2">
        <v>44272</v>
      </c>
      <c r="Y73" s="11" t="s">
        <v>5364</v>
      </c>
      <c r="Z73" s="3">
        <v>44336</v>
      </c>
      <c r="AA73" s="80" t="s">
        <v>1339</v>
      </c>
      <c r="AD73" t="s">
        <v>3198</v>
      </c>
      <c r="AF73" s="190" t="s">
        <v>4572</v>
      </c>
      <c r="AG73" t="s">
        <v>3221</v>
      </c>
      <c r="AH73" s="2">
        <v>44305</v>
      </c>
      <c r="AK73" s="3">
        <v>44315</v>
      </c>
    </row>
    <row r="74" spans="1:37">
      <c r="A74" s="1">
        <v>73</v>
      </c>
      <c r="B74" t="s">
        <v>52</v>
      </c>
      <c r="C74" s="2">
        <v>44272</v>
      </c>
      <c r="D74" s="1" t="s">
        <v>4942</v>
      </c>
      <c r="E74" t="s">
        <v>4943</v>
      </c>
      <c r="F74" t="s">
        <v>4944</v>
      </c>
      <c r="G74" s="6" t="s">
        <v>230</v>
      </c>
      <c r="H74" s="1" t="s">
        <v>1262</v>
      </c>
      <c r="K74" s="1" t="s">
        <v>4432</v>
      </c>
      <c r="L74" s="2">
        <v>44286</v>
      </c>
      <c r="M74" t="s">
        <v>35</v>
      </c>
      <c r="N74" s="14" t="s">
        <v>4945</v>
      </c>
      <c r="O74" s="187">
        <v>100</v>
      </c>
      <c r="P74" s="1">
        <v>1</v>
      </c>
      <c r="Q74" s="90">
        <v>0.21</v>
      </c>
      <c r="R74" s="90">
        <v>0.2</v>
      </c>
      <c r="T74" s="95">
        <f t="shared" si="2"/>
        <v>96.8</v>
      </c>
      <c r="U74" s="1" t="s">
        <v>5155</v>
      </c>
      <c r="V74" s="6" t="s">
        <v>5156</v>
      </c>
      <c r="W74" s="2">
        <v>36534</v>
      </c>
      <c r="X74" s="2">
        <v>44272</v>
      </c>
      <c r="Y74" s="11" t="s">
        <v>5292</v>
      </c>
      <c r="Z74" s="3">
        <v>44322</v>
      </c>
      <c r="AA74" s="80" t="s">
        <v>1339</v>
      </c>
      <c r="AD74" t="s">
        <v>3198</v>
      </c>
      <c r="AF74" s="190" t="s">
        <v>4572</v>
      </c>
      <c r="AG74" t="s">
        <v>3221</v>
      </c>
      <c r="AH74" s="2">
        <v>44305</v>
      </c>
      <c r="AK74" s="3">
        <v>44306</v>
      </c>
    </row>
    <row r="75" spans="1:37">
      <c r="A75" s="1">
        <v>74</v>
      </c>
      <c r="B75" t="s">
        <v>1414</v>
      </c>
      <c r="C75" s="2">
        <v>44273</v>
      </c>
      <c r="D75" s="1" t="s">
        <v>2963</v>
      </c>
      <c r="E75" s="14" t="s">
        <v>2964</v>
      </c>
      <c r="F75" t="s">
        <v>2115</v>
      </c>
      <c r="G75" s="6" t="s">
        <v>230</v>
      </c>
      <c r="H75" s="1" t="s">
        <v>1262</v>
      </c>
      <c r="I75"/>
      <c r="K75" s="1" t="s">
        <v>2963</v>
      </c>
      <c r="L75" s="3">
        <v>44286</v>
      </c>
      <c r="M75" t="s">
        <v>35</v>
      </c>
      <c r="N75" s="14" t="s">
        <v>4946</v>
      </c>
      <c r="O75" s="187">
        <v>100</v>
      </c>
      <c r="P75" s="1">
        <v>1</v>
      </c>
      <c r="Q75" s="90">
        <v>0.21</v>
      </c>
      <c r="R75" s="90">
        <v>0.2</v>
      </c>
      <c r="T75" s="95">
        <f t="shared" si="2"/>
        <v>96.8</v>
      </c>
      <c r="U75" s="1" t="s">
        <v>5267</v>
      </c>
      <c r="V75" s="6" t="s">
        <v>5268</v>
      </c>
      <c r="W75" s="2">
        <v>37304</v>
      </c>
      <c r="X75" s="2">
        <v>44273</v>
      </c>
      <c r="Y75" s="11" t="s">
        <v>5400</v>
      </c>
      <c r="Z75" s="3">
        <v>44341</v>
      </c>
      <c r="AA75" s="80" t="s">
        <v>1339</v>
      </c>
      <c r="AD75" t="s">
        <v>3198</v>
      </c>
      <c r="AF75" s="190" t="s">
        <v>4572</v>
      </c>
      <c r="AG75" t="s">
        <v>3221</v>
      </c>
      <c r="AH75" s="2">
        <v>44314</v>
      </c>
      <c r="AK75" s="3">
        <v>44315</v>
      </c>
    </row>
    <row r="76" spans="1:37">
      <c r="A76" s="1">
        <v>75</v>
      </c>
      <c r="B76" s="61" t="s">
        <v>1414</v>
      </c>
      <c r="C76" s="2">
        <v>44273</v>
      </c>
      <c r="D76" s="1" t="s">
        <v>3619</v>
      </c>
      <c r="E76" s="61" t="s">
        <v>3620</v>
      </c>
      <c r="F76" s="61" t="s">
        <v>3621</v>
      </c>
      <c r="G76" s="6" t="s">
        <v>227</v>
      </c>
      <c r="H76" s="1" t="s">
        <v>34</v>
      </c>
      <c r="I76" s="1">
        <v>670458705</v>
      </c>
      <c r="K76" s="1" t="s">
        <v>3619</v>
      </c>
      <c r="L76" s="3">
        <v>44286</v>
      </c>
      <c r="M76" s="1" t="s">
        <v>35</v>
      </c>
      <c r="N76" s="14" t="s">
        <v>3623</v>
      </c>
      <c r="O76" s="187">
        <v>100</v>
      </c>
      <c r="P76" s="1">
        <v>1</v>
      </c>
      <c r="Q76" s="90">
        <v>0.21</v>
      </c>
      <c r="R76" s="90">
        <v>0.2</v>
      </c>
      <c r="T76" s="95">
        <f t="shared" si="2"/>
        <v>96.8</v>
      </c>
      <c r="U76" s="1" t="s">
        <v>3624</v>
      </c>
      <c r="V76" s="6" t="s">
        <v>5160</v>
      </c>
      <c r="W76" s="2">
        <v>34934</v>
      </c>
      <c r="X76" s="2">
        <v>44273</v>
      </c>
      <c r="Y76" s="11" t="s">
        <v>5292</v>
      </c>
      <c r="Z76" s="3">
        <v>44322</v>
      </c>
      <c r="AA76" s="80" t="s">
        <v>1339</v>
      </c>
      <c r="AD76" t="s">
        <v>3198</v>
      </c>
      <c r="AF76" s="190" t="s">
        <v>4572</v>
      </c>
      <c r="AG76" t="s">
        <v>4947</v>
      </c>
      <c r="AH76" s="2">
        <v>44305</v>
      </c>
      <c r="AK76" s="3">
        <v>44308</v>
      </c>
    </row>
    <row r="77" spans="1:37">
      <c r="A77" s="1">
        <v>76</v>
      </c>
      <c r="B77" t="s">
        <v>4189</v>
      </c>
      <c r="C77" s="2">
        <v>44273</v>
      </c>
      <c r="D77" s="1" t="s">
        <v>4948</v>
      </c>
      <c r="E77" t="s">
        <v>4189</v>
      </c>
      <c r="F77" s="31" t="s">
        <v>188</v>
      </c>
      <c r="G77" s="33" t="s">
        <v>220</v>
      </c>
      <c r="H77" s="30" t="s">
        <v>92</v>
      </c>
      <c r="I77" s="31"/>
      <c r="J77" s="31"/>
      <c r="K77" s="1" t="s">
        <v>4948</v>
      </c>
      <c r="L77" s="3">
        <v>44286</v>
      </c>
      <c r="M77" s="1" t="s">
        <v>35</v>
      </c>
      <c r="N77" s="239" t="s">
        <v>2518</v>
      </c>
      <c r="O77" s="92">
        <v>60</v>
      </c>
      <c r="P77" s="1">
        <v>1</v>
      </c>
      <c r="Q77" s="90">
        <v>0.21</v>
      </c>
      <c r="R77" s="90">
        <v>0</v>
      </c>
      <c r="S77" s="1"/>
      <c r="T77" s="95">
        <f t="shared" ref="T77:T110" si="3">(O77*P77)*Q77+O77*P77</f>
        <v>72.599999999999994</v>
      </c>
      <c r="U77" s="1" t="s">
        <v>129</v>
      </c>
      <c r="V77" s="6" t="s">
        <v>4975</v>
      </c>
      <c r="W77" s="2">
        <v>28804</v>
      </c>
      <c r="X77" s="2">
        <v>44273</v>
      </c>
      <c r="Y77" s="11" t="s">
        <v>5250</v>
      </c>
      <c r="Z77" s="3">
        <v>44313</v>
      </c>
      <c r="AA77" s="80" t="s">
        <v>1339</v>
      </c>
      <c r="AD77" t="s">
        <v>3198</v>
      </c>
      <c r="AF77" s="190" t="s">
        <v>4572</v>
      </c>
      <c r="AG77" t="s">
        <v>4951</v>
      </c>
    </row>
    <row r="78" spans="1:37">
      <c r="A78" s="1">
        <v>77</v>
      </c>
      <c r="B78" t="s">
        <v>4189</v>
      </c>
      <c r="C78" s="2">
        <v>44273</v>
      </c>
      <c r="D78" s="1" t="s">
        <v>4948</v>
      </c>
      <c r="E78" t="s">
        <v>4189</v>
      </c>
      <c r="F78" s="31" t="s">
        <v>188</v>
      </c>
      <c r="G78" s="33" t="s">
        <v>220</v>
      </c>
      <c r="H78" s="30" t="s">
        <v>92</v>
      </c>
      <c r="I78" s="31"/>
      <c r="J78" s="31"/>
      <c r="K78" s="1" t="s">
        <v>4948</v>
      </c>
      <c r="L78" s="3">
        <v>44286</v>
      </c>
      <c r="M78" s="1" t="s">
        <v>35</v>
      </c>
      <c r="N78" t="s">
        <v>2532</v>
      </c>
      <c r="O78" s="92">
        <v>60</v>
      </c>
      <c r="P78" s="1">
        <v>1</v>
      </c>
      <c r="Q78" s="90">
        <v>0.21</v>
      </c>
      <c r="R78" s="90">
        <v>0</v>
      </c>
      <c r="S78" s="1"/>
      <c r="T78" s="95">
        <f t="shared" si="3"/>
        <v>72.599999999999994</v>
      </c>
      <c r="U78" s="1" t="s">
        <v>97</v>
      </c>
      <c r="V78" s="6" t="s">
        <v>4987</v>
      </c>
      <c r="W78" s="2">
        <v>29820</v>
      </c>
      <c r="X78" s="2">
        <v>44273</v>
      </c>
      <c r="Y78" s="11" t="s">
        <v>5250</v>
      </c>
      <c r="Z78" s="3">
        <v>44313</v>
      </c>
      <c r="AA78" s="80" t="s">
        <v>1339</v>
      </c>
      <c r="AD78" t="s">
        <v>3198</v>
      </c>
      <c r="AF78" s="190" t="s">
        <v>4572</v>
      </c>
      <c r="AG78" t="s">
        <v>3812</v>
      </c>
    </row>
    <row r="79" spans="1:37">
      <c r="A79" s="1">
        <v>78</v>
      </c>
      <c r="B79" t="s">
        <v>4189</v>
      </c>
      <c r="C79" s="2">
        <v>44273</v>
      </c>
      <c r="D79" s="1" t="s">
        <v>4948</v>
      </c>
      <c r="E79" t="s">
        <v>4189</v>
      </c>
      <c r="F79" s="31" t="s">
        <v>188</v>
      </c>
      <c r="G79" s="33" t="s">
        <v>220</v>
      </c>
      <c r="H79" s="30" t="s">
        <v>92</v>
      </c>
      <c r="I79" s="31"/>
      <c r="J79" s="31"/>
      <c r="K79" s="1" t="s">
        <v>4948</v>
      </c>
      <c r="L79" s="3">
        <v>44286</v>
      </c>
      <c r="M79" s="1" t="s">
        <v>35</v>
      </c>
      <c r="N79" t="s">
        <v>2496</v>
      </c>
      <c r="O79" s="92">
        <v>60</v>
      </c>
      <c r="P79" s="1">
        <v>1</v>
      </c>
      <c r="Q79" s="90">
        <v>0.21</v>
      </c>
      <c r="R79" s="90">
        <v>0</v>
      </c>
      <c r="S79" s="1"/>
      <c r="T79" s="95">
        <f t="shared" si="3"/>
        <v>72.599999999999994</v>
      </c>
      <c r="U79" s="1" t="s">
        <v>194</v>
      </c>
      <c r="V79" s="6" t="s">
        <v>4983</v>
      </c>
      <c r="W79" s="2">
        <v>34714</v>
      </c>
      <c r="X79" s="2">
        <v>44273</v>
      </c>
      <c r="Y79" s="11" t="s">
        <v>5250</v>
      </c>
      <c r="Z79" s="3">
        <v>44313</v>
      </c>
      <c r="AA79" s="80" t="s">
        <v>1339</v>
      </c>
      <c r="AD79" t="s">
        <v>3198</v>
      </c>
      <c r="AF79" s="190" t="s">
        <v>4572</v>
      </c>
      <c r="AG79" t="s">
        <v>3812</v>
      </c>
    </row>
    <row r="80" spans="1:37">
      <c r="A80" s="1">
        <v>79</v>
      </c>
      <c r="B80" t="s">
        <v>4189</v>
      </c>
      <c r="C80" s="2">
        <v>44273</v>
      </c>
      <c r="D80" s="1" t="s">
        <v>4948</v>
      </c>
      <c r="E80" t="s">
        <v>4189</v>
      </c>
      <c r="F80" s="31" t="s">
        <v>188</v>
      </c>
      <c r="G80" s="33" t="s">
        <v>220</v>
      </c>
      <c r="H80" s="30" t="s">
        <v>92</v>
      </c>
      <c r="I80" s="31"/>
      <c r="J80" s="31"/>
      <c r="K80" s="1" t="s">
        <v>4948</v>
      </c>
      <c r="L80" s="3">
        <v>44286</v>
      </c>
      <c r="M80" s="1" t="s">
        <v>35</v>
      </c>
      <c r="N80" t="s">
        <v>3896</v>
      </c>
      <c r="O80" s="92">
        <v>60</v>
      </c>
      <c r="P80" s="1">
        <v>1</v>
      </c>
      <c r="Q80" s="90">
        <v>0.21</v>
      </c>
      <c r="R80" s="90">
        <v>0</v>
      </c>
      <c r="S80" s="1"/>
      <c r="T80" s="95">
        <f t="shared" si="3"/>
        <v>72.599999999999994</v>
      </c>
      <c r="U80" s="1" t="s">
        <v>3911</v>
      </c>
      <c r="V80" s="6" t="s">
        <v>4985</v>
      </c>
      <c r="W80" s="2">
        <v>35855</v>
      </c>
      <c r="X80" s="2">
        <v>44273</v>
      </c>
      <c r="Y80" s="11" t="s">
        <v>5250</v>
      </c>
      <c r="Z80" s="3">
        <v>44313</v>
      </c>
      <c r="AA80" s="80" t="s">
        <v>1339</v>
      </c>
      <c r="AD80" t="s">
        <v>3198</v>
      </c>
      <c r="AF80" s="190" t="s">
        <v>4572</v>
      </c>
      <c r="AG80" t="s">
        <v>3812</v>
      </c>
    </row>
    <row r="81" spans="1:33">
      <c r="A81" s="1">
        <v>80</v>
      </c>
      <c r="B81" t="s">
        <v>4189</v>
      </c>
      <c r="C81" s="2">
        <v>44273</v>
      </c>
      <c r="D81" s="1" t="s">
        <v>4948</v>
      </c>
      <c r="E81" t="s">
        <v>4189</v>
      </c>
      <c r="F81" s="31" t="s">
        <v>188</v>
      </c>
      <c r="G81" s="33" t="s">
        <v>220</v>
      </c>
      <c r="H81" s="30" t="s">
        <v>92</v>
      </c>
      <c r="I81" s="31"/>
      <c r="J81" s="31"/>
      <c r="K81" s="1" t="s">
        <v>4948</v>
      </c>
      <c r="L81" s="3">
        <v>44286</v>
      </c>
      <c r="M81" s="1" t="s">
        <v>35</v>
      </c>
      <c r="N81" t="s">
        <v>2502</v>
      </c>
      <c r="O81" s="92">
        <v>60</v>
      </c>
      <c r="P81" s="1">
        <v>1</v>
      </c>
      <c r="Q81" s="90">
        <v>0.21</v>
      </c>
      <c r="R81" s="90">
        <v>0</v>
      </c>
      <c r="S81" s="1"/>
      <c r="T81" s="95">
        <f t="shared" si="3"/>
        <v>72.599999999999994</v>
      </c>
      <c r="U81" s="1" t="s">
        <v>279</v>
      </c>
      <c r="V81" s="6" t="s">
        <v>4974</v>
      </c>
      <c r="W81" s="2">
        <v>30805</v>
      </c>
      <c r="X81" s="2">
        <v>44273</v>
      </c>
      <c r="Y81" s="11" t="s">
        <v>5250</v>
      </c>
      <c r="Z81" s="3">
        <v>44313</v>
      </c>
      <c r="AA81" s="80" t="s">
        <v>1339</v>
      </c>
      <c r="AD81" t="s">
        <v>3198</v>
      </c>
      <c r="AF81" s="190" t="s">
        <v>4572</v>
      </c>
      <c r="AG81" t="s">
        <v>3812</v>
      </c>
    </row>
    <row r="82" spans="1:33">
      <c r="A82" s="1">
        <v>81</v>
      </c>
      <c r="B82" t="s">
        <v>4189</v>
      </c>
      <c r="C82" s="2">
        <v>44273</v>
      </c>
      <c r="D82" s="1" t="s">
        <v>4948</v>
      </c>
      <c r="E82" t="s">
        <v>4189</v>
      </c>
      <c r="F82" s="31" t="s">
        <v>188</v>
      </c>
      <c r="G82" s="33" t="s">
        <v>220</v>
      </c>
      <c r="H82" s="30" t="s">
        <v>92</v>
      </c>
      <c r="I82" s="31"/>
      <c r="J82" s="31"/>
      <c r="K82" s="1" t="s">
        <v>4948</v>
      </c>
      <c r="L82" s="3">
        <v>44286</v>
      </c>
      <c r="M82" s="1" t="s">
        <v>35</v>
      </c>
      <c r="N82" s="238" t="s">
        <v>2534</v>
      </c>
      <c r="O82" s="92">
        <v>60</v>
      </c>
      <c r="P82" s="1">
        <v>1</v>
      </c>
      <c r="Q82" s="90">
        <v>0.21</v>
      </c>
      <c r="R82" s="90">
        <v>0</v>
      </c>
      <c r="S82" s="1"/>
      <c r="T82" s="95">
        <f t="shared" si="3"/>
        <v>72.599999999999994</v>
      </c>
      <c r="U82" s="1" t="s">
        <v>189</v>
      </c>
      <c r="V82" s="6" t="s">
        <v>4977</v>
      </c>
      <c r="W82" s="2">
        <v>29652</v>
      </c>
      <c r="X82" s="2">
        <v>44273</v>
      </c>
      <c r="Y82" s="11" t="s">
        <v>5250</v>
      </c>
      <c r="Z82" s="3">
        <v>44313</v>
      </c>
      <c r="AA82" s="80" t="s">
        <v>1339</v>
      </c>
      <c r="AD82" t="s">
        <v>3198</v>
      </c>
      <c r="AF82" s="190" t="s">
        <v>4572</v>
      </c>
      <c r="AG82" t="s">
        <v>4951</v>
      </c>
    </row>
    <row r="83" spans="1:33">
      <c r="A83" s="1">
        <v>82</v>
      </c>
      <c r="B83" t="s">
        <v>4189</v>
      </c>
      <c r="C83" s="2">
        <v>44273</v>
      </c>
      <c r="D83" s="1" t="s">
        <v>4948</v>
      </c>
      <c r="E83" t="s">
        <v>4189</v>
      </c>
      <c r="F83" s="31" t="s">
        <v>188</v>
      </c>
      <c r="G83" s="33" t="s">
        <v>220</v>
      </c>
      <c r="H83" s="30" t="s">
        <v>92</v>
      </c>
      <c r="I83" s="31"/>
      <c r="J83" s="31"/>
      <c r="K83" s="1" t="s">
        <v>4948</v>
      </c>
      <c r="L83" s="3">
        <v>44286</v>
      </c>
      <c r="M83" s="1" t="s">
        <v>35</v>
      </c>
      <c r="N83" t="s">
        <v>2561</v>
      </c>
      <c r="O83" s="92">
        <v>60</v>
      </c>
      <c r="P83" s="1">
        <v>1</v>
      </c>
      <c r="Q83" s="90">
        <v>0.21</v>
      </c>
      <c r="R83" s="90">
        <v>0</v>
      </c>
      <c r="S83" s="1"/>
      <c r="T83" s="95">
        <f t="shared" si="3"/>
        <v>72.599999999999994</v>
      </c>
      <c r="U83" s="1" t="s">
        <v>2562</v>
      </c>
      <c r="V83" s="6" t="s">
        <v>4973</v>
      </c>
      <c r="W83" s="2">
        <v>33239</v>
      </c>
      <c r="X83" s="2">
        <v>44273</v>
      </c>
      <c r="Y83" s="11" t="s">
        <v>5250</v>
      </c>
      <c r="Z83" s="3">
        <v>44313</v>
      </c>
      <c r="AA83" s="80" t="s">
        <v>1339</v>
      </c>
      <c r="AD83" t="s">
        <v>3198</v>
      </c>
      <c r="AF83" s="190" t="s">
        <v>4572</v>
      </c>
      <c r="AG83" t="s">
        <v>3812</v>
      </c>
    </row>
    <row r="84" spans="1:33">
      <c r="A84" s="1">
        <v>83</v>
      </c>
      <c r="B84" t="s">
        <v>4189</v>
      </c>
      <c r="C84" s="2">
        <v>44273</v>
      </c>
      <c r="D84" s="1" t="s">
        <v>4948</v>
      </c>
      <c r="E84" t="s">
        <v>4189</v>
      </c>
      <c r="F84" s="31" t="s">
        <v>188</v>
      </c>
      <c r="G84" s="33" t="s">
        <v>220</v>
      </c>
      <c r="H84" s="30" t="s">
        <v>92</v>
      </c>
      <c r="I84" s="31"/>
      <c r="J84" s="31"/>
      <c r="K84" s="1" t="s">
        <v>4948</v>
      </c>
      <c r="L84" s="3">
        <v>44286</v>
      </c>
      <c r="M84" s="1" t="s">
        <v>35</v>
      </c>
      <c r="N84" t="s">
        <v>2516</v>
      </c>
      <c r="O84" s="92">
        <v>60</v>
      </c>
      <c r="P84" s="1">
        <v>1</v>
      </c>
      <c r="Q84" s="90">
        <v>0.21</v>
      </c>
      <c r="R84" s="90">
        <v>0</v>
      </c>
      <c r="S84" s="1"/>
      <c r="T84" s="95">
        <f t="shared" si="3"/>
        <v>72.599999999999994</v>
      </c>
      <c r="U84" s="1" t="s">
        <v>275</v>
      </c>
      <c r="V84" s="6" t="s">
        <v>4972</v>
      </c>
      <c r="W84" s="2">
        <v>34788</v>
      </c>
      <c r="X84" s="2">
        <v>44273</v>
      </c>
      <c r="Y84" s="11" t="s">
        <v>5250</v>
      </c>
      <c r="Z84" s="3">
        <v>44313</v>
      </c>
      <c r="AA84" s="80" t="s">
        <v>1339</v>
      </c>
      <c r="AD84" t="s">
        <v>3198</v>
      </c>
      <c r="AF84" s="190" t="s">
        <v>4572</v>
      </c>
      <c r="AG84" t="s">
        <v>3812</v>
      </c>
    </row>
    <row r="85" spans="1:33">
      <c r="A85" s="1">
        <v>84</v>
      </c>
      <c r="B85" t="s">
        <v>4189</v>
      </c>
      <c r="C85" s="2">
        <v>44273</v>
      </c>
      <c r="D85" s="1" t="s">
        <v>4948</v>
      </c>
      <c r="E85" t="s">
        <v>4189</v>
      </c>
      <c r="F85" s="31" t="s">
        <v>188</v>
      </c>
      <c r="G85" s="33" t="s">
        <v>220</v>
      </c>
      <c r="H85" s="30" t="s">
        <v>92</v>
      </c>
      <c r="I85" s="31"/>
      <c r="J85" s="31"/>
      <c r="K85" s="1" t="s">
        <v>4948</v>
      </c>
      <c r="L85" s="3">
        <v>44286</v>
      </c>
      <c r="M85" s="1" t="s">
        <v>35</v>
      </c>
      <c r="N85" t="s">
        <v>2564</v>
      </c>
      <c r="O85" s="92">
        <v>60</v>
      </c>
      <c r="P85" s="1">
        <v>1</v>
      </c>
      <c r="Q85" s="90">
        <v>0.21</v>
      </c>
      <c r="R85" s="90">
        <v>0</v>
      </c>
      <c r="S85" s="1"/>
      <c r="T85" s="95">
        <f t="shared" si="3"/>
        <v>72.599999999999994</v>
      </c>
      <c r="U85" s="1" t="s">
        <v>2565</v>
      </c>
      <c r="V85" s="6" t="s">
        <v>4976</v>
      </c>
      <c r="W85" s="2">
        <v>26897</v>
      </c>
      <c r="X85" s="2">
        <v>44273</v>
      </c>
      <c r="Y85" s="11" t="s">
        <v>5250</v>
      </c>
      <c r="Z85" s="3">
        <v>44313</v>
      </c>
      <c r="AA85" s="80" t="s">
        <v>1339</v>
      </c>
      <c r="AD85" t="s">
        <v>3198</v>
      </c>
      <c r="AF85" s="190" t="s">
        <v>4572</v>
      </c>
      <c r="AG85" t="s">
        <v>3812</v>
      </c>
    </row>
    <row r="86" spans="1:33">
      <c r="A86" s="1">
        <v>85</v>
      </c>
      <c r="B86" t="s">
        <v>4189</v>
      </c>
      <c r="C86" s="2">
        <v>44273</v>
      </c>
      <c r="D86" s="1" t="s">
        <v>4948</v>
      </c>
      <c r="E86" t="s">
        <v>4189</v>
      </c>
      <c r="F86" s="31" t="s">
        <v>188</v>
      </c>
      <c r="G86" s="33" t="s">
        <v>220</v>
      </c>
      <c r="H86" s="30" t="s">
        <v>92</v>
      </c>
      <c r="I86" s="31"/>
      <c r="J86" s="31"/>
      <c r="K86" s="1" t="s">
        <v>4948</v>
      </c>
      <c r="L86" s="3">
        <v>44286</v>
      </c>
      <c r="M86" s="1" t="s">
        <v>35</v>
      </c>
      <c r="N86" t="s">
        <v>2512</v>
      </c>
      <c r="O86" s="92">
        <v>60</v>
      </c>
      <c r="P86" s="1">
        <v>1</v>
      </c>
      <c r="Q86" s="90">
        <v>0.21</v>
      </c>
      <c r="R86" s="90">
        <v>0</v>
      </c>
      <c r="S86" s="1"/>
      <c r="T86" s="95">
        <f t="shared" si="3"/>
        <v>72.599999999999994</v>
      </c>
      <c r="U86" s="1" t="s">
        <v>191</v>
      </c>
      <c r="V86" s="6" t="s">
        <v>4996</v>
      </c>
      <c r="W86" s="2">
        <v>32608</v>
      </c>
      <c r="X86" s="2">
        <v>44273</v>
      </c>
      <c r="Y86" s="11" t="s">
        <v>5250</v>
      </c>
      <c r="Z86" s="3">
        <v>44313</v>
      </c>
      <c r="AA86" s="80" t="s">
        <v>1339</v>
      </c>
      <c r="AD86" t="s">
        <v>3198</v>
      </c>
      <c r="AF86" s="190" t="s">
        <v>4572</v>
      </c>
      <c r="AG86" t="s">
        <v>3812</v>
      </c>
    </row>
    <row r="87" spans="1:33">
      <c r="A87" s="1">
        <v>86</v>
      </c>
      <c r="B87" t="s">
        <v>4189</v>
      </c>
      <c r="C87" s="2">
        <v>44273</v>
      </c>
      <c r="D87" s="1" t="s">
        <v>4948</v>
      </c>
      <c r="E87" t="s">
        <v>4189</v>
      </c>
      <c r="F87" s="31" t="s">
        <v>188</v>
      </c>
      <c r="G87" s="33" t="s">
        <v>220</v>
      </c>
      <c r="H87" s="30" t="s">
        <v>92</v>
      </c>
      <c r="I87" s="31"/>
      <c r="J87" s="31"/>
      <c r="K87" s="1" t="s">
        <v>4948</v>
      </c>
      <c r="L87" s="3">
        <v>44286</v>
      </c>
      <c r="M87" s="1" t="s">
        <v>35</v>
      </c>
      <c r="N87" t="s">
        <v>2508</v>
      </c>
      <c r="O87" s="92">
        <v>60</v>
      </c>
      <c r="P87" s="1">
        <v>1</v>
      </c>
      <c r="Q87" s="90">
        <v>0.21</v>
      </c>
      <c r="R87" s="90">
        <v>0</v>
      </c>
      <c r="S87" s="1"/>
      <c r="T87" s="95">
        <f t="shared" si="3"/>
        <v>72.599999999999994</v>
      </c>
      <c r="U87" s="1" t="s">
        <v>96</v>
      </c>
      <c r="V87" s="6" t="s">
        <v>4989</v>
      </c>
      <c r="W87" s="2">
        <v>31280</v>
      </c>
      <c r="X87" s="2">
        <v>44273</v>
      </c>
      <c r="Y87" s="11" t="s">
        <v>5250</v>
      </c>
      <c r="Z87" s="3">
        <v>44313</v>
      </c>
      <c r="AA87" s="80" t="s">
        <v>1339</v>
      </c>
      <c r="AD87" t="s">
        <v>3198</v>
      </c>
      <c r="AF87" s="190" t="s">
        <v>4572</v>
      </c>
      <c r="AG87" t="s">
        <v>3812</v>
      </c>
    </row>
    <row r="88" spans="1:33">
      <c r="A88" s="1">
        <v>87</v>
      </c>
      <c r="B88" t="s">
        <v>4189</v>
      </c>
      <c r="C88" s="2">
        <v>44273</v>
      </c>
      <c r="D88" s="1" t="s">
        <v>4948</v>
      </c>
      <c r="E88" t="s">
        <v>4189</v>
      </c>
      <c r="F88" s="31" t="s">
        <v>188</v>
      </c>
      <c r="G88" s="33" t="s">
        <v>220</v>
      </c>
      <c r="H88" s="30" t="s">
        <v>92</v>
      </c>
      <c r="I88" s="31"/>
      <c r="J88" s="31"/>
      <c r="K88" s="1" t="s">
        <v>4948</v>
      </c>
      <c r="L88" s="3">
        <v>44286</v>
      </c>
      <c r="M88" s="1" t="s">
        <v>35</v>
      </c>
      <c r="N88" t="s">
        <v>3898</v>
      </c>
      <c r="O88" s="92">
        <v>60</v>
      </c>
      <c r="P88" s="1">
        <v>1</v>
      </c>
      <c r="Q88" s="90">
        <v>0.21</v>
      </c>
      <c r="R88" s="90">
        <v>0</v>
      </c>
      <c r="S88" s="1"/>
      <c r="T88" s="95">
        <f t="shared" si="3"/>
        <v>72.599999999999994</v>
      </c>
      <c r="U88" s="1" t="s">
        <v>3922</v>
      </c>
      <c r="V88" s="6" t="s">
        <v>4988</v>
      </c>
      <c r="W88" s="2">
        <v>33132</v>
      </c>
      <c r="X88" s="2">
        <v>44273</v>
      </c>
      <c r="Y88" s="11" t="s">
        <v>5250</v>
      </c>
      <c r="Z88" s="3">
        <v>44313</v>
      </c>
      <c r="AA88" s="80" t="s">
        <v>1339</v>
      </c>
      <c r="AD88" t="s">
        <v>3198</v>
      </c>
      <c r="AF88" s="190" t="s">
        <v>4572</v>
      </c>
      <c r="AG88" t="s">
        <v>3812</v>
      </c>
    </row>
    <row r="89" spans="1:33">
      <c r="A89" s="1">
        <v>88</v>
      </c>
      <c r="B89" t="s">
        <v>4189</v>
      </c>
      <c r="C89" s="2">
        <v>44273</v>
      </c>
      <c r="D89" s="1" t="s">
        <v>4948</v>
      </c>
      <c r="E89" t="s">
        <v>4189</v>
      </c>
      <c r="F89" s="31" t="s">
        <v>188</v>
      </c>
      <c r="G89" s="33" t="s">
        <v>220</v>
      </c>
      <c r="H89" s="30" t="s">
        <v>92</v>
      </c>
      <c r="I89" s="31"/>
      <c r="J89" s="31"/>
      <c r="K89" s="1" t="s">
        <v>4948</v>
      </c>
      <c r="L89" s="3">
        <v>44286</v>
      </c>
      <c r="M89" s="1" t="s">
        <v>35</v>
      </c>
      <c r="N89" t="s">
        <v>2514</v>
      </c>
      <c r="O89" s="92">
        <v>60</v>
      </c>
      <c r="P89" s="1">
        <v>1</v>
      </c>
      <c r="Q89" s="90">
        <v>0.21</v>
      </c>
      <c r="R89" s="90">
        <v>0</v>
      </c>
      <c r="S89" s="1"/>
      <c r="T89" s="95">
        <f t="shared" si="3"/>
        <v>72.599999999999994</v>
      </c>
      <c r="U89" s="1" t="s">
        <v>277</v>
      </c>
      <c r="V89" s="6" t="s">
        <v>4981</v>
      </c>
      <c r="W89" s="2">
        <v>31899</v>
      </c>
      <c r="X89" s="2">
        <v>44273</v>
      </c>
      <c r="Y89" s="11" t="s">
        <v>5250</v>
      </c>
      <c r="Z89" s="3">
        <v>44313</v>
      </c>
      <c r="AA89" s="80" t="s">
        <v>1339</v>
      </c>
      <c r="AD89" t="s">
        <v>3198</v>
      </c>
      <c r="AF89" s="190" t="s">
        <v>4572</v>
      </c>
      <c r="AG89" t="s">
        <v>3812</v>
      </c>
    </row>
    <row r="90" spans="1:33">
      <c r="A90" s="1">
        <v>89</v>
      </c>
      <c r="B90" t="s">
        <v>4189</v>
      </c>
      <c r="C90" s="2">
        <v>44273</v>
      </c>
      <c r="D90" s="1" t="s">
        <v>4948</v>
      </c>
      <c r="E90" t="s">
        <v>4189</v>
      </c>
      <c r="F90" s="31" t="s">
        <v>188</v>
      </c>
      <c r="G90" s="33" t="s">
        <v>220</v>
      </c>
      <c r="H90" s="30" t="s">
        <v>92</v>
      </c>
      <c r="I90" s="31"/>
      <c r="J90" s="31"/>
      <c r="K90" s="1" t="s">
        <v>4948</v>
      </c>
      <c r="L90" s="3">
        <v>44286</v>
      </c>
      <c r="M90" s="1" t="s">
        <v>35</v>
      </c>
      <c r="N90" t="s">
        <v>3899</v>
      </c>
      <c r="O90" s="92">
        <v>60</v>
      </c>
      <c r="P90" s="1">
        <v>1</v>
      </c>
      <c r="Q90" s="90">
        <v>0.21</v>
      </c>
      <c r="R90" s="90">
        <v>0</v>
      </c>
      <c r="S90" s="1"/>
      <c r="T90" s="95">
        <f t="shared" si="3"/>
        <v>72.599999999999994</v>
      </c>
      <c r="U90" s="1" t="s">
        <v>3925</v>
      </c>
      <c r="V90" s="6" t="s">
        <v>4984</v>
      </c>
      <c r="W90" s="2">
        <v>34701</v>
      </c>
      <c r="X90" s="2">
        <v>44273</v>
      </c>
      <c r="Y90" s="11" t="s">
        <v>5250</v>
      </c>
      <c r="Z90" s="3">
        <v>44313</v>
      </c>
      <c r="AA90" s="80" t="s">
        <v>1339</v>
      </c>
      <c r="AD90" t="s">
        <v>3198</v>
      </c>
      <c r="AF90" s="190" t="s">
        <v>4572</v>
      </c>
      <c r="AG90" t="s">
        <v>3812</v>
      </c>
    </row>
    <row r="91" spans="1:33">
      <c r="A91" s="1">
        <v>90</v>
      </c>
      <c r="B91" t="s">
        <v>4189</v>
      </c>
      <c r="C91" s="2">
        <v>44273</v>
      </c>
      <c r="D91" s="1" t="s">
        <v>4948</v>
      </c>
      <c r="E91" t="s">
        <v>4189</v>
      </c>
      <c r="F91" s="31" t="s">
        <v>188</v>
      </c>
      <c r="G91" s="33" t="s">
        <v>220</v>
      </c>
      <c r="H91" s="30" t="s">
        <v>92</v>
      </c>
      <c r="I91" s="31"/>
      <c r="J91" s="31"/>
      <c r="K91" s="1" t="s">
        <v>4948</v>
      </c>
      <c r="L91" s="3">
        <v>44286</v>
      </c>
      <c r="M91" s="1" t="s">
        <v>35</v>
      </c>
      <c r="N91" t="s">
        <v>2510</v>
      </c>
      <c r="O91" s="92">
        <v>60</v>
      </c>
      <c r="P91" s="1">
        <v>1</v>
      </c>
      <c r="Q91" s="90">
        <v>0.21</v>
      </c>
      <c r="R91" s="90">
        <v>0</v>
      </c>
      <c r="S91" s="1"/>
      <c r="T91" s="95">
        <f t="shared" si="3"/>
        <v>72.599999999999994</v>
      </c>
      <c r="U91" s="1" t="s">
        <v>3927</v>
      </c>
      <c r="V91" s="6" t="s">
        <v>4982</v>
      </c>
      <c r="W91" s="2">
        <v>29961</v>
      </c>
      <c r="X91" s="2">
        <v>44273</v>
      </c>
      <c r="Y91" s="11" t="s">
        <v>5250</v>
      </c>
      <c r="Z91" s="3">
        <v>44313</v>
      </c>
      <c r="AA91" s="80" t="s">
        <v>1339</v>
      </c>
      <c r="AD91" t="s">
        <v>3198</v>
      </c>
      <c r="AF91" s="190" t="s">
        <v>4572</v>
      </c>
      <c r="AG91" t="s">
        <v>3812</v>
      </c>
    </row>
    <row r="92" spans="1:33">
      <c r="A92" s="1">
        <v>91</v>
      </c>
      <c r="B92" t="s">
        <v>4189</v>
      </c>
      <c r="C92" s="2">
        <v>44273</v>
      </c>
      <c r="D92" s="1" t="s">
        <v>4948</v>
      </c>
      <c r="E92" t="s">
        <v>4189</v>
      </c>
      <c r="F92" s="31" t="s">
        <v>188</v>
      </c>
      <c r="G92" s="33" t="s">
        <v>220</v>
      </c>
      <c r="H92" s="30" t="s">
        <v>92</v>
      </c>
      <c r="I92" s="31"/>
      <c r="J92" s="31"/>
      <c r="K92" s="1" t="s">
        <v>4948</v>
      </c>
      <c r="L92" s="3">
        <v>44286</v>
      </c>
      <c r="M92" s="1" t="s">
        <v>35</v>
      </c>
      <c r="N92" t="s">
        <v>2506</v>
      </c>
      <c r="O92" s="92">
        <v>60</v>
      </c>
      <c r="P92" s="1">
        <v>1</v>
      </c>
      <c r="Q92" s="90">
        <v>0.21</v>
      </c>
      <c r="R92" s="90">
        <v>0</v>
      </c>
      <c r="S92" s="1"/>
      <c r="T92" s="95">
        <f t="shared" si="3"/>
        <v>72.599999999999994</v>
      </c>
      <c r="U92" s="2" t="s">
        <v>530</v>
      </c>
      <c r="V92" s="6" t="s">
        <v>4995</v>
      </c>
      <c r="W92" s="2">
        <v>32483</v>
      </c>
      <c r="X92" s="2">
        <v>44273</v>
      </c>
      <c r="Y92" s="11" t="s">
        <v>5250</v>
      </c>
      <c r="Z92" s="3">
        <v>44313</v>
      </c>
      <c r="AA92" s="80" t="s">
        <v>1339</v>
      </c>
      <c r="AD92" t="s">
        <v>3198</v>
      </c>
      <c r="AF92" s="190" t="s">
        <v>4572</v>
      </c>
      <c r="AG92" t="s">
        <v>3812</v>
      </c>
    </row>
    <row r="93" spans="1:33">
      <c r="A93" s="1">
        <v>92</v>
      </c>
      <c r="B93" t="s">
        <v>4189</v>
      </c>
      <c r="C93" s="2">
        <v>44273</v>
      </c>
      <c r="D93" s="1" t="s">
        <v>4948</v>
      </c>
      <c r="E93" t="s">
        <v>4189</v>
      </c>
      <c r="F93" s="31" t="s">
        <v>188</v>
      </c>
      <c r="G93" s="33" t="s">
        <v>220</v>
      </c>
      <c r="H93" s="30" t="s">
        <v>92</v>
      </c>
      <c r="I93" s="31"/>
      <c r="J93" s="31"/>
      <c r="K93" s="1" t="s">
        <v>4948</v>
      </c>
      <c r="L93" s="3">
        <v>44286</v>
      </c>
      <c r="M93" s="1" t="s">
        <v>35</v>
      </c>
      <c r="N93" t="s">
        <v>4949</v>
      </c>
      <c r="O93" s="92">
        <v>60</v>
      </c>
      <c r="P93" s="1">
        <v>1</v>
      </c>
      <c r="Q93" s="90">
        <v>0.21</v>
      </c>
      <c r="R93" s="90">
        <v>0</v>
      </c>
      <c r="S93" s="1"/>
      <c r="T93" s="95">
        <f t="shared" si="3"/>
        <v>72.599999999999994</v>
      </c>
      <c r="U93" s="2" t="s">
        <v>4979</v>
      </c>
      <c r="V93" s="6" t="s">
        <v>4978</v>
      </c>
      <c r="W93" s="2">
        <v>31875</v>
      </c>
      <c r="X93" s="2">
        <v>44273</v>
      </c>
      <c r="Y93" s="11" t="s">
        <v>5250</v>
      </c>
      <c r="Z93" s="3">
        <v>44313</v>
      </c>
      <c r="AA93" s="80" t="s">
        <v>1339</v>
      </c>
      <c r="AD93" t="s">
        <v>3198</v>
      </c>
      <c r="AF93" s="190" t="s">
        <v>4572</v>
      </c>
      <c r="AG93" t="s">
        <v>3812</v>
      </c>
    </row>
    <row r="94" spans="1:33">
      <c r="A94" s="1">
        <v>93</v>
      </c>
      <c r="B94" t="s">
        <v>4189</v>
      </c>
      <c r="C94" s="2">
        <v>44273</v>
      </c>
      <c r="D94" s="1" t="s">
        <v>4948</v>
      </c>
      <c r="E94" t="s">
        <v>4189</v>
      </c>
      <c r="F94" s="31" t="s">
        <v>188</v>
      </c>
      <c r="G94" s="33" t="s">
        <v>220</v>
      </c>
      <c r="H94" s="30" t="s">
        <v>92</v>
      </c>
      <c r="I94" s="31"/>
      <c r="J94" s="31"/>
      <c r="K94" s="1" t="s">
        <v>4948</v>
      </c>
      <c r="L94" s="3">
        <v>44286</v>
      </c>
      <c r="M94" s="1" t="s">
        <v>35</v>
      </c>
      <c r="N94" s="240" t="s">
        <v>2536</v>
      </c>
      <c r="O94" s="92">
        <v>60</v>
      </c>
      <c r="P94" s="1">
        <v>1</v>
      </c>
      <c r="Q94" s="90">
        <v>0.21</v>
      </c>
      <c r="R94" s="90">
        <v>0</v>
      </c>
      <c r="S94" s="1"/>
      <c r="T94" s="95">
        <f t="shared" si="3"/>
        <v>72.599999999999994</v>
      </c>
      <c r="U94" s="2" t="s">
        <v>94</v>
      </c>
      <c r="V94" s="6" t="s">
        <v>4986</v>
      </c>
      <c r="W94" s="2">
        <v>26463</v>
      </c>
      <c r="X94" s="2">
        <v>44273</v>
      </c>
      <c r="Y94" s="11" t="s">
        <v>5250</v>
      </c>
      <c r="Z94" s="3">
        <v>44313</v>
      </c>
      <c r="AA94" s="80" t="s">
        <v>1339</v>
      </c>
      <c r="AD94" t="s">
        <v>3198</v>
      </c>
      <c r="AF94" s="190" t="s">
        <v>4572</v>
      </c>
      <c r="AG94" t="s">
        <v>4951</v>
      </c>
    </row>
    <row r="95" spans="1:33">
      <c r="A95" s="1">
        <v>94</v>
      </c>
      <c r="B95" t="s">
        <v>4189</v>
      </c>
      <c r="C95" s="2">
        <v>44273</v>
      </c>
      <c r="D95" s="1" t="s">
        <v>4948</v>
      </c>
      <c r="E95" t="s">
        <v>4189</v>
      </c>
      <c r="F95" s="31" t="s">
        <v>188</v>
      </c>
      <c r="G95" s="33" t="s">
        <v>220</v>
      </c>
      <c r="H95" s="30" t="s">
        <v>92</v>
      </c>
      <c r="I95" s="31"/>
      <c r="J95" s="31"/>
      <c r="K95" s="1" t="s">
        <v>4948</v>
      </c>
      <c r="L95" s="3">
        <v>44286</v>
      </c>
      <c r="M95" s="1" t="s">
        <v>35</v>
      </c>
      <c r="N95" t="s">
        <v>3900</v>
      </c>
      <c r="O95" s="92">
        <v>60</v>
      </c>
      <c r="P95" s="1">
        <v>1</v>
      </c>
      <c r="Q95" s="90">
        <v>0.21</v>
      </c>
      <c r="R95" s="90">
        <v>0</v>
      </c>
      <c r="S95" s="1"/>
      <c r="T95" s="95">
        <f t="shared" si="3"/>
        <v>72.599999999999994</v>
      </c>
      <c r="U95" s="2" t="s">
        <v>3929</v>
      </c>
      <c r="V95" s="6" t="s">
        <v>4998</v>
      </c>
      <c r="W95" s="2">
        <v>35201</v>
      </c>
      <c r="X95" s="2">
        <v>44273</v>
      </c>
      <c r="Y95" s="11" t="s">
        <v>5250</v>
      </c>
      <c r="Z95" s="3">
        <v>44313</v>
      </c>
      <c r="AA95" s="80" t="s">
        <v>1339</v>
      </c>
      <c r="AD95" t="s">
        <v>3198</v>
      </c>
      <c r="AF95" s="190" t="s">
        <v>4572</v>
      </c>
      <c r="AG95" t="s">
        <v>3812</v>
      </c>
    </row>
    <row r="96" spans="1:33">
      <c r="A96" s="1">
        <v>95</v>
      </c>
      <c r="B96" t="s">
        <v>4189</v>
      </c>
      <c r="C96" s="2">
        <v>44273</v>
      </c>
      <c r="D96" s="1" t="s">
        <v>4948</v>
      </c>
      <c r="E96" t="s">
        <v>4189</v>
      </c>
      <c r="F96" s="31" t="s">
        <v>188</v>
      </c>
      <c r="G96" s="33" t="s">
        <v>220</v>
      </c>
      <c r="H96" s="30" t="s">
        <v>92</v>
      </c>
      <c r="I96" s="31"/>
      <c r="J96" s="31"/>
      <c r="K96" s="1" t="s">
        <v>4948</v>
      </c>
      <c r="L96" s="3">
        <v>44286</v>
      </c>
      <c r="M96" s="1" t="s">
        <v>35</v>
      </c>
      <c r="N96" t="s">
        <v>2547</v>
      </c>
      <c r="O96" s="92">
        <v>60</v>
      </c>
      <c r="P96" s="1">
        <v>1</v>
      </c>
      <c r="Q96" s="90">
        <v>0.21</v>
      </c>
      <c r="R96" s="90">
        <v>0</v>
      </c>
      <c r="S96" s="1"/>
      <c r="T96" s="95">
        <f t="shared" si="3"/>
        <v>72.599999999999994</v>
      </c>
      <c r="U96" s="2" t="s">
        <v>95</v>
      </c>
      <c r="V96" s="6" t="s">
        <v>4991</v>
      </c>
      <c r="W96" s="2">
        <v>27312</v>
      </c>
      <c r="X96" s="2">
        <v>44273</v>
      </c>
      <c r="Y96" s="11" t="s">
        <v>5250</v>
      </c>
      <c r="Z96" s="3">
        <v>44313</v>
      </c>
      <c r="AA96" s="80" t="s">
        <v>1339</v>
      </c>
      <c r="AD96" t="s">
        <v>3198</v>
      </c>
      <c r="AF96" s="190" t="s">
        <v>4572</v>
      </c>
      <c r="AG96" t="s">
        <v>3812</v>
      </c>
    </row>
    <row r="97" spans="1:37">
      <c r="A97" s="1">
        <v>96</v>
      </c>
      <c r="B97" t="s">
        <v>4189</v>
      </c>
      <c r="C97" s="2">
        <v>44273</v>
      </c>
      <c r="D97" s="1" t="s">
        <v>4948</v>
      </c>
      <c r="E97" t="s">
        <v>4189</v>
      </c>
      <c r="F97" s="31" t="s">
        <v>188</v>
      </c>
      <c r="G97" s="33" t="s">
        <v>220</v>
      </c>
      <c r="H97" s="30" t="s">
        <v>92</v>
      </c>
      <c r="I97" s="31"/>
      <c r="J97" s="31"/>
      <c r="K97" s="1" t="s">
        <v>4948</v>
      </c>
      <c r="L97" s="3">
        <v>44286</v>
      </c>
      <c r="M97" s="1" t="s">
        <v>35</v>
      </c>
      <c r="N97" t="s">
        <v>2504</v>
      </c>
      <c r="O97" s="92">
        <v>60</v>
      </c>
      <c r="P97" s="1">
        <v>1</v>
      </c>
      <c r="Q97" s="90">
        <v>0.21</v>
      </c>
      <c r="R97" s="90">
        <v>0</v>
      </c>
      <c r="S97" s="1"/>
      <c r="T97" s="95">
        <f t="shared" si="3"/>
        <v>72.599999999999994</v>
      </c>
      <c r="U97" s="2" t="s">
        <v>511</v>
      </c>
      <c r="V97" s="6" t="s">
        <v>4980</v>
      </c>
      <c r="W97" s="2">
        <v>26947</v>
      </c>
      <c r="X97" s="2">
        <v>44273</v>
      </c>
      <c r="Y97" s="11" t="s">
        <v>5250</v>
      </c>
      <c r="Z97" s="3">
        <v>44313</v>
      </c>
      <c r="AA97" s="80" t="s">
        <v>1339</v>
      </c>
      <c r="AD97" t="s">
        <v>3198</v>
      </c>
      <c r="AF97" s="190" t="s">
        <v>4572</v>
      </c>
      <c r="AG97" t="s">
        <v>3812</v>
      </c>
    </row>
    <row r="98" spans="1:37">
      <c r="A98" s="1">
        <v>97</v>
      </c>
      <c r="B98" t="s">
        <v>4189</v>
      </c>
      <c r="C98" s="2">
        <v>44273</v>
      </c>
      <c r="D98" s="1" t="s">
        <v>4948</v>
      </c>
      <c r="E98" t="s">
        <v>4189</v>
      </c>
      <c r="F98" s="31" t="s">
        <v>188</v>
      </c>
      <c r="G98" s="33" t="s">
        <v>220</v>
      </c>
      <c r="H98" s="30" t="s">
        <v>92</v>
      </c>
      <c r="I98" s="31"/>
      <c r="J98" s="31"/>
      <c r="K98" s="1" t="s">
        <v>4948</v>
      </c>
      <c r="L98" s="3">
        <v>44286</v>
      </c>
      <c r="M98" s="1" t="s">
        <v>35</v>
      </c>
      <c r="N98" t="s">
        <v>3902</v>
      </c>
      <c r="O98" s="92">
        <v>60</v>
      </c>
      <c r="P98" s="1">
        <v>1</v>
      </c>
      <c r="Q98" s="90">
        <v>0.21</v>
      </c>
      <c r="R98" s="90">
        <v>0</v>
      </c>
      <c r="S98" s="1"/>
      <c r="T98" s="95">
        <f t="shared" si="3"/>
        <v>72.599999999999994</v>
      </c>
      <c r="U98" s="2" t="s">
        <v>3931</v>
      </c>
      <c r="V98" s="6" t="s">
        <v>4999</v>
      </c>
      <c r="W98" s="2">
        <v>35201</v>
      </c>
      <c r="X98" s="2">
        <v>44273</v>
      </c>
      <c r="Y98" s="11" t="s">
        <v>5250</v>
      </c>
      <c r="Z98" s="3">
        <v>44313</v>
      </c>
      <c r="AA98" s="80" t="s">
        <v>1339</v>
      </c>
      <c r="AD98" t="s">
        <v>3198</v>
      </c>
      <c r="AF98" s="190" t="s">
        <v>4572</v>
      </c>
      <c r="AG98" t="s">
        <v>3812</v>
      </c>
    </row>
    <row r="99" spans="1:37">
      <c r="A99" s="1">
        <v>98</v>
      </c>
      <c r="B99" t="s">
        <v>4189</v>
      </c>
      <c r="C99" s="2">
        <v>44273</v>
      </c>
      <c r="D99" s="1" t="s">
        <v>4948</v>
      </c>
      <c r="E99" t="s">
        <v>4189</v>
      </c>
      <c r="F99" s="31" t="s">
        <v>188</v>
      </c>
      <c r="G99" s="33" t="s">
        <v>220</v>
      </c>
      <c r="H99" s="30" t="s">
        <v>92</v>
      </c>
      <c r="I99" s="31"/>
      <c r="J99" s="31"/>
      <c r="K99" s="1" t="s">
        <v>4948</v>
      </c>
      <c r="L99" s="3">
        <v>44286</v>
      </c>
      <c r="M99" s="1" t="s">
        <v>35</v>
      </c>
      <c r="N99" t="s">
        <v>2540</v>
      </c>
      <c r="O99" s="92">
        <v>60</v>
      </c>
      <c r="P99" s="1">
        <v>1</v>
      </c>
      <c r="Q99" s="90">
        <v>0.21</v>
      </c>
      <c r="R99" s="90">
        <v>0</v>
      </c>
      <c r="S99" s="1"/>
      <c r="T99" s="95">
        <f t="shared" si="3"/>
        <v>72.599999999999994</v>
      </c>
      <c r="U99" s="2" t="s">
        <v>280</v>
      </c>
      <c r="V99" s="6" t="s">
        <v>5000</v>
      </c>
      <c r="W99" s="2">
        <v>34815</v>
      </c>
      <c r="X99" s="2">
        <v>44273</v>
      </c>
      <c r="Y99" s="11" t="s">
        <v>5250</v>
      </c>
      <c r="Z99" s="3">
        <v>44313</v>
      </c>
      <c r="AA99" s="80" t="s">
        <v>1339</v>
      </c>
      <c r="AD99" t="s">
        <v>3198</v>
      </c>
      <c r="AF99" s="190" t="s">
        <v>4572</v>
      </c>
      <c r="AG99" t="s">
        <v>3812</v>
      </c>
    </row>
    <row r="100" spans="1:37">
      <c r="A100" s="1">
        <v>99</v>
      </c>
      <c r="B100" t="s">
        <v>4189</v>
      </c>
      <c r="C100" s="2">
        <v>44273</v>
      </c>
      <c r="D100" s="1" t="s">
        <v>4948</v>
      </c>
      <c r="E100" t="s">
        <v>4189</v>
      </c>
      <c r="F100" s="31" t="s">
        <v>188</v>
      </c>
      <c r="G100" s="33" t="s">
        <v>220</v>
      </c>
      <c r="H100" s="30" t="s">
        <v>92</v>
      </c>
      <c r="I100" s="31"/>
      <c r="J100" s="31"/>
      <c r="K100" s="1" t="s">
        <v>4948</v>
      </c>
      <c r="L100" s="3">
        <v>44286</v>
      </c>
      <c r="M100" s="1" t="s">
        <v>35</v>
      </c>
      <c r="N100" t="s">
        <v>4950</v>
      </c>
      <c r="O100" s="92">
        <v>60</v>
      </c>
      <c r="P100" s="1">
        <v>1</v>
      </c>
      <c r="Q100" s="90">
        <v>0.21</v>
      </c>
      <c r="R100" s="90">
        <v>0</v>
      </c>
      <c r="S100" s="1"/>
      <c r="T100" s="95">
        <f t="shared" si="3"/>
        <v>72.599999999999994</v>
      </c>
      <c r="U100" s="1" t="s">
        <v>5013</v>
      </c>
      <c r="V100" s="6" t="s">
        <v>5005</v>
      </c>
      <c r="W100" s="2">
        <v>29303</v>
      </c>
      <c r="X100" s="2">
        <v>44273</v>
      </c>
      <c r="Y100" s="11" t="s">
        <v>5250</v>
      </c>
      <c r="Z100" s="3">
        <v>44313</v>
      </c>
      <c r="AA100" s="80" t="s">
        <v>1339</v>
      </c>
      <c r="AD100" t="s">
        <v>3198</v>
      </c>
      <c r="AF100" s="190" t="s">
        <v>4572</v>
      </c>
      <c r="AG100" t="s">
        <v>3812</v>
      </c>
    </row>
    <row r="101" spans="1:37">
      <c r="A101" s="1">
        <v>100</v>
      </c>
      <c r="B101" t="s">
        <v>4189</v>
      </c>
      <c r="C101" s="2">
        <v>44273</v>
      </c>
      <c r="D101" s="1" t="s">
        <v>4948</v>
      </c>
      <c r="E101" t="s">
        <v>4189</v>
      </c>
      <c r="F101" s="31" t="s">
        <v>188</v>
      </c>
      <c r="G101" s="33" t="s">
        <v>220</v>
      </c>
      <c r="H101" s="30" t="s">
        <v>92</v>
      </c>
      <c r="I101" s="31"/>
      <c r="J101" s="31"/>
      <c r="K101" s="1" t="s">
        <v>4948</v>
      </c>
      <c r="L101" s="3">
        <v>44286</v>
      </c>
      <c r="M101" s="1" t="s">
        <v>35</v>
      </c>
      <c r="N101" t="s">
        <v>2538</v>
      </c>
      <c r="O101" s="92">
        <v>60</v>
      </c>
      <c r="P101" s="1">
        <v>1</v>
      </c>
      <c r="Q101" s="90">
        <v>0.21</v>
      </c>
      <c r="R101" s="90">
        <v>0</v>
      </c>
      <c r="S101" s="1"/>
      <c r="T101" s="95">
        <f t="shared" si="3"/>
        <v>72.599999999999994</v>
      </c>
      <c r="U101" s="2" t="s">
        <v>127</v>
      </c>
      <c r="V101" s="6" t="s">
        <v>5001</v>
      </c>
      <c r="W101" s="2">
        <v>31299</v>
      </c>
      <c r="X101" s="2">
        <v>44273</v>
      </c>
      <c r="Y101" s="11" t="s">
        <v>5250</v>
      </c>
      <c r="Z101" s="3">
        <v>44313</v>
      </c>
      <c r="AA101" s="80" t="s">
        <v>1339</v>
      </c>
      <c r="AD101" t="s">
        <v>3198</v>
      </c>
      <c r="AF101" s="190" t="s">
        <v>4572</v>
      </c>
      <c r="AG101" t="s">
        <v>3812</v>
      </c>
    </row>
    <row r="102" spans="1:37">
      <c r="A102" s="1">
        <v>101</v>
      </c>
      <c r="B102" t="s">
        <v>4189</v>
      </c>
      <c r="C102" s="2">
        <v>44273</v>
      </c>
      <c r="D102" s="1" t="s">
        <v>4948</v>
      </c>
      <c r="E102" t="s">
        <v>4189</v>
      </c>
      <c r="F102" s="31" t="s">
        <v>188</v>
      </c>
      <c r="G102" s="33" t="s">
        <v>220</v>
      </c>
      <c r="H102" s="30" t="s">
        <v>92</v>
      </c>
      <c r="I102" s="31"/>
      <c r="J102" s="31"/>
      <c r="K102" s="1" t="s">
        <v>4948</v>
      </c>
      <c r="L102" s="3">
        <v>44286</v>
      </c>
      <c r="M102" s="1" t="s">
        <v>35</v>
      </c>
      <c r="N102" t="s">
        <v>2549</v>
      </c>
      <c r="O102" s="92">
        <v>60</v>
      </c>
      <c r="P102" s="1">
        <v>1</v>
      </c>
      <c r="Q102" s="90">
        <v>0.21</v>
      </c>
      <c r="R102" s="90">
        <v>0</v>
      </c>
      <c r="S102" s="1"/>
      <c r="T102" s="95">
        <f t="shared" si="3"/>
        <v>72.599999999999994</v>
      </c>
      <c r="U102" s="2" t="s">
        <v>2550</v>
      </c>
      <c r="V102" s="6" t="s">
        <v>4997</v>
      </c>
      <c r="W102" s="2">
        <v>32143</v>
      </c>
      <c r="X102" s="2">
        <v>44273</v>
      </c>
      <c r="Y102" s="11" t="s">
        <v>5250</v>
      </c>
      <c r="Z102" s="3">
        <v>44313</v>
      </c>
      <c r="AA102" s="80" t="s">
        <v>1339</v>
      </c>
      <c r="AD102" t="s">
        <v>3198</v>
      </c>
      <c r="AF102" s="190" t="s">
        <v>4572</v>
      </c>
      <c r="AG102" t="s">
        <v>3812</v>
      </c>
    </row>
    <row r="103" spans="1:37">
      <c r="A103" s="1">
        <v>102</v>
      </c>
      <c r="B103" t="s">
        <v>4189</v>
      </c>
      <c r="C103" s="2">
        <v>44273</v>
      </c>
      <c r="D103" s="1" t="s">
        <v>4948</v>
      </c>
      <c r="E103" t="s">
        <v>4189</v>
      </c>
      <c r="F103" s="31" t="s">
        <v>188</v>
      </c>
      <c r="G103" s="33" t="s">
        <v>220</v>
      </c>
      <c r="H103" s="30" t="s">
        <v>92</v>
      </c>
      <c r="I103" s="31"/>
      <c r="J103" s="31"/>
      <c r="K103" s="1" t="s">
        <v>4948</v>
      </c>
      <c r="L103" s="3">
        <v>44286</v>
      </c>
      <c r="M103" s="1" t="s">
        <v>35</v>
      </c>
      <c r="N103" t="s">
        <v>2567</v>
      </c>
      <c r="O103" s="92">
        <v>60</v>
      </c>
      <c r="P103" s="1">
        <v>1</v>
      </c>
      <c r="Q103" s="90">
        <v>0.21</v>
      </c>
      <c r="R103" s="90">
        <v>0</v>
      </c>
      <c r="S103" s="1"/>
      <c r="T103" s="95">
        <f t="shared" si="3"/>
        <v>72.599999999999994</v>
      </c>
      <c r="U103" s="2" t="s">
        <v>93</v>
      </c>
      <c r="V103" s="6" t="s">
        <v>5002</v>
      </c>
      <c r="W103" s="2">
        <v>28235</v>
      </c>
      <c r="X103" s="2">
        <v>44273</v>
      </c>
      <c r="Y103" s="11" t="s">
        <v>5250</v>
      </c>
      <c r="Z103" s="3">
        <v>44313</v>
      </c>
      <c r="AA103" s="80" t="s">
        <v>1339</v>
      </c>
      <c r="AD103" t="s">
        <v>3198</v>
      </c>
      <c r="AF103" s="190" t="s">
        <v>4572</v>
      </c>
      <c r="AG103" t="s">
        <v>3812</v>
      </c>
    </row>
    <row r="104" spans="1:37">
      <c r="A104" s="1">
        <v>103</v>
      </c>
      <c r="B104" t="s">
        <v>4189</v>
      </c>
      <c r="C104" s="2">
        <v>44273</v>
      </c>
      <c r="D104" s="1" t="s">
        <v>4948</v>
      </c>
      <c r="E104" t="s">
        <v>4189</v>
      </c>
      <c r="F104" s="31" t="s">
        <v>188</v>
      </c>
      <c r="G104" s="33" t="s">
        <v>220</v>
      </c>
      <c r="H104" s="30" t="s">
        <v>92</v>
      </c>
      <c r="I104" s="31"/>
      <c r="J104" s="31"/>
      <c r="K104" s="1" t="s">
        <v>4948</v>
      </c>
      <c r="L104" s="3">
        <v>44286</v>
      </c>
      <c r="M104" s="1" t="s">
        <v>35</v>
      </c>
      <c r="N104" t="s">
        <v>2530</v>
      </c>
      <c r="O104" s="92">
        <v>60</v>
      </c>
      <c r="P104" s="1">
        <v>1</v>
      </c>
      <c r="Q104" s="90">
        <v>0.21</v>
      </c>
      <c r="R104" s="90">
        <v>0</v>
      </c>
      <c r="S104" s="1"/>
      <c r="T104" s="95">
        <f t="shared" si="3"/>
        <v>72.599999999999994</v>
      </c>
      <c r="U104" s="2" t="s">
        <v>98</v>
      </c>
      <c r="V104" s="6" t="s">
        <v>5003</v>
      </c>
      <c r="W104" s="2">
        <v>31022</v>
      </c>
      <c r="X104" s="2">
        <v>44273</v>
      </c>
      <c r="Y104" s="11" t="s">
        <v>5250</v>
      </c>
      <c r="Z104" s="3">
        <v>44313</v>
      </c>
      <c r="AA104" s="80" t="s">
        <v>1339</v>
      </c>
      <c r="AD104" t="s">
        <v>3198</v>
      </c>
      <c r="AF104" s="190" t="s">
        <v>4572</v>
      </c>
      <c r="AG104" t="s">
        <v>3812</v>
      </c>
    </row>
    <row r="105" spans="1:37">
      <c r="A105" s="1">
        <v>104</v>
      </c>
      <c r="B105" t="s">
        <v>4189</v>
      </c>
      <c r="C105" s="2">
        <v>44273</v>
      </c>
      <c r="D105" s="1" t="s">
        <v>4948</v>
      </c>
      <c r="E105" t="s">
        <v>4189</v>
      </c>
      <c r="F105" s="31" t="s">
        <v>188</v>
      </c>
      <c r="G105" s="33" t="s">
        <v>220</v>
      </c>
      <c r="H105" s="30" t="s">
        <v>92</v>
      </c>
      <c r="I105" s="31"/>
      <c r="J105" s="31"/>
      <c r="K105" s="1" t="s">
        <v>4948</v>
      </c>
      <c r="L105" s="3">
        <v>44286</v>
      </c>
      <c r="M105" s="1" t="s">
        <v>35</v>
      </c>
      <c r="N105" t="s">
        <v>2520</v>
      </c>
      <c r="O105" s="92">
        <v>60</v>
      </c>
      <c r="P105" s="1">
        <v>1</v>
      </c>
      <c r="Q105" s="90">
        <v>0.21</v>
      </c>
      <c r="R105" s="90">
        <v>0</v>
      </c>
      <c r="S105" s="1"/>
      <c r="T105" s="95">
        <f t="shared" si="3"/>
        <v>72.599999999999994</v>
      </c>
      <c r="U105" s="2" t="s">
        <v>273</v>
      </c>
      <c r="V105" s="6" t="s">
        <v>4992</v>
      </c>
      <c r="W105" s="2">
        <v>30535</v>
      </c>
      <c r="X105" s="2">
        <v>44273</v>
      </c>
      <c r="Y105" s="11" t="s">
        <v>5250</v>
      </c>
      <c r="Z105" s="3">
        <v>44313</v>
      </c>
      <c r="AA105" s="80" t="s">
        <v>1339</v>
      </c>
      <c r="AD105" t="s">
        <v>3198</v>
      </c>
      <c r="AF105" s="190" t="s">
        <v>4572</v>
      </c>
      <c r="AG105" t="s">
        <v>3812</v>
      </c>
    </row>
    <row r="106" spans="1:37">
      <c r="A106" s="1">
        <v>105</v>
      </c>
      <c r="B106" t="s">
        <v>4189</v>
      </c>
      <c r="C106" s="2">
        <v>44273</v>
      </c>
      <c r="D106" s="1" t="s">
        <v>4948</v>
      </c>
      <c r="E106" t="s">
        <v>4189</v>
      </c>
      <c r="F106" s="31" t="s">
        <v>188</v>
      </c>
      <c r="G106" s="33" t="s">
        <v>220</v>
      </c>
      <c r="H106" s="30" t="s">
        <v>92</v>
      </c>
      <c r="I106" s="31"/>
      <c r="J106" s="31"/>
      <c r="K106" s="1" t="s">
        <v>4948</v>
      </c>
      <c r="L106" s="3">
        <v>44286</v>
      </c>
      <c r="M106" s="1" t="s">
        <v>35</v>
      </c>
      <c r="N106" t="s">
        <v>2524</v>
      </c>
      <c r="O106" s="92">
        <v>60</v>
      </c>
      <c r="P106" s="1">
        <v>1</v>
      </c>
      <c r="Q106" s="90">
        <v>0.21</v>
      </c>
      <c r="R106" s="90">
        <v>0</v>
      </c>
      <c r="S106" s="1"/>
      <c r="T106" s="95">
        <f t="shared" si="3"/>
        <v>72.599999999999994</v>
      </c>
      <c r="U106" s="2" t="s">
        <v>195</v>
      </c>
      <c r="V106" s="6" t="s">
        <v>4994</v>
      </c>
      <c r="W106" s="2">
        <v>29235</v>
      </c>
      <c r="X106" s="2">
        <v>44273</v>
      </c>
      <c r="Y106" s="11" t="s">
        <v>5250</v>
      </c>
      <c r="Z106" s="3">
        <v>44313</v>
      </c>
      <c r="AA106" s="80" t="s">
        <v>1339</v>
      </c>
      <c r="AD106" t="s">
        <v>3198</v>
      </c>
      <c r="AF106" s="190" t="s">
        <v>4572</v>
      </c>
      <c r="AG106" t="s">
        <v>3812</v>
      </c>
    </row>
    <row r="107" spans="1:37">
      <c r="A107" s="1">
        <v>106</v>
      </c>
      <c r="B107" t="s">
        <v>4189</v>
      </c>
      <c r="C107" s="2">
        <v>44273</v>
      </c>
      <c r="D107" s="1" t="s">
        <v>4948</v>
      </c>
      <c r="E107" t="s">
        <v>4189</v>
      </c>
      <c r="F107" s="31" t="s">
        <v>188</v>
      </c>
      <c r="G107" s="33" t="s">
        <v>220</v>
      </c>
      <c r="H107" s="30" t="s">
        <v>92</v>
      </c>
      <c r="I107" s="31"/>
      <c r="J107" s="31"/>
      <c r="K107" s="1" t="s">
        <v>4948</v>
      </c>
      <c r="L107" s="3">
        <v>44286</v>
      </c>
      <c r="M107" s="1" t="s">
        <v>35</v>
      </c>
      <c r="N107" t="s">
        <v>2500</v>
      </c>
      <c r="O107" s="92">
        <v>60</v>
      </c>
      <c r="P107" s="1">
        <v>1</v>
      </c>
      <c r="Q107" s="90">
        <v>0.21</v>
      </c>
      <c r="R107" s="90">
        <v>0</v>
      </c>
      <c r="S107" s="1"/>
      <c r="T107" s="95">
        <f t="shared" si="3"/>
        <v>72.599999999999994</v>
      </c>
      <c r="U107" s="2" t="s">
        <v>284</v>
      </c>
      <c r="V107" s="6" t="s">
        <v>5004</v>
      </c>
      <c r="W107" s="2">
        <v>31153</v>
      </c>
      <c r="X107" s="2">
        <v>44273</v>
      </c>
      <c r="Y107" s="11" t="s">
        <v>5250</v>
      </c>
      <c r="Z107" s="3">
        <v>44313</v>
      </c>
      <c r="AA107" s="80" t="s">
        <v>1339</v>
      </c>
      <c r="AD107" t="s">
        <v>3198</v>
      </c>
      <c r="AF107" s="190" t="s">
        <v>4572</v>
      </c>
      <c r="AG107" t="s">
        <v>3812</v>
      </c>
    </row>
    <row r="108" spans="1:37">
      <c r="A108" s="1">
        <v>107</v>
      </c>
      <c r="B108" t="s">
        <v>4189</v>
      </c>
      <c r="C108" s="2">
        <v>44273</v>
      </c>
      <c r="D108" s="1" t="s">
        <v>4948</v>
      </c>
      <c r="E108" t="s">
        <v>4189</v>
      </c>
      <c r="F108" s="31" t="s">
        <v>188</v>
      </c>
      <c r="G108" s="33" t="s">
        <v>220</v>
      </c>
      <c r="H108" s="30" t="s">
        <v>92</v>
      </c>
      <c r="I108" s="31"/>
      <c r="J108" s="31"/>
      <c r="K108" s="1" t="s">
        <v>4948</v>
      </c>
      <c r="L108" s="3">
        <v>44286</v>
      </c>
      <c r="M108" s="1" t="s">
        <v>35</v>
      </c>
      <c r="N108" t="s">
        <v>2494</v>
      </c>
      <c r="O108" s="92">
        <v>60</v>
      </c>
      <c r="P108" s="1">
        <v>1</v>
      </c>
      <c r="Q108" s="90">
        <v>0.21</v>
      </c>
      <c r="R108" s="90">
        <v>0</v>
      </c>
      <c r="S108" s="1"/>
      <c r="T108" s="95">
        <f t="shared" si="3"/>
        <v>72.599999999999994</v>
      </c>
      <c r="U108" s="2" t="s">
        <v>278</v>
      </c>
      <c r="V108" s="6" t="s">
        <v>4970</v>
      </c>
      <c r="W108" s="2">
        <v>31381</v>
      </c>
      <c r="X108" s="2">
        <v>44273</v>
      </c>
      <c r="Y108" s="11" t="s">
        <v>5250</v>
      </c>
      <c r="Z108" s="3">
        <v>44313</v>
      </c>
      <c r="AA108" s="80" t="s">
        <v>1339</v>
      </c>
      <c r="AD108" t="s">
        <v>3198</v>
      </c>
      <c r="AF108" s="190" t="s">
        <v>4572</v>
      </c>
      <c r="AG108" t="s">
        <v>3812</v>
      </c>
    </row>
    <row r="109" spans="1:37">
      <c r="A109" s="1">
        <v>108</v>
      </c>
      <c r="B109" t="s">
        <v>4189</v>
      </c>
      <c r="C109" s="2">
        <v>44273</v>
      </c>
      <c r="D109" s="1" t="s">
        <v>4948</v>
      </c>
      <c r="E109" t="s">
        <v>4189</v>
      </c>
      <c r="F109" s="31" t="s">
        <v>188</v>
      </c>
      <c r="G109" s="33" t="s">
        <v>220</v>
      </c>
      <c r="H109" s="30" t="s">
        <v>92</v>
      </c>
      <c r="I109" s="31"/>
      <c r="J109" s="31"/>
      <c r="K109" s="1" t="s">
        <v>4948</v>
      </c>
      <c r="L109" s="3">
        <v>44286</v>
      </c>
      <c r="M109" s="1" t="s">
        <v>35</v>
      </c>
      <c r="N109" s="238" t="s">
        <v>2498</v>
      </c>
      <c r="O109" s="92">
        <v>60</v>
      </c>
      <c r="P109" s="1">
        <v>1</v>
      </c>
      <c r="Q109" s="90">
        <v>0.21</v>
      </c>
      <c r="R109" s="90">
        <v>0</v>
      </c>
      <c r="S109" s="1"/>
      <c r="T109" s="95">
        <f t="shared" si="3"/>
        <v>72.599999999999994</v>
      </c>
      <c r="U109" s="2" t="s">
        <v>136</v>
      </c>
      <c r="V109" s="6" t="s">
        <v>4990</v>
      </c>
      <c r="W109" s="2">
        <v>32204</v>
      </c>
      <c r="X109" s="2">
        <v>44273</v>
      </c>
      <c r="Y109" s="11" t="s">
        <v>5250</v>
      </c>
      <c r="Z109" s="3">
        <v>44313</v>
      </c>
      <c r="AA109" s="80" t="s">
        <v>1339</v>
      </c>
      <c r="AD109" t="s">
        <v>3198</v>
      </c>
      <c r="AF109" s="190" t="s">
        <v>4572</v>
      </c>
      <c r="AG109" t="s">
        <v>4951</v>
      </c>
    </row>
    <row r="110" spans="1:37">
      <c r="A110" s="1">
        <v>109</v>
      </c>
      <c r="B110" t="s">
        <v>4189</v>
      </c>
      <c r="C110" s="2">
        <v>44273</v>
      </c>
      <c r="D110" s="1" t="s">
        <v>4948</v>
      </c>
      <c r="E110" t="s">
        <v>4189</v>
      </c>
      <c r="F110" s="31" t="s">
        <v>188</v>
      </c>
      <c r="G110" s="33" t="s">
        <v>220</v>
      </c>
      <c r="H110" s="30" t="s">
        <v>92</v>
      </c>
      <c r="I110" s="31"/>
      <c r="J110" s="31"/>
      <c r="K110" s="1" t="s">
        <v>4948</v>
      </c>
      <c r="L110" s="3">
        <v>44286</v>
      </c>
      <c r="M110" s="1" t="s">
        <v>35</v>
      </c>
      <c r="N110" t="s">
        <v>2528</v>
      </c>
      <c r="O110" s="92">
        <v>60</v>
      </c>
      <c r="P110" s="1">
        <v>1</v>
      </c>
      <c r="Q110" s="90">
        <v>0.21</v>
      </c>
      <c r="R110" s="90">
        <v>0</v>
      </c>
      <c r="S110" s="1"/>
      <c r="T110" s="95">
        <f t="shared" si="3"/>
        <v>72.599999999999994</v>
      </c>
      <c r="U110" s="2" t="s">
        <v>190</v>
      </c>
      <c r="V110" s="6" t="s">
        <v>4993</v>
      </c>
      <c r="W110" s="2">
        <v>27779</v>
      </c>
      <c r="X110" s="2">
        <v>44273</v>
      </c>
      <c r="Y110" s="11" t="s">
        <v>5250</v>
      </c>
      <c r="Z110" s="3">
        <v>44313</v>
      </c>
      <c r="AA110" s="80" t="s">
        <v>1339</v>
      </c>
      <c r="AD110" t="s">
        <v>3198</v>
      </c>
      <c r="AF110" s="190" t="s">
        <v>4572</v>
      </c>
      <c r="AG110" t="s">
        <v>3812</v>
      </c>
    </row>
    <row r="111" spans="1:37">
      <c r="A111" s="1">
        <v>110</v>
      </c>
      <c r="B111" t="s">
        <v>52</v>
      </c>
      <c r="C111" s="2">
        <v>44273</v>
      </c>
      <c r="D111" s="1" t="s">
        <v>919</v>
      </c>
      <c r="E111" s="14" t="s">
        <v>139</v>
      </c>
      <c r="F111" t="s">
        <v>2866</v>
      </c>
      <c r="G111" s="6" t="s">
        <v>221</v>
      </c>
      <c r="H111" s="1" t="s">
        <v>34</v>
      </c>
      <c r="I111">
        <v>659896436</v>
      </c>
      <c r="K111" s="1" t="s">
        <v>4432</v>
      </c>
      <c r="L111" s="3">
        <v>44286</v>
      </c>
      <c r="M111" s="1" t="s">
        <v>35</v>
      </c>
      <c r="N111" s="14" t="s">
        <v>4952</v>
      </c>
      <c r="O111" s="187">
        <v>100</v>
      </c>
      <c r="P111" s="1">
        <v>1</v>
      </c>
      <c r="Q111" s="90">
        <v>0.21</v>
      </c>
      <c r="R111" s="90">
        <v>0.2</v>
      </c>
      <c r="T111" s="95">
        <f t="shared" ref="T111:T144" si="4">SUM(O111-(O111*R111))*Q111+(O111-(O111*R111))</f>
        <v>96.8</v>
      </c>
      <c r="U111" s="1" t="s">
        <v>5180</v>
      </c>
      <c r="V111" s="6" t="s">
        <v>5179</v>
      </c>
      <c r="W111" s="2">
        <v>33975</v>
      </c>
      <c r="X111" s="2">
        <v>44273</v>
      </c>
      <c r="Y111" s="11" t="s">
        <v>5454</v>
      </c>
      <c r="Z111" s="3">
        <v>44354</v>
      </c>
      <c r="AA111" s="80" t="s">
        <v>1339</v>
      </c>
      <c r="AD111" t="s">
        <v>3198</v>
      </c>
      <c r="AG111" t="s">
        <v>3812</v>
      </c>
      <c r="AH111" s="2">
        <v>44307</v>
      </c>
      <c r="AK111" s="3">
        <v>44314</v>
      </c>
    </row>
    <row r="112" spans="1:37">
      <c r="A112" s="1">
        <v>111</v>
      </c>
      <c r="B112" t="s">
        <v>40</v>
      </c>
      <c r="C112" s="2">
        <v>44274</v>
      </c>
      <c r="D112" s="1" t="s">
        <v>4953</v>
      </c>
      <c r="E112" t="s">
        <v>4954</v>
      </c>
      <c r="F112" t="s">
        <v>4955</v>
      </c>
      <c r="G112" s="6" t="s">
        <v>227</v>
      </c>
      <c r="H112" s="1" t="s">
        <v>4719</v>
      </c>
      <c r="K112" s="1" t="s">
        <v>4953</v>
      </c>
      <c r="L112" s="3">
        <v>44286</v>
      </c>
      <c r="M112" s="1" t="s">
        <v>35</v>
      </c>
      <c r="N112" s="14" t="s">
        <v>4956</v>
      </c>
      <c r="O112" s="187">
        <v>100</v>
      </c>
      <c r="P112" s="1">
        <v>1</v>
      </c>
      <c r="Q112" s="90">
        <v>0.21</v>
      </c>
      <c r="R112" s="90">
        <v>0.2</v>
      </c>
      <c r="T112" s="95">
        <f t="shared" si="4"/>
        <v>96.8</v>
      </c>
      <c r="U112" s="1" t="s">
        <v>5153</v>
      </c>
      <c r="V112" s="6" t="s">
        <v>5154</v>
      </c>
      <c r="W112" s="2">
        <v>31413</v>
      </c>
      <c r="X112" s="2">
        <v>44274</v>
      </c>
      <c r="Y112" s="208" t="s">
        <v>5307</v>
      </c>
      <c r="Z112" s="3">
        <v>44322</v>
      </c>
      <c r="AA112" s="80" t="s">
        <v>1339</v>
      </c>
      <c r="AB112" t="s">
        <v>5228</v>
      </c>
      <c r="AD112" t="s">
        <v>3198</v>
      </c>
      <c r="AF112" s="190" t="s">
        <v>4572</v>
      </c>
      <c r="AG112" t="s">
        <v>3221</v>
      </c>
      <c r="AH112" s="2">
        <v>44305</v>
      </c>
      <c r="AK112" s="3">
        <v>44314</v>
      </c>
    </row>
    <row r="113" spans="1:37">
      <c r="A113" s="1">
        <v>112</v>
      </c>
      <c r="B113" t="s">
        <v>40</v>
      </c>
      <c r="C113" s="2">
        <v>44274</v>
      </c>
      <c r="D113" s="1" t="s">
        <v>4958</v>
      </c>
      <c r="E113" t="s">
        <v>4959</v>
      </c>
      <c r="F113" t="s">
        <v>4960</v>
      </c>
      <c r="G113" s="6" t="s">
        <v>221</v>
      </c>
      <c r="H113" s="1" t="s">
        <v>34</v>
      </c>
      <c r="K113" s="1" t="s">
        <v>4958</v>
      </c>
      <c r="L113" s="3">
        <v>44286</v>
      </c>
      <c r="M113" s="1" t="s">
        <v>35</v>
      </c>
      <c r="N113" s="14" t="s">
        <v>3280</v>
      </c>
      <c r="O113" s="187">
        <v>100</v>
      </c>
      <c r="P113" s="1">
        <v>1</v>
      </c>
      <c r="Q113" s="90">
        <v>0.21</v>
      </c>
      <c r="R113" s="90">
        <v>0.2</v>
      </c>
      <c r="T113" s="95">
        <f t="shared" si="4"/>
        <v>96.8</v>
      </c>
      <c r="U113" s="1" t="s">
        <v>3281</v>
      </c>
      <c r="V113" s="6" t="s">
        <v>5162</v>
      </c>
      <c r="W113" s="2">
        <v>33637</v>
      </c>
      <c r="X113" s="2">
        <v>44274</v>
      </c>
      <c r="Y113" s="11" t="s">
        <v>5493</v>
      </c>
      <c r="Z113" s="3">
        <v>44363</v>
      </c>
      <c r="AA113" s="80" t="s">
        <v>1339</v>
      </c>
      <c r="AD113" t="s">
        <v>3198</v>
      </c>
      <c r="AG113" t="s">
        <v>3812</v>
      </c>
      <c r="AH113" s="2">
        <v>44305</v>
      </c>
      <c r="AK113" s="3">
        <v>44307</v>
      </c>
    </row>
    <row r="114" spans="1:37">
      <c r="A114" s="1">
        <v>113</v>
      </c>
      <c r="B114" t="s">
        <v>37</v>
      </c>
      <c r="C114" s="2">
        <v>44277</v>
      </c>
      <c r="D114" t="s">
        <v>5183</v>
      </c>
      <c r="E114" t="s">
        <v>5006</v>
      </c>
      <c r="F114" t="s">
        <v>5007</v>
      </c>
      <c r="G114" s="6" t="s">
        <v>294</v>
      </c>
      <c r="H114" s="1" t="s">
        <v>1266</v>
      </c>
      <c r="I114" s="1">
        <v>643277521</v>
      </c>
      <c r="K114" s="1" t="s">
        <v>5183</v>
      </c>
      <c r="L114" s="3">
        <v>44286</v>
      </c>
      <c r="M114" s="1" t="s">
        <v>35</v>
      </c>
      <c r="N114" s="14" t="s">
        <v>5008</v>
      </c>
      <c r="O114" s="187">
        <v>100</v>
      </c>
      <c r="P114" s="1">
        <v>1</v>
      </c>
      <c r="Q114" s="90">
        <v>0.21</v>
      </c>
      <c r="R114" s="90">
        <v>0</v>
      </c>
      <c r="T114" s="95">
        <f t="shared" si="4"/>
        <v>121</v>
      </c>
      <c r="U114" s="1" t="s">
        <v>5183</v>
      </c>
      <c r="V114" s="6" t="s">
        <v>5184</v>
      </c>
      <c r="W114" s="2">
        <v>31049</v>
      </c>
      <c r="X114" s="2">
        <v>44277</v>
      </c>
      <c r="Y114" s="11" t="s">
        <v>5493</v>
      </c>
      <c r="Z114" s="3">
        <v>44363</v>
      </c>
      <c r="AA114" s="80" t="s">
        <v>1339</v>
      </c>
      <c r="AD114" t="s">
        <v>3198</v>
      </c>
      <c r="AG114" t="s">
        <v>3812</v>
      </c>
      <c r="AH114" s="2">
        <v>44307</v>
      </c>
      <c r="AK114" s="3">
        <v>44308</v>
      </c>
    </row>
    <row r="115" spans="1:37">
      <c r="A115" s="1">
        <v>114</v>
      </c>
      <c r="B115" t="s">
        <v>33</v>
      </c>
      <c r="C115" s="2">
        <v>44278</v>
      </c>
      <c r="D115" s="1" t="s">
        <v>5021</v>
      </c>
      <c r="E115" t="s">
        <v>5014</v>
      </c>
      <c r="F115" t="s">
        <v>5020</v>
      </c>
      <c r="G115" s="6" t="s">
        <v>219</v>
      </c>
      <c r="H115" s="1" t="s">
        <v>38</v>
      </c>
      <c r="K115" s="30" t="s">
        <v>237</v>
      </c>
      <c r="L115" s="3">
        <v>44286</v>
      </c>
      <c r="M115" s="1" t="s">
        <v>35</v>
      </c>
      <c r="N115" t="s">
        <v>5015</v>
      </c>
      <c r="O115" s="187">
        <v>70</v>
      </c>
      <c r="P115" s="1">
        <v>1</v>
      </c>
      <c r="Q115" s="90">
        <v>0.21</v>
      </c>
      <c r="R115" s="90">
        <v>0.2</v>
      </c>
      <c r="T115" s="95">
        <f t="shared" si="4"/>
        <v>67.760000000000005</v>
      </c>
      <c r="U115" s="1" t="s">
        <v>5068</v>
      </c>
      <c r="V115" s="6" t="s">
        <v>5069</v>
      </c>
      <c r="W115" s="2">
        <v>35358</v>
      </c>
      <c r="X115" s="2">
        <v>44278</v>
      </c>
      <c r="Y115" s="216" t="s">
        <v>5417</v>
      </c>
      <c r="Z115" s="3">
        <v>44344</v>
      </c>
      <c r="AA115" s="80" t="s">
        <v>1339</v>
      </c>
      <c r="AB115" t="s">
        <v>5476</v>
      </c>
      <c r="AC115" s="162">
        <v>44306</v>
      </c>
      <c r="AD115" t="s">
        <v>3198</v>
      </c>
    </row>
    <row r="116" spans="1:37">
      <c r="A116" s="1">
        <v>115</v>
      </c>
      <c r="B116" t="s">
        <v>33</v>
      </c>
      <c r="C116" s="2">
        <v>44278</v>
      </c>
      <c r="D116" s="1" t="s">
        <v>5021</v>
      </c>
      <c r="E116" t="s">
        <v>5014</v>
      </c>
      <c r="F116" t="s">
        <v>5020</v>
      </c>
      <c r="G116" s="6" t="s">
        <v>219</v>
      </c>
      <c r="H116" s="1" t="s">
        <v>38</v>
      </c>
      <c r="K116" s="30" t="s">
        <v>237</v>
      </c>
      <c r="L116" s="3">
        <v>44286</v>
      </c>
      <c r="M116" s="1" t="s">
        <v>35</v>
      </c>
      <c r="N116" t="s">
        <v>5016</v>
      </c>
      <c r="O116" s="187">
        <v>70</v>
      </c>
      <c r="P116" s="1">
        <v>1</v>
      </c>
      <c r="Q116" s="90">
        <v>0.21</v>
      </c>
      <c r="R116" s="90">
        <v>0.2</v>
      </c>
      <c r="T116" s="95">
        <f t="shared" si="4"/>
        <v>67.760000000000005</v>
      </c>
      <c r="U116" s="1" t="s">
        <v>5071</v>
      </c>
      <c r="V116" s="6" t="s">
        <v>5070</v>
      </c>
      <c r="W116" s="2">
        <v>37212</v>
      </c>
      <c r="X116" s="2">
        <v>44278</v>
      </c>
      <c r="Y116" s="216" t="s">
        <v>5417</v>
      </c>
      <c r="Z116" s="3">
        <v>44344</v>
      </c>
      <c r="AA116" s="80" t="s">
        <v>1339</v>
      </c>
      <c r="AB116" t="s">
        <v>5476</v>
      </c>
      <c r="AC116" s="162">
        <v>44306</v>
      </c>
      <c r="AD116" t="s">
        <v>3198</v>
      </c>
    </row>
    <row r="117" spans="1:37">
      <c r="A117" s="1">
        <v>116</v>
      </c>
      <c r="B117" t="s">
        <v>45</v>
      </c>
      <c r="C117" s="2">
        <v>44280</v>
      </c>
      <c r="D117" s="1" t="s">
        <v>991</v>
      </c>
      <c r="E117" t="s">
        <v>992</v>
      </c>
      <c r="F117" t="s">
        <v>5028</v>
      </c>
      <c r="G117" s="6" t="s">
        <v>241</v>
      </c>
      <c r="H117" s="1" t="s">
        <v>60</v>
      </c>
      <c r="I117" s="14">
        <v>628473991</v>
      </c>
      <c r="K117" s="1" t="s">
        <v>991</v>
      </c>
      <c r="L117" s="3">
        <v>44286</v>
      </c>
      <c r="M117" s="1" t="s">
        <v>35</v>
      </c>
      <c r="N117" s="14" t="s">
        <v>5029</v>
      </c>
      <c r="O117" s="187">
        <v>100</v>
      </c>
      <c r="P117" s="1">
        <v>1</v>
      </c>
      <c r="Q117" s="90">
        <v>0.21</v>
      </c>
      <c r="R117" s="90">
        <v>0.2</v>
      </c>
      <c r="T117" s="95">
        <f t="shared" si="4"/>
        <v>96.8</v>
      </c>
      <c r="U117" s="1" t="s">
        <v>5170</v>
      </c>
      <c r="V117" s="6" t="s">
        <v>5171</v>
      </c>
      <c r="W117" s="2">
        <v>32143</v>
      </c>
      <c r="X117" s="2">
        <v>44280</v>
      </c>
      <c r="Y117" s="11" t="s">
        <v>5505</v>
      </c>
      <c r="Z117" s="3">
        <v>44363</v>
      </c>
      <c r="AA117" s="80" t="s">
        <v>1339</v>
      </c>
      <c r="AD117" t="s">
        <v>3198</v>
      </c>
      <c r="AG117" t="s">
        <v>3812</v>
      </c>
      <c r="AH117" s="2">
        <v>44306</v>
      </c>
      <c r="AK117" s="3">
        <v>44314</v>
      </c>
    </row>
    <row r="118" spans="1:37">
      <c r="A118" s="1">
        <v>117</v>
      </c>
      <c r="B118" t="s">
        <v>37</v>
      </c>
      <c r="C118" s="2">
        <v>44280</v>
      </c>
      <c r="D118" s="1" t="s">
        <v>5030</v>
      </c>
      <c r="E118" t="s">
        <v>5031</v>
      </c>
      <c r="F118" t="s">
        <v>5032</v>
      </c>
      <c r="G118" s="6" t="s">
        <v>250</v>
      </c>
      <c r="H118" s="1" t="s">
        <v>86</v>
      </c>
      <c r="K118" s="1" t="s">
        <v>5030</v>
      </c>
      <c r="L118" s="3">
        <v>44286</v>
      </c>
      <c r="M118" s="1" t="s">
        <v>35</v>
      </c>
      <c r="N118" s="14" t="s">
        <v>5033</v>
      </c>
      <c r="O118" s="187">
        <v>100</v>
      </c>
      <c r="P118" s="1">
        <v>1</v>
      </c>
      <c r="Q118" s="90">
        <v>0.21</v>
      </c>
      <c r="R118" s="90">
        <v>0.2</v>
      </c>
      <c r="T118" s="95">
        <f t="shared" si="4"/>
        <v>96.8</v>
      </c>
      <c r="U118" s="1" t="s">
        <v>5036</v>
      </c>
      <c r="V118" s="6" t="s">
        <v>5159</v>
      </c>
      <c r="W118" s="2">
        <v>31991</v>
      </c>
      <c r="X118" s="2">
        <v>44280</v>
      </c>
      <c r="Y118" s="11" t="s">
        <v>5493</v>
      </c>
      <c r="Z118" s="3">
        <v>44361</v>
      </c>
      <c r="AA118" s="80" t="s">
        <v>1339</v>
      </c>
      <c r="AD118" t="s">
        <v>3198</v>
      </c>
      <c r="AG118" t="s">
        <v>5037</v>
      </c>
      <c r="AH118" s="2">
        <v>44305</v>
      </c>
      <c r="AK118" s="3">
        <v>44305</v>
      </c>
    </row>
    <row r="119" spans="1:37">
      <c r="A119" s="1">
        <v>118</v>
      </c>
      <c r="B119" t="s">
        <v>37</v>
      </c>
      <c r="C119" s="2">
        <v>44280</v>
      </c>
      <c r="D119" s="1" t="s">
        <v>5030</v>
      </c>
      <c r="E119" t="s">
        <v>5031</v>
      </c>
      <c r="F119" t="s">
        <v>5032</v>
      </c>
      <c r="G119" s="6" t="s">
        <v>250</v>
      </c>
      <c r="H119" s="1" t="s">
        <v>86</v>
      </c>
      <c r="K119" s="1" t="s">
        <v>5030</v>
      </c>
      <c r="L119" s="3">
        <v>44286</v>
      </c>
      <c r="M119" s="1" t="s">
        <v>35</v>
      </c>
      <c r="N119" s="14" t="s">
        <v>5035</v>
      </c>
      <c r="O119" s="187">
        <v>100</v>
      </c>
      <c r="P119" s="1">
        <v>1</v>
      </c>
      <c r="Q119" s="90">
        <v>0.21</v>
      </c>
      <c r="R119" s="90">
        <v>0.2</v>
      </c>
      <c r="T119" s="95">
        <f t="shared" si="4"/>
        <v>96.8</v>
      </c>
      <c r="U119" s="1" t="s">
        <v>5034</v>
      </c>
      <c r="V119" s="6" t="s">
        <v>5158</v>
      </c>
      <c r="W119" s="2">
        <v>43612</v>
      </c>
      <c r="X119" s="2">
        <v>44280</v>
      </c>
      <c r="Y119" s="11" t="s">
        <v>5493</v>
      </c>
      <c r="Z119" s="3">
        <v>44361</v>
      </c>
      <c r="AA119" s="80" t="s">
        <v>1339</v>
      </c>
      <c r="AD119" t="s">
        <v>3198</v>
      </c>
      <c r="AG119" t="s">
        <v>3812</v>
      </c>
      <c r="AH119" s="2">
        <v>44305</v>
      </c>
      <c r="AK119" s="3">
        <v>44305</v>
      </c>
    </row>
    <row r="120" spans="1:37">
      <c r="A120" s="1">
        <v>119</v>
      </c>
      <c r="B120" t="s">
        <v>1414</v>
      </c>
      <c r="C120" s="2">
        <v>44280</v>
      </c>
      <c r="D120" s="1" t="s">
        <v>5038</v>
      </c>
      <c r="E120" t="s">
        <v>5039</v>
      </c>
      <c r="F120" t="s">
        <v>5040</v>
      </c>
      <c r="G120" s="6" t="s">
        <v>221</v>
      </c>
      <c r="H120" s="1" t="s">
        <v>34</v>
      </c>
      <c r="K120" s="1" t="s">
        <v>5038</v>
      </c>
      <c r="L120" s="3">
        <v>44286</v>
      </c>
      <c r="M120" s="1" t="s">
        <v>35</v>
      </c>
      <c r="N120" s="14" t="s">
        <v>5041</v>
      </c>
      <c r="O120" s="187">
        <v>100</v>
      </c>
      <c r="P120" s="1">
        <v>1</v>
      </c>
      <c r="Q120" s="90">
        <v>0.21</v>
      </c>
      <c r="R120" s="90">
        <v>0.2</v>
      </c>
      <c r="T120" s="95">
        <f t="shared" si="4"/>
        <v>96.8</v>
      </c>
      <c r="U120" s="1" t="s">
        <v>5225</v>
      </c>
      <c r="V120" s="6" t="s">
        <v>5224</v>
      </c>
      <c r="W120" s="2">
        <v>36388</v>
      </c>
      <c r="X120" s="2">
        <v>44280</v>
      </c>
      <c r="Y120" s="216" t="s">
        <v>5634</v>
      </c>
      <c r="Z120" s="3">
        <v>44405</v>
      </c>
      <c r="AA120" s="80" t="s">
        <v>1339</v>
      </c>
      <c r="AB120" t="s">
        <v>5228</v>
      </c>
      <c r="AC120" s="306">
        <v>44341</v>
      </c>
      <c r="AD120" t="s">
        <v>3198</v>
      </c>
      <c r="AF120" s="190" t="s">
        <v>4572</v>
      </c>
      <c r="AG120" t="s">
        <v>3221</v>
      </c>
      <c r="AH120" s="2">
        <v>44308</v>
      </c>
      <c r="AK120" s="3">
        <v>44313</v>
      </c>
    </row>
    <row r="121" spans="1:37">
      <c r="A121" s="1">
        <v>120</v>
      </c>
      <c r="B121" t="s">
        <v>33</v>
      </c>
      <c r="C121" s="2">
        <v>44281</v>
      </c>
      <c r="D121" s="1" t="s">
        <v>5042</v>
      </c>
      <c r="E121" t="s">
        <v>5043</v>
      </c>
      <c r="F121" t="s">
        <v>5044</v>
      </c>
      <c r="G121" s="6" t="s">
        <v>219</v>
      </c>
      <c r="H121" s="1" t="s">
        <v>38</v>
      </c>
      <c r="K121" s="30" t="s">
        <v>237</v>
      </c>
      <c r="L121" s="3">
        <v>44286</v>
      </c>
      <c r="M121" s="1" t="s">
        <v>35</v>
      </c>
      <c r="N121" s="14" t="s">
        <v>5045</v>
      </c>
      <c r="O121" s="187">
        <v>100</v>
      </c>
      <c r="P121" s="1">
        <v>1</v>
      </c>
      <c r="Q121" s="90">
        <v>0.21</v>
      </c>
      <c r="R121" s="90">
        <v>0.2</v>
      </c>
      <c r="T121" s="95">
        <f t="shared" si="4"/>
        <v>96.8</v>
      </c>
      <c r="U121" s="1" t="s">
        <v>5221</v>
      </c>
      <c r="V121" s="6" t="s">
        <v>5220</v>
      </c>
      <c r="W121" s="2">
        <v>37623</v>
      </c>
      <c r="X121" s="2">
        <v>44281</v>
      </c>
      <c r="Y121" s="11" t="s">
        <v>5291</v>
      </c>
      <c r="Z121" s="3">
        <v>44322</v>
      </c>
      <c r="AA121" s="80" t="s">
        <v>1339</v>
      </c>
      <c r="AD121" t="s">
        <v>3198</v>
      </c>
      <c r="AF121" s="190" t="s">
        <v>4572</v>
      </c>
      <c r="AG121" t="s">
        <v>3221</v>
      </c>
      <c r="AH121" s="2">
        <v>44308</v>
      </c>
      <c r="AK121" s="3">
        <v>44313</v>
      </c>
    </row>
    <row r="122" spans="1:37">
      <c r="A122" s="1">
        <v>121</v>
      </c>
      <c r="B122" t="s">
        <v>33</v>
      </c>
      <c r="C122" s="2">
        <v>44281</v>
      </c>
      <c r="D122" s="1" t="s">
        <v>1160</v>
      </c>
      <c r="E122" t="s">
        <v>1161</v>
      </c>
      <c r="F122" t="s">
        <v>5046</v>
      </c>
      <c r="G122" s="6" t="s">
        <v>304</v>
      </c>
      <c r="H122" s="1" t="s">
        <v>68</v>
      </c>
      <c r="K122" s="30" t="s">
        <v>237</v>
      </c>
      <c r="L122" s="3">
        <v>44286</v>
      </c>
      <c r="M122" s="1" t="s">
        <v>35</v>
      </c>
      <c r="N122" s="14" t="s">
        <v>5047</v>
      </c>
      <c r="O122" s="187">
        <v>100</v>
      </c>
      <c r="P122" s="1">
        <v>1</v>
      </c>
      <c r="Q122" s="90">
        <v>0.21</v>
      </c>
      <c r="R122" s="90">
        <v>0.2</v>
      </c>
      <c r="T122" s="95">
        <f t="shared" si="4"/>
        <v>96.8</v>
      </c>
      <c r="U122" s="1" t="s">
        <v>5222</v>
      </c>
      <c r="V122" s="6" t="s">
        <v>5223</v>
      </c>
      <c r="W122" s="2">
        <v>36526</v>
      </c>
      <c r="X122" s="2">
        <v>44281</v>
      </c>
      <c r="Y122" s="11" t="s">
        <v>5291</v>
      </c>
      <c r="Z122" s="3">
        <v>44322</v>
      </c>
      <c r="AA122" s="80" t="s">
        <v>1339</v>
      </c>
      <c r="AD122" t="s">
        <v>3198</v>
      </c>
      <c r="AF122" s="190" t="s">
        <v>4572</v>
      </c>
      <c r="AG122" t="s">
        <v>3221</v>
      </c>
      <c r="AH122" s="2">
        <v>44308</v>
      </c>
      <c r="AK122" s="3">
        <v>44313</v>
      </c>
    </row>
    <row r="123" spans="1:37">
      <c r="A123" s="1">
        <v>122</v>
      </c>
      <c r="B123" t="s">
        <v>33</v>
      </c>
      <c r="C123" s="2">
        <v>44281</v>
      </c>
      <c r="D123" s="1" t="s">
        <v>2669</v>
      </c>
      <c r="E123" s="61" t="s">
        <v>2670</v>
      </c>
      <c r="F123" s="61" t="s">
        <v>3850</v>
      </c>
      <c r="G123" s="6" t="s">
        <v>304</v>
      </c>
      <c r="H123" s="1" t="s">
        <v>3851</v>
      </c>
      <c r="I123" s="1" t="s">
        <v>5048</v>
      </c>
      <c r="K123" s="30" t="s">
        <v>237</v>
      </c>
      <c r="L123" s="3">
        <v>44286</v>
      </c>
      <c r="M123" s="1" t="s">
        <v>35</v>
      </c>
      <c r="N123" s="14" t="s">
        <v>5049</v>
      </c>
      <c r="O123" s="187">
        <v>100</v>
      </c>
      <c r="P123" s="1">
        <v>1</v>
      </c>
      <c r="Q123" s="90">
        <v>0.21</v>
      </c>
      <c r="R123" s="90">
        <v>0.2</v>
      </c>
      <c r="T123" s="95">
        <f t="shared" si="4"/>
        <v>96.8</v>
      </c>
      <c r="U123" s="1" t="s">
        <v>5181</v>
      </c>
      <c r="V123" s="6" t="s">
        <v>5182</v>
      </c>
      <c r="W123" s="2">
        <v>27713</v>
      </c>
      <c r="X123" s="2">
        <v>44281</v>
      </c>
      <c r="Y123" s="11" t="s">
        <v>5550</v>
      </c>
      <c r="Z123" s="3">
        <v>44377</v>
      </c>
      <c r="AA123" s="80" t="s">
        <v>1339</v>
      </c>
      <c r="AD123" t="s">
        <v>3198</v>
      </c>
      <c r="AG123" t="s">
        <v>4699</v>
      </c>
      <c r="AH123" s="2">
        <v>44307</v>
      </c>
      <c r="AK123" s="3">
        <v>44308</v>
      </c>
    </row>
    <row r="124" spans="1:37">
      <c r="A124" s="1">
        <v>123</v>
      </c>
      <c r="B124" s="61" t="s">
        <v>33</v>
      </c>
      <c r="C124" s="2">
        <v>44284</v>
      </c>
      <c r="D124" s="1" t="s">
        <v>5051</v>
      </c>
      <c r="E124" s="61" t="s">
        <v>5052</v>
      </c>
      <c r="F124" s="61" t="s">
        <v>5053</v>
      </c>
      <c r="G124" s="6" t="s">
        <v>304</v>
      </c>
      <c r="H124" s="1" t="s">
        <v>4480</v>
      </c>
      <c r="K124" s="30" t="s">
        <v>237</v>
      </c>
      <c r="L124" s="3">
        <v>44286</v>
      </c>
      <c r="M124" s="1" t="s">
        <v>35</v>
      </c>
      <c r="N124" s="14" t="s">
        <v>5054</v>
      </c>
      <c r="O124" s="92">
        <v>100</v>
      </c>
      <c r="P124" s="1">
        <v>1</v>
      </c>
      <c r="Q124" s="128">
        <v>0.21</v>
      </c>
      <c r="R124" s="128">
        <v>0.2</v>
      </c>
      <c r="T124" s="95">
        <f t="shared" si="4"/>
        <v>96.8</v>
      </c>
      <c r="U124" s="1" t="s">
        <v>5218</v>
      </c>
      <c r="V124" s="6" t="s">
        <v>5219</v>
      </c>
      <c r="W124" s="2">
        <v>37271</v>
      </c>
      <c r="X124" s="2">
        <v>44284</v>
      </c>
      <c r="Y124" s="11" t="s">
        <v>5388</v>
      </c>
      <c r="Z124" s="3">
        <v>44336</v>
      </c>
      <c r="AA124" s="80" t="s">
        <v>1339</v>
      </c>
      <c r="AD124" t="s">
        <v>3198</v>
      </c>
      <c r="AF124" s="190" t="s">
        <v>4572</v>
      </c>
      <c r="AG124" t="s">
        <v>3221</v>
      </c>
      <c r="AH124" s="2">
        <v>44308</v>
      </c>
      <c r="AI124" s="1"/>
      <c r="AK124" s="2">
        <v>44320</v>
      </c>
    </row>
    <row r="125" spans="1:37">
      <c r="A125" s="1">
        <v>124</v>
      </c>
      <c r="B125" t="s">
        <v>45</v>
      </c>
      <c r="C125" s="2">
        <v>44284</v>
      </c>
      <c r="D125" s="1" t="s">
        <v>5055</v>
      </c>
      <c r="E125" t="s">
        <v>5056</v>
      </c>
      <c r="F125" s="61" t="s">
        <v>5057</v>
      </c>
      <c r="G125" s="6" t="s">
        <v>1229</v>
      </c>
      <c r="H125" s="1" t="s">
        <v>3454</v>
      </c>
      <c r="K125" s="1" t="s">
        <v>5055</v>
      </c>
      <c r="L125" s="3">
        <v>44286</v>
      </c>
      <c r="M125" s="1" t="s">
        <v>35</v>
      </c>
      <c r="N125" s="14" t="s">
        <v>5058</v>
      </c>
      <c r="O125" s="187">
        <v>100</v>
      </c>
      <c r="P125" s="1">
        <v>1</v>
      </c>
      <c r="Q125" s="128">
        <v>0.21</v>
      </c>
      <c r="R125" s="128">
        <v>0.2</v>
      </c>
      <c r="T125" s="95">
        <f t="shared" si="4"/>
        <v>96.8</v>
      </c>
      <c r="U125" s="1" t="s">
        <v>5216</v>
      </c>
      <c r="V125" s="6" t="s">
        <v>5217</v>
      </c>
      <c r="W125" s="2">
        <v>37245</v>
      </c>
      <c r="X125" s="2">
        <v>44284</v>
      </c>
      <c r="Y125" s="11" t="s">
        <v>5717</v>
      </c>
      <c r="Z125" s="3">
        <v>44425</v>
      </c>
      <c r="AA125" s="80" t="s">
        <v>1339</v>
      </c>
      <c r="AB125" t="s">
        <v>5228</v>
      </c>
      <c r="AC125" s="162">
        <v>44349</v>
      </c>
      <c r="AD125" t="s">
        <v>3198</v>
      </c>
      <c r="AE125" t="s">
        <v>5231</v>
      </c>
      <c r="AF125" s="190" t="s">
        <v>4572</v>
      </c>
      <c r="AG125" t="s">
        <v>5062</v>
      </c>
      <c r="AH125" s="2">
        <v>44308</v>
      </c>
      <c r="AK125" s="3">
        <v>44309</v>
      </c>
    </row>
    <row r="126" spans="1:37">
      <c r="A126" s="1">
        <v>125</v>
      </c>
      <c r="B126" t="s">
        <v>119</v>
      </c>
      <c r="C126" s="2">
        <v>44284</v>
      </c>
      <c r="D126" s="1" t="s">
        <v>494</v>
      </c>
      <c r="E126" t="s">
        <v>495</v>
      </c>
      <c r="F126" s="61" t="s">
        <v>5059</v>
      </c>
      <c r="G126" s="6" t="s">
        <v>242</v>
      </c>
      <c r="H126" s="1" t="s">
        <v>86</v>
      </c>
      <c r="K126" s="1" t="s">
        <v>174</v>
      </c>
      <c r="L126" s="3">
        <v>44286</v>
      </c>
      <c r="M126" s="1" t="s">
        <v>35</v>
      </c>
      <c r="N126" s="14" t="s">
        <v>5060</v>
      </c>
      <c r="O126" s="187">
        <v>100</v>
      </c>
      <c r="P126" s="1">
        <v>1</v>
      </c>
      <c r="Q126" s="128">
        <v>0.21</v>
      </c>
      <c r="R126" s="128">
        <v>0.2</v>
      </c>
      <c r="T126" s="95">
        <f t="shared" si="4"/>
        <v>96.8</v>
      </c>
      <c r="U126" s="1" t="s">
        <v>5232</v>
      </c>
      <c r="V126" s="6" t="s">
        <v>5233</v>
      </c>
      <c r="W126" s="2">
        <v>32509</v>
      </c>
      <c r="X126" s="2">
        <v>44284</v>
      </c>
      <c r="Y126" s="11" t="s">
        <v>5605</v>
      </c>
      <c r="Z126" s="3">
        <v>44390</v>
      </c>
      <c r="AA126" s="80" t="s">
        <v>1339</v>
      </c>
      <c r="AD126" t="s">
        <v>3198</v>
      </c>
      <c r="AG126" t="s">
        <v>5063</v>
      </c>
      <c r="AH126" s="2">
        <v>44312</v>
      </c>
      <c r="AK126" s="3">
        <v>44315</v>
      </c>
    </row>
    <row r="127" spans="1:37">
      <c r="A127" s="1">
        <v>126</v>
      </c>
      <c r="B127" t="s">
        <v>119</v>
      </c>
      <c r="C127" s="2">
        <v>44284</v>
      </c>
      <c r="D127" s="1" t="s">
        <v>494</v>
      </c>
      <c r="E127" t="s">
        <v>495</v>
      </c>
      <c r="F127" s="61" t="s">
        <v>5059</v>
      </c>
      <c r="G127" s="6" t="s">
        <v>242</v>
      </c>
      <c r="H127" s="1" t="s">
        <v>86</v>
      </c>
      <c r="K127" s="1" t="s">
        <v>174</v>
      </c>
      <c r="L127" s="3">
        <v>44286</v>
      </c>
      <c r="M127" s="1" t="s">
        <v>35</v>
      </c>
      <c r="N127" s="14" t="s">
        <v>5061</v>
      </c>
      <c r="O127" s="187">
        <v>100</v>
      </c>
      <c r="P127" s="1">
        <v>1</v>
      </c>
      <c r="Q127" s="128">
        <v>0.21</v>
      </c>
      <c r="R127" s="128">
        <v>0.2</v>
      </c>
      <c r="T127" s="95">
        <f t="shared" si="4"/>
        <v>96.8</v>
      </c>
      <c r="U127" s="1" t="s">
        <v>5235</v>
      </c>
      <c r="V127" s="6" t="s">
        <v>5234</v>
      </c>
      <c r="W127" s="2">
        <v>31165</v>
      </c>
      <c r="X127" s="2">
        <v>44284</v>
      </c>
      <c r="Y127" s="11" t="s">
        <v>5533</v>
      </c>
      <c r="Z127" s="3">
        <v>44370</v>
      </c>
      <c r="AA127" s="80" t="s">
        <v>1339</v>
      </c>
      <c r="AD127" t="s">
        <v>3198</v>
      </c>
      <c r="AG127" t="s">
        <v>5063</v>
      </c>
      <c r="AH127" s="2">
        <v>44312</v>
      </c>
      <c r="AK127" s="3">
        <v>44315</v>
      </c>
    </row>
    <row r="128" spans="1:37">
      <c r="A128" s="1">
        <v>127</v>
      </c>
      <c r="B128" t="s">
        <v>37</v>
      </c>
      <c r="C128" s="2">
        <v>44292</v>
      </c>
      <c r="D128" t="s">
        <v>3346</v>
      </c>
      <c r="E128" t="s">
        <v>3347</v>
      </c>
      <c r="F128" t="s">
        <v>267</v>
      </c>
      <c r="G128" s="6" t="s">
        <v>238</v>
      </c>
      <c r="H128" s="1" t="s">
        <v>48</v>
      </c>
      <c r="I128">
        <v>645815317</v>
      </c>
      <c r="K128" s="1" t="s">
        <v>3346</v>
      </c>
      <c r="L128" s="3">
        <v>44316</v>
      </c>
      <c r="M128" s="1" t="s">
        <v>35</v>
      </c>
      <c r="N128" s="14" t="s">
        <v>5074</v>
      </c>
      <c r="O128" s="187">
        <v>60</v>
      </c>
      <c r="P128" s="1">
        <v>1</v>
      </c>
      <c r="Q128" s="90">
        <v>0.21</v>
      </c>
      <c r="R128" s="90">
        <v>0</v>
      </c>
      <c r="T128" s="95">
        <f t="shared" si="4"/>
        <v>72.599999999999994</v>
      </c>
      <c r="U128" s="1" t="s">
        <v>3346</v>
      </c>
      <c r="V128" s="6" t="s">
        <v>5075</v>
      </c>
      <c r="W128" s="2">
        <v>31872</v>
      </c>
      <c r="X128" s="2">
        <v>44292</v>
      </c>
      <c r="Y128" s="11" t="s">
        <v>5453</v>
      </c>
      <c r="Z128" s="3">
        <v>44350</v>
      </c>
      <c r="AA128" s="80" t="s">
        <v>1339</v>
      </c>
      <c r="AD128" t="s">
        <v>3198</v>
      </c>
    </row>
    <row r="129" spans="1:39">
      <c r="A129" s="1">
        <v>128</v>
      </c>
      <c r="B129" t="s">
        <v>37</v>
      </c>
      <c r="C129" s="2">
        <v>44292</v>
      </c>
      <c r="D129" t="s">
        <v>265</v>
      </c>
      <c r="E129" t="s">
        <v>266</v>
      </c>
      <c r="F129" t="s">
        <v>5077</v>
      </c>
      <c r="G129" s="6" t="s">
        <v>238</v>
      </c>
      <c r="H129" s="1" t="s">
        <v>48</v>
      </c>
      <c r="I129">
        <v>657588849</v>
      </c>
      <c r="K129" s="1" t="s">
        <v>265</v>
      </c>
      <c r="L129" s="3">
        <v>44316</v>
      </c>
      <c r="M129" s="1" t="s">
        <v>35</v>
      </c>
      <c r="N129" s="14" t="s">
        <v>5078</v>
      </c>
      <c r="O129" s="187">
        <v>100</v>
      </c>
      <c r="P129" s="1">
        <v>1</v>
      </c>
      <c r="Q129" s="90">
        <v>0.21</v>
      </c>
      <c r="R129" s="90">
        <v>0</v>
      </c>
      <c r="T129" s="95">
        <f t="shared" si="4"/>
        <v>121</v>
      </c>
      <c r="U129" s="1" t="s">
        <v>601</v>
      </c>
      <c r="V129" s="6" t="s">
        <v>5239</v>
      </c>
      <c r="W129" s="2">
        <v>29590</v>
      </c>
      <c r="X129" s="2">
        <v>44292</v>
      </c>
      <c r="Y129" s="11" t="s">
        <v>5533</v>
      </c>
      <c r="Z129" s="3">
        <v>44370</v>
      </c>
      <c r="AA129" s="80" t="s">
        <v>1339</v>
      </c>
      <c r="AD129" t="s">
        <v>3198</v>
      </c>
      <c r="AG129" t="s">
        <v>5086</v>
      </c>
      <c r="AH129" s="2">
        <v>44312</v>
      </c>
      <c r="AK129" s="3">
        <v>44320</v>
      </c>
    </row>
    <row r="130" spans="1:39">
      <c r="A130" s="1">
        <v>129</v>
      </c>
      <c r="B130" t="s">
        <v>52</v>
      </c>
      <c r="C130" s="2">
        <v>44292</v>
      </c>
      <c r="D130" s="1" t="s">
        <v>256</v>
      </c>
      <c r="E130" s="31" t="s">
        <v>155</v>
      </c>
      <c r="F130" s="31" t="s">
        <v>138</v>
      </c>
      <c r="G130" s="33" t="s">
        <v>227</v>
      </c>
      <c r="H130" s="30" t="s">
        <v>203</v>
      </c>
      <c r="I130" s="31">
        <v>631130911</v>
      </c>
      <c r="K130" s="1" t="s">
        <v>4432</v>
      </c>
      <c r="L130" s="3">
        <v>44316</v>
      </c>
      <c r="M130" s="1" t="s">
        <v>35</v>
      </c>
      <c r="N130" s="14" t="s">
        <v>5079</v>
      </c>
      <c r="O130" s="187">
        <v>100</v>
      </c>
      <c r="P130" s="1">
        <v>1</v>
      </c>
      <c r="Q130" s="90">
        <v>0.21</v>
      </c>
      <c r="R130" s="90">
        <v>0.2</v>
      </c>
      <c r="T130" s="95">
        <f t="shared" si="4"/>
        <v>96.8</v>
      </c>
      <c r="U130" s="1" t="s">
        <v>5238</v>
      </c>
      <c r="V130" s="6" t="s">
        <v>5237</v>
      </c>
      <c r="W130" s="2">
        <v>24473</v>
      </c>
      <c r="X130" s="2">
        <v>44292</v>
      </c>
      <c r="Y130" s="11" t="s">
        <v>5534</v>
      </c>
      <c r="Z130" s="3">
        <v>44377</v>
      </c>
      <c r="AA130" s="80" t="s">
        <v>1339</v>
      </c>
      <c r="AD130" t="s">
        <v>3198</v>
      </c>
      <c r="AG130" t="s">
        <v>3812</v>
      </c>
      <c r="AH130" s="2">
        <v>44312</v>
      </c>
      <c r="AK130" s="3">
        <v>44316</v>
      </c>
    </row>
    <row r="131" spans="1:39">
      <c r="A131" s="1">
        <v>130</v>
      </c>
      <c r="B131" t="s">
        <v>4321</v>
      </c>
      <c r="C131" s="2">
        <v>44292</v>
      </c>
      <c r="D131" s="1" t="s">
        <v>5080</v>
      </c>
      <c r="E131" t="s">
        <v>5081</v>
      </c>
      <c r="F131" s="61" t="s">
        <v>5082</v>
      </c>
      <c r="G131" s="6" t="s">
        <v>242</v>
      </c>
      <c r="H131" s="1" t="s">
        <v>5083</v>
      </c>
      <c r="K131" s="1" t="s">
        <v>5080</v>
      </c>
      <c r="L131" s="3">
        <v>44316</v>
      </c>
      <c r="M131" s="1" t="s">
        <v>35</v>
      </c>
      <c r="N131" t="s">
        <v>5084</v>
      </c>
      <c r="O131" s="187">
        <v>70</v>
      </c>
      <c r="P131" s="1">
        <v>1</v>
      </c>
      <c r="Q131" s="90">
        <v>0.21</v>
      </c>
      <c r="R131" s="90">
        <v>0.2</v>
      </c>
      <c r="T131" s="95">
        <f t="shared" si="4"/>
        <v>67.760000000000005</v>
      </c>
      <c r="U131" s="1" t="s">
        <v>5080</v>
      </c>
      <c r="V131" s="218" t="s">
        <v>5186</v>
      </c>
      <c r="W131" s="2">
        <v>35530</v>
      </c>
      <c r="X131" s="2">
        <v>44292</v>
      </c>
      <c r="Y131" s="11" t="s">
        <v>5400</v>
      </c>
      <c r="Z131" s="3">
        <v>44341</v>
      </c>
      <c r="AA131" s="80" t="s">
        <v>1339</v>
      </c>
      <c r="AD131" t="s">
        <v>3198</v>
      </c>
    </row>
    <row r="132" spans="1:39">
      <c r="A132" s="1">
        <v>131</v>
      </c>
      <c r="B132" t="s">
        <v>33</v>
      </c>
      <c r="C132" s="2">
        <v>44292</v>
      </c>
      <c r="D132" s="1" t="s">
        <v>4537</v>
      </c>
      <c r="E132" s="61" t="s">
        <v>4540</v>
      </c>
      <c r="F132" s="61" t="s">
        <v>4538</v>
      </c>
      <c r="G132" s="6" t="s">
        <v>220</v>
      </c>
      <c r="H132" s="1" t="s">
        <v>34</v>
      </c>
      <c r="K132" s="30" t="s">
        <v>237</v>
      </c>
      <c r="L132" s="3">
        <v>44316</v>
      </c>
      <c r="M132" s="1" t="s">
        <v>35</v>
      </c>
      <c r="N132" s="14" t="s">
        <v>5085</v>
      </c>
      <c r="O132" s="187">
        <v>100</v>
      </c>
      <c r="P132" s="1">
        <v>1</v>
      </c>
      <c r="Q132" s="90">
        <v>0.21</v>
      </c>
      <c r="R132" s="90">
        <v>0.2</v>
      </c>
      <c r="T132" s="95">
        <f t="shared" si="4"/>
        <v>96.8</v>
      </c>
      <c r="U132" s="1" t="s">
        <v>5240</v>
      </c>
      <c r="V132" s="6" t="s">
        <v>5241</v>
      </c>
      <c r="W132" s="2">
        <v>30751</v>
      </c>
      <c r="X132" s="2">
        <v>44292</v>
      </c>
      <c r="Y132" s="11" t="s">
        <v>5534</v>
      </c>
      <c r="Z132" s="3">
        <v>44370</v>
      </c>
      <c r="AA132" s="80" t="s">
        <v>1339</v>
      </c>
      <c r="AD132" t="s">
        <v>3198</v>
      </c>
      <c r="AG132" t="s">
        <v>3812</v>
      </c>
      <c r="AH132" s="2">
        <v>44312</v>
      </c>
      <c r="AK132" s="3">
        <v>44315</v>
      </c>
    </row>
    <row r="133" spans="1:39">
      <c r="A133" s="1">
        <v>132</v>
      </c>
      <c r="B133" t="s">
        <v>3526</v>
      </c>
      <c r="C133" s="2">
        <v>44293</v>
      </c>
      <c r="D133" s="1" t="s">
        <v>2046</v>
      </c>
      <c r="E133" t="s">
        <v>2047</v>
      </c>
      <c r="F133" t="s">
        <v>4810</v>
      </c>
      <c r="G133" s="6" t="s">
        <v>294</v>
      </c>
      <c r="H133" s="1" t="s">
        <v>4811</v>
      </c>
      <c r="K133" s="1" t="s">
        <v>2046</v>
      </c>
      <c r="L133" s="3">
        <v>44316</v>
      </c>
      <c r="M133" s="1" t="s">
        <v>35</v>
      </c>
      <c r="N133" s="14" t="s">
        <v>5089</v>
      </c>
      <c r="O133" s="187">
        <v>100</v>
      </c>
      <c r="P133" s="1">
        <v>1</v>
      </c>
      <c r="Q133" s="90">
        <v>0.21</v>
      </c>
      <c r="R133" s="90">
        <v>0.2</v>
      </c>
      <c r="T133" s="95">
        <f t="shared" si="4"/>
        <v>96.8</v>
      </c>
      <c r="U133" s="1" t="s">
        <v>5322</v>
      </c>
      <c r="V133" s="6" t="s">
        <v>5323</v>
      </c>
      <c r="W133" s="2">
        <v>36024</v>
      </c>
      <c r="X133" s="2">
        <v>44293</v>
      </c>
      <c r="Y133" s="11" t="s">
        <v>5453</v>
      </c>
      <c r="Z133" s="3">
        <v>44361</v>
      </c>
      <c r="AA133" s="80" t="s">
        <v>1339</v>
      </c>
      <c r="AD133" t="s">
        <v>3198</v>
      </c>
      <c r="AG133" t="s">
        <v>3221</v>
      </c>
      <c r="AH133" s="2">
        <v>44323</v>
      </c>
      <c r="AK133" s="3">
        <v>44340</v>
      </c>
    </row>
    <row r="134" spans="1:39">
      <c r="A134" s="1">
        <v>133</v>
      </c>
      <c r="B134" t="s">
        <v>45</v>
      </c>
      <c r="C134" s="2">
        <v>44295</v>
      </c>
      <c r="D134" s="1" t="s">
        <v>5094</v>
      </c>
      <c r="E134" t="s">
        <v>2389</v>
      </c>
      <c r="F134" s="61" t="s">
        <v>5095</v>
      </c>
      <c r="G134" s="6" t="s">
        <v>220</v>
      </c>
      <c r="H134" s="1" t="s">
        <v>39</v>
      </c>
      <c r="I134" s="1">
        <v>628472312</v>
      </c>
      <c r="K134" s="1" t="s">
        <v>5094</v>
      </c>
      <c r="L134" s="3">
        <v>44316</v>
      </c>
      <c r="M134" s="1" t="s">
        <v>35</v>
      </c>
      <c r="N134" s="14" t="s">
        <v>5096</v>
      </c>
      <c r="O134" s="187">
        <v>100</v>
      </c>
      <c r="P134" s="1">
        <v>1</v>
      </c>
      <c r="Q134" s="90">
        <v>0.21</v>
      </c>
      <c r="R134" s="90">
        <v>0.2</v>
      </c>
      <c r="T134" s="95">
        <f t="shared" si="4"/>
        <v>96.8</v>
      </c>
      <c r="U134" s="1" t="s">
        <v>5246</v>
      </c>
      <c r="V134" s="6" t="s">
        <v>5247</v>
      </c>
      <c r="W134" s="2">
        <v>32648</v>
      </c>
      <c r="X134" s="2">
        <v>44295</v>
      </c>
      <c r="Y134" s="11" t="s">
        <v>5555</v>
      </c>
      <c r="Z134" s="3">
        <v>44382</v>
      </c>
      <c r="AA134" s="80" t="s">
        <v>1339</v>
      </c>
      <c r="AD134" t="s">
        <v>3198</v>
      </c>
      <c r="AG134" t="s">
        <v>5097</v>
      </c>
      <c r="AH134" s="2">
        <v>44312</v>
      </c>
      <c r="AK134" s="3">
        <v>44340</v>
      </c>
    </row>
    <row r="135" spans="1:39">
      <c r="A135" s="1">
        <v>134</v>
      </c>
      <c r="B135" t="s">
        <v>1414</v>
      </c>
      <c r="C135" s="2">
        <v>44295</v>
      </c>
      <c r="D135" s="1" t="s">
        <v>1079</v>
      </c>
      <c r="E135" t="s">
        <v>41</v>
      </c>
      <c r="F135" s="61" t="s">
        <v>2115</v>
      </c>
      <c r="G135" s="1" t="s">
        <v>230</v>
      </c>
      <c r="H135" s="1" t="s">
        <v>1262</v>
      </c>
      <c r="I135" s="1">
        <v>631212115</v>
      </c>
      <c r="K135" s="1" t="s">
        <v>1079</v>
      </c>
      <c r="L135" s="3">
        <v>44316</v>
      </c>
      <c r="M135" s="1" t="s">
        <v>35</v>
      </c>
      <c r="N135" s="14" t="s">
        <v>5098</v>
      </c>
      <c r="O135" s="187">
        <v>100</v>
      </c>
      <c r="P135" s="1">
        <v>1</v>
      </c>
      <c r="Q135" s="90">
        <v>0.21</v>
      </c>
      <c r="R135" s="90">
        <v>0.2</v>
      </c>
      <c r="T135" s="95">
        <f t="shared" si="4"/>
        <v>96.8</v>
      </c>
      <c r="U135" s="1" t="s">
        <v>5244</v>
      </c>
      <c r="V135" s="6" t="s">
        <v>5245</v>
      </c>
      <c r="W135" s="2">
        <v>34213</v>
      </c>
      <c r="X135" s="2">
        <v>44295</v>
      </c>
      <c r="Y135" s="208" t="s">
        <v>5520</v>
      </c>
      <c r="Z135" s="3">
        <v>44377</v>
      </c>
      <c r="AA135" s="80" t="s">
        <v>1339</v>
      </c>
      <c r="AD135" t="s">
        <v>3198</v>
      </c>
      <c r="AG135" t="s">
        <v>5099</v>
      </c>
      <c r="AH135" s="2">
        <v>44312</v>
      </c>
      <c r="AK135" s="3">
        <v>44320</v>
      </c>
    </row>
    <row r="136" spans="1:39">
      <c r="A136" s="1">
        <v>135</v>
      </c>
      <c r="B136" t="s">
        <v>37</v>
      </c>
      <c r="C136" s="2">
        <v>44300</v>
      </c>
      <c r="D136" s="1" t="s">
        <v>5105</v>
      </c>
      <c r="E136" t="s">
        <v>5106</v>
      </c>
      <c r="F136" s="61" t="s">
        <v>5107</v>
      </c>
      <c r="G136" s="6" t="s">
        <v>219</v>
      </c>
      <c r="H136" s="1" t="s">
        <v>38</v>
      </c>
      <c r="I136" s="1">
        <v>622199031</v>
      </c>
      <c r="K136" s="1" t="s">
        <v>5105</v>
      </c>
      <c r="L136" s="3">
        <v>44316</v>
      </c>
      <c r="M136" s="1" t="s">
        <v>35</v>
      </c>
      <c r="N136" s="14" t="s">
        <v>5185</v>
      </c>
      <c r="O136" s="187">
        <v>100</v>
      </c>
      <c r="P136" s="1">
        <v>1</v>
      </c>
      <c r="Q136" s="90">
        <v>0.21</v>
      </c>
      <c r="R136" s="90">
        <v>0</v>
      </c>
      <c r="T136" s="95">
        <f t="shared" si="4"/>
        <v>121</v>
      </c>
      <c r="U136" s="1" t="s">
        <v>5242</v>
      </c>
      <c r="V136" s="6" t="s">
        <v>5243</v>
      </c>
      <c r="W136" s="2">
        <v>41275</v>
      </c>
      <c r="X136" s="2">
        <v>44300</v>
      </c>
      <c r="Y136" s="11" t="s">
        <v>5326</v>
      </c>
      <c r="Z136" s="3">
        <v>44323</v>
      </c>
      <c r="AA136" s="80" t="s">
        <v>1339</v>
      </c>
      <c r="AD136" t="s">
        <v>3198</v>
      </c>
      <c r="AG136" t="s">
        <v>5108</v>
      </c>
      <c r="AH136" s="2">
        <v>44312</v>
      </c>
      <c r="AK136" s="3">
        <v>44313</v>
      </c>
    </row>
    <row r="137" spans="1:39">
      <c r="A137" s="1">
        <v>136</v>
      </c>
      <c r="B137" t="s">
        <v>37</v>
      </c>
      <c r="C137" s="2">
        <v>44301</v>
      </c>
      <c r="D137" s="1" t="s">
        <v>5111</v>
      </c>
      <c r="E137" t="s">
        <v>5112</v>
      </c>
      <c r="F137" s="61" t="s">
        <v>5113</v>
      </c>
      <c r="G137" s="6" t="s">
        <v>2654</v>
      </c>
      <c r="H137" s="1" t="s">
        <v>2359</v>
      </c>
      <c r="I137" s="1">
        <v>675167020</v>
      </c>
      <c r="K137" s="1" t="s">
        <v>5111</v>
      </c>
      <c r="L137" s="3">
        <v>44316</v>
      </c>
      <c r="M137" s="1" t="s">
        <v>35</v>
      </c>
      <c r="N137" t="s">
        <v>5294</v>
      </c>
      <c r="O137" s="187">
        <v>60</v>
      </c>
      <c r="P137" s="1">
        <v>1</v>
      </c>
      <c r="Q137" s="90">
        <v>0.21</v>
      </c>
      <c r="R137" s="90">
        <v>0</v>
      </c>
      <c r="T137" s="95">
        <f t="shared" si="4"/>
        <v>72.599999999999994</v>
      </c>
      <c r="U137" s="1" t="s">
        <v>5111</v>
      </c>
      <c r="V137" s="219" t="s">
        <v>5114</v>
      </c>
      <c r="W137" s="2">
        <v>34201</v>
      </c>
      <c r="X137" s="2">
        <v>44301</v>
      </c>
      <c r="Y137" s="11" t="s">
        <v>5388</v>
      </c>
      <c r="Z137" s="3">
        <v>44340</v>
      </c>
      <c r="AA137" s="80" t="s">
        <v>1339</v>
      </c>
      <c r="AD137" t="s">
        <v>3198</v>
      </c>
    </row>
    <row r="138" spans="1:39">
      <c r="A138" s="1">
        <v>137</v>
      </c>
      <c r="B138" t="s">
        <v>37</v>
      </c>
      <c r="C138" s="2">
        <v>44301</v>
      </c>
      <c r="D138" s="1" t="s">
        <v>5115</v>
      </c>
      <c r="E138" t="s">
        <v>5116</v>
      </c>
      <c r="F138" s="61" t="s">
        <v>5117</v>
      </c>
      <c r="G138" s="6" t="s">
        <v>1257</v>
      </c>
      <c r="H138" s="1" t="s">
        <v>1266</v>
      </c>
      <c r="I138" s="1">
        <v>652280489</v>
      </c>
      <c r="K138" s="1" t="s">
        <v>5115</v>
      </c>
      <c r="L138" s="3">
        <v>44316</v>
      </c>
      <c r="M138" s="1" t="s">
        <v>35</v>
      </c>
      <c r="N138" s="14" t="s">
        <v>5118</v>
      </c>
      <c r="O138" s="187">
        <v>100</v>
      </c>
      <c r="P138" s="1">
        <v>1</v>
      </c>
      <c r="Q138" s="90">
        <v>0.21</v>
      </c>
      <c r="R138" s="90">
        <v>0</v>
      </c>
      <c r="T138" s="95">
        <f t="shared" si="4"/>
        <v>121</v>
      </c>
      <c r="U138" s="1" t="s">
        <v>5324</v>
      </c>
      <c r="V138" s="6" t="s">
        <v>5325</v>
      </c>
      <c r="W138" s="2">
        <v>36946</v>
      </c>
      <c r="X138" s="2">
        <v>44301</v>
      </c>
      <c r="Y138" s="11" t="s">
        <v>5506</v>
      </c>
      <c r="Z138" s="3">
        <v>44365</v>
      </c>
      <c r="AA138" s="80" t="s">
        <v>1339</v>
      </c>
      <c r="AD138" t="s">
        <v>3198</v>
      </c>
      <c r="AG138" t="s">
        <v>5119</v>
      </c>
      <c r="AH138" s="2">
        <v>44323</v>
      </c>
      <c r="AK138" s="3">
        <v>44326</v>
      </c>
    </row>
    <row r="139" spans="1:39">
      <c r="A139" s="1">
        <v>138</v>
      </c>
      <c r="B139" t="s">
        <v>37</v>
      </c>
      <c r="C139" s="2">
        <v>44301</v>
      </c>
      <c r="D139" s="1" t="s">
        <v>5120</v>
      </c>
      <c r="E139" t="s">
        <v>5121</v>
      </c>
      <c r="F139" s="61" t="s">
        <v>5122</v>
      </c>
      <c r="G139" s="6" t="s">
        <v>3709</v>
      </c>
      <c r="H139" s="1" t="s">
        <v>39</v>
      </c>
      <c r="I139" s="1">
        <v>643279263</v>
      </c>
      <c r="K139" s="1" t="s">
        <v>5120</v>
      </c>
      <c r="L139" s="3">
        <v>44316</v>
      </c>
      <c r="M139" s="1" t="s">
        <v>35</v>
      </c>
      <c r="N139" s="14" t="s">
        <v>5123</v>
      </c>
      <c r="O139" s="187">
        <v>100</v>
      </c>
      <c r="P139" s="1">
        <v>1</v>
      </c>
      <c r="Q139" s="128">
        <v>0.21</v>
      </c>
      <c r="R139" s="128">
        <v>0</v>
      </c>
      <c r="T139" s="95">
        <f t="shared" si="4"/>
        <v>121</v>
      </c>
      <c r="U139" s="1" t="s">
        <v>5120</v>
      </c>
      <c r="V139" s="6" t="s">
        <v>5308</v>
      </c>
      <c r="W139" s="2">
        <v>24067</v>
      </c>
      <c r="X139" s="2">
        <v>44301</v>
      </c>
      <c r="Y139" s="11" t="s">
        <v>5913</v>
      </c>
      <c r="Z139" s="3">
        <v>44482</v>
      </c>
      <c r="AA139" s="80" t="s">
        <v>1339</v>
      </c>
      <c r="AC139" s="162">
        <v>44428</v>
      </c>
      <c r="AD139" t="s">
        <v>3198</v>
      </c>
      <c r="AG139" t="s">
        <v>5124</v>
      </c>
      <c r="AK139" s="3">
        <v>44330</v>
      </c>
    </row>
    <row r="140" spans="1:39" s="176" customFormat="1">
      <c r="A140" s="1">
        <v>139</v>
      </c>
      <c r="B140" t="s">
        <v>119</v>
      </c>
      <c r="C140" s="2">
        <v>44301</v>
      </c>
      <c r="D140" t="s">
        <v>3116</v>
      </c>
      <c r="E140" t="s">
        <v>1770</v>
      </c>
      <c r="F140" t="s">
        <v>3117</v>
      </c>
      <c r="G140" s="6" t="s">
        <v>226</v>
      </c>
      <c r="H140" s="1" t="s">
        <v>3118</v>
      </c>
      <c r="I140"/>
      <c r="J140"/>
      <c r="K140" s="1" t="s">
        <v>174</v>
      </c>
      <c r="L140" s="3">
        <v>44316</v>
      </c>
      <c r="M140" s="1" t="s">
        <v>35</v>
      </c>
      <c r="N140" s="14" t="s">
        <v>5076</v>
      </c>
      <c r="O140" s="187">
        <v>60</v>
      </c>
      <c r="P140" s="1">
        <v>1</v>
      </c>
      <c r="Q140" s="128">
        <v>0.21</v>
      </c>
      <c r="R140" s="128">
        <v>0.2</v>
      </c>
      <c r="S140"/>
      <c r="T140" s="95">
        <f t="shared" si="4"/>
        <v>58.08</v>
      </c>
      <c r="U140" s="1" t="s">
        <v>3134</v>
      </c>
      <c r="V140" s="6" t="s">
        <v>5343</v>
      </c>
      <c r="W140" s="2">
        <v>36665</v>
      </c>
      <c r="X140" s="2">
        <v>44301</v>
      </c>
      <c r="Y140" s="11" t="s">
        <v>5521</v>
      </c>
      <c r="Z140" s="3">
        <v>44369</v>
      </c>
      <c r="AA140" s="80" t="s">
        <v>1339</v>
      </c>
      <c r="AB140"/>
      <c r="AC140"/>
      <c r="AD140" t="s">
        <v>3198</v>
      </c>
      <c r="AE140"/>
      <c r="AF140"/>
      <c r="AG140" t="s">
        <v>5127</v>
      </c>
      <c r="AH140" s="1"/>
      <c r="AI140"/>
      <c r="AJ140"/>
      <c r="AK140" s="3">
        <v>44335</v>
      </c>
      <c r="AL140"/>
      <c r="AM140"/>
    </row>
    <row r="141" spans="1:39">
      <c r="A141" s="1">
        <v>140</v>
      </c>
      <c r="B141" t="s">
        <v>37</v>
      </c>
      <c r="C141" s="2">
        <v>44301</v>
      </c>
      <c r="D141" t="s">
        <v>3353</v>
      </c>
      <c r="E141" t="s">
        <v>3354</v>
      </c>
      <c r="F141" t="s">
        <v>3355</v>
      </c>
      <c r="G141" s="6" t="s">
        <v>1229</v>
      </c>
      <c r="H141" s="1" t="s">
        <v>38</v>
      </c>
      <c r="I141">
        <v>631152163</v>
      </c>
      <c r="K141" s="1" t="s">
        <v>3353</v>
      </c>
      <c r="L141" s="3">
        <v>44316</v>
      </c>
      <c r="M141" s="1" t="s">
        <v>35</v>
      </c>
      <c r="N141" t="s">
        <v>5092</v>
      </c>
      <c r="O141" s="187">
        <v>60</v>
      </c>
      <c r="P141" s="1">
        <v>1</v>
      </c>
      <c r="Q141" s="90">
        <v>0.21</v>
      </c>
      <c r="R141" s="90">
        <v>0</v>
      </c>
      <c r="T141" s="95">
        <f t="shared" si="4"/>
        <v>72.599999999999994</v>
      </c>
      <c r="U141" s="1" t="s">
        <v>3358</v>
      </c>
      <c r="V141" s="6" t="s">
        <v>5304</v>
      </c>
      <c r="W141" s="2">
        <v>30682</v>
      </c>
      <c r="X141" s="2">
        <v>44301</v>
      </c>
      <c r="Y141" s="11" t="s">
        <v>5455</v>
      </c>
      <c r="Z141" s="3">
        <v>44351</v>
      </c>
      <c r="AA141" s="184" t="s">
        <v>1339</v>
      </c>
      <c r="AD141" t="s">
        <v>3198</v>
      </c>
    </row>
    <row r="142" spans="1:39">
      <c r="A142" s="1">
        <v>141</v>
      </c>
      <c r="B142" t="s">
        <v>37</v>
      </c>
      <c r="C142" s="2">
        <v>44301</v>
      </c>
      <c r="D142" t="s">
        <v>3353</v>
      </c>
      <c r="E142" t="s">
        <v>3354</v>
      </c>
      <c r="F142" t="s">
        <v>3355</v>
      </c>
      <c r="G142" s="6" t="s">
        <v>1229</v>
      </c>
      <c r="H142" s="1" t="s">
        <v>38</v>
      </c>
      <c r="I142">
        <v>631152163</v>
      </c>
      <c r="K142" s="1" t="s">
        <v>3353</v>
      </c>
      <c r="L142" s="3">
        <v>44316</v>
      </c>
      <c r="M142" s="1" t="s">
        <v>35</v>
      </c>
      <c r="N142" t="s">
        <v>5093</v>
      </c>
      <c r="O142" s="187">
        <v>60</v>
      </c>
      <c r="P142" s="1">
        <v>1</v>
      </c>
      <c r="Q142" s="90">
        <v>0.21</v>
      </c>
      <c r="R142" s="90">
        <v>0</v>
      </c>
      <c r="T142" s="95">
        <f t="shared" si="4"/>
        <v>72.599999999999994</v>
      </c>
      <c r="U142" s="1" t="s">
        <v>3360</v>
      </c>
      <c r="V142" s="220" t="s">
        <v>5305</v>
      </c>
      <c r="W142" s="2">
        <v>38549</v>
      </c>
      <c r="X142" s="2">
        <v>44301</v>
      </c>
      <c r="Y142" s="11" t="s">
        <v>5455</v>
      </c>
      <c r="Z142" s="3">
        <v>44351</v>
      </c>
      <c r="AA142" s="184" t="s">
        <v>1339</v>
      </c>
      <c r="AD142" t="s">
        <v>3198</v>
      </c>
    </row>
    <row r="143" spans="1:39">
      <c r="A143" s="1">
        <v>142</v>
      </c>
      <c r="B143" t="s">
        <v>33</v>
      </c>
      <c r="C143" s="2">
        <v>44301</v>
      </c>
      <c r="D143" s="1" t="s">
        <v>5132</v>
      </c>
      <c r="E143" t="s">
        <v>1371</v>
      </c>
      <c r="F143" s="61" t="s">
        <v>1372</v>
      </c>
      <c r="G143" s="6" t="s">
        <v>304</v>
      </c>
      <c r="H143" s="1" t="s">
        <v>4480</v>
      </c>
      <c r="K143" s="30" t="s">
        <v>237</v>
      </c>
      <c r="L143" s="3">
        <v>44316</v>
      </c>
      <c r="M143" s="1" t="s">
        <v>35</v>
      </c>
      <c r="N143" s="14" t="s">
        <v>5133</v>
      </c>
      <c r="O143" s="187">
        <v>100</v>
      </c>
      <c r="P143" s="1">
        <v>1</v>
      </c>
      <c r="Q143" s="90">
        <v>0.21</v>
      </c>
      <c r="R143" s="90">
        <v>0.2</v>
      </c>
      <c r="T143" s="95">
        <f t="shared" si="4"/>
        <v>96.8</v>
      </c>
      <c r="U143" s="1" t="s">
        <v>5346</v>
      </c>
      <c r="V143" s="6" t="s">
        <v>5347</v>
      </c>
      <c r="W143" s="2">
        <v>35967</v>
      </c>
      <c r="X143" s="2">
        <v>44301</v>
      </c>
      <c r="Y143" s="11" t="s">
        <v>5478</v>
      </c>
      <c r="Z143" s="3">
        <v>44356</v>
      </c>
      <c r="AA143" s="184" t="s">
        <v>1339</v>
      </c>
      <c r="AD143" t="s">
        <v>3198</v>
      </c>
      <c r="AG143" t="s">
        <v>5134</v>
      </c>
      <c r="AH143" s="2">
        <v>44330</v>
      </c>
      <c r="AK143" s="3">
        <v>44334</v>
      </c>
    </row>
    <row r="144" spans="1:39">
      <c r="A144" s="1">
        <v>143</v>
      </c>
      <c r="B144" t="s">
        <v>37</v>
      </c>
      <c r="C144" s="2">
        <v>44302</v>
      </c>
      <c r="D144" s="1" t="s">
        <v>5135</v>
      </c>
      <c r="E144" t="s">
        <v>5136</v>
      </c>
      <c r="F144" s="61" t="s">
        <v>5137</v>
      </c>
      <c r="G144" s="6" t="s">
        <v>245</v>
      </c>
      <c r="H144" s="1" t="s">
        <v>54</v>
      </c>
      <c r="I144" s="1">
        <v>631497945</v>
      </c>
      <c r="K144" s="1" t="s">
        <v>5135</v>
      </c>
      <c r="L144" s="3">
        <v>44316</v>
      </c>
      <c r="M144" s="1" t="s">
        <v>35</v>
      </c>
      <c r="N144" t="s">
        <v>5251</v>
      </c>
      <c r="O144" s="187">
        <v>41.32</v>
      </c>
      <c r="P144" s="1">
        <v>1</v>
      </c>
      <c r="Q144" s="90">
        <v>0.21</v>
      </c>
      <c r="R144" s="90">
        <v>0</v>
      </c>
      <c r="T144" s="95">
        <f t="shared" si="4"/>
        <v>49.997199999999999</v>
      </c>
      <c r="U144" s="1" t="s">
        <v>5135</v>
      </c>
      <c r="W144" s="2">
        <v>25814</v>
      </c>
      <c r="X144" s="2">
        <v>44302</v>
      </c>
      <c r="Y144" s="11" t="s">
        <v>1326</v>
      </c>
      <c r="AD144" t="s">
        <v>3198</v>
      </c>
    </row>
    <row r="145" spans="1:37">
      <c r="A145" s="1">
        <v>144</v>
      </c>
      <c r="B145" t="s">
        <v>4189</v>
      </c>
      <c r="C145" s="2">
        <v>44302</v>
      </c>
      <c r="D145" s="1" t="s">
        <v>4948</v>
      </c>
      <c r="E145" t="s">
        <v>4189</v>
      </c>
      <c r="F145" s="31" t="s">
        <v>188</v>
      </c>
      <c r="G145" s="33" t="s">
        <v>220</v>
      </c>
      <c r="H145" s="30" t="s">
        <v>92</v>
      </c>
      <c r="I145" s="31"/>
      <c r="J145" s="31"/>
      <c r="K145" s="1" t="s">
        <v>4948</v>
      </c>
      <c r="L145" s="3">
        <v>44316</v>
      </c>
      <c r="M145" s="1" t="s">
        <v>35</v>
      </c>
      <c r="N145" t="s">
        <v>2552</v>
      </c>
      <c r="O145" s="92">
        <v>60</v>
      </c>
      <c r="P145" s="1">
        <v>1</v>
      </c>
      <c r="Q145" s="90">
        <v>0.21</v>
      </c>
      <c r="R145" s="90">
        <v>0</v>
      </c>
      <c r="S145" s="1"/>
      <c r="T145" s="95">
        <f>(O145*P145)*Q145+O145*P145</f>
        <v>72.599999999999994</v>
      </c>
      <c r="U145" s="2" t="s">
        <v>2553</v>
      </c>
      <c r="V145" s="6" t="s">
        <v>5213</v>
      </c>
      <c r="W145" s="2">
        <v>29649</v>
      </c>
      <c r="X145" s="2">
        <v>44302</v>
      </c>
      <c r="Y145" s="11" t="s">
        <v>5250</v>
      </c>
      <c r="Z145" s="3">
        <v>44313</v>
      </c>
      <c r="AA145" s="80" t="s">
        <v>1339</v>
      </c>
      <c r="AD145" t="s">
        <v>3198</v>
      </c>
      <c r="AF145" s="190" t="s">
        <v>4572</v>
      </c>
    </row>
    <row r="146" spans="1:37">
      <c r="A146" s="1">
        <v>145</v>
      </c>
      <c r="B146" t="s">
        <v>4189</v>
      </c>
      <c r="C146" s="2">
        <v>44302</v>
      </c>
      <c r="D146" s="1" t="s">
        <v>4948</v>
      </c>
      <c r="E146" t="s">
        <v>4189</v>
      </c>
      <c r="F146" s="31" t="s">
        <v>188</v>
      </c>
      <c r="G146" s="33" t="s">
        <v>220</v>
      </c>
      <c r="H146" s="30" t="s">
        <v>92</v>
      </c>
      <c r="I146" s="31"/>
      <c r="J146" s="31"/>
      <c r="K146" s="1" t="s">
        <v>4948</v>
      </c>
      <c r="L146" s="3">
        <v>44316</v>
      </c>
      <c r="M146" s="1" t="s">
        <v>35</v>
      </c>
      <c r="N146" t="s">
        <v>3901</v>
      </c>
      <c r="O146" s="92">
        <v>60</v>
      </c>
      <c r="P146" s="1">
        <v>1</v>
      </c>
      <c r="Q146" s="90">
        <v>0.21</v>
      </c>
      <c r="R146" s="90">
        <v>0</v>
      </c>
      <c r="S146" s="1"/>
      <c r="T146" s="95">
        <f>(O146*P146)*Q146+O146*P146</f>
        <v>72.599999999999994</v>
      </c>
      <c r="U146" s="2" t="s">
        <v>3930</v>
      </c>
      <c r="V146" s="6" t="s">
        <v>5214</v>
      </c>
      <c r="W146" s="2">
        <v>29658</v>
      </c>
      <c r="X146" s="2">
        <v>44302</v>
      </c>
      <c r="Y146" s="11" t="s">
        <v>5250</v>
      </c>
      <c r="Z146" s="3">
        <v>44313</v>
      </c>
      <c r="AA146" s="80" t="s">
        <v>1339</v>
      </c>
      <c r="AD146" t="s">
        <v>3198</v>
      </c>
      <c r="AF146" s="190" t="s">
        <v>4572</v>
      </c>
    </row>
    <row r="147" spans="1:37">
      <c r="A147" s="1">
        <v>146</v>
      </c>
      <c r="B147" t="s">
        <v>4189</v>
      </c>
      <c r="C147" s="2">
        <v>44302</v>
      </c>
      <c r="D147" s="1" t="s">
        <v>4948</v>
      </c>
      <c r="E147" t="s">
        <v>4189</v>
      </c>
      <c r="F147" s="31" t="s">
        <v>188</v>
      </c>
      <c r="G147" s="33" t="s">
        <v>220</v>
      </c>
      <c r="H147" s="30" t="s">
        <v>92</v>
      </c>
      <c r="I147" s="31"/>
      <c r="J147" s="31"/>
      <c r="K147" s="1" t="s">
        <v>4948</v>
      </c>
      <c r="L147" s="3">
        <v>44316</v>
      </c>
      <c r="M147" s="1" t="s">
        <v>35</v>
      </c>
      <c r="N147" t="s">
        <v>3903</v>
      </c>
      <c r="O147" s="92">
        <v>60</v>
      </c>
      <c r="P147" s="1">
        <v>1</v>
      </c>
      <c r="Q147" s="90">
        <v>0.21</v>
      </c>
      <c r="R147" s="90">
        <v>0</v>
      </c>
      <c r="S147" s="1"/>
      <c r="T147" s="95">
        <f>(O147*P147)*Q147+O147*P147</f>
        <v>72.599999999999994</v>
      </c>
      <c r="U147" s="2" t="s">
        <v>3932</v>
      </c>
      <c r="V147" s="6" t="s">
        <v>5211</v>
      </c>
      <c r="W147" s="2">
        <v>30512</v>
      </c>
      <c r="X147" s="2">
        <v>44302</v>
      </c>
      <c r="Y147" s="11" t="s">
        <v>5250</v>
      </c>
      <c r="Z147" s="3">
        <v>44313</v>
      </c>
      <c r="AA147" s="80" t="s">
        <v>1339</v>
      </c>
      <c r="AD147" t="s">
        <v>3198</v>
      </c>
      <c r="AF147" s="190" t="s">
        <v>4572</v>
      </c>
    </row>
    <row r="148" spans="1:37">
      <c r="A148" s="1">
        <v>147</v>
      </c>
      <c r="B148" t="s">
        <v>4189</v>
      </c>
      <c r="C148" s="2">
        <v>44302</v>
      </c>
      <c r="D148" s="1" t="s">
        <v>4948</v>
      </c>
      <c r="E148" t="s">
        <v>4189</v>
      </c>
      <c r="F148" s="31" t="s">
        <v>188</v>
      </c>
      <c r="G148" s="33" t="s">
        <v>220</v>
      </c>
      <c r="H148" s="30" t="s">
        <v>92</v>
      </c>
      <c r="I148" s="31"/>
      <c r="J148" s="31"/>
      <c r="K148" s="1" t="s">
        <v>4948</v>
      </c>
      <c r="L148" s="3">
        <v>44316</v>
      </c>
      <c r="M148" s="1" t="s">
        <v>35</v>
      </c>
      <c r="N148" t="s">
        <v>3904</v>
      </c>
      <c r="O148" s="92">
        <v>60</v>
      </c>
      <c r="P148" s="1">
        <v>1</v>
      </c>
      <c r="Q148" s="90">
        <v>0.21</v>
      </c>
      <c r="R148" s="90">
        <v>0</v>
      </c>
      <c r="S148" s="1"/>
      <c r="T148" s="95">
        <f>(O148*P148)*Q148+O148*P148</f>
        <v>72.599999999999994</v>
      </c>
      <c r="U148" s="2" t="s">
        <v>3933</v>
      </c>
      <c r="V148" s="6" t="s">
        <v>5212</v>
      </c>
      <c r="W148" s="2">
        <v>27463</v>
      </c>
      <c r="X148" s="2">
        <v>44302</v>
      </c>
      <c r="Y148" s="11" t="s">
        <v>5250</v>
      </c>
      <c r="Z148" s="3">
        <v>44313</v>
      </c>
      <c r="AA148" s="80" t="s">
        <v>1339</v>
      </c>
      <c r="AD148" t="s">
        <v>3198</v>
      </c>
      <c r="AF148" s="190" t="s">
        <v>4572</v>
      </c>
    </row>
    <row r="149" spans="1:37">
      <c r="A149" s="1">
        <v>148</v>
      </c>
      <c r="B149" t="s">
        <v>3526</v>
      </c>
      <c r="C149" s="2">
        <v>44302</v>
      </c>
      <c r="D149" s="1" t="s">
        <v>5138</v>
      </c>
      <c r="E149" t="s">
        <v>5139</v>
      </c>
      <c r="F149" s="61" t="s">
        <v>5140</v>
      </c>
      <c r="G149" s="6" t="s">
        <v>5141</v>
      </c>
      <c r="H149" s="1" t="s">
        <v>5142</v>
      </c>
      <c r="I149" s="14">
        <v>66098153</v>
      </c>
      <c r="J149" s="230" t="s">
        <v>5909</v>
      </c>
      <c r="K149" s="1" t="s">
        <v>5138</v>
      </c>
      <c r="L149" s="3">
        <v>44316</v>
      </c>
      <c r="M149" s="1" t="s">
        <v>35</v>
      </c>
      <c r="N149" s="14" t="s">
        <v>5143</v>
      </c>
      <c r="O149" s="187">
        <v>100</v>
      </c>
      <c r="P149" s="1">
        <v>1</v>
      </c>
      <c r="Q149" s="90">
        <v>0.21</v>
      </c>
      <c r="R149" s="90">
        <v>0.2</v>
      </c>
      <c r="T149" s="95">
        <f t="shared" ref="T149:T154" si="5">SUM(O149-(O149*R149))*Q149+(O149-(O149*R149))</f>
        <v>96.8</v>
      </c>
      <c r="U149" s="1" t="s">
        <v>5299</v>
      </c>
      <c r="V149" s="6" t="s">
        <v>5298</v>
      </c>
      <c r="W149" s="2">
        <v>30577</v>
      </c>
      <c r="X149" s="2">
        <v>44302</v>
      </c>
      <c r="Y149" s="208" t="s">
        <v>5610</v>
      </c>
      <c r="Z149" s="3">
        <v>44391</v>
      </c>
      <c r="AA149" s="80" t="s">
        <v>1339</v>
      </c>
      <c r="AB149" t="s">
        <v>5399</v>
      </c>
      <c r="AD149" t="s">
        <v>3198</v>
      </c>
      <c r="AG149" t="s">
        <v>5144</v>
      </c>
      <c r="AH149" s="2">
        <v>44320</v>
      </c>
      <c r="AK149" s="3">
        <v>44340</v>
      </c>
    </row>
    <row r="150" spans="1:37">
      <c r="A150" s="1">
        <v>149</v>
      </c>
      <c r="B150" t="s">
        <v>37</v>
      </c>
      <c r="C150" s="2">
        <v>44302</v>
      </c>
      <c r="D150" s="1" t="s">
        <v>5145</v>
      </c>
      <c r="E150" t="s">
        <v>5146</v>
      </c>
      <c r="F150" s="61" t="s">
        <v>5147</v>
      </c>
      <c r="G150" s="6" t="s">
        <v>242</v>
      </c>
      <c r="H150" s="1" t="s">
        <v>5148</v>
      </c>
      <c r="K150" s="1" t="s">
        <v>5145</v>
      </c>
      <c r="L150" s="3">
        <v>44316</v>
      </c>
      <c r="M150" s="1" t="s">
        <v>35</v>
      </c>
      <c r="N150" s="14" t="s">
        <v>5149</v>
      </c>
      <c r="O150" s="187">
        <v>100</v>
      </c>
      <c r="P150" s="1">
        <v>1</v>
      </c>
      <c r="Q150" s="90">
        <v>0.21</v>
      </c>
      <c r="R150" s="90">
        <v>0.2</v>
      </c>
      <c r="T150" s="95">
        <f t="shared" si="5"/>
        <v>96.8</v>
      </c>
      <c r="U150" s="2" t="s">
        <v>5150</v>
      </c>
      <c r="V150" s="6" t="s">
        <v>5348</v>
      </c>
      <c r="W150" s="2">
        <v>37288</v>
      </c>
      <c r="X150" s="2">
        <v>44302</v>
      </c>
      <c r="Y150" s="11" t="s">
        <v>5478</v>
      </c>
      <c r="Z150" s="3">
        <v>44356</v>
      </c>
      <c r="AA150" s="184" t="s">
        <v>1339</v>
      </c>
      <c r="AD150" t="s">
        <v>3198</v>
      </c>
      <c r="AF150" s="190" t="s">
        <v>4572</v>
      </c>
      <c r="AG150" t="s">
        <v>5151</v>
      </c>
      <c r="AH150" s="2">
        <v>44330</v>
      </c>
      <c r="AK150" s="3">
        <v>44340</v>
      </c>
    </row>
    <row r="151" spans="1:37">
      <c r="A151" s="1">
        <v>150</v>
      </c>
      <c r="B151" t="s">
        <v>5163</v>
      </c>
      <c r="C151" s="2">
        <v>44306</v>
      </c>
      <c r="D151" s="1" t="s">
        <v>5165</v>
      </c>
      <c r="E151" t="s">
        <v>5164</v>
      </c>
      <c r="F151" s="61" t="s">
        <v>5166</v>
      </c>
      <c r="G151" s="6" t="s">
        <v>230</v>
      </c>
      <c r="H151" s="1" t="s">
        <v>5167</v>
      </c>
      <c r="K151" s="1" t="s">
        <v>5165</v>
      </c>
      <c r="L151" s="3">
        <v>44316</v>
      </c>
      <c r="M151" s="1" t="s">
        <v>35</v>
      </c>
      <c r="N151" t="s">
        <v>5168</v>
      </c>
      <c r="O151" s="187">
        <v>100</v>
      </c>
      <c r="P151" s="1">
        <v>1</v>
      </c>
      <c r="Q151" s="90">
        <v>0.21</v>
      </c>
      <c r="R151" s="90">
        <v>0.2</v>
      </c>
      <c r="T151" s="95">
        <f t="shared" si="5"/>
        <v>96.8</v>
      </c>
      <c r="U151" s="1" t="s">
        <v>5248</v>
      </c>
      <c r="V151" s="6" t="s">
        <v>5249</v>
      </c>
      <c r="W151" s="2">
        <v>35277</v>
      </c>
      <c r="X151" s="2">
        <v>44306</v>
      </c>
      <c r="Y151" s="11" t="s">
        <v>5401</v>
      </c>
      <c r="Z151" s="3">
        <v>44341</v>
      </c>
      <c r="AA151" s="80" t="s">
        <v>1339</v>
      </c>
      <c r="AD151" t="s">
        <v>3198</v>
      </c>
    </row>
    <row r="152" spans="1:37">
      <c r="A152" s="1">
        <v>151</v>
      </c>
      <c r="B152" t="s">
        <v>52</v>
      </c>
      <c r="C152" s="2">
        <v>44306</v>
      </c>
      <c r="D152" s="1" t="s">
        <v>70</v>
      </c>
      <c r="E152" s="61" t="s">
        <v>3543</v>
      </c>
      <c r="F152" s="61" t="s">
        <v>3544</v>
      </c>
      <c r="G152" s="6" t="s">
        <v>221</v>
      </c>
      <c r="H152" s="1" t="s">
        <v>34</v>
      </c>
      <c r="I152" s="1">
        <v>645871002</v>
      </c>
      <c r="K152" s="1" t="s">
        <v>4432</v>
      </c>
      <c r="L152" s="3">
        <v>44316</v>
      </c>
      <c r="M152" s="1" t="s">
        <v>35</v>
      </c>
      <c r="N152" s="14" t="s">
        <v>5169</v>
      </c>
      <c r="O152" s="187">
        <v>100</v>
      </c>
      <c r="P152" s="1">
        <v>1</v>
      </c>
      <c r="Q152" s="90">
        <v>0.21</v>
      </c>
      <c r="R152" s="90">
        <v>0.2</v>
      </c>
      <c r="T152" s="95">
        <f t="shared" si="5"/>
        <v>96.8</v>
      </c>
      <c r="U152" s="1" t="s">
        <v>5350</v>
      </c>
      <c r="V152" s="6" t="s">
        <v>5349</v>
      </c>
      <c r="W152" s="2">
        <v>37166</v>
      </c>
      <c r="X152" s="2">
        <v>44306</v>
      </c>
      <c r="Y152" s="11" t="s">
        <v>5478</v>
      </c>
      <c r="Z152" s="3">
        <v>44356</v>
      </c>
      <c r="AA152" s="184" t="s">
        <v>1339</v>
      </c>
      <c r="AD152" t="s">
        <v>3198</v>
      </c>
      <c r="AF152" s="190" t="s">
        <v>4572</v>
      </c>
      <c r="AG152" t="s">
        <v>3221</v>
      </c>
      <c r="AH152" s="2">
        <v>44330</v>
      </c>
      <c r="AK152" s="3">
        <v>44334</v>
      </c>
    </row>
    <row r="153" spans="1:37">
      <c r="A153" s="1">
        <v>152</v>
      </c>
      <c r="B153" t="s">
        <v>40</v>
      </c>
      <c r="C153" s="2">
        <v>44306</v>
      </c>
      <c r="D153" s="1" t="s">
        <v>5172</v>
      </c>
      <c r="E153" t="s">
        <v>5173</v>
      </c>
      <c r="F153" s="61" t="s">
        <v>5174</v>
      </c>
      <c r="G153" s="6" t="s">
        <v>227</v>
      </c>
      <c r="H153" s="1" t="s">
        <v>4600</v>
      </c>
      <c r="I153" s="1">
        <v>683440753</v>
      </c>
      <c r="K153" s="1" t="s">
        <v>5172</v>
      </c>
      <c r="L153" s="3">
        <v>44316</v>
      </c>
      <c r="M153" s="1" t="s">
        <v>35</v>
      </c>
      <c r="N153" s="14" t="s">
        <v>5175</v>
      </c>
      <c r="O153" s="187">
        <v>80</v>
      </c>
      <c r="P153" s="1">
        <v>1</v>
      </c>
      <c r="Q153" s="90">
        <v>0.21</v>
      </c>
      <c r="R153" s="90">
        <v>0</v>
      </c>
      <c r="T153" s="95">
        <f t="shared" si="5"/>
        <v>96.8</v>
      </c>
      <c r="U153" s="1" t="s">
        <v>5176</v>
      </c>
      <c r="V153" s="6" t="s">
        <v>5351</v>
      </c>
      <c r="W153" s="2">
        <v>33857</v>
      </c>
      <c r="X153" s="2">
        <v>44306</v>
      </c>
      <c r="Y153" s="11" t="s">
        <v>5742</v>
      </c>
      <c r="Z153" s="3">
        <v>44427</v>
      </c>
      <c r="AA153" s="184" t="s">
        <v>1339</v>
      </c>
      <c r="AD153" t="s">
        <v>3198</v>
      </c>
    </row>
    <row r="154" spans="1:37">
      <c r="A154" s="1">
        <v>153</v>
      </c>
      <c r="B154" t="s">
        <v>52</v>
      </c>
      <c r="C154" s="2">
        <v>44307</v>
      </c>
      <c r="D154" s="1" t="s">
        <v>2109</v>
      </c>
      <c r="E154" t="s">
        <v>2110</v>
      </c>
      <c r="F154" t="s">
        <v>4683</v>
      </c>
      <c r="G154" s="6" t="s">
        <v>221</v>
      </c>
      <c r="H154" s="1" t="s">
        <v>34</v>
      </c>
      <c r="K154" s="1" t="s">
        <v>4432</v>
      </c>
      <c r="L154" s="3">
        <v>44316</v>
      </c>
      <c r="M154" t="s">
        <v>35</v>
      </c>
      <c r="N154" s="14" t="s">
        <v>5187</v>
      </c>
      <c r="O154" s="187">
        <v>100</v>
      </c>
      <c r="P154" s="1">
        <v>1</v>
      </c>
      <c r="Q154" s="128">
        <v>0.21</v>
      </c>
      <c r="R154" s="128">
        <v>0</v>
      </c>
      <c r="T154" s="95">
        <f t="shared" si="5"/>
        <v>121</v>
      </c>
      <c r="U154" s="1" t="s">
        <v>4852</v>
      </c>
      <c r="V154" s="6" t="s">
        <v>4853</v>
      </c>
      <c r="W154" s="2">
        <v>32121</v>
      </c>
      <c r="X154" s="2">
        <v>44307</v>
      </c>
      <c r="Y154" s="125" t="s">
        <v>1326</v>
      </c>
      <c r="AD154" t="s">
        <v>3198</v>
      </c>
    </row>
    <row r="155" spans="1:37">
      <c r="A155" s="1">
        <v>154</v>
      </c>
      <c r="B155" t="s">
        <v>4715</v>
      </c>
      <c r="C155" s="2">
        <v>44189</v>
      </c>
      <c r="D155" s="1" t="s">
        <v>4716</v>
      </c>
      <c r="E155" t="s">
        <v>5191</v>
      </c>
      <c r="F155" s="61" t="s">
        <v>5192</v>
      </c>
      <c r="G155" s="6" t="s">
        <v>236</v>
      </c>
      <c r="H155" s="1" t="s">
        <v>34</v>
      </c>
      <c r="K155" s="1" t="s">
        <v>4716</v>
      </c>
      <c r="L155" s="3">
        <v>44316</v>
      </c>
      <c r="M155" t="s">
        <v>35</v>
      </c>
      <c r="N155" s="14" t="s">
        <v>5193</v>
      </c>
      <c r="O155" s="187">
        <v>60</v>
      </c>
      <c r="P155" s="1">
        <v>1</v>
      </c>
      <c r="Q155" s="90">
        <v>0.21</v>
      </c>
      <c r="R155" s="90">
        <v>0</v>
      </c>
      <c r="S155" s="209"/>
      <c r="T155" s="95">
        <f t="shared" ref="T155:T164" si="6">SUM(O155-(O155*R155))*Q155+(O155-(O155*R155))+S155</f>
        <v>72.599999999999994</v>
      </c>
      <c r="U155" s="232" t="s">
        <v>5209</v>
      </c>
      <c r="W155" s="210">
        <v>31754</v>
      </c>
      <c r="X155" s="2">
        <v>44189</v>
      </c>
      <c r="Y155" s="125" t="s">
        <v>3317</v>
      </c>
      <c r="AA155" s="80" t="s">
        <v>1339</v>
      </c>
      <c r="AD155" t="s">
        <v>3198</v>
      </c>
    </row>
    <row r="156" spans="1:37">
      <c r="A156" s="1">
        <v>155</v>
      </c>
      <c r="B156" t="s">
        <v>4715</v>
      </c>
      <c r="C156" s="2">
        <v>44189</v>
      </c>
      <c r="D156" s="1" t="s">
        <v>4716</v>
      </c>
      <c r="E156" t="s">
        <v>5191</v>
      </c>
      <c r="F156" s="61" t="s">
        <v>5192</v>
      </c>
      <c r="G156" s="6" t="s">
        <v>236</v>
      </c>
      <c r="H156" s="1" t="s">
        <v>34</v>
      </c>
      <c r="K156" s="1" t="s">
        <v>4716</v>
      </c>
      <c r="L156" s="3">
        <v>44316</v>
      </c>
      <c r="M156" t="s">
        <v>35</v>
      </c>
      <c r="N156" s="14" t="s">
        <v>5194</v>
      </c>
      <c r="O156" s="187">
        <v>60</v>
      </c>
      <c r="P156" s="1">
        <v>1</v>
      </c>
      <c r="Q156" s="90">
        <v>0.21</v>
      </c>
      <c r="R156" s="90">
        <v>0</v>
      </c>
      <c r="S156" s="209"/>
      <c r="T156" s="95">
        <f t="shared" si="6"/>
        <v>72.599999999999994</v>
      </c>
      <c r="U156" s="233" t="s">
        <v>5210</v>
      </c>
      <c r="W156" s="210">
        <v>28240</v>
      </c>
      <c r="X156" s="2">
        <v>44189</v>
      </c>
      <c r="Y156" s="125" t="s">
        <v>3317</v>
      </c>
      <c r="AA156" s="80" t="s">
        <v>1339</v>
      </c>
      <c r="AD156" t="s">
        <v>3198</v>
      </c>
    </row>
    <row r="157" spans="1:37">
      <c r="A157" s="1">
        <v>156</v>
      </c>
      <c r="B157" t="s">
        <v>4715</v>
      </c>
      <c r="C157" s="2">
        <v>44189</v>
      </c>
      <c r="D157" s="1" t="s">
        <v>4716</v>
      </c>
      <c r="E157" t="s">
        <v>5191</v>
      </c>
      <c r="F157" s="61" t="s">
        <v>5192</v>
      </c>
      <c r="G157" s="6" t="s">
        <v>236</v>
      </c>
      <c r="H157" s="1" t="s">
        <v>34</v>
      </c>
      <c r="K157" s="1" t="s">
        <v>4716</v>
      </c>
      <c r="L157" s="3">
        <v>44316</v>
      </c>
      <c r="M157" t="s">
        <v>35</v>
      </c>
      <c r="N157" s="14" t="s">
        <v>5195</v>
      </c>
      <c r="O157" s="187">
        <v>60</v>
      </c>
      <c r="P157" s="1">
        <v>1</v>
      </c>
      <c r="Q157" s="90">
        <v>0.21</v>
      </c>
      <c r="R157" s="90">
        <v>0</v>
      </c>
      <c r="S157" s="209"/>
      <c r="T157" s="95">
        <f t="shared" si="6"/>
        <v>72.599999999999994</v>
      </c>
      <c r="U157" s="233" t="s">
        <v>5203</v>
      </c>
      <c r="W157" s="210">
        <v>27001</v>
      </c>
      <c r="X157" s="2">
        <v>44189</v>
      </c>
      <c r="Y157" s="125" t="s">
        <v>3317</v>
      </c>
      <c r="AA157" s="80" t="s">
        <v>1339</v>
      </c>
      <c r="AD157" t="s">
        <v>3198</v>
      </c>
    </row>
    <row r="158" spans="1:37">
      <c r="A158" s="1">
        <v>157</v>
      </c>
      <c r="B158" t="s">
        <v>4715</v>
      </c>
      <c r="C158" s="2">
        <v>44189</v>
      </c>
      <c r="D158" s="1" t="s">
        <v>4716</v>
      </c>
      <c r="E158" t="s">
        <v>5191</v>
      </c>
      <c r="F158" s="61" t="s">
        <v>5192</v>
      </c>
      <c r="G158" s="6" t="s">
        <v>236</v>
      </c>
      <c r="H158" s="1" t="s">
        <v>34</v>
      </c>
      <c r="K158" s="1" t="s">
        <v>4716</v>
      </c>
      <c r="L158" s="3">
        <v>44316</v>
      </c>
      <c r="M158" t="s">
        <v>35</v>
      </c>
      <c r="N158" s="14" t="s">
        <v>5196</v>
      </c>
      <c r="O158" s="187">
        <v>60</v>
      </c>
      <c r="P158" s="1">
        <v>1</v>
      </c>
      <c r="Q158" s="90">
        <v>0.21</v>
      </c>
      <c r="R158" s="90">
        <v>0</v>
      </c>
      <c r="S158" s="209"/>
      <c r="T158" s="95">
        <f t="shared" si="6"/>
        <v>72.599999999999994</v>
      </c>
      <c r="U158" s="233" t="s">
        <v>5204</v>
      </c>
      <c r="W158" s="211">
        <v>27030</v>
      </c>
      <c r="X158" s="2">
        <v>44189</v>
      </c>
      <c r="Y158" s="125" t="s">
        <v>3317</v>
      </c>
      <c r="AA158" s="80" t="s">
        <v>1339</v>
      </c>
      <c r="AD158" t="s">
        <v>3198</v>
      </c>
    </row>
    <row r="159" spans="1:37">
      <c r="A159" s="1">
        <v>158</v>
      </c>
      <c r="B159" t="s">
        <v>4715</v>
      </c>
      <c r="C159" s="2">
        <v>44189</v>
      </c>
      <c r="D159" s="1" t="s">
        <v>4716</v>
      </c>
      <c r="E159" t="s">
        <v>5191</v>
      </c>
      <c r="F159" s="61" t="s">
        <v>5192</v>
      </c>
      <c r="G159" s="6" t="s">
        <v>236</v>
      </c>
      <c r="H159" s="1" t="s">
        <v>34</v>
      </c>
      <c r="K159" s="1" t="s">
        <v>4716</v>
      </c>
      <c r="L159" s="3">
        <v>44316</v>
      </c>
      <c r="M159" t="s">
        <v>35</v>
      </c>
      <c r="N159" s="14" t="s">
        <v>5197</v>
      </c>
      <c r="O159" s="187">
        <v>60</v>
      </c>
      <c r="P159" s="1">
        <v>1</v>
      </c>
      <c r="Q159" s="90">
        <v>0.21</v>
      </c>
      <c r="R159" s="90">
        <v>0</v>
      </c>
      <c r="S159" s="209"/>
      <c r="T159" s="95">
        <f t="shared" si="6"/>
        <v>72.599999999999994</v>
      </c>
      <c r="U159" s="233" t="s">
        <v>5205</v>
      </c>
      <c r="W159" s="211">
        <v>29952</v>
      </c>
      <c r="X159" s="2">
        <v>44189</v>
      </c>
      <c r="Y159" s="125" t="s">
        <v>3317</v>
      </c>
      <c r="AA159" s="80" t="s">
        <v>1339</v>
      </c>
      <c r="AD159" t="s">
        <v>3198</v>
      </c>
    </row>
    <row r="160" spans="1:37">
      <c r="A160" s="1">
        <v>159</v>
      </c>
      <c r="B160" t="s">
        <v>4715</v>
      </c>
      <c r="C160" s="2">
        <v>44189</v>
      </c>
      <c r="D160" s="1" t="s">
        <v>4716</v>
      </c>
      <c r="E160" t="s">
        <v>5191</v>
      </c>
      <c r="F160" s="61" t="s">
        <v>5192</v>
      </c>
      <c r="G160" s="6" t="s">
        <v>236</v>
      </c>
      <c r="H160" s="1" t="s">
        <v>34</v>
      </c>
      <c r="K160" s="1" t="s">
        <v>4716</v>
      </c>
      <c r="L160" s="3">
        <v>44316</v>
      </c>
      <c r="M160" t="s">
        <v>35</v>
      </c>
      <c r="N160" s="14" t="s">
        <v>5198</v>
      </c>
      <c r="O160" s="187">
        <v>60</v>
      </c>
      <c r="P160" s="1">
        <v>1</v>
      </c>
      <c r="Q160" s="90">
        <v>0.21</v>
      </c>
      <c r="R160" s="90">
        <v>0</v>
      </c>
      <c r="S160" s="209"/>
      <c r="T160" s="95">
        <f t="shared" si="6"/>
        <v>72.599999999999994</v>
      </c>
      <c r="U160" s="233" t="s">
        <v>5206</v>
      </c>
      <c r="W160" s="211">
        <v>27030</v>
      </c>
      <c r="X160" s="2">
        <v>44189</v>
      </c>
      <c r="Y160" s="125" t="s">
        <v>3317</v>
      </c>
      <c r="AA160" s="80" t="s">
        <v>1339</v>
      </c>
      <c r="AD160" t="s">
        <v>3198</v>
      </c>
    </row>
    <row r="161" spans="1:37">
      <c r="A161" s="1">
        <v>160</v>
      </c>
      <c r="B161" t="s">
        <v>4715</v>
      </c>
      <c r="C161" s="2">
        <v>44189</v>
      </c>
      <c r="D161" s="1" t="s">
        <v>4716</v>
      </c>
      <c r="E161" t="s">
        <v>5191</v>
      </c>
      <c r="F161" s="61" t="s">
        <v>5192</v>
      </c>
      <c r="G161" s="6" t="s">
        <v>236</v>
      </c>
      <c r="H161" s="1" t="s">
        <v>34</v>
      </c>
      <c r="K161" s="1" t="s">
        <v>4716</v>
      </c>
      <c r="L161" s="3">
        <v>44316</v>
      </c>
      <c r="M161" t="s">
        <v>35</v>
      </c>
      <c r="N161" s="14" t="s">
        <v>5199</v>
      </c>
      <c r="O161" s="187">
        <v>60</v>
      </c>
      <c r="P161" s="1">
        <v>1</v>
      </c>
      <c r="Q161" s="90">
        <v>0.21</v>
      </c>
      <c r="R161" s="90">
        <v>0</v>
      </c>
      <c r="S161" s="209"/>
      <c r="T161" s="95">
        <f t="shared" si="6"/>
        <v>72.599999999999994</v>
      </c>
      <c r="U161" s="233" t="s">
        <v>5207</v>
      </c>
      <c r="W161" s="211">
        <v>29689</v>
      </c>
      <c r="X161" s="2">
        <v>44189</v>
      </c>
      <c r="Y161" s="125" t="s">
        <v>3317</v>
      </c>
      <c r="AA161" s="80" t="s">
        <v>1339</v>
      </c>
      <c r="AD161" t="s">
        <v>3198</v>
      </c>
    </row>
    <row r="162" spans="1:37">
      <c r="A162" s="1">
        <v>161</v>
      </c>
      <c r="B162" t="s">
        <v>4715</v>
      </c>
      <c r="C162" s="2">
        <v>44189</v>
      </c>
      <c r="D162" s="1" t="s">
        <v>4716</v>
      </c>
      <c r="E162" t="s">
        <v>5191</v>
      </c>
      <c r="F162" s="61" t="s">
        <v>5192</v>
      </c>
      <c r="G162" s="6" t="s">
        <v>236</v>
      </c>
      <c r="H162" s="1" t="s">
        <v>34</v>
      </c>
      <c r="K162" s="1" t="s">
        <v>4716</v>
      </c>
      <c r="L162" s="3">
        <v>44316</v>
      </c>
      <c r="M162" t="s">
        <v>35</v>
      </c>
      <c r="N162" s="14" t="s">
        <v>5200</v>
      </c>
      <c r="O162" s="187">
        <v>60</v>
      </c>
      <c r="P162" s="1">
        <v>1</v>
      </c>
      <c r="Q162" s="90">
        <v>0.21</v>
      </c>
      <c r="R162" s="90">
        <v>0</v>
      </c>
      <c r="S162" s="209"/>
      <c r="T162" s="95">
        <f t="shared" si="6"/>
        <v>72.599999999999994</v>
      </c>
      <c r="U162" s="233" t="s">
        <v>5208</v>
      </c>
      <c r="W162" s="211">
        <v>31140</v>
      </c>
      <c r="X162" s="2">
        <v>44189</v>
      </c>
      <c r="Y162" s="125" t="s">
        <v>3317</v>
      </c>
      <c r="AA162" s="80" t="s">
        <v>1339</v>
      </c>
      <c r="AD162" t="s">
        <v>3198</v>
      </c>
    </row>
    <row r="163" spans="1:37">
      <c r="A163" s="1">
        <v>162</v>
      </c>
      <c r="B163" t="s">
        <v>4715</v>
      </c>
      <c r="C163" s="2">
        <v>44189</v>
      </c>
      <c r="D163" s="1" t="s">
        <v>4716</v>
      </c>
      <c r="E163" t="s">
        <v>5191</v>
      </c>
      <c r="F163" s="61" t="s">
        <v>5192</v>
      </c>
      <c r="G163" s="6" t="s">
        <v>236</v>
      </c>
      <c r="H163" s="1" t="s">
        <v>34</v>
      </c>
      <c r="K163" s="1" t="s">
        <v>4716</v>
      </c>
      <c r="L163" s="3">
        <v>44316</v>
      </c>
      <c r="M163" t="s">
        <v>35</v>
      </c>
      <c r="N163" s="14" t="s">
        <v>5201</v>
      </c>
      <c r="O163" s="187">
        <v>60</v>
      </c>
      <c r="P163" s="1">
        <v>1</v>
      </c>
      <c r="Q163" s="90">
        <v>0.21</v>
      </c>
      <c r="R163" s="90">
        <v>0</v>
      </c>
      <c r="S163" s="209"/>
      <c r="T163" s="95">
        <f t="shared" si="6"/>
        <v>72.599999999999994</v>
      </c>
      <c r="U163" s="233" t="s">
        <v>4879</v>
      </c>
      <c r="W163" s="210">
        <v>31100</v>
      </c>
      <c r="X163" s="2">
        <v>44189</v>
      </c>
      <c r="Y163" s="125" t="s">
        <v>3317</v>
      </c>
      <c r="AA163" s="80" t="s">
        <v>1339</v>
      </c>
      <c r="AD163" t="s">
        <v>3198</v>
      </c>
    </row>
    <row r="164" spans="1:37">
      <c r="A164" s="1">
        <v>163</v>
      </c>
      <c r="B164" t="s">
        <v>4715</v>
      </c>
      <c r="C164" s="2">
        <v>44189</v>
      </c>
      <c r="D164" s="1" t="s">
        <v>4716</v>
      </c>
      <c r="E164" t="s">
        <v>5191</v>
      </c>
      <c r="F164" s="61" t="s">
        <v>5192</v>
      </c>
      <c r="G164" s="6" t="s">
        <v>236</v>
      </c>
      <c r="H164" s="1" t="s">
        <v>34</v>
      </c>
      <c r="K164" s="1" t="s">
        <v>4716</v>
      </c>
      <c r="L164" s="3">
        <v>44316</v>
      </c>
      <c r="M164" t="s">
        <v>35</v>
      </c>
      <c r="N164" s="14" t="s">
        <v>5202</v>
      </c>
      <c r="O164" s="187">
        <v>60</v>
      </c>
      <c r="P164" s="1">
        <v>1</v>
      </c>
      <c r="Q164" s="90">
        <v>0.21</v>
      </c>
      <c r="R164" s="90">
        <v>0</v>
      </c>
      <c r="S164" s="209"/>
      <c r="T164" s="95">
        <f t="shared" si="6"/>
        <v>72.599999999999994</v>
      </c>
      <c r="U164" s="233" t="s">
        <v>4878</v>
      </c>
      <c r="W164" s="210">
        <v>30543</v>
      </c>
      <c r="X164" s="2">
        <v>44189</v>
      </c>
      <c r="Y164" s="125" t="s">
        <v>3317</v>
      </c>
      <c r="AA164" s="80" t="s">
        <v>1339</v>
      </c>
      <c r="AD164" t="s">
        <v>3198</v>
      </c>
    </row>
    <row r="165" spans="1:37">
      <c r="A165" s="1">
        <v>164</v>
      </c>
      <c r="B165" s="61" t="s">
        <v>3783</v>
      </c>
      <c r="C165" s="2">
        <v>44308</v>
      </c>
      <c r="D165" s="1" t="s">
        <v>3109</v>
      </c>
      <c r="E165" t="s">
        <v>3110</v>
      </c>
      <c r="F165" t="s">
        <v>3111</v>
      </c>
      <c r="G165" s="6" t="s">
        <v>2579</v>
      </c>
      <c r="H165" s="1" t="s">
        <v>2580</v>
      </c>
      <c r="I165"/>
      <c r="K165" s="1" t="s">
        <v>3109</v>
      </c>
      <c r="L165" s="3">
        <v>44316</v>
      </c>
      <c r="M165" s="1" t="s">
        <v>35</v>
      </c>
      <c r="N165" s="14" t="s">
        <v>5215</v>
      </c>
      <c r="O165" s="187">
        <v>100</v>
      </c>
      <c r="P165" s="1">
        <v>1</v>
      </c>
      <c r="Q165" s="90">
        <v>0.21</v>
      </c>
      <c r="R165" s="90">
        <v>0.2</v>
      </c>
      <c r="T165" s="95">
        <f t="shared" ref="T165:T196" si="7">SUM(O165-(O165*R165))*Q165+(O165-(O165*R165))</f>
        <v>96.8</v>
      </c>
      <c r="U165" s="1" t="s">
        <v>5300</v>
      </c>
      <c r="V165" s="6" t="s">
        <v>5301</v>
      </c>
      <c r="W165" s="2">
        <v>33338</v>
      </c>
      <c r="X165" s="2">
        <v>44308</v>
      </c>
      <c r="Y165" s="11" t="s">
        <v>5657</v>
      </c>
      <c r="Z165" s="3">
        <v>44405</v>
      </c>
      <c r="AA165" s="80" t="s">
        <v>1339</v>
      </c>
      <c r="AD165" t="s">
        <v>3198</v>
      </c>
      <c r="AE165" t="s">
        <v>5230</v>
      </c>
      <c r="AG165" t="s">
        <v>3108</v>
      </c>
      <c r="AH165" s="2">
        <v>44320</v>
      </c>
      <c r="AK165" s="3">
        <v>44322</v>
      </c>
    </row>
    <row r="166" spans="1:37">
      <c r="A166" s="1">
        <v>165</v>
      </c>
      <c r="B166" t="s">
        <v>52</v>
      </c>
      <c r="C166" s="2">
        <v>44314</v>
      </c>
      <c r="D166" s="1" t="s">
        <v>1152</v>
      </c>
      <c r="E166" t="s">
        <v>5252</v>
      </c>
      <c r="F166" s="61" t="s">
        <v>5253</v>
      </c>
      <c r="G166" s="6" t="s">
        <v>230</v>
      </c>
      <c r="H166" s="1" t="s">
        <v>34</v>
      </c>
      <c r="K166" s="1" t="s">
        <v>4432</v>
      </c>
      <c r="L166" s="3">
        <v>44316</v>
      </c>
      <c r="M166" t="s">
        <v>35</v>
      </c>
      <c r="N166" s="14" t="s">
        <v>5254</v>
      </c>
      <c r="O166" s="187">
        <v>60</v>
      </c>
      <c r="P166" s="1">
        <v>1</v>
      </c>
      <c r="Q166" s="90">
        <v>0.21</v>
      </c>
      <c r="R166" s="90">
        <v>0.2</v>
      </c>
      <c r="T166" s="95">
        <f t="shared" si="7"/>
        <v>58.08</v>
      </c>
      <c r="U166" s="233" t="s">
        <v>5255</v>
      </c>
      <c r="V166" s="6" t="s">
        <v>5256</v>
      </c>
      <c r="W166" s="2">
        <v>31899</v>
      </c>
      <c r="X166" s="2">
        <v>44314</v>
      </c>
      <c r="Y166" s="11" t="s">
        <v>5550</v>
      </c>
      <c r="Z166" s="3">
        <v>44377</v>
      </c>
      <c r="AA166" s="80" t="s">
        <v>1339</v>
      </c>
      <c r="AD166" t="s">
        <v>3198</v>
      </c>
    </row>
    <row r="167" spans="1:37">
      <c r="A167" s="1">
        <v>166</v>
      </c>
      <c r="B167" t="s">
        <v>40</v>
      </c>
      <c r="C167" s="2">
        <v>44314</v>
      </c>
      <c r="D167" s="1" t="s">
        <v>5257</v>
      </c>
      <c r="E167" t="s">
        <v>5258</v>
      </c>
      <c r="F167" s="61" t="s">
        <v>5259</v>
      </c>
      <c r="G167" s="6" t="s">
        <v>233</v>
      </c>
      <c r="H167" s="1" t="s">
        <v>34</v>
      </c>
      <c r="K167" s="1" t="s">
        <v>5257</v>
      </c>
      <c r="L167" s="3">
        <v>44316</v>
      </c>
      <c r="M167" t="s">
        <v>35</v>
      </c>
      <c r="N167" s="14" t="s">
        <v>5260</v>
      </c>
      <c r="O167" s="187">
        <v>100</v>
      </c>
      <c r="P167" s="1">
        <v>1</v>
      </c>
      <c r="Q167" s="90">
        <v>0.21</v>
      </c>
      <c r="R167" s="90">
        <v>0.2</v>
      </c>
      <c r="T167" s="95">
        <f t="shared" si="7"/>
        <v>96.8</v>
      </c>
      <c r="U167" s="1" t="s">
        <v>5459</v>
      </c>
      <c r="V167" s="6" t="s">
        <v>5460</v>
      </c>
      <c r="W167" s="2">
        <v>33505</v>
      </c>
      <c r="X167" s="2">
        <v>44314</v>
      </c>
      <c r="Y167" s="207" t="s">
        <v>5938</v>
      </c>
      <c r="Z167" s="3">
        <v>44488</v>
      </c>
      <c r="AA167" s="80" t="s">
        <v>1339</v>
      </c>
      <c r="AB167" t="s">
        <v>5631</v>
      </c>
      <c r="AC167" s="231">
        <v>44425</v>
      </c>
      <c r="AD167" t="s">
        <v>3198</v>
      </c>
      <c r="AG167" t="s">
        <v>5261</v>
      </c>
      <c r="AH167" s="2">
        <v>44354</v>
      </c>
      <c r="AK167" s="3">
        <v>44355</v>
      </c>
    </row>
    <row r="168" spans="1:37">
      <c r="A168" s="1">
        <v>167</v>
      </c>
      <c r="B168" t="s">
        <v>40</v>
      </c>
      <c r="C168" s="2">
        <v>44314</v>
      </c>
      <c r="D168" s="1" t="s">
        <v>5262</v>
      </c>
      <c r="E168" t="s">
        <v>1120</v>
      </c>
      <c r="F168" s="61" t="s">
        <v>5263</v>
      </c>
      <c r="G168" s="6" t="s">
        <v>233</v>
      </c>
      <c r="H168" s="1" t="s">
        <v>34</v>
      </c>
      <c r="K168" s="1" t="s">
        <v>5262</v>
      </c>
      <c r="L168" s="3">
        <v>44316</v>
      </c>
      <c r="M168" t="s">
        <v>35</v>
      </c>
      <c r="N168" s="14" t="s">
        <v>5264</v>
      </c>
      <c r="O168" s="187">
        <v>100</v>
      </c>
      <c r="P168" s="1">
        <v>1</v>
      </c>
      <c r="Q168" s="90">
        <v>0.21</v>
      </c>
      <c r="R168" s="90">
        <v>0.2</v>
      </c>
      <c r="T168" s="95">
        <f t="shared" si="7"/>
        <v>96.8</v>
      </c>
      <c r="U168" s="1" t="s">
        <v>5352</v>
      </c>
      <c r="V168" s="6" t="s">
        <v>5353</v>
      </c>
      <c r="W168" s="2">
        <v>36924</v>
      </c>
      <c r="X168" s="2">
        <v>44314</v>
      </c>
      <c r="Y168" s="11" t="s">
        <v>5479</v>
      </c>
      <c r="Z168" s="3">
        <v>44356</v>
      </c>
      <c r="AA168" s="184" t="s">
        <v>1339</v>
      </c>
      <c r="AD168" t="s">
        <v>3198</v>
      </c>
      <c r="AF168" s="190" t="s">
        <v>4572</v>
      </c>
      <c r="AG168" t="s">
        <v>3221</v>
      </c>
      <c r="AH168" s="2">
        <v>44330</v>
      </c>
      <c r="AK168" s="3">
        <v>44334</v>
      </c>
    </row>
    <row r="169" spans="1:37">
      <c r="A169" s="1">
        <v>168</v>
      </c>
      <c r="B169" t="s">
        <v>52</v>
      </c>
      <c r="C169" s="2">
        <v>44314</v>
      </c>
      <c r="D169" s="1" t="s">
        <v>62</v>
      </c>
      <c r="E169" s="61" t="s">
        <v>63</v>
      </c>
      <c r="F169" s="61" t="s">
        <v>214</v>
      </c>
      <c r="G169" s="6" t="s">
        <v>219</v>
      </c>
      <c r="H169" s="1" t="s">
        <v>38</v>
      </c>
      <c r="I169" s="1">
        <v>607281764</v>
      </c>
      <c r="J169" s="1"/>
      <c r="K169" s="1" t="s">
        <v>4432</v>
      </c>
      <c r="L169" s="3">
        <v>44316</v>
      </c>
      <c r="M169" t="s">
        <v>35</v>
      </c>
      <c r="N169" s="14" t="s">
        <v>5265</v>
      </c>
      <c r="O169" s="187">
        <v>100</v>
      </c>
      <c r="P169" s="1">
        <v>1</v>
      </c>
      <c r="Q169" s="90">
        <v>0.21</v>
      </c>
      <c r="R169" s="90">
        <v>0.2</v>
      </c>
      <c r="T169" s="95">
        <f t="shared" si="7"/>
        <v>96.8</v>
      </c>
      <c r="U169" s="1" t="s">
        <v>5369</v>
      </c>
      <c r="V169" s="6" t="s">
        <v>5368</v>
      </c>
      <c r="W169" s="2">
        <v>36394</v>
      </c>
      <c r="X169" s="2">
        <v>44314</v>
      </c>
      <c r="Y169" s="11" t="s">
        <v>5479</v>
      </c>
      <c r="Z169" s="3">
        <v>44356</v>
      </c>
      <c r="AA169" s="184" t="s">
        <v>1339</v>
      </c>
      <c r="AD169" t="s">
        <v>3198</v>
      </c>
      <c r="AF169" s="190" t="s">
        <v>4572</v>
      </c>
      <c r="AG169" t="s">
        <v>5266</v>
      </c>
      <c r="AH169" s="2">
        <v>44333</v>
      </c>
      <c r="AK169" s="3">
        <v>44334</v>
      </c>
    </row>
    <row r="170" spans="1:37">
      <c r="A170" s="1">
        <v>169</v>
      </c>
      <c r="B170" t="s">
        <v>40</v>
      </c>
      <c r="C170" s="2">
        <v>44315</v>
      </c>
      <c r="D170" s="1" t="s">
        <v>57</v>
      </c>
      <c r="E170" t="s">
        <v>5270</v>
      </c>
      <c r="F170" s="61" t="s">
        <v>4516</v>
      </c>
      <c r="G170" s="6" t="s">
        <v>221</v>
      </c>
      <c r="H170" s="1" t="s">
        <v>34</v>
      </c>
      <c r="I170" s="1">
        <v>697501300</v>
      </c>
      <c r="K170" s="1" t="s">
        <v>57</v>
      </c>
      <c r="L170" s="3">
        <v>44316</v>
      </c>
      <c r="M170" t="s">
        <v>35</v>
      </c>
      <c r="N170" s="14" t="s">
        <v>5271</v>
      </c>
      <c r="O170" s="187">
        <v>100</v>
      </c>
      <c r="P170" s="1">
        <v>1</v>
      </c>
      <c r="Q170" s="90">
        <v>0.21</v>
      </c>
      <c r="R170" s="90">
        <v>0.2</v>
      </c>
      <c r="T170" s="95">
        <f t="shared" si="7"/>
        <v>96.8</v>
      </c>
      <c r="U170" s="1" t="s">
        <v>4006</v>
      </c>
      <c r="V170" s="6" t="s">
        <v>5367</v>
      </c>
      <c r="W170" s="2">
        <v>34045</v>
      </c>
      <c r="X170" s="2">
        <v>44315</v>
      </c>
      <c r="Y170" s="217" t="s">
        <v>5480</v>
      </c>
      <c r="Z170" s="3">
        <v>44356</v>
      </c>
      <c r="AA170" s="184" t="s">
        <v>1339</v>
      </c>
      <c r="AB170" t="s">
        <v>5228</v>
      </c>
      <c r="AD170" t="s">
        <v>3198</v>
      </c>
      <c r="AF170" s="190" t="s">
        <v>4572</v>
      </c>
      <c r="AG170" t="s">
        <v>5272</v>
      </c>
      <c r="AH170" s="2">
        <v>44333</v>
      </c>
      <c r="AK170" s="3">
        <v>44337</v>
      </c>
    </row>
    <row r="171" spans="1:37">
      <c r="A171" s="1">
        <v>170</v>
      </c>
      <c r="B171" t="s">
        <v>40</v>
      </c>
      <c r="C171" s="2">
        <v>44315</v>
      </c>
      <c r="D171" s="1" t="s">
        <v>57</v>
      </c>
      <c r="E171" t="s">
        <v>5270</v>
      </c>
      <c r="F171" s="61" t="s">
        <v>4516</v>
      </c>
      <c r="G171" s="6" t="s">
        <v>221</v>
      </c>
      <c r="H171" s="1" t="s">
        <v>34</v>
      </c>
      <c r="I171" s="1">
        <v>697501300</v>
      </c>
      <c r="K171" s="1" t="s">
        <v>57</v>
      </c>
      <c r="L171" s="3">
        <v>44316</v>
      </c>
      <c r="M171" t="s">
        <v>35</v>
      </c>
      <c r="N171" s="14" t="s">
        <v>5273</v>
      </c>
      <c r="O171" s="187">
        <v>100</v>
      </c>
      <c r="P171" s="1">
        <v>1</v>
      </c>
      <c r="Q171" s="90">
        <v>0.21</v>
      </c>
      <c r="R171" s="90">
        <v>0.2</v>
      </c>
      <c r="T171" s="95">
        <f t="shared" si="7"/>
        <v>96.8</v>
      </c>
      <c r="U171" s="1" t="s">
        <v>5371</v>
      </c>
      <c r="V171" s="6" t="s">
        <v>5370</v>
      </c>
      <c r="W171" s="2">
        <v>37197</v>
      </c>
      <c r="X171" s="2">
        <v>44315</v>
      </c>
      <c r="Y171" s="217" t="s">
        <v>5480</v>
      </c>
      <c r="Z171" s="3">
        <v>44356</v>
      </c>
      <c r="AA171" s="184" t="s">
        <v>1339</v>
      </c>
      <c r="AB171" t="s">
        <v>5228</v>
      </c>
      <c r="AD171" t="s">
        <v>3198</v>
      </c>
      <c r="AF171" s="190" t="s">
        <v>4572</v>
      </c>
      <c r="AG171" t="s">
        <v>3221</v>
      </c>
      <c r="AH171" s="2">
        <v>44333</v>
      </c>
      <c r="AK171" s="3">
        <v>44337</v>
      </c>
    </row>
    <row r="172" spans="1:37">
      <c r="A172" s="1">
        <v>171</v>
      </c>
      <c r="B172" t="s">
        <v>40</v>
      </c>
      <c r="C172" s="2">
        <v>44315</v>
      </c>
      <c r="D172" s="1" t="s">
        <v>5274</v>
      </c>
      <c r="E172" t="s">
        <v>5576</v>
      </c>
      <c r="F172" s="61" t="s">
        <v>5275</v>
      </c>
      <c r="G172" s="6" t="s">
        <v>221</v>
      </c>
      <c r="H172" s="1" t="s">
        <v>34</v>
      </c>
      <c r="K172" s="1" t="s">
        <v>5274</v>
      </c>
      <c r="L172" s="3">
        <v>44316</v>
      </c>
      <c r="M172" t="s">
        <v>35</v>
      </c>
      <c r="N172" s="14" t="s">
        <v>5276</v>
      </c>
      <c r="O172" s="187">
        <v>100</v>
      </c>
      <c r="P172" s="1">
        <v>1</v>
      </c>
      <c r="Q172" s="90">
        <v>0.21</v>
      </c>
      <c r="R172" s="90">
        <v>0.2</v>
      </c>
      <c r="T172" s="95">
        <f t="shared" si="7"/>
        <v>96.8</v>
      </c>
      <c r="U172" s="1" t="s">
        <v>5373</v>
      </c>
      <c r="V172" s="6" t="s">
        <v>5372</v>
      </c>
      <c r="W172" s="2">
        <v>35932</v>
      </c>
      <c r="X172" s="2">
        <v>44315</v>
      </c>
      <c r="Y172" s="11" t="s">
        <v>5828</v>
      </c>
      <c r="Z172" s="3">
        <v>44459</v>
      </c>
      <c r="AA172" s="184" t="s">
        <v>1339</v>
      </c>
      <c r="AC172" s="162">
        <v>44385</v>
      </c>
      <c r="AD172" t="s">
        <v>3198</v>
      </c>
      <c r="AF172" s="190" t="s">
        <v>4572</v>
      </c>
      <c r="AG172" t="s">
        <v>5277</v>
      </c>
      <c r="AH172" s="2">
        <v>44333</v>
      </c>
      <c r="AK172" s="3">
        <v>44336</v>
      </c>
    </row>
    <row r="173" spans="1:37">
      <c r="A173" s="1">
        <v>172</v>
      </c>
      <c r="B173" t="s">
        <v>33</v>
      </c>
      <c r="C173" s="2">
        <v>44315</v>
      </c>
      <c r="D173" s="1" t="s">
        <v>5051</v>
      </c>
      <c r="E173" t="s">
        <v>5052</v>
      </c>
      <c r="F173" s="61" t="s">
        <v>5053</v>
      </c>
      <c r="G173" s="6" t="s">
        <v>304</v>
      </c>
      <c r="H173" s="1" t="s">
        <v>4480</v>
      </c>
      <c r="K173" s="30" t="s">
        <v>237</v>
      </c>
      <c r="L173" s="3">
        <v>44316</v>
      </c>
      <c r="M173" s="1" t="s">
        <v>35</v>
      </c>
      <c r="N173" s="14" t="s">
        <v>4292</v>
      </c>
      <c r="O173" s="187">
        <v>100</v>
      </c>
      <c r="P173" s="1">
        <v>1</v>
      </c>
      <c r="Q173" s="90">
        <v>0.21</v>
      </c>
      <c r="R173" s="90">
        <v>0.2</v>
      </c>
      <c r="T173" s="95">
        <f t="shared" si="7"/>
        <v>96.8</v>
      </c>
      <c r="U173" s="1" t="s">
        <v>5356</v>
      </c>
      <c r="V173" s="6" t="s">
        <v>5357</v>
      </c>
      <c r="W173" s="2">
        <v>35941</v>
      </c>
      <c r="X173" s="2">
        <v>44315</v>
      </c>
      <c r="Y173" s="11" t="s">
        <v>5663</v>
      </c>
      <c r="Z173" s="3">
        <v>44405</v>
      </c>
      <c r="AA173" s="184" t="s">
        <v>1339</v>
      </c>
      <c r="AD173" t="s">
        <v>3198</v>
      </c>
      <c r="AG173" t="s">
        <v>3108</v>
      </c>
      <c r="AH173" s="2">
        <v>44330</v>
      </c>
      <c r="AK173" s="3">
        <v>44344</v>
      </c>
    </row>
    <row r="174" spans="1:37">
      <c r="A174" s="1">
        <v>173</v>
      </c>
      <c r="B174" t="s">
        <v>5278</v>
      </c>
      <c r="C174" s="2">
        <v>44316</v>
      </c>
      <c r="D174" s="1" t="s">
        <v>3036</v>
      </c>
      <c r="E174" t="s">
        <v>3037</v>
      </c>
      <c r="F174" s="61" t="s">
        <v>5279</v>
      </c>
      <c r="G174" s="6" t="s">
        <v>239</v>
      </c>
      <c r="H174" s="1" t="s">
        <v>3204</v>
      </c>
      <c r="K174" s="1" t="s">
        <v>174</v>
      </c>
      <c r="L174" s="3">
        <v>44316</v>
      </c>
      <c r="M174" s="1" t="s">
        <v>35</v>
      </c>
      <c r="N174" s="14" t="s">
        <v>5280</v>
      </c>
      <c r="O174" s="187">
        <v>100</v>
      </c>
      <c r="P174" s="1">
        <v>1</v>
      </c>
      <c r="Q174" s="90">
        <v>0.21</v>
      </c>
      <c r="R174" s="90">
        <v>0.2</v>
      </c>
      <c r="T174" s="95">
        <f t="shared" si="7"/>
        <v>96.8</v>
      </c>
      <c r="U174" s="1" t="s">
        <v>5355</v>
      </c>
      <c r="V174" s="6" t="s">
        <v>5354</v>
      </c>
      <c r="W174" s="2">
        <v>36160</v>
      </c>
      <c r="X174" s="2">
        <v>44316</v>
      </c>
      <c r="Y174" s="11" t="s">
        <v>5913</v>
      </c>
      <c r="Z174" s="3">
        <v>44482</v>
      </c>
      <c r="AA174" s="184" t="s">
        <v>1339</v>
      </c>
      <c r="AB174" t="s">
        <v>3246</v>
      </c>
      <c r="AC174" s="162">
        <v>44432</v>
      </c>
      <c r="AD174" t="s">
        <v>3198</v>
      </c>
      <c r="AG174" t="s">
        <v>5281</v>
      </c>
      <c r="AH174" s="2">
        <v>44330</v>
      </c>
      <c r="AK174" s="3">
        <v>44337</v>
      </c>
    </row>
    <row r="175" spans="1:37">
      <c r="A175" s="1">
        <v>174</v>
      </c>
      <c r="B175" t="s">
        <v>33</v>
      </c>
      <c r="C175" s="2">
        <v>44319</v>
      </c>
      <c r="D175" s="1" t="s">
        <v>5282</v>
      </c>
      <c r="E175" t="s">
        <v>5283</v>
      </c>
      <c r="F175" s="61" t="s">
        <v>5284</v>
      </c>
      <c r="G175" s="6" t="s">
        <v>3709</v>
      </c>
      <c r="H175" s="1" t="s">
        <v>5285</v>
      </c>
      <c r="K175" s="30" t="s">
        <v>237</v>
      </c>
      <c r="L175" s="3">
        <v>44347</v>
      </c>
      <c r="M175" t="s">
        <v>35</v>
      </c>
      <c r="N175" s="14" t="s">
        <v>5286</v>
      </c>
      <c r="O175" s="187">
        <v>100</v>
      </c>
      <c r="P175" s="1">
        <v>1</v>
      </c>
      <c r="Q175" s="90">
        <v>0.21</v>
      </c>
      <c r="R175" s="90">
        <v>0.2</v>
      </c>
      <c r="T175" s="95">
        <f t="shared" si="7"/>
        <v>96.8</v>
      </c>
      <c r="U175" s="1" t="s">
        <v>5340</v>
      </c>
      <c r="V175" s="6" t="s">
        <v>5341</v>
      </c>
      <c r="W175" s="2">
        <v>35901</v>
      </c>
      <c r="X175" s="2">
        <v>44319</v>
      </c>
      <c r="Y175" s="11" t="s">
        <v>5913</v>
      </c>
      <c r="Z175" s="3">
        <v>44863</v>
      </c>
      <c r="AA175" s="184" t="s">
        <v>1339</v>
      </c>
      <c r="AC175" s="162">
        <v>44432</v>
      </c>
      <c r="AD175" t="s">
        <v>3198</v>
      </c>
      <c r="AG175" t="s">
        <v>5287</v>
      </c>
      <c r="AH175" s="2">
        <v>44326</v>
      </c>
      <c r="AK175" s="3">
        <v>44328</v>
      </c>
    </row>
    <row r="176" spans="1:37">
      <c r="A176" s="1">
        <v>175</v>
      </c>
      <c r="B176" t="s">
        <v>33</v>
      </c>
      <c r="C176" s="2">
        <v>44319</v>
      </c>
      <c r="D176" s="1" t="s">
        <v>2623</v>
      </c>
      <c r="E176" t="s">
        <v>2624</v>
      </c>
      <c r="F176" s="61" t="s">
        <v>5288</v>
      </c>
      <c r="G176" s="6" t="s">
        <v>304</v>
      </c>
      <c r="H176" s="1" t="s">
        <v>5289</v>
      </c>
      <c r="K176" s="30" t="s">
        <v>237</v>
      </c>
      <c r="L176" s="3">
        <v>44347</v>
      </c>
      <c r="M176" t="s">
        <v>35</v>
      </c>
      <c r="N176" s="14" t="s">
        <v>5290</v>
      </c>
      <c r="O176" s="187">
        <v>100</v>
      </c>
      <c r="P176" s="1">
        <v>1</v>
      </c>
      <c r="Q176" s="90">
        <v>0.21</v>
      </c>
      <c r="R176" s="90">
        <v>0.2</v>
      </c>
      <c r="T176" s="95">
        <f t="shared" si="7"/>
        <v>96.8</v>
      </c>
      <c r="U176" s="1" t="s">
        <v>5358</v>
      </c>
      <c r="V176" s="6" t="s">
        <v>5359</v>
      </c>
      <c r="W176" s="2">
        <v>26298</v>
      </c>
      <c r="X176" s="2">
        <v>44319</v>
      </c>
      <c r="Y176" s="11" t="s">
        <v>5657</v>
      </c>
      <c r="Z176" s="3">
        <v>44405</v>
      </c>
      <c r="AA176" s="184" t="s">
        <v>1339</v>
      </c>
      <c r="AD176" t="s">
        <v>3198</v>
      </c>
      <c r="AG176" t="s">
        <v>3108</v>
      </c>
      <c r="AH176" s="2">
        <v>44330</v>
      </c>
      <c r="AK176" s="3">
        <v>44334</v>
      </c>
    </row>
    <row r="177" spans="1:37">
      <c r="A177" s="1">
        <v>176</v>
      </c>
      <c r="B177" t="s">
        <v>33</v>
      </c>
      <c r="C177" s="2">
        <v>44319</v>
      </c>
      <c r="D177" s="1" t="s">
        <v>5295</v>
      </c>
      <c r="E177" t="s">
        <v>5296</v>
      </c>
      <c r="F177" s="61" t="s">
        <v>4384</v>
      </c>
      <c r="G177" s="6" t="s">
        <v>219</v>
      </c>
      <c r="H177" s="1" t="s">
        <v>38</v>
      </c>
      <c r="K177" s="30" t="s">
        <v>237</v>
      </c>
      <c r="L177" s="3">
        <v>44347</v>
      </c>
      <c r="M177" t="s">
        <v>35</v>
      </c>
      <c r="N177" s="14" t="s">
        <v>5297</v>
      </c>
      <c r="O177" s="187">
        <v>100</v>
      </c>
      <c r="P177" s="1">
        <v>1</v>
      </c>
      <c r="Q177" s="90">
        <v>0.21</v>
      </c>
      <c r="R177" s="90">
        <v>0.2</v>
      </c>
      <c r="T177" s="95">
        <f t="shared" si="7"/>
        <v>96.8</v>
      </c>
      <c r="U177" s="1" t="s">
        <v>5360</v>
      </c>
      <c r="V177" s="6" t="s">
        <v>5361</v>
      </c>
      <c r="W177" s="2">
        <v>33087</v>
      </c>
      <c r="X177" s="2">
        <v>44319</v>
      </c>
      <c r="Y177" s="11" t="s">
        <v>5680</v>
      </c>
      <c r="Z177" s="3">
        <v>44414</v>
      </c>
      <c r="AA177" s="184" t="s">
        <v>1339</v>
      </c>
      <c r="AD177" t="s">
        <v>3198</v>
      </c>
      <c r="AG177" t="s">
        <v>5287</v>
      </c>
      <c r="AH177" s="2">
        <v>44330</v>
      </c>
      <c r="AK177" s="3">
        <v>44336</v>
      </c>
    </row>
    <row r="178" spans="1:37">
      <c r="A178" s="1">
        <v>177</v>
      </c>
      <c r="B178" t="s">
        <v>4814</v>
      </c>
      <c r="C178" s="2">
        <v>44319</v>
      </c>
      <c r="D178" s="1" t="s">
        <v>4815</v>
      </c>
      <c r="E178" t="s">
        <v>4816</v>
      </c>
      <c r="F178" t="s">
        <v>4817</v>
      </c>
      <c r="G178" s="6" t="s">
        <v>2654</v>
      </c>
      <c r="H178" s="1" t="s">
        <v>2359</v>
      </c>
      <c r="I178" s="1">
        <v>637986412</v>
      </c>
      <c r="K178" s="1" t="s">
        <v>4815</v>
      </c>
      <c r="L178" s="3">
        <v>44347</v>
      </c>
      <c r="M178" s="1" t="s">
        <v>35</v>
      </c>
      <c r="N178" s="14" t="s">
        <v>5269</v>
      </c>
      <c r="O178" s="187">
        <v>100</v>
      </c>
      <c r="P178" s="1">
        <v>1</v>
      </c>
      <c r="Q178" s="90">
        <v>0.21</v>
      </c>
      <c r="R178" s="90">
        <v>0</v>
      </c>
      <c r="T178" s="95">
        <f t="shared" si="7"/>
        <v>121</v>
      </c>
      <c r="U178" s="1" t="s">
        <v>4966</v>
      </c>
      <c r="V178" s="6" t="s">
        <v>4967</v>
      </c>
      <c r="W178" s="2">
        <v>35657</v>
      </c>
      <c r="X178" s="2">
        <v>44319</v>
      </c>
      <c r="Y178" s="125" t="s">
        <v>1326</v>
      </c>
      <c r="AD178" t="s">
        <v>3198</v>
      </c>
    </row>
    <row r="179" spans="1:37">
      <c r="A179" s="1">
        <v>178</v>
      </c>
      <c r="B179" t="s">
        <v>80</v>
      </c>
      <c r="C179" s="2">
        <v>44321</v>
      </c>
      <c r="D179" s="1" t="s">
        <v>1353</v>
      </c>
      <c r="E179" t="s">
        <v>1354</v>
      </c>
      <c r="F179" t="s">
        <v>5302</v>
      </c>
      <c r="G179" s="6" t="s">
        <v>294</v>
      </c>
      <c r="H179" s="1" t="s">
        <v>103</v>
      </c>
      <c r="I179">
        <v>669745029</v>
      </c>
      <c r="K179" s="1" t="s">
        <v>1353</v>
      </c>
      <c r="L179" s="3">
        <v>44347</v>
      </c>
      <c r="M179" s="1" t="s">
        <v>35</v>
      </c>
      <c r="N179" s="14" t="s">
        <v>5303</v>
      </c>
      <c r="O179" s="187">
        <v>100</v>
      </c>
      <c r="P179" s="1">
        <v>1</v>
      </c>
      <c r="Q179" s="128">
        <v>0.21</v>
      </c>
      <c r="R179" s="128">
        <v>0</v>
      </c>
      <c r="T179" s="95">
        <f t="shared" si="7"/>
        <v>121</v>
      </c>
      <c r="U179" s="1" t="s">
        <v>4854</v>
      </c>
      <c r="V179" s="6" t="s">
        <v>4855</v>
      </c>
      <c r="W179" s="2">
        <v>27153</v>
      </c>
      <c r="X179" s="2">
        <v>44321</v>
      </c>
      <c r="Y179" s="237" t="s">
        <v>6052</v>
      </c>
      <c r="AD179" t="s">
        <v>3198</v>
      </c>
    </row>
    <row r="180" spans="1:37">
      <c r="A180" s="1">
        <v>179</v>
      </c>
      <c r="B180" t="s">
        <v>33</v>
      </c>
      <c r="C180" s="2">
        <v>44323</v>
      </c>
      <c r="D180" s="1" t="s">
        <v>5309</v>
      </c>
      <c r="E180" t="s">
        <v>5310</v>
      </c>
      <c r="F180" s="61" t="s">
        <v>5311</v>
      </c>
      <c r="G180" s="6" t="s">
        <v>219</v>
      </c>
      <c r="H180" s="1" t="s">
        <v>38</v>
      </c>
      <c r="K180" s="30" t="s">
        <v>237</v>
      </c>
      <c r="L180" s="3">
        <v>44347</v>
      </c>
      <c r="M180" s="1" t="s">
        <v>35</v>
      </c>
      <c r="N180" s="14" t="s">
        <v>5312</v>
      </c>
      <c r="O180" s="187">
        <v>100</v>
      </c>
      <c r="P180" s="1">
        <v>1</v>
      </c>
      <c r="Q180" s="90">
        <v>0.21</v>
      </c>
      <c r="R180" s="90">
        <v>0.2</v>
      </c>
      <c r="T180" s="95">
        <f t="shared" si="7"/>
        <v>96.8</v>
      </c>
      <c r="U180" s="1" t="s">
        <v>5394</v>
      </c>
      <c r="V180" s="6" t="s">
        <v>5395</v>
      </c>
      <c r="W180" s="2">
        <v>32575</v>
      </c>
      <c r="X180" s="2">
        <v>44323</v>
      </c>
      <c r="Y180" s="11" t="s">
        <v>5733</v>
      </c>
      <c r="Z180" s="3">
        <v>44427</v>
      </c>
      <c r="AA180" s="184" t="s">
        <v>1339</v>
      </c>
      <c r="AD180" t="s">
        <v>3198</v>
      </c>
      <c r="AG180" t="s">
        <v>3108</v>
      </c>
      <c r="AH180" s="2">
        <v>44340</v>
      </c>
      <c r="AK180" s="3">
        <v>44342</v>
      </c>
    </row>
    <row r="181" spans="1:37">
      <c r="A181" s="1">
        <v>180</v>
      </c>
      <c r="B181" t="s">
        <v>3783</v>
      </c>
      <c r="C181" s="2">
        <v>44323</v>
      </c>
      <c r="D181" s="1" t="s">
        <v>5313</v>
      </c>
      <c r="E181" t="s">
        <v>5432</v>
      </c>
      <c r="F181" s="61" t="s">
        <v>5314</v>
      </c>
      <c r="G181" s="6" t="s">
        <v>2579</v>
      </c>
      <c r="H181" s="1" t="s">
        <v>2580</v>
      </c>
      <c r="K181" s="1" t="s">
        <v>5313</v>
      </c>
      <c r="L181" s="3">
        <v>44347</v>
      </c>
      <c r="M181" s="1" t="s">
        <v>35</v>
      </c>
      <c r="N181" s="14" t="s">
        <v>5315</v>
      </c>
      <c r="O181" s="187">
        <v>100</v>
      </c>
      <c r="P181" s="1">
        <v>1</v>
      </c>
      <c r="Q181" s="90">
        <v>0.21</v>
      </c>
      <c r="R181" s="90">
        <v>0.2</v>
      </c>
      <c r="T181" s="95">
        <f t="shared" si="7"/>
        <v>96.8</v>
      </c>
      <c r="U181" s="1" t="s">
        <v>5386</v>
      </c>
      <c r="V181" s="6" t="s">
        <v>5387</v>
      </c>
      <c r="W181" s="2">
        <v>27198</v>
      </c>
      <c r="X181" s="2">
        <v>44323</v>
      </c>
      <c r="Y181" s="11" t="s">
        <v>6003</v>
      </c>
      <c r="Z181" s="3">
        <v>44498</v>
      </c>
      <c r="AA181" s="184" t="s">
        <v>1339</v>
      </c>
      <c r="AB181" t="s">
        <v>5747</v>
      </c>
      <c r="AD181" t="s">
        <v>3198</v>
      </c>
      <c r="AG181" t="s">
        <v>5316</v>
      </c>
      <c r="AH181" s="2">
        <v>44335</v>
      </c>
      <c r="AK181" s="3">
        <v>44337</v>
      </c>
    </row>
    <row r="182" spans="1:37">
      <c r="A182" s="1">
        <v>181</v>
      </c>
      <c r="B182" t="s">
        <v>37</v>
      </c>
      <c r="C182" s="2">
        <v>44323</v>
      </c>
      <c r="D182" t="s">
        <v>5392</v>
      </c>
      <c r="E182" t="s">
        <v>5317</v>
      </c>
      <c r="F182" s="61" t="s">
        <v>5318</v>
      </c>
      <c r="G182" s="6" t="s">
        <v>219</v>
      </c>
      <c r="H182" s="1" t="s">
        <v>38</v>
      </c>
      <c r="I182" s="1">
        <v>631351153</v>
      </c>
      <c r="K182" s="1" t="s">
        <v>5392</v>
      </c>
      <c r="L182" s="3">
        <v>44347</v>
      </c>
      <c r="M182" s="1" t="s">
        <v>35</v>
      </c>
      <c r="N182" s="14" t="s">
        <v>5319</v>
      </c>
      <c r="O182" s="187">
        <v>100</v>
      </c>
      <c r="P182" s="1">
        <v>1</v>
      </c>
      <c r="Q182" s="90">
        <v>0.21</v>
      </c>
      <c r="R182" s="90">
        <v>0</v>
      </c>
      <c r="T182" s="95">
        <f t="shared" si="7"/>
        <v>121</v>
      </c>
      <c r="U182" s="1" t="s">
        <v>5392</v>
      </c>
      <c r="V182" s="6" t="s">
        <v>5393</v>
      </c>
      <c r="W182" s="2">
        <v>35925</v>
      </c>
      <c r="X182" s="2">
        <v>44323</v>
      </c>
      <c r="Y182" s="11" t="s">
        <v>5734</v>
      </c>
      <c r="Z182" s="3">
        <v>44427</v>
      </c>
      <c r="AA182" s="184" t="s">
        <v>1339</v>
      </c>
      <c r="AD182" t="s">
        <v>3198</v>
      </c>
      <c r="AG182" t="s">
        <v>3108</v>
      </c>
      <c r="AH182" s="2">
        <v>44340</v>
      </c>
      <c r="AK182" s="3">
        <v>44344</v>
      </c>
    </row>
    <row r="183" spans="1:37">
      <c r="A183" s="1">
        <v>182</v>
      </c>
      <c r="B183" t="s">
        <v>37</v>
      </c>
      <c r="C183" s="2">
        <v>44323</v>
      </c>
      <c r="D183" s="1" t="s">
        <v>5327</v>
      </c>
      <c r="E183" t="s">
        <v>5328</v>
      </c>
      <c r="F183" s="61" t="s">
        <v>5329</v>
      </c>
      <c r="G183" s="6" t="s">
        <v>294</v>
      </c>
      <c r="H183" s="1" t="s">
        <v>5330</v>
      </c>
      <c r="I183" s="1">
        <v>660570576</v>
      </c>
      <c r="K183" s="1" t="s">
        <v>5327</v>
      </c>
      <c r="L183" s="3">
        <v>44347</v>
      </c>
      <c r="M183" s="1" t="s">
        <v>35</v>
      </c>
      <c r="N183" s="14" t="s">
        <v>5331</v>
      </c>
      <c r="O183" s="187">
        <v>100</v>
      </c>
      <c r="P183" s="1">
        <v>1</v>
      </c>
      <c r="Q183" s="90">
        <v>0.21</v>
      </c>
      <c r="R183" s="90">
        <v>0.2</v>
      </c>
      <c r="T183" s="95">
        <f t="shared" si="7"/>
        <v>96.8</v>
      </c>
      <c r="U183" s="1" t="s">
        <v>5461</v>
      </c>
      <c r="V183" s="6" t="s">
        <v>5462</v>
      </c>
      <c r="W183" s="2">
        <v>34122</v>
      </c>
      <c r="X183" s="2">
        <v>44323</v>
      </c>
      <c r="Y183" s="11" t="s">
        <v>5751</v>
      </c>
      <c r="Z183" s="3">
        <v>44432</v>
      </c>
      <c r="AA183" s="184" t="s">
        <v>1339</v>
      </c>
      <c r="AD183" t="s">
        <v>3198</v>
      </c>
      <c r="AG183" t="s">
        <v>5332</v>
      </c>
      <c r="AH183" s="2">
        <v>44354</v>
      </c>
      <c r="AK183" s="3">
        <v>44355</v>
      </c>
    </row>
    <row r="184" spans="1:37">
      <c r="A184" s="1">
        <v>183</v>
      </c>
      <c r="B184" t="s">
        <v>37</v>
      </c>
      <c r="C184" s="2">
        <v>44326</v>
      </c>
      <c r="D184" s="1" t="s">
        <v>5120</v>
      </c>
      <c r="E184" t="s">
        <v>5121</v>
      </c>
      <c r="F184" s="61" t="s">
        <v>5122</v>
      </c>
      <c r="G184" s="6" t="s">
        <v>3709</v>
      </c>
      <c r="H184" s="1" t="s">
        <v>39</v>
      </c>
      <c r="I184" s="1">
        <v>643279263</v>
      </c>
      <c r="K184" s="1" t="s">
        <v>5120</v>
      </c>
      <c r="L184" s="3">
        <v>44347</v>
      </c>
      <c r="M184" s="1" t="s">
        <v>35</v>
      </c>
      <c r="N184" s="14" t="s">
        <v>5336</v>
      </c>
      <c r="O184" s="187">
        <v>100</v>
      </c>
      <c r="P184" s="1">
        <v>1</v>
      </c>
      <c r="Q184" s="128">
        <v>0.21</v>
      </c>
      <c r="R184" s="128">
        <v>0</v>
      </c>
      <c r="T184" s="95">
        <f t="shared" si="7"/>
        <v>121</v>
      </c>
      <c r="U184" s="1" t="s">
        <v>5337</v>
      </c>
      <c r="V184" s="6" t="s">
        <v>5342</v>
      </c>
      <c r="W184" s="2">
        <v>26211</v>
      </c>
      <c r="X184" s="2">
        <v>44274</v>
      </c>
      <c r="Y184" s="11" t="s">
        <v>5456</v>
      </c>
      <c r="Z184" s="3">
        <v>44351</v>
      </c>
      <c r="AA184" s="80" t="s">
        <v>1339</v>
      </c>
      <c r="AD184" t="s">
        <v>3198</v>
      </c>
    </row>
    <row r="185" spans="1:37">
      <c r="A185" s="1">
        <v>184</v>
      </c>
      <c r="B185" t="s">
        <v>33</v>
      </c>
      <c r="C185" s="2">
        <v>44333</v>
      </c>
      <c r="D185" s="1" t="s">
        <v>5021</v>
      </c>
      <c r="E185" t="s">
        <v>5014</v>
      </c>
      <c r="F185" t="s">
        <v>5020</v>
      </c>
      <c r="G185" s="6" t="s">
        <v>219</v>
      </c>
      <c r="H185" s="1" t="s">
        <v>38</v>
      </c>
      <c r="K185" s="30" t="s">
        <v>237</v>
      </c>
      <c r="L185" s="3">
        <v>44347</v>
      </c>
      <c r="M185" s="1" t="s">
        <v>35</v>
      </c>
      <c r="N185" t="s">
        <v>5362</v>
      </c>
      <c r="O185" s="187">
        <v>30</v>
      </c>
      <c r="P185" s="1">
        <v>1</v>
      </c>
      <c r="Q185" s="90">
        <v>0.21</v>
      </c>
      <c r="R185" s="90">
        <v>0</v>
      </c>
      <c r="T185" s="95">
        <f t="shared" si="7"/>
        <v>36.299999999999997</v>
      </c>
      <c r="U185" s="1" t="s">
        <v>5363</v>
      </c>
      <c r="X185" s="2">
        <v>44333</v>
      </c>
      <c r="Y185" s="125" t="s">
        <v>1326</v>
      </c>
      <c r="AD185" t="s">
        <v>3198</v>
      </c>
    </row>
    <row r="186" spans="1:37">
      <c r="A186" s="1">
        <v>185</v>
      </c>
      <c r="B186" t="s">
        <v>3526</v>
      </c>
      <c r="C186" s="2">
        <v>44333</v>
      </c>
      <c r="D186" s="1" t="s">
        <v>4078</v>
      </c>
      <c r="E186" s="61" t="s">
        <v>4077</v>
      </c>
      <c r="F186" s="61" t="s">
        <v>4079</v>
      </c>
      <c r="G186" s="6" t="s">
        <v>4080</v>
      </c>
      <c r="H186" s="1" t="s">
        <v>4081</v>
      </c>
      <c r="J186" s="230" t="s">
        <v>5908</v>
      </c>
      <c r="K186" s="1" t="s">
        <v>4078</v>
      </c>
      <c r="L186" s="3">
        <v>44347</v>
      </c>
      <c r="M186" s="1" t="s">
        <v>35</v>
      </c>
      <c r="N186" t="s">
        <v>5365</v>
      </c>
      <c r="O186" s="144">
        <v>70</v>
      </c>
      <c r="P186" s="1">
        <v>1</v>
      </c>
      <c r="Q186" s="90">
        <v>0.21</v>
      </c>
      <c r="R186" s="90">
        <v>0.2</v>
      </c>
      <c r="S186" s="1"/>
      <c r="T186" s="95">
        <f t="shared" si="7"/>
        <v>67.760000000000005</v>
      </c>
      <c r="U186" s="1" t="s">
        <v>5396</v>
      </c>
      <c r="V186" s="6" t="s">
        <v>5414</v>
      </c>
      <c r="W186" s="2">
        <v>28718</v>
      </c>
      <c r="X186" s="2">
        <v>44333</v>
      </c>
      <c r="Y186" s="11" t="s">
        <v>5528</v>
      </c>
      <c r="Z186" s="3">
        <v>44370</v>
      </c>
      <c r="AA186" s="80" t="s">
        <v>1339</v>
      </c>
      <c r="AD186" t="s">
        <v>3198</v>
      </c>
    </row>
    <row r="187" spans="1:37">
      <c r="A187" s="1">
        <v>186</v>
      </c>
      <c r="B187" t="s">
        <v>3526</v>
      </c>
      <c r="C187" s="2">
        <v>44333</v>
      </c>
      <c r="D187" s="1" t="s">
        <v>4078</v>
      </c>
      <c r="E187" s="61" t="s">
        <v>4077</v>
      </c>
      <c r="F187" s="61" t="s">
        <v>4079</v>
      </c>
      <c r="G187" s="6" t="s">
        <v>4080</v>
      </c>
      <c r="H187" s="1" t="s">
        <v>4081</v>
      </c>
      <c r="J187" s="230" t="s">
        <v>5908</v>
      </c>
      <c r="K187" s="1" t="s">
        <v>4078</v>
      </c>
      <c r="L187" s="3">
        <v>44347</v>
      </c>
      <c r="M187" s="1" t="s">
        <v>35</v>
      </c>
      <c r="N187" t="s">
        <v>5366</v>
      </c>
      <c r="O187" s="144">
        <v>70</v>
      </c>
      <c r="P187" s="1">
        <v>1</v>
      </c>
      <c r="Q187" s="90">
        <v>0.21</v>
      </c>
      <c r="R187" s="90">
        <v>0.2</v>
      </c>
      <c r="S187" s="1"/>
      <c r="T187" s="95">
        <f t="shared" si="7"/>
        <v>67.760000000000005</v>
      </c>
      <c r="U187" s="1" t="s">
        <v>5390</v>
      </c>
      <c r="V187" s="6" t="s">
        <v>5391</v>
      </c>
      <c r="W187" s="2">
        <v>28521</v>
      </c>
      <c r="X187" s="2">
        <v>44333</v>
      </c>
      <c r="Y187" s="11" t="s">
        <v>5528</v>
      </c>
      <c r="Z187" s="3">
        <v>44370</v>
      </c>
      <c r="AA187" s="80" t="s">
        <v>1339</v>
      </c>
      <c r="AD187" t="s">
        <v>3198</v>
      </c>
    </row>
    <row r="188" spans="1:37">
      <c r="A188" s="1">
        <v>187</v>
      </c>
      <c r="B188" t="s">
        <v>37</v>
      </c>
      <c r="C188" s="2">
        <v>44334</v>
      </c>
      <c r="D188" s="1" t="s">
        <v>5374</v>
      </c>
      <c r="E188" t="s">
        <v>5375</v>
      </c>
      <c r="F188" s="61" t="s">
        <v>5376</v>
      </c>
      <c r="G188" s="1">
        <v>29649</v>
      </c>
      <c r="H188" s="1" t="s">
        <v>5377</v>
      </c>
      <c r="K188" s="1" t="s">
        <v>5374</v>
      </c>
      <c r="L188" s="3">
        <v>44347</v>
      </c>
      <c r="M188" s="1" t="s">
        <v>35</v>
      </c>
      <c r="N188" s="14" t="s">
        <v>5378</v>
      </c>
      <c r="O188" s="187">
        <v>100</v>
      </c>
      <c r="P188" s="1">
        <v>1</v>
      </c>
      <c r="Q188" s="90">
        <v>0.21</v>
      </c>
      <c r="R188" s="90">
        <v>0</v>
      </c>
      <c r="T188" s="95">
        <f t="shared" si="7"/>
        <v>121</v>
      </c>
      <c r="U188" s="1" t="s">
        <v>5415</v>
      </c>
      <c r="V188" s="6" t="s">
        <v>5416</v>
      </c>
      <c r="W188" s="2">
        <v>34845</v>
      </c>
      <c r="X188" s="2">
        <v>44334</v>
      </c>
      <c r="Y188" s="11" t="s">
        <v>5829</v>
      </c>
      <c r="Z188" s="3">
        <v>44459</v>
      </c>
      <c r="AA188" s="80" t="s">
        <v>1339</v>
      </c>
      <c r="AD188" t="s">
        <v>3198</v>
      </c>
      <c r="AG188" t="s">
        <v>3108</v>
      </c>
      <c r="AH188" s="2">
        <v>44344</v>
      </c>
      <c r="AK188" s="3">
        <v>44350</v>
      </c>
    </row>
    <row r="189" spans="1:37">
      <c r="A189" s="1">
        <v>188</v>
      </c>
      <c r="B189" t="s">
        <v>40</v>
      </c>
      <c r="C189" s="2">
        <v>44334</v>
      </c>
      <c r="D189" s="1" t="s">
        <v>184</v>
      </c>
      <c r="E189" t="s">
        <v>185</v>
      </c>
      <c r="F189" s="61" t="s">
        <v>5381</v>
      </c>
      <c r="G189" s="1">
        <v>4710</v>
      </c>
      <c r="H189" s="1" t="s">
        <v>34</v>
      </c>
      <c r="K189" s="1" t="s">
        <v>184</v>
      </c>
      <c r="L189" s="3">
        <v>44347</v>
      </c>
      <c r="M189" s="1" t="s">
        <v>35</v>
      </c>
      <c r="N189" s="14" t="s">
        <v>5382</v>
      </c>
      <c r="O189" s="187">
        <v>60</v>
      </c>
      <c r="P189" s="1">
        <v>1</v>
      </c>
      <c r="Q189" s="90">
        <v>0.21</v>
      </c>
      <c r="R189" s="90">
        <v>0.2</v>
      </c>
      <c r="S189" s="214" t="s">
        <v>5385</v>
      </c>
      <c r="T189" s="95">
        <f t="shared" si="7"/>
        <v>58.08</v>
      </c>
      <c r="U189" s="1" t="s">
        <v>5383</v>
      </c>
      <c r="V189" s="6" t="s">
        <v>5384</v>
      </c>
      <c r="W189" s="2">
        <v>31778</v>
      </c>
      <c r="X189" s="2">
        <v>44334</v>
      </c>
      <c r="Y189" s="11" t="s">
        <v>5913</v>
      </c>
      <c r="Z189" s="3">
        <v>44482</v>
      </c>
      <c r="AA189" s="80" t="s">
        <v>1339</v>
      </c>
      <c r="AB189" t="s">
        <v>5714</v>
      </c>
      <c r="AC189" s="162">
        <v>44431</v>
      </c>
      <c r="AD189" t="s">
        <v>3198</v>
      </c>
      <c r="AG189" t="s">
        <v>5598</v>
      </c>
      <c r="AH189" s="2">
        <v>44389</v>
      </c>
      <c r="AK189" s="3">
        <v>44389</v>
      </c>
    </row>
    <row r="190" spans="1:37">
      <c r="A190" s="1">
        <v>189</v>
      </c>
      <c r="B190" s="61" t="s">
        <v>52</v>
      </c>
      <c r="C190" s="2">
        <v>44340</v>
      </c>
      <c r="D190" s="1" t="s">
        <v>66</v>
      </c>
      <c r="E190" s="61" t="s">
        <v>65</v>
      </c>
      <c r="F190" s="61" t="s">
        <v>3666</v>
      </c>
      <c r="G190" s="6" t="s">
        <v>230</v>
      </c>
      <c r="H190" s="1" t="s">
        <v>34</v>
      </c>
      <c r="I190" s="1">
        <v>646968420</v>
      </c>
      <c r="K190" s="1" t="s">
        <v>4432</v>
      </c>
      <c r="L190" s="3">
        <v>44347</v>
      </c>
      <c r="M190" s="1" t="s">
        <v>35</v>
      </c>
      <c r="N190" s="14" t="s">
        <v>5389</v>
      </c>
      <c r="O190" s="144">
        <v>60</v>
      </c>
      <c r="P190" s="1">
        <v>1</v>
      </c>
      <c r="Q190" s="90">
        <v>0.21</v>
      </c>
      <c r="R190" s="90">
        <v>0.2</v>
      </c>
      <c r="S190" s="1"/>
      <c r="T190" s="95">
        <f t="shared" si="7"/>
        <v>58.08</v>
      </c>
      <c r="U190" s="1" t="s">
        <v>4165</v>
      </c>
      <c r="V190" s="87" t="s">
        <v>5538</v>
      </c>
      <c r="W190" s="2">
        <v>36588</v>
      </c>
      <c r="X190" s="2">
        <v>44340</v>
      </c>
      <c r="Y190" s="11" t="s">
        <v>5715</v>
      </c>
      <c r="Z190" s="3">
        <v>44425</v>
      </c>
      <c r="AA190" s="80" t="s">
        <v>1339</v>
      </c>
      <c r="AD190" t="s">
        <v>3198</v>
      </c>
      <c r="AG190" s="1"/>
      <c r="AH190" s="2"/>
      <c r="AI190" s="1"/>
      <c r="AK190" s="2"/>
    </row>
    <row r="191" spans="1:37">
      <c r="A191" s="1">
        <v>190</v>
      </c>
      <c r="B191" t="s">
        <v>423</v>
      </c>
      <c r="C191" s="2">
        <v>44340</v>
      </c>
      <c r="D191" t="s">
        <v>3217</v>
      </c>
      <c r="E191" t="s">
        <v>91</v>
      </c>
      <c r="F191" t="s">
        <v>3218</v>
      </c>
      <c r="G191" s="6" t="s">
        <v>219</v>
      </c>
      <c r="H191" t="s">
        <v>38</v>
      </c>
      <c r="I191">
        <v>629562761</v>
      </c>
      <c r="K191" t="s">
        <v>3217</v>
      </c>
      <c r="L191" s="3">
        <v>44347</v>
      </c>
      <c r="M191" s="1" t="s">
        <v>35</v>
      </c>
      <c r="N191" s="14" t="s">
        <v>5397</v>
      </c>
      <c r="O191" s="187">
        <v>100</v>
      </c>
      <c r="P191" s="1">
        <v>1</v>
      </c>
      <c r="Q191" s="90">
        <v>0.21</v>
      </c>
      <c r="R191" s="90">
        <v>0.2</v>
      </c>
      <c r="T191" s="95">
        <f t="shared" si="7"/>
        <v>96.8</v>
      </c>
      <c r="U191" s="1" t="s">
        <v>5426</v>
      </c>
      <c r="V191" s="6" t="s">
        <v>5427</v>
      </c>
      <c r="W191" s="2">
        <v>37731</v>
      </c>
      <c r="X191" s="2">
        <v>44340</v>
      </c>
      <c r="Y191" s="11" t="s">
        <v>5818</v>
      </c>
      <c r="Z191" s="3">
        <v>44458</v>
      </c>
      <c r="AA191" s="80" t="s">
        <v>1339</v>
      </c>
      <c r="AC191" s="162">
        <v>44379</v>
      </c>
      <c r="AD191" t="s">
        <v>3198</v>
      </c>
      <c r="AG191" t="s">
        <v>5398</v>
      </c>
      <c r="AH191" s="2">
        <v>44344</v>
      </c>
      <c r="AK191" s="3">
        <v>44347</v>
      </c>
    </row>
    <row r="192" spans="1:37">
      <c r="A192" s="1">
        <v>191</v>
      </c>
      <c r="B192" t="s">
        <v>52</v>
      </c>
      <c r="C192" s="2">
        <v>44341</v>
      </c>
      <c r="D192" s="1" t="s">
        <v>1152</v>
      </c>
      <c r="E192" t="s">
        <v>5402</v>
      </c>
      <c r="F192" s="61" t="s">
        <v>5403</v>
      </c>
      <c r="G192" s="6" t="s">
        <v>221</v>
      </c>
      <c r="H192" s="1" t="s">
        <v>34</v>
      </c>
      <c r="K192" s="1" t="s">
        <v>4432</v>
      </c>
      <c r="L192" s="3">
        <v>44347</v>
      </c>
      <c r="M192" s="1" t="s">
        <v>35</v>
      </c>
      <c r="N192" s="14" t="s">
        <v>5404</v>
      </c>
      <c r="O192" s="187">
        <v>100</v>
      </c>
      <c r="P192" s="1">
        <v>1</v>
      </c>
      <c r="Q192" s="90">
        <v>0.21</v>
      </c>
      <c r="R192" s="90">
        <v>0.2</v>
      </c>
      <c r="T192" s="95">
        <f t="shared" si="7"/>
        <v>96.8</v>
      </c>
      <c r="U192" s="1" t="s">
        <v>5431</v>
      </c>
      <c r="V192" s="6" t="s">
        <v>5430</v>
      </c>
      <c r="W192" s="2">
        <v>31416</v>
      </c>
      <c r="X192" s="2">
        <v>44341</v>
      </c>
      <c r="Y192" s="208" t="s">
        <v>5520</v>
      </c>
      <c r="Z192" s="3">
        <v>44369</v>
      </c>
      <c r="AA192" s="80" t="s">
        <v>1339</v>
      </c>
      <c r="AD192" t="s">
        <v>3198</v>
      </c>
      <c r="AG192" t="s">
        <v>5405</v>
      </c>
      <c r="AH192" s="2">
        <v>44344</v>
      </c>
      <c r="AK192" s="3">
        <v>44350</v>
      </c>
    </row>
    <row r="193" spans="1:38">
      <c r="A193" s="1">
        <v>192</v>
      </c>
      <c r="B193" t="s">
        <v>119</v>
      </c>
      <c r="C193" s="2">
        <v>44341</v>
      </c>
      <c r="D193" s="1" t="s">
        <v>5406</v>
      </c>
      <c r="E193" t="s">
        <v>5407</v>
      </c>
      <c r="F193" s="61" t="s">
        <v>5408</v>
      </c>
      <c r="G193" s="6" t="s">
        <v>226</v>
      </c>
      <c r="H193" s="1" t="s">
        <v>3118</v>
      </c>
      <c r="K193" s="1" t="s">
        <v>174</v>
      </c>
      <c r="L193" s="3">
        <v>44347</v>
      </c>
      <c r="M193" s="1" t="s">
        <v>35</v>
      </c>
      <c r="N193" s="14" t="s">
        <v>5409</v>
      </c>
      <c r="O193" s="187">
        <v>100</v>
      </c>
      <c r="P193" s="1">
        <v>1</v>
      </c>
      <c r="Q193" s="90">
        <v>0.21</v>
      </c>
      <c r="R193" s="90">
        <v>0.2</v>
      </c>
      <c r="T193" s="95">
        <f t="shared" si="7"/>
        <v>96.8</v>
      </c>
      <c r="U193" s="1" t="s">
        <v>5428</v>
      </c>
      <c r="V193" s="6" t="s">
        <v>5429</v>
      </c>
      <c r="W193" s="2">
        <v>36871</v>
      </c>
      <c r="X193" s="2">
        <v>44341</v>
      </c>
      <c r="Y193" s="11" t="s">
        <v>5505</v>
      </c>
      <c r="Z193" s="3">
        <v>44369</v>
      </c>
      <c r="AA193" s="80" t="s">
        <v>1339</v>
      </c>
      <c r="AD193" t="s">
        <v>3198</v>
      </c>
      <c r="AG193" t="s">
        <v>3221</v>
      </c>
      <c r="AH193" s="2">
        <v>44344</v>
      </c>
      <c r="AK193" s="3">
        <v>44354</v>
      </c>
    </row>
    <row r="194" spans="1:38">
      <c r="A194" s="1">
        <v>193</v>
      </c>
      <c r="B194" t="s">
        <v>1414</v>
      </c>
      <c r="C194" s="2">
        <v>44343</v>
      </c>
      <c r="D194" s="1" t="s">
        <v>1852</v>
      </c>
      <c r="E194" t="s">
        <v>5410</v>
      </c>
      <c r="F194" s="61" t="s">
        <v>5411</v>
      </c>
      <c r="G194" s="6" t="s">
        <v>230</v>
      </c>
      <c r="H194" s="1" t="s">
        <v>34</v>
      </c>
      <c r="K194" s="1" t="s">
        <v>1852</v>
      </c>
      <c r="L194" s="3">
        <v>44347</v>
      </c>
      <c r="M194" s="1" t="s">
        <v>35</v>
      </c>
      <c r="N194" s="14" t="s">
        <v>5412</v>
      </c>
      <c r="O194" s="187">
        <v>100</v>
      </c>
      <c r="P194" s="1">
        <v>1</v>
      </c>
      <c r="Q194" s="90">
        <v>0.21</v>
      </c>
      <c r="R194" s="90">
        <v>0.2</v>
      </c>
      <c r="T194" s="95">
        <f t="shared" si="7"/>
        <v>96.8</v>
      </c>
      <c r="U194" s="1" t="s">
        <v>5457</v>
      </c>
      <c r="V194" s="6" t="s">
        <v>5458</v>
      </c>
      <c r="W194" s="2">
        <v>32451</v>
      </c>
      <c r="X194" s="2">
        <v>44343</v>
      </c>
      <c r="Y194" s="11" t="s">
        <v>5550</v>
      </c>
      <c r="Z194" s="3">
        <v>44400</v>
      </c>
      <c r="AA194" s="80" t="s">
        <v>1339</v>
      </c>
      <c r="AD194" t="s">
        <v>3198</v>
      </c>
      <c r="AG194" t="s">
        <v>3221</v>
      </c>
      <c r="AH194" s="2">
        <v>44354</v>
      </c>
      <c r="AK194" s="3">
        <v>44355</v>
      </c>
    </row>
    <row r="195" spans="1:38">
      <c r="A195" s="1">
        <v>194</v>
      </c>
      <c r="B195" t="s">
        <v>4321</v>
      </c>
      <c r="C195" s="2">
        <v>44343</v>
      </c>
      <c r="D195" s="1" t="s">
        <v>5380</v>
      </c>
      <c r="E195" s="61" t="s">
        <v>3800</v>
      </c>
      <c r="F195" s="61" t="s">
        <v>3801</v>
      </c>
      <c r="G195" s="6" t="s">
        <v>2654</v>
      </c>
      <c r="H195" s="1" t="s">
        <v>2359</v>
      </c>
      <c r="I195" s="1">
        <v>627436272</v>
      </c>
      <c r="J195" s="1"/>
      <c r="K195" s="1" t="s">
        <v>3965</v>
      </c>
      <c r="L195" s="3">
        <v>44347</v>
      </c>
      <c r="M195" s="1" t="s">
        <v>35</v>
      </c>
      <c r="N195" s="14" t="s">
        <v>5413</v>
      </c>
      <c r="O195" s="187">
        <v>60</v>
      </c>
      <c r="P195" s="1">
        <v>1</v>
      </c>
      <c r="Q195" s="90">
        <v>0.21</v>
      </c>
      <c r="R195" s="90">
        <v>0.2</v>
      </c>
      <c r="T195" s="95">
        <f t="shared" si="7"/>
        <v>58.08</v>
      </c>
      <c r="U195" s="1" t="s">
        <v>3803</v>
      </c>
      <c r="V195" s="6" t="s">
        <v>5423</v>
      </c>
      <c r="W195" s="2">
        <v>31361</v>
      </c>
      <c r="X195" s="2">
        <v>44343</v>
      </c>
      <c r="Y195" s="11" t="s">
        <v>6001</v>
      </c>
      <c r="Z195" s="3">
        <v>44397</v>
      </c>
      <c r="AA195" s="80" t="s">
        <v>1339</v>
      </c>
      <c r="AD195" t="s">
        <v>3198</v>
      </c>
    </row>
    <row r="196" spans="1:38">
      <c r="A196" s="1">
        <v>195</v>
      </c>
      <c r="B196" t="s">
        <v>33</v>
      </c>
      <c r="C196" s="2">
        <v>44344</v>
      </c>
      <c r="D196" s="1" t="s">
        <v>5418</v>
      </c>
      <c r="E196" t="s">
        <v>5419</v>
      </c>
      <c r="F196" s="61" t="s">
        <v>5420</v>
      </c>
      <c r="G196" s="6" t="s">
        <v>221</v>
      </c>
      <c r="H196" s="1" t="s">
        <v>34</v>
      </c>
      <c r="K196" s="30" t="s">
        <v>237</v>
      </c>
      <c r="L196" s="3">
        <v>44347</v>
      </c>
      <c r="M196" s="1" t="s">
        <v>35</v>
      </c>
      <c r="N196" s="14" t="s">
        <v>5421</v>
      </c>
      <c r="O196" s="187">
        <v>100</v>
      </c>
      <c r="P196" s="1">
        <v>1</v>
      </c>
      <c r="Q196" s="90">
        <v>0.21</v>
      </c>
      <c r="R196" s="90">
        <v>0</v>
      </c>
      <c r="T196" s="95">
        <f t="shared" si="7"/>
        <v>121</v>
      </c>
      <c r="U196" s="1" t="s">
        <v>5422</v>
      </c>
      <c r="V196" s="6" t="s">
        <v>5424</v>
      </c>
      <c r="W196" s="2">
        <v>31420</v>
      </c>
      <c r="X196" s="2">
        <v>44271</v>
      </c>
      <c r="Y196" s="208" t="s">
        <v>5772</v>
      </c>
      <c r="Z196" s="3">
        <v>44441</v>
      </c>
      <c r="AA196" s="80" t="s">
        <v>1339</v>
      </c>
      <c r="AB196" t="s">
        <v>5228</v>
      </c>
      <c r="AD196" t="s">
        <v>3198</v>
      </c>
    </row>
    <row r="197" spans="1:38">
      <c r="A197" s="1">
        <v>196</v>
      </c>
      <c r="B197" t="s">
        <v>4321</v>
      </c>
      <c r="C197" s="2">
        <v>44348</v>
      </c>
      <c r="D197" s="1" t="s">
        <v>5080</v>
      </c>
      <c r="E197" t="s">
        <v>5081</v>
      </c>
      <c r="F197" s="61" t="s">
        <v>5082</v>
      </c>
      <c r="G197" s="6" t="s">
        <v>242</v>
      </c>
      <c r="H197" s="1" t="s">
        <v>5083</v>
      </c>
      <c r="K197" s="1" t="s">
        <v>5080</v>
      </c>
      <c r="L197" s="3">
        <v>44377</v>
      </c>
      <c r="M197" s="1" t="s">
        <v>35</v>
      </c>
      <c r="N197" t="s">
        <v>5433</v>
      </c>
      <c r="O197" s="187">
        <v>70</v>
      </c>
      <c r="P197" s="1">
        <v>1</v>
      </c>
      <c r="Q197" s="90">
        <v>0.21</v>
      </c>
      <c r="R197" s="90">
        <v>0.2</v>
      </c>
      <c r="T197" s="95">
        <f t="shared" ref="T197:T213" si="8">SUM(O197-(O197*R197))*Q197+(O197-(O197*R197))</f>
        <v>67.760000000000005</v>
      </c>
      <c r="V197" s="218"/>
      <c r="W197" s="2"/>
      <c r="X197" s="2"/>
      <c r="Y197" s="125" t="s">
        <v>1326</v>
      </c>
      <c r="Z197" s="3"/>
      <c r="AA197" s="80"/>
      <c r="AD197" t="s">
        <v>3198</v>
      </c>
    </row>
    <row r="198" spans="1:38">
      <c r="A198" s="1">
        <v>197</v>
      </c>
      <c r="B198" t="s">
        <v>4321</v>
      </c>
      <c r="C198" s="2">
        <v>44350</v>
      </c>
      <c r="D198" s="1" t="s">
        <v>5080</v>
      </c>
      <c r="E198" t="s">
        <v>5081</v>
      </c>
      <c r="F198" s="61" t="s">
        <v>5082</v>
      </c>
      <c r="G198" s="6" t="s">
        <v>242</v>
      </c>
      <c r="H198" s="1" t="s">
        <v>5083</v>
      </c>
      <c r="K198" s="1" t="s">
        <v>5080</v>
      </c>
      <c r="L198" s="3">
        <v>44377</v>
      </c>
      <c r="M198" s="1" t="s">
        <v>35</v>
      </c>
      <c r="N198" t="s">
        <v>5434</v>
      </c>
      <c r="O198" s="187">
        <v>70</v>
      </c>
      <c r="P198" s="1">
        <v>1</v>
      </c>
      <c r="Q198" s="90">
        <v>0.21</v>
      </c>
      <c r="R198" s="90">
        <v>0.2</v>
      </c>
      <c r="T198" s="95">
        <f t="shared" si="8"/>
        <v>67.760000000000005</v>
      </c>
      <c r="V198" s="218"/>
      <c r="W198" s="2"/>
      <c r="X198" s="2"/>
      <c r="Y198" s="125" t="s">
        <v>1326</v>
      </c>
      <c r="Z198" s="3"/>
      <c r="AA198" s="80"/>
      <c r="AD198" t="s">
        <v>3198</v>
      </c>
    </row>
    <row r="199" spans="1:38">
      <c r="A199" s="1">
        <v>198</v>
      </c>
      <c r="B199" t="s">
        <v>82</v>
      </c>
      <c r="C199" s="2">
        <v>44348</v>
      </c>
      <c r="D199" s="1" t="s">
        <v>772</v>
      </c>
      <c r="E199" s="14" t="s">
        <v>773</v>
      </c>
      <c r="F199" t="s">
        <v>1872</v>
      </c>
      <c r="G199" s="6" t="s">
        <v>239</v>
      </c>
      <c r="H199" t="s">
        <v>2585</v>
      </c>
      <c r="I199" s="1">
        <v>629246817</v>
      </c>
      <c r="K199" s="1" t="s">
        <v>772</v>
      </c>
      <c r="L199" s="3">
        <v>44377</v>
      </c>
      <c r="M199" s="1" t="s">
        <v>35</v>
      </c>
      <c r="N199" s="14" t="s">
        <v>5435</v>
      </c>
      <c r="O199" s="92">
        <v>100</v>
      </c>
      <c r="P199" s="1">
        <v>1</v>
      </c>
      <c r="Q199" s="90">
        <v>0.21</v>
      </c>
      <c r="R199" s="90">
        <v>0.2</v>
      </c>
      <c r="S199" s="1"/>
      <c r="T199" s="95">
        <f t="shared" si="8"/>
        <v>96.8</v>
      </c>
      <c r="U199" s="1" t="s">
        <v>5496</v>
      </c>
      <c r="V199" s="6" t="s">
        <v>5497</v>
      </c>
      <c r="W199" s="2">
        <v>27316</v>
      </c>
      <c r="X199" s="2">
        <v>44348</v>
      </c>
      <c r="Y199" s="208" t="s">
        <v>5549</v>
      </c>
      <c r="Z199" s="3">
        <v>44377</v>
      </c>
      <c r="AA199" s="80" t="s">
        <v>1339</v>
      </c>
      <c r="AD199" t="s">
        <v>3198</v>
      </c>
      <c r="AG199" t="s">
        <v>3221</v>
      </c>
      <c r="AH199" s="2">
        <v>44362</v>
      </c>
      <c r="AI199" s="2"/>
      <c r="AK199" s="2">
        <v>44365</v>
      </c>
    </row>
    <row r="200" spans="1:38">
      <c r="A200" s="1">
        <v>199</v>
      </c>
      <c r="B200" t="s">
        <v>45</v>
      </c>
      <c r="C200" s="2">
        <v>44349</v>
      </c>
      <c r="D200" s="1" t="s">
        <v>5436</v>
      </c>
      <c r="E200" t="s">
        <v>5437</v>
      </c>
      <c r="F200" s="61" t="s">
        <v>5438</v>
      </c>
      <c r="G200" s="6" t="s">
        <v>221</v>
      </c>
      <c r="H200" s="1" t="s">
        <v>34</v>
      </c>
      <c r="K200" s="1" t="s">
        <v>5436</v>
      </c>
      <c r="L200" s="3">
        <v>44377</v>
      </c>
      <c r="M200" s="1" t="s">
        <v>35</v>
      </c>
      <c r="N200" s="14" t="s">
        <v>5439</v>
      </c>
      <c r="O200" s="187">
        <v>100</v>
      </c>
      <c r="P200" s="1">
        <v>1</v>
      </c>
      <c r="Q200" s="90">
        <v>0.21</v>
      </c>
      <c r="R200" s="90">
        <v>0.2</v>
      </c>
      <c r="S200" s="214" t="s">
        <v>5385</v>
      </c>
      <c r="T200" s="95">
        <f t="shared" si="8"/>
        <v>96.8</v>
      </c>
      <c r="U200" s="1" t="s">
        <v>5500</v>
      </c>
      <c r="V200" s="6" t="s">
        <v>5501</v>
      </c>
      <c r="W200" s="2">
        <v>34130</v>
      </c>
      <c r="X200" s="2">
        <v>44349</v>
      </c>
      <c r="Y200" s="11" t="s">
        <v>5550</v>
      </c>
      <c r="Z200" s="3">
        <v>44386</v>
      </c>
      <c r="AA200" s="80" t="s">
        <v>1339</v>
      </c>
      <c r="AD200" t="s">
        <v>3198</v>
      </c>
      <c r="AG200" t="s">
        <v>3221</v>
      </c>
      <c r="AH200" s="2">
        <v>44362</v>
      </c>
      <c r="AK200" s="3">
        <v>44370</v>
      </c>
    </row>
    <row r="201" spans="1:38">
      <c r="A201" s="1">
        <v>200</v>
      </c>
      <c r="B201" t="s">
        <v>45</v>
      </c>
      <c r="C201" s="2">
        <v>44349</v>
      </c>
      <c r="D201" s="1" t="s">
        <v>5055</v>
      </c>
      <c r="E201" t="s">
        <v>5056</v>
      </c>
      <c r="F201" s="61" t="s">
        <v>5057</v>
      </c>
      <c r="G201" s="6" t="s">
        <v>1229</v>
      </c>
      <c r="H201" s="1" t="s">
        <v>3454</v>
      </c>
      <c r="I201" s="1">
        <v>696723321</v>
      </c>
      <c r="K201" s="1" t="s">
        <v>5055</v>
      </c>
      <c r="L201" s="3">
        <v>44377</v>
      </c>
      <c r="M201" s="1" t="s">
        <v>35</v>
      </c>
      <c r="N201" s="14" t="s">
        <v>5518</v>
      </c>
      <c r="O201" s="187">
        <v>100</v>
      </c>
      <c r="P201" s="1">
        <v>1</v>
      </c>
      <c r="Q201" s="128">
        <v>0.21</v>
      </c>
      <c r="R201" s="128">
        <v>0</v>
      </c>
      <c r="S201" s="214" t="s">
        <v>5385</v>
      </c>
      <c r="T201" s="95">
        <f t="shared" si="8"/>
        <v>121</v>
      </c>
      <c r="U201" s="1" t="s">
        <v>5216</v>
      </c>
      <c r="V201" s="6" t="s">
        <v>5217</v>
      </c>
      <c r="W201" s="2">
        <v>37245</v>
      </c>
      <c r="X201" s="2">
        <v>44284</v>
      </c>
      <c r="Y201" s="125" t="s">
        <v>1326</v>
      </c>
      <c r="Z201" s="3">
        <v>44425</v>
      </c>
      <c r="AA201" s="80" t="s">
        <v>1339</v>
      </c>
      <c r="AC201" s="3"/>
      <c r="AD201" t="s">
        <v>3198</v>
      </c>
      <c r="AE201" s="114" t="s">
        <v>5519</v>
      </c>
      <c r="AH201" s="2"/>
      <c r="AK201" s="3"/>
    </row>
    <row r="202" spans="1:38">
      <c r="A202" s="1">
        <v>201</v>
      </c>
      <c r="B202" t="s">
        <v>33</v>
      </c>
      <c r="C202" s="2">
        <v>44350</v>
      </c>
      <c r="D202" s="1" t="s">
        <v>5440</v>
      </c>
      <c r="E202" t="s">
        <v>5441</v>
      </c>
      <c r="F202" s="61" t="s">
        <v>5442</v>
      </c>
      <c r="G202" s="6" t="s">
        <v>221</v>
      </c>
      <c r="H202" s="1" t="s">
        <v>34</v>
      </c>
      <c r="K202" s="30" t="s">
        <v>237</v>
      </c>
      <c r="L202" s="3">
        <v>44377</v>
      </c>
      <c r="M202" s="1" t="s">
        <v>35</v>
      </c>
      <c r="N202" s="14" t="s">
        <v>5443</v>
      </c>
      <c r="O202" s="187">
        <v>60</v>
      </c>
      <c r="P202" s="1">
        <v>1</v>
      </c>
      <c r="Q202" s="90">
        <v>0.21</v>
      </c>
      <c r="R202" s="90">
        <v>0.2</v>
      </c>
      <c r="T202" s="95">
        <f t="shared" si="8"/>
        <v>58.08</v>
      </c>
      <c r="U202" s="1" t="s">
        <v>5551</v>
      </c>
      <c r="V202" s="6" t="s">
        <v>5444</v>
      </c>
      <c r="W202" s="2">
        <v>34358</v>
      </c>
      <c r="X202" s="2">
        <v>44350</v>
      </c>
      <c r="Y202" s="11" t="s">
        <v>5754</v>
      </c>
      <c r="Z202" s="3">
        <v>44434</v>
      </c>
      <c r="AA202" s="80" t="s">
        <v>1339</v>
      </c>
      <c r="AC202" s="162">
        <v>44413</v>
      </c>
      <c r="AD202" t="s">
        <v>3198</v>
      </c>
    </row>
    <row r="203" spans="1:38">
      <c r="A203" s="1">
        <v>202</v>
      </c>
      <c r="B203" t="s">
        <v>37</v>
      </c>
      <c r="C203" s="2">
        <v>44350</v>
      </c>
      <c r="D203" s="1" t="s">
        <v>255</v>
      </c>
      <c r="E203" t="s">
        <v>677</v>
      </c>
      <c r="F203" s="61" t="s">
        <v>5445</v>
      </c>
      <c r="G203" s="6" t="s">
        <v>221</v>
      </c>
      <c r="H203" s="1" t="s">
        <v>34</v>
      </c>
      <c r="I203" s="1">
        <v>641646807</v>
      </c>
      <c r="K203" s="1" t="s">
        <v>255</v>
      </c>
      <c r="L203" s="3">
        <v>44377</v>
      </c>
      <c r="M203" s="1" t="s">
        <v>35</v>
      </c>
      <c r="N203" t="s">
        <v>5446</v>
      </c>
      <c r="O203" s="187">
        <v>60</v>
      </c>
      <c r="P203" s="1">
        <v>1</v>
      </c>
      <c r="Q203" s="90">
        <v>0.21</v>
      </c>
      <c r="R203" s="90">
        <v>0</v>
      </c>
      <c r="S203" s="214" t="s">
        <v>4723</v>
      </c>
      <c r="T203" s="95">
        <f t="shared" si="8"/>
        <v>72.599999999999994</v>
      </c>
      <c r="U203" s="1" t="s">
        <v>255</v>
      </c>
      <c r="V203" s="6" t="s">
        <v>5447</v>
      </c>
      <c r="W203" s="2">
        <v>32215</v>
      </c>
      <c r="X203" s="2">
        <v>44350</v>
      </c>
      <c r="Y203" s="11" t="s">
        <v>5599</v>
      </c>
      <c r="Z203" s="3">
        <v>44389</v>
      </c>
      <c r="AA203" s="80" t="s">
        <v>1339</v>
      </c>
      <c r="AD203" t="s">
        <v>3198</v>
      </c>
    </row>
    <row r="204" spans="1:38">
      <c r="A204" s="1">
        <v>203</v>
      </c>
      <c r="B204" t="s">
        <v>40</v>
      </c>
      <c r="C204" s="2">
        <v>44350</v>
      </c>
      <c r="D204" s="1" t="s">
        <v>5448</v>
      </c>
      <c r="E204" t="s">
        <v>5449</v>
      </c>
      <c r="F204" s="61" t="s">
        <v>5450</v>
      </c>
      <c r="G204" s="6" t="s">
        <v>233</v>
      </c>
      <c r="H204" s="1" t="s">
        <v>34</v>
      </c>
      <c r="K204" s="1" t="s">
        <v>5448</v>
      </c>
      <c r="L204" s="3">
        <v>44377</v>
      </c>
      <c r="M204" s="1" t="s">
        <v>35</v>
      </c>
      <c r="N204" s="14" t="s">
        <v>5451</v>
      </c>
      <c r="O204" s="187">
        <v>100</v>
      </c>
      <c r="P204" s="1">
        <v>1</v>
      </c>
      <c r="Q204" s="90">
        <v>0.21</v>
      </c>
      <c r="R204" s="90">
        <v>0.2</v>
      </c>
      <c r="T204" s="95">
        <f t="shared" si="8"/>
        <v>96.8</v>
      </c>
      <c r="U204" s="1" t="s">
        <v>5494</v>
      </c>
      <c r="V204" s="6" t="s">
        <v>5495</v>
      </c>
      <c r="W204" s="2" t="s">
        <v>5452</v>
      </c>
      <c r="X204" s="2">
        <v>44350</v>
      </c>
      <c r="Y204" s="11" t="s">
        <v>5882</v>
      </c>
      <c r="Z204" s="3">
        <v>44469</v>
      </c>
      <c r="AA204" s="80" t="s">
        <v>1339</v>
      </c>
      <c r="AD204" t="s">
        <v>3198</v>
      </c>
      <c r="AG204" t="s">
        <v>3108</v>
      </c>
      <c r="AH204" s="2">
        <v>44362</v>
      </c>
      <c r="AK204" s="3">
        <v>44365</v>
      </c>
    </row>
    <row r="205" spans="1:38">
      <c r="A205" s="1">
        <v>204</v>
      </c>
      <c r="B205" t="s">
        <v>82</v>
      </c>
      <c r="C205" s="2">
        <v>44354</v>
      </c>
      <c r="D205" s="1" t="s">
        <v>5464</v>
      </c>
      <c r="E205" t="s">
        <v>5463</v>
      </c>
      <c r="F205" s="61" t="s">
        <v>5465</v>
      </c>
      <c r="G205" s="6" t="s">
        <v>250</v>
      </c>
      <c r="H205" s="1" t="s">
        <v>5466</v>
      </c>
      <c r="K205" s="1" t="s">
        <v>5464</v>
      </c>
      <c r="L205" s="3">
        <v>44377</v>
      </c>
      <c r="M205" s="1" t="s">
        <v>35</v>
      </c>
      <c r="N205" s="14" t="s">
        <v>5467</v>
      </c>
      <c r="O205" s="187">
        <v>60</v>
      </c>
      <c r="P205" s="1">
        <v>1</v>
      </c>
      <c r="Q205" s="90">
        <v>0.21</v>
      </c>
      <c r="R205" s="90">
        <v>0.2</v>
      </c>
      <c r="S205" s="214" t="s">
        <v>5385</v>
      </c>
      <c r="T205" s="95">
        <f t="shared" si="8"/>
        <v>58.08</v>
      </c>
      <c r="U205" s="1" t="s">
        <v>5468</v>
      </c>
      <c r="V205" s="6" t="s">
        <v>5469</v>
      </c>
      <c r="W205" s="2">
        <v>24504</v>
      </c>
      <c r="X205" s="2">
        <v>44354</v>
      </c>
      <c r="Y205" s="11" t="s">
        <v>5718</v>
      </c>
      <c r="Z205" s="3">
        <v>44426</v>
      </c>
      <c r="AA205" s="80" t="s">
        <v>1339</v>
      </c>
      <c r="AD205" t="s">
        <v>3198</v>
      </c>
      <c r="AG205" t="s">
        <v>5598</v>
      </c>
      <c r="AH205" s="2">
        <v>44405</v>
      </c>
      <c r="AK205" s="3">
        <v>44405</v>
      </c>
    </row>
    <row r="206" spans="1:38" s="176" customFormat="1">
      <c r="A206" s="1">
        <v>205</v>
      </c>
      <c r="B206" t="s">
        <v>37</v>
      </c>
      <c r="C206" s="2">
        <v>44354</v>
      </c>
      <c r="D206" s="1" t="s">
        <v>5470</v>
      </c>
      <c r="E206" t="s">
        <v>5471</v>
      </c>
      <c r="F206" s="61" t="s">
        <v>5472</v>
      </c>
      <c r="G206" s="6" t="s">
        <v>270</v>
      </c>
      <c r="H206" s="1" t="s">
        <v>3681</v>
      </c>
      <c r="I206" s="1"/>
      <c r="J206"/>
      <c r="K206" s="1" t="s">
        <v>5470</v>
      </c>
      <c r="L206" s="3">
        <v>44377</v>
      </c>
      <c r="M206" s="1" t="s">
        <v>35</v>
      </c>
      <c r="N206" s="14" t="s">
        <v>5473</v>
      </c>
      <c r="O206" s="187">
        <v>60</v>
      </c>
      <c r="P206" s="1">
        <v>1</v>
      </c>
      <c r="Q206" s="128">
        <v>0.21</v>
      </c>
      <c r="R206" s="128">
        <v>0</v>
      </c>
      <c r="S206" s="133" t="s">
        <v>4723</v>
      </c>
      <c r="T206" s="95">
        <f t="shared" si="8"/>
        <v>72.599999999999994</v>
      </c>
      <c r="U206" s="1" t="s">
        <v>5470</v>
      </c>
      <c r="V206" s="6" t="s">
        <v>5504</v>
      </c>
      <c r="W206" s="2">
        <v>35509</v>
      </c>
      <c r="X206" s="2">
        <v>44354</v>
      </c>
      <c r="Y206" s="11" t="s">
        <v>5718</v>
      </c>
      <c r="Z206" s="3">
        <v>44426</v>
      </c>
      <c r="AA206" s="80" t="s">
        <v>1339</v>
      </c>
      <c r="AB206"/>
      <c r="AC206" s="162">
        <v>44406</v>
      </c>
      <c r="AD206" t="s">
        <v>3198</v>
      </c>
      <c r="AE206"/>
      <c r="AF206"/>
      <c r="AG206" t="s">
        <v>5474</v>
      </c>
      <c r="AH206" s="2">
        <v>44362</v>
      </c>
      <c r="AI206"/>
      <c r="AJ206"/>
      <c r="AK206" s="3">
        <v>44362</v>
      </c>
      <c r="AL206"/>
    </row>
    <row r="207" spans="1:38">
      <c r="A207" s="1">
        <v>206</v>
      </c>
      <c r="B207" t="s">
        <v>33</v>
      </c>
      <c r="C207" s="2">
        <v>44355</v>
      </c>
      <c r="D207" s="1" t="s">
        <v>5295</v>
      </c>
      <c r="E207" t="s">
        <v>5296</v>
      </c>
      <c r="F207" s="61" t="s">
        <v>4384</v>
      </c>
      <c r="G207" s="6" t="s">
        <v>219</v>
      </c>
      <c r="H207" s="1" t="s">
        <v>38</v>
      </c>
      <c r="K207" s="30" t="s">
        <v>237</v>
      </c>
      <c r="L207" s="3">
        <v>44377</v>
      </c>
      <c r="M207" t="s">
        <v>35</v>
      </c>
      <c r="N207" s="14" t="s">
        <v>5475</v>
      </c>
      <c r="O207" s="187">
        <v>100</v>
      </c>
      <c r="P207" s="1">
        <v>1</v>
      </c>
      <c r="Q207" s="90">
        <v>0.21</v>
      </c>
      <c r="R207" s="90">
        <v>0.2</v>
      </c>
      <c r="T207" s="95">
        <f t="shared" si="8"/>
        <v>96.8</v>
      </c>
      <c r="U207" s="1" t="s">
        <v>5503</v>
      </c>
      <c r="V207" s="6" t="s">
        <v>5502</v>
      </c>
      <c r="W207" s="2">
        <v>28342</v>
      </c>
      <c r="X207" s="2">
        <v>44355</v>
      </c>
      <c r="Y207" s="11" t="s">
        <v>5902</v>
      </c>
      <c r="Z207" s="3">
        <v>44477</v>
      </c>
      <c r="AA207" s="80" t="s">
        <v>1339</v>
      </c>
      <c r="AD207" t="s">
        <v>3198</v>
      </c>
      <c r="AG207" t="s">
        <v>3108</v>
      </c>
      <c r="AH207" s="2">
        <v>44362</v>
      </c>
      <c r="AK207" s="3">
        <v>44370</v>
      </c>
    </row>
    <row r="208" spans="1:38">
      <c r="A208" s="1">
        <v>207</v>
      </c>
      <c r="B208" t="s">
        <v>52</v>
      </c>
      <c r="C208" s="2">
        <v>44357</v>
      </c>
      <c r="D208" s="1" t="s">
        <v>256</v>
      </c>
      <c r="E208" s="31" t="s">
        <v>155</v>
      </c>
      <c r="F208" s="31" t="s">
        <v>138</v>
      </c>
      <c r="G208" s="33" t="s">
        <v>227</v>
      </c>
      <c r="H208" s="30" t="s">
        <v>203</v>
      </c>
      <c r="I208" s="31">
        <v>631130911</v>
      </c>
      <c r="K208" s="1" t="s">
        <v>4432</v>
      </c>
      <c r="L208" s="3">
        <v>44377</v>
      </c>
      <c r="M208" s="1" t="s">
        <v>35</v>
      </c>
      <c r="N208" s="14" t="s">
        <v>5481</v>
      </c>
      <c r="O208" s="187">
        <v>100</v>
      </c>
      <c r="P208" s="1">
        <v>1</v>
      </c>
      <c r="Q208" s="90">
        <v>0.21</v>
      </c>
      <c r="R208" s="90">
        <v>0.2</v>
      </c>
      <c r="T208" s="95">
        <f t="shared" si="8"/>
        <v>96.8</v>
      </c>
      <c r="U208" s="1" t="s">
        <v>5508</v>
      </c>
      <c r="V208" s="6" t="s">
        <v>5509</v>
      </c>
      <c r="W208" s="2">
        <v>34335</v>
      </c>
      <c r="X208" s="2">
        <v>44357</v>
      </c>
      <c r="Y208" s="11" t="s">
        <v>5913</v>
      </c>
      <c r="Z208" s="3">
        <v>44482</v>
      </c>
      <c r="AA208" s="80" t="s">
        <v>1339</v>
      </c>
      <c r="AD208" t="s">
        <v>3198</v>
      </c>
      <c r="AG208" t="s">
        <v>3812</v>
      </c>
      <c r="AH208" s="2">
        <v>44365</v>
      </c>
      <c r="AK208" s="3">
        <v>44382</v>
      </c>
    </row>
    <row r="209" spans="1:37">
      <c r="A209" s="1">
        <v>208</v>
      </c>
      <c r="B209" t="s">
        <v>33</v>
      </c>
      <c r="C209" s="2">
        <v>44357</v>
      </c>
      <c r="D209" t="s">
        <v>568</v>
      </c>
      <c r="E209" t="s">
        <v>569</v>
      </c>
      <c r="F209" s="61" t="s">
        <v>5485</v>
      </c>
      <c r="G209" s="6" t="s">
        <v>304</v>
      </c>
      <c r="H209" s="1" t="s">
        <v>34</v>
      </c>
      <c r="K209" s="30" t="s">
        <v>237</v>
      </c>
      <c r="L209" s="3">
        <v>44377</v>
      </c>
      <c r="M209" s="1" t="s">
        <v>35</v>
      </c>
      <c r="N209" s="14" t="s">
        <v>5486</v>
      </c>
      <c r="O209" s="187">
        <v>100</v>
      </c>
      <c r="P209" s="1">
        <v>1</v>
      </c>
      <c r="Q209" s="90">
        <v>0.21</v>
      </c>
      <c r="R209" s="90">
        <v>0.2</v>
      </c>
      <c r="T209" s="95">
        <f t="shared" si="8"/>
        <v>96.8</v>
      </c>
      <c r="U209" s="1" t="s">
        <v>5531</v>
      </c>
      <c r="V209" s="6" t="s">
        <v>5532</v>
      </c>
      <c r="W209" s="2">
        <v>43992</v>
      </c>
      <c r="X209" s="2">
        <v>44357</v>
      </c>
      <c r="Y209" s="11" t="s">
        <v>6112</v>
      </c>
      <c r="Z209" s="3">
        <v>44874</v>
      </c>
      <c r="AA209" s="80" t="s">
        <v>1339</v>
      </c>
      <c r="AC209" s="162">
        <v>44470</v>
      </c>
      <c r="AD209" t="s">
        <v>3198</v>
      </c>
      <c r="AG209" t="s">
        <v>3812</v>
      </c>
      <c r="AH209" s="2">
        <v>44370</v>
      </c>
      <c r="AK209" s="3">
        <v>44375</v>
      </c>
    </row>
    <row r="210" spans="1:37">
      <c r="A210" s="1">
        <v>209</v>
      </c>
      <c r="B210" t="s">
        <v>33</v>
      </c>
      <c r="C210" s="2">
        <v>44357</v>
      </c>
      <c r="D210" t="s">
        <v>568</v>
      </c>
      <c r="E210" t="s">
        <v>569</v>
      </c>
      <c r="F210" s="61" t="s">
        <v>5485</v>
      </c>
      <c r="G210" s="6" t="s">
        <v>304</v>
      </c>
      <c r="H210" s="1" t="s">
        <v>34</v>
      </c>
      <c r="K210" s="30" t="s">
        <v>237</v>
      </c>
      <c r="L210" s="3">
        <v>44377</v>
      </c>
      <c r="M210" s="1" t="s">
        <v>35</v>
      </c>
      <c r="N210" s="14" t="s">
        <v>5487</v>
      </c>
      <c r="O210" s="187">
        <v>100</v>
      </c>
      <c r="P210" s="1">
        <v>1</v>
      </c>
      <c r="Q210" s="90">
        <v>0.21</v>
      </c>
      <c r="R210" s="90">
        <v>0.2</v>
      </c>
      <c r="T210" s="95">
        <f t="shared" si="8"/>
        <v>96.8</v>
      </c>
      <c r="U210" s="1" t="s">
        <v>5529</v>
      </c>
      <c r="V210" s="6" t="s">
        <v>5530</v>
      </c>
      <c r="W210" s="2">
        <v>36208</v>
      </c>
      <c r="X210" s="2">
        <v>44357</v>
      </c>
      <c r="Y210" s="11" t="s">
        <v>6112</v>
      </c>
      <c r="Z210" s="3">
        <v>44874</v>
      </c>
      <c r="AA210" s="80" t="s">
        <v>1339</v>
      </c>
      <c r="AC210" s="162">
        <v>44470</v>
      </c>
      <c r="AD210" t="s">
        <v>3198</v>
      </c>
      <c r="AG210" t="s">
        <v>3812</v>
      </c>
      <c r="AH210" s="2">
        <v>44370</v>
      </c>
      <c r="AK210" s="3">
        <v>44375</v>
      </c>
    </row>
    <row r="211" spans="1:37">
      <c r="A211" s="1">
        <v>210</v>
      </c>
      <c r="B211" t="s">
        <v>37</v>
      </c>
      <c r="C211" s="2">
        <v>44357</v>
      </c>
      <c r="D211" s="1" t="s">
        <v>2679</v>
      </c>
      <c r="E211" t="s">
        <v>5482</v>
      </c>
      <c r="F211" s="61" t="s">
        <v>5483</v>
      </c>
      <c r="G211" s="6" t="s">
        <v>219</v>
      </c>
      <c r="H211" s="1" t="s">
        <v>38</v>
      </c>
      <c r="K211" s="1" t="s">
        <v>2679</v>
      </c>
      <c r="L211" s="3">
        <v>44377</v>
      </c>
      <c r="M211" s="1" t="s">
        <v>35</v>
      </c>
      <c r="N211" s="14" t="s">
        <v>5484</v>
      </c>
      <c r="O211" s="187">
        <v>60</v>
      </c>
      <c r="P211" s="1">
        <v>1</v>
      </c>
      <c r="Q211" s="90">
        <v>0.21</v>
      </c>
      <c r="R211" s="90">
        <v>0</v>
      </c>
      <c r="T211" s="95">
        <f t="shared" si="8"/>
        <v>72.599999999999994</v>
      </c>
      <c r="U211" s="1" t="s">
        <v>2679</v>
      </c>
      <c r="V211" s="6" t="s">
        <v>5655</v>
      </c>
      <c r="W211" s="2">
        <v>28188</v>
      </c>
      <c r="X211" s="2">
        <v>44357</v>
      </c>
      <c r="Y211" s="11" t="s">
        <v>5680</v>
      </c>
      <c r="Z211" s="3">
        <v>44414</v>
      </c>
      <c r="AA211" s="80" t="s">
        <v>1339</v>
      </c>
      <c r="AD211" t="s">
        <v>3198</v>
      </c>
    </row>
    <row r="212" spans="1:37">
      <c r="A212" s="1">
        <v>211</v>
      </c>
      <c r="B212" t="s">
        <v>1414</v>
      </c>
      <c r="C212" s="2">
        <v>44361</v>
      </c>
      <c r="D212" s="1" t="s">
        <v>1079</v>
      </c>
      <c r="E212" t="s">
        <v>41</v>
      </c>
      <c r="F212" s="61" t="s">
        <v>2115</v>
      </c>
      <c r="G212" s="1" t="s">
        <v>230</v>
      </c>
      <c r="H212" s="1" t="s">
        <v>1262</v>
      </c>
      <c r="I212" s="1">
        <v>631212115</v>
      </c>
      <c r="K212" s="1" t="s">
        <v>1079</v>
      </c>
      <c r="L212" s="3">
        <v>44377</v>
      </c>
      <c r="M212" s="1" t="s">
        <v>35</v>
      </c>
      <c r="N212" s="14" t="s">
        <v>5489</v>
      </c>
      <c r="O212" s="187">
        <v>60</v>
      </c>
      <c r="P212" s="1">
        <v>1</v>
      </c>
      <c r="Q212" s="90">
        <v>0.21</v>
      </c>
      <c r="R212" s="90">
        <v>0.2</v>
      </c>
      <c r="T212" s="95">
        <f t="shared" si="8"/>
        <v>58.08</v>
      </c>
      <c r="U212" s="1" t="s">
        <v>1081</v>
      </c>
      <c r="V212" s="6" t="s">
        <v>5491</v>
      </c>
      <c r="W212" s="2">
        <v>30681</v>
      </c>
      <c r="X212" s="2">
        <v>44361</v>
      </c>
      <c r="Y212" s="11" t="s">
        <v>5710</v>
      </c>
      <c r="Z212" s="3">
        <v>44418</v>
      </c>
      <c r="AA212" s="80" t="s">
        <v>1339</v>
      </c>
      <c r="AD212" t="s">
        <v>3198</v>
      </c>
    </row>
    <row r="213" spans="1:37">
      <c r="A213" s="1">
        <v>212</v>
      </c>
      <c r="B213" t="s">
        <v>423</v>
      </c>
      <c r="C213" s="2">
        <v>44361</v>
      </c>
      <c r="D213" t="s">
        <v>3217</v>
      </c>
      <c r="E213" t="s">
        <v>91</v>
      </c>
      <c r="F213" t="s">
        <v>3218</v>
      </c>
      <c r="G213" s="6" t="s">
        <v>219</v>
      </c>
      <c r="H213" t="s">
        <v>38</v>
      </c>
      <c r="I213">
        <v>629562761</v>
      </c>
      <c r="K213" s="1" t="s">
        <v>3217</v>
      </c>
      <c r="L213" s="3">
        <v>44377</v>
      </c>
      <c r="M213" s="1" t="s">
        <v>35</v>
      </c>
      <c r="N213" s="14" t="s">
        <v>5490</v>
      </c>
      <c r="O213" s="187">
        <v>100</v>
      </c>
      <c r="P213" s="1">
        <v>1</v>
      </c>
      <c r="Q213" s="90">
        <v>0.21</v>
      </c>
      <c r="R213" s="90">
        <v>0.2</v>
      </c>
      <c r="T213" s="95">
        <f t="shared" si="8"/>
        <v>96.8</v>
      </c>
      <c r="U213" s="1" t="s">
        <v>5548</v>
      </c>
      <c r="V213" s="6" t="s">
        <v>5547</v>
      </c>
      <c r="W213" s="2">
        <v>37393</v>
      </c>
      <c r="X213" s="2">
        <v>44361</v>
      </c>
      <c r="Y213" s="11" t="s">
        <v>5657</v>
      </c>
      <c r="Z213" s="3">
        <v>44405</v>
      </c>
      <c r="AA213" s="80" t="s">
        <v>1339</v>
      </c>
      <c r="AD213" t="s">
        <v>3198</v>
      </c>
      <c r="AG213" t="s">
        <v>5492</v>
      </c>
      <c r="AH213" s="2">
        <v>44376</v>
      </c>
      <c r="AK213" s="3">
        <v>44382</v>
      </c>
    </row>
    <row r="214" spans="1:37">
      <c r="A214" s="1">
        <v>213</v>
      </c>
      <c r="B214" s="61" t="s">
        <v>37</v>
      </c>
      <c r="C214" s="2">
        <v>44362</v>
      </c>
      <c r="D214" s="1" t="s">
        <v>3657</v>
      </c>
      <c r="E214" s="61" t="s">
        <v>3609</v>
      </c>
      <c r="F214" s="61" t="s">
        <v>3610</v>
      </c>
      <c r="G214" s="6" t="s">
        <v>1257</v>
      </c>
      <c r="H214" s="1" t="s">
        <v>1266</v>
      </c>
      <c r="I214" s="1">
        <v>643997421</v>
      </c>
      <c r="J214" s="1"/>
      <c r="K214" s="1" t="s">
        <v>3608</v>
      </c>
      <c r="L214" s="2">
        <v>44377</v>
      </c>
      <c r="M214" s="1" t="s">
        <v>35</v>
      </c>
      <c r="N214" s="14" t="s">
        <v>5498</v>
      </c>
      <c r="O214" s="92">
        <v>60</v>
      </c>
      <c r="P214" s="1">
        <v>1</v>
      </c>
      <c r="Q214" s="90">
        <v>0.21</v>
      </c>
      <c r="R214" s="90">
        <v>0</v>
      </c>
      <c r="S214" s="1"/>
      <c r="T214" s="95">
        <f>(O214*P214)*Q214+O214*P214</f>
        <v>72.599999999999994</v>
      </c>
      <c r="U214" s="1" t="s">
        <v>3657</v>
      </c>
      <c r="V214" s="87" t="s">
        <v>5499</v>
      </c>
      <c r="W214" s="2">
        <v>31123</v>
      </c>
      <c r="X214" s="2">
        <v>44361</v>
      </c>
      <c r="Y214" s="11" t="s">
        <v>5745</v>
      </c>
      <c r="Z214" s="3">
        <v>44425</v>
      </c>
      <c r="AA214" s="80" t="s">
        <v>1339</v>
      </c>
      <c r="AD214" t="s">
        <v>3198</v>
      </c>
      <c r="AG214" s="1"/>
      <c r="AH214" s="2"/>
      <c r="AI214" s="2"/>
      <c r="AK214" s="2"/>
    </row>
    <row r="215" spans="1:37">
      <c r="A215" s="1">
        <v>214</v>
      </c>
      <c r="B215" t="s">
        <v>37</v>
      </c>
      <c r="C215" s="2">
        <v>44365</v>
      </c>
      <c r="D215" t="s">
        <v>3353</v>
      </c>
      <c r="E215" t="s">
        <v>3354</v>
      </c>
      <c r="F215" t="s">
        <v>3355</v>
      </c>
      <c r="G215" s="6" t="s">
        <v>1229</v>
      </c>
      <c r="H215" s="1" t="s">
        <v>38</v>
      </c>
      <c r="I215">
        <v>631152163</v>
      </c>
      <c r="K215" s="1" t="s">
        <v>3353</v>
      </c>
      <c r="L215" s="2">
        <v>44377</v>
      </c>
      <c r="M215" s="1" t="s">
        <v>35</v>
      </c>
      <c r="N215" s="14" t="s">
        <v>5535</v>
      </c>
      <c r="O215" s="187">
        <v>100</v>
      </c>
      <c r="P215" s="1">
        <v>1</v>
      </c>
      <c r="Q215" s="90">
        <v>0.21</v>
      </c>
      <c r="R215" s="90">
        <v>0</v>
      </c>
      <c r="T215" s="95">
        <f t="shared" ref="T215:T236" si="9">SUM(O215-(O215*R215))*Q215+(O215-(O215*R215))</f>
        <v>121</v>
      </c>
      <c r="U215" s="1" t="s">
        <v>5536</v>
      </c>
      <c r="V215" s="6" t="s">
        <v>5537</v>
      </c>
      <c r="W215" s="2">
        <v>42456</v>
      </c>
      <c r="X215" s="2">
        <v>44365</v>
      </c>
      <c r="Y215" s="11" t="s">
        <v>5870</v>
      </c>
      <c r="Z215" s="3">
        <v>44467</v>
      </c>
      <c r="AA215" s="80" t="s">
        <v>1339</v>
      </c>
      <c r="AD215" t="s">
        <v>3198</v>
      </c>
      <c r="AG215" t="s">
        <v>5507</v>
      </c>
      <c r="AH215" s="2">
        <v>44372</v>
      </c>
      <c r="AK215" s="3">
        <v>44376</v>
      </c>
    </row>
    <row r="216" spans="1:37">
      <c r="A216" s="1">
        <v>215</v>
      </c>
      <c r="B216" t="s">
        <v>5510</v>
      </c>
      <c r="C216" s="2">
        <v>44365</v>
      </c>
      <c r="D216" s="1" t="s">
        <v>3097</v>
      </c>
      <c r="E216" t="s">
        <v>3098</v>
      </c>
      <c r="F216" s="61" t="s">
        <v>5511</v>
      </c>
      <c r="G216" s="6" t="s">
        <v>221</v>
      </c>
      <c r="H216" s="1" t="s">
        <v>34</v>
      </c>
      <c r="K216" s="30" t="s">
        <v>1250</v>
      </c>
      <c r="L216" s="2">
        <v>44377</v>
      </c>
      <c r="M216" s="1" t="s">
        <v>35</v>
      </c>
      <c r="N216" s="14" t="s">
        <v>5512</v>
      </c>
      <c r="O216" s="187">
        <v>100</v>
      </c>
      <c r="P216" s="1">
        <v>1</v>
      </c>
      <c r="Q216" s="90">
        <v>0.21</v>
      </c>
      <c r="R216" s="90">
        <v>0.2</v>
      </c>
      <c r="T216" s="95">
        <f t="shared" si="9"/>
        <v>96.8</v>
      </c>
      <c r="U216" s="1" t="s">
        <v>5554</v>
      </c>
      <c r="V216" s="6" t="s">
        <v>5553</v>
      </c>
      <c r="W216" s="2">
        <v>33714</v>
      </c>
      <c r="X216" s="2">
        <v>44365</v>
      </c>
      <c r="Y216" s="11" t="s">
        <v>5936</v>
      </c>
      <c r="Z216" s="3">
        <v>44488</v>
      </c>
      <c r="AA216" s="80" t="s">
        <v>1339</v>
      </c>
      <c r="AD216" t="s">
        <v>3198</v>
      </c>
      <c r="AG216" t="s">
        <v>3812</v>
      </c>
      <c r="AH216" s="2">
        <v>44382</v>
      </c>
      <c r="AK216" s="3">
        <v>44392</v>
      </c>
    </row>
    <row r="217" spans="1:37">
      <c r="A217" s="1">
        <v>216</v>
      </c>
      <c r="B217" t="s">
        <v>3526</v>
      </c>
      <c r="C217" s="2">
        <v>44368</v>
      </c>
      <c r="D217" s="1" t="s">
        <v>4746</v>
      </c>
      <c r="E217" t="s">
        <v>4747</v>
      </c>
      <c r="F217" t="s">
        <v>4748</v>
      </c>
      <c r="G217" s="6" t="s">
        <v>1062</v>
      </c>
      <c r="H217" s="1" t="s">
        <v>4749</v>
      </c>
      <c r="K217" s="1" t="s">
        <v>4746</v>
      </c>
      <c r="L217" s="2">
        <v>44377</v>
      </c>
      <c r="M217" s="1" t="s">
        <v>35</v>
      </c>
      <c r="N217" s="14" t="s">
        <v>5513</v>
      </c>
      <c r="O217" s="187">
        <v>100</v>
      </c>
      <c r="P217" s="1">
        <v>1</v>
      </c>
      <c r="Q217" s="90">
        <v>0.21</v>
      </c>
      <c r="R217" s="90">
        <v>0.2</v>
      </c>
      <c r="T217" s="95">
        <f t="shared" si="9"/>
        <v>96.8</v>
      </c>
      <c r="U217" s="1" t="s">
        <v>5594</v>
      </c>
      <c r="V217" s="5" t="s">
        <v>5595</v>
      </c>
      <c r="W217" s="2">
        <v>34240</v>
      </c>
      <c r="X217" s="2">
        <v>44368</v>
      </c>
      <c r="Y217" s="11" t="s">
        <v>5952</v>
      </c>
      <c r="Z217" s="3">
        <v>44494</v>
      </c>
      <c r="AA217" s="80" t="s">
        <v>1339</v>
      </c>
      <c r="AD217" t="s">
        <v>3198</v>
      </c>
      <c r="AG217" t="s">
        <v>3812</v>
      </c>
      <c r="AH217" s="2">
        <v>44389</v>
      </c>
      <c r="AK217" s="3">
        <v>44396</v>
      </c>
    </row>
    <row r="218" spans="1:37">
      <c r="A218" s="1">
        <v>217</v>
      </c>
      <c r="B218" t="s">
        <v>45</v>
      </c>
      <c r="C218" s="2">
        <v>44368</v>
      </c>
      <c r="D218" s="1" t="s">
        <v>5514</v>
      </c>
      <c r="E218" t="s">
        <v>5515</v>
      </c>
      <c r="F218" s="61" t="s">
        <v>5516</v>
      </c>
      <c r="G218" s="6" t="s">
        <v>241</v>
      </c>
      <c r="H218" s="1" t="s">
        <v>60</v>
      </c>
      <c r="I218" s="14">
        <v>637308547</v>
      </c>
      <c r="K218" s="1" t="s">
        <v>5514</v>
      </c>
      <c r="L218" s="2">
        <v>44377</v>
      </c>
      <c r="M218" s="1" t="s">
        <v>35</v>
      </c>
      <c r="N218" s="14" t="s">
        <v>5517</v>
      </c>
      <c r="O218" s="187">
        <v>100</v>
      </c>
      <c r="P218" s="1">
        <v>1</v>
      </c>
      <c r="Q218" s="90">
        <v>0.21</v>
      </c>
      <c r="R218" s="90">
        <v>0.2</v>
      </c>
      <c r="T218" s="95">
        <f t="shared" si="9"/>
        <v>96.8</v>
      </c>
      <c r="U218" s="1" t="s">
        <v>5596</v>
      </c>
      <c r="V218" s="5" t="s">
        <v>5597</v>
      </c>
      <c r="W218" s="2">
        <v>37399</v>
      </c>
      <c r="X218" s="2">
        <v>44368</v>
      </c>
      <c r="Y218" s="11" t="s">
        <v>5680</v>
      </c>
      <c r="Z218" s="3">
        <v>44414</v>
      </c>
      <c r="AA218" s="80" t="s">
        <v>1339</v>
      </c>
      <c r="AD218" t="s">
        <v>3198</v>
      </c>
      <c r="AG218" t="s">
        <v>3221</v>
      </c>
      <c r="AH218" s="2">
        <v>44389</v>
      </c>
      <c r="AK218" s="3">
        <v>44397</v>
      </c>
    </row>
    <row r="219" spans="1:37">
      <c r="A219" s="1">
        <v>218</v>
      </c>
      <c r="B219" t="s">
        <v>4321</v>
      </c>
      <c r="C219" s="2">
        <v>44370</v>
      </c>
      <c r="D219" s="1" t="s">
        <v>251</v>
      </c>
      <c r="E219" t="s">
        <v>252</v>
      </c>
      <c r="F219" t="s">
        <v>5522</v>
      </c>
      <c r="G219" s="6" t="s">
        <v>239</v>
      </c>
      <c r="H219" s="1" t="s">
        <v>2585</v>
      </c>
      <c r="K219" s="1" t="s">
        <v>251</v>
      </c>
      <c r="L219" s="2">
        <v>44377</v>
      </c>
      <c r="M219" s="1" t="s">
        <v>35</v>
      </c>
      <c r="N219" s="14" t="s">
        <v>5523</v>
      </c>
      <c r="O219" s="187">
        <v>100</v>
      </c>
      <c r="P219" s="1">
        <v>1</v>
      </c>
      <c r="Q219" s="90">
        <v>0.21</v>
      </c>
      <c r="R219" s="90">
        <v>0.2</v>
      </c>
      <c r="T219" s="95">
        <f t="shared" si="9"/>
        <v>96.8</v>
      </c>
      <c r="U219" s="1" t="s">
        <v>5545</v>
      </c>
      <c r="V219" s="6" t="s">
        <v>5544</v>
      </c>
      <c r="W219" s="2">
        <v>32567</v>
      </c>
      <c r="X219" s="2">
        <v>44370</v>
      </c>
      <c r="Y219" s="11" t="s">
        <v>6341</v>
      </c>
      <c r="Z219" s="3">
        <v>44565</v>
      </c>
      <c r="AA219" s="80" t="s">
        <v>1339</v>
      </c>
      <c r="AB219" t="s">
        <v>3246</v>
      </c>
      <c r="AC219" s="162">
        <v>44438</v>
      </c>
      <c r="AD219" t="s">
        <v>3198</v>
      </c>
      <c r="AG219" t="s">
        <v>5524</v>
      </c>
      <c r="AH219" s="2">
        <v>44375</v>
      </c>
      <c r="AK219" s="3">
        <v>44392</v>
      </c>
    </row>
    <row r="220" spans="1:37">
      <c r="A220" s="1">
        <v>219</v>
      </c>
      <c r="B220" t="s">
        <v>52</v>
      </c>
      <c r="C220" s="2">
        <v>44370</v>
      </c>
      <c r="D220" s="1" t="s">
        <v>919</v>
      </c>
      <c r="E220" s="14" t="s">
        <v>139</v>
      </c>
      <c r="F220" t="s">
        <v>2866</v>
      </c>
      <c r="G220" s="6" t="s">
        <v>221</v>
      </c>
      <c r="H220" s="1" t="s">
        <v>34</v>
      </c>
      <c r="I220">
        <v>659896436</v>
      </c>
      <c r="K220" s="1" t="s">
        <v>4432</v>
      </c>
      <c r="L220" s="2">
        <v>44377</v>
      </c>
      <c r="M220" s="1" t="s">
        <v>35</v>
      </c>
      <c r="N220" s="14" t="s">
        <v>5525</v>
      </c>
      <c r="O220" s="187">
        <v>100</v>
      </c>
      <c r="P220" s="1">
        <v>1</v>
      </c>
      <c r="Q220" s="90">
        <v>0.21</v>
      </c>
      <c r="R220" s="90">
        <v>0.2</v>
      </c>
      <c r="T220" s="95">
        <f t="shared" si="9"/>
        <v>96.8</v>
      </c>
      <c r="U220" s="1" t="s">
        <v>5606</v>
      </c>
      <c r="V220" s="5" t="s">
        <v>5607</v>
      </c>
      <c r="W220" s="2">
        <v>35561</v>
      </c>
      <c r="X220" s="2">
        <v>44370</v>
      </c>
      <c r="Y220" s="11" t="s">
        <v>5680</v>
      </c>
      <c r="Z220" s="3">
        <v>44414</v>
      </c>
      <c r="AA220" s="80" t="s">
        <v>1339</v>
      </c>
      <c r="AD220" t="s">
        <v>3198</v>
      </c>
      <c r="AG220" t="s">
        <v>3221</v>
      </c>
      <c r="AH220" s="2">
        <v>44390</v>
      </c>
      <c r="AK220" s="3">
        <v>44396</v>
      </c>
    </row>
    <row r="221" spans="1:37">
      <c r="A221" s="1">
        <v>220</v>
      </c>
      <c r="B221" t="s">
        <v>33</v>
      </c>
      <c r="C221" s="2">
        <v>44370</v>
      </c>
      <c r="D221" s="1" t="s">
        <v>5021</v>
      </c>
      <c r="E221" t="s">
        <v>5014</v>
      </c>
      <c r="F221" t="s">
        <v>5020</v>
      </c>
      <c r="G221" s="6" t="s">
        <v>219</v>
      </c>
      <c r="H221" s="1" t="s">
        <v>38</v>
      </c>
      <c r="K221" s="30" t="s">
        <v>237</v>
      </c>
      <c r="L221" s="2">
        <v>44377</v>
      </c>
      <c r="M221" s="1" t="s">
        <v>35</v>
      </c>
      <c r="N221" s="14" t="s">
        <v>5526</v>
      </c>
      <c r="O221" s="187">
        <v>100</v>
      </c>
      <c r="P221" s="1">
        <v>1</v>
      </c>
      <c r="Q221" s="90">
        <v>0.21</v>
      </c>
      <c r="R221" s="90">
        <v>0.2</v>
      </c>
      <c r="T221" s="95">
        <f t="shared" si="9"/>
        <v>96.8</v>
      </c>
      <c r="U221" s="1" t="s">
        <v>5608</v>
      </c>
      <c r="V221" s="5" t="s">
        <v>5609</v>
      </c>
      <c r="W221" s="2">
        <v>36182</v>
      </c>
      <c r="X221" s="2">
        <v>44370</v>
      </c>
      <c r="Y221" s="207" t="s">
        <v>5758</v>
      </c>
      <c r="Z221" s="3">
        <v>44435</v>
      </c>
      <c r="AA221" s="80" t="s">
        <v>1339</v>
      </c>
      <c r="AD221" t="s">
        <v>3198</v>
      </c>
      <c r="AG221" t="s">
        <v>5527</v>
      </c>
      <c r="AH221" s="2">
        <v>44390</v>
      </c>
      <c r="AK221" s="3">
        <v>44404</v>
      </c>
    </row>
    <row r="222" spans="1:37">
      <c r="A222" s="1">
        <v>221</v>
      </c>
      <c r="B222" t="s">
        <v>37</v>
      </c>
      <c r="C222" s="2">
        <v>44375</v>
      </c>
      <c r="D222" s="1" t="s">
        <v>1897</v>
      </c>
      <c r="E222" t="s">
        <v>1898</v>
      </c>
      <c r="F222" t="s">
        <v>4738</v>
      </c>
      <c r="G222" s="6" t="s">
        <v>221</v>
      </c>
      <c r="H222" s="1" t="s">
        <v>34</v>
      </c>
      <c r="I222" s="1">
        <v>612529234</v>
      </c>
      <c r="K222" s="1" t="s">
        <v>1897</v>
      </c>
      <c r="L222" s="2">
        <v>44377</v>
      </c>
      <c r="M222" s="1" t="s">
        <v>35</v>
      </c>
      <c r="N222" s="14" t="s">
        <v>5539</v>
      </c>
      <c r="O222" s="187">
        <v>60</v>
      </c>
      <c r="P222" s="1">
        <v>1</v>
      </c>
      <c r="Q222" s="90">
        <v>0.21</v>
      </c>
      <c r="R222" s="90">
        <v>0</v>
      </c>
      <c r="T222" s="95">
        <f t="shared" si="9"/>
        <v>72.599999999999994</v>
      </c>
      <c r="U222" s="1" t="s">
        <v>1897</v>
      </c>
      <c r="V222" s="6" t="s">
        <v>5656</v>
      </c>
      <c r="W222" s="2">
        <v>34700</v>
      </c>
      <c r="X222" s="2">
        <v>44375</v>
      </c>
      <c r="Y222" s="228" t="s">
        <v>5827</v>
      </c>
      <c r="Z222" s="3">
        <v>44459</v>
      </c>
      <c r="AA222" s="80" t="s">
        <v>1339</v>
      </c>
      <c r="AB222" t="s">
        <v>5826</v>
      </c>
      <c r="AD222" t="s">
        <v>3198</v>
      </c>
    </row>
    <row r="223" spans="1:37">
      <c r="A223" s="1">
        <v>222</v>
      </c>
      <c r="B223" t="s">
        <v>45</v>
      </c>
      <c r="C223" s="2">
        <v>44375</v>
      </c>
      <c r="D223" s="1" t="s">
        <v>5540</v>
      </c>
      <c r="E223" t="s">
        <v>5541</v>
      </c>
      <c r="F223" t="s">
        <v>5542</v>
      </c>
      <c r="G223" s="6" t="s">
        <v>220</v>
      </c>
      <c r="H223" s="1" t="s">
        <v>39</v>
      </c>
      <c r="I223" s="72">
        <v>635465202</v>
      </c>
      <c r="J223" s="14" t="s">
        <v>5860</v>
      </c>
      <c r="K223" s="1" t="s">
        <v>5540</v>
      </c>
      <c r="L223" s="2">
        <v>44377</v>
      </c>
      <c r="M223" s="1" t="s">
        <v>35</v>
      </c>
      <c r="N223" s="14" t="s">
        <v>5543</v>
      </c>
      <c r="O223" s="187">
        <v>100</v>
      </c>
      <c r="P223" s="1">
        <v>1</v>
      </c>
      <c r="Q223" s="90">
        <v>0.21</v>
      </c>
      <c r="R223" s="90">
        <v>0.2</v>
      </c>
      <c r="T223" s="95">
        <f t="shared" si="9"/>
        <v>96.8</v>
      </c>
      <c r="U223" s="1" t="s">
        <v>5611</v>
      </c>
      <c r="V223" s="5" t="s">
        <v>5612</v>
      </c>
      <c r="W223" s="2">
        <v>34610</v>
      </c>
      <c r="X223" s="2">
        <v>44375</v>
      </c>
      <c r="Y223" s="11" t="s">
        <v>5680</v>
      </c>
      <c r="Z223" s="3">
        <v>44407</v>
      </c>
      <c r="AA223" s="80" t="s">
        <v>1339</v>
      </c>
      <c r="AD223" t="s">
        <v>3198</v>
      </c>
      <c r="AG223" t="s">
        <v>3221</v>
      </c>
      <c r="AH223" s="2">
        <v>44391</v>
      </c>
      <c r="AK223" s="3">
        <v>44397</v>
      </c>
    </row>
    <row r="224" spans="1:37">
      <c r="A224" s="1">
        <v>223</v>
      </c>
      <c r="B224" s="61" t="s">
        <v>3783</v>
      </c>
      <c r="C224" s="2">
        <v>44383</v>
      </c>
      <c r="D224" s="1" t="s">
        <v>3109</v>
      </c>
      <c r="E224" t="s">
        <v>3110</v>
      </c>
      <c r="F224" t="s">
        <v>3111</v>
      </c>
      <c r="G224" s="6" t="s">
        <v>2579</v>
      </c>
      <c r="H224" s="1" t="s">
        <v>2580</v>
      </c>
      <c r="I224"/>
      <c r="K224" s="1" t="s">
        <v>3109</v>
      </c>
      <c r="L224" s="3">
        <v>44408</v>
      </c>
      <c r="M224" s="1" t="s">
        <v>35</v>
      </c>
      <c r="N224" s="14" t="s">
        <v>5556</v>
      </c>
      <c r="O224" s="187">
        <v>100</v>
      </c>
      <c r="P224" s="1">
        <v>1</v>
      </c>
      <c r="Q224" s="90">
        <v>0.21</v>
      </c>
      <c r="R224" s="90">
        <v>0.2</v>
      </c>
      <c r="T224" s="95">
        <f t="shared" si="9"/>
        <v>96.8</v>
      </c>
      <c r="U224" s="1" t="s">
        <v>5632</v>
      </c>
      <c r="V224" s="5" t="s">
        <v>5633</v>
      </c>
      <c r="W224" s="2">
        <v>33979</v>
      </c>
      <c r="X224" s="2">
        <v>44383</v>
      </c>
      <c r="Y224" s="11" t="s">
        <v>5952</v>
      </c>
      <c r="Z224" s="3">
        <v>44489</v>
      </c>
      <c r="AA224" s="80" t="s">
        <v>1339</v>
      </c>
      <c r="AB224" t="s">
        <v>5557</v>
      </c>
      <c r="AD224" t="s">
        <v>3198</v>
      </c>
      <c r="AG224" t="s">
        <v>3108</v>
      </c>
      <c r="AH224" s="2">
        <v>44398</v>
      </c>
      <c r="AK224" s="3">
        <v>44427</v>
      </c>
    </row>
    <row r="225" spans="1:137">
      <c r="A225" s="1">
        <v>224</v>
      </c>
      <c r="B225" s="61" t="s">
        <v>3783</v>
      </c>
      <c r="C225" s="2">
        <v>44383</v>
      </c>
      <c r="D225" s="1" t="s">
        <v>3109</v>
      </c>
      <c r="E225" t="s">
        <v>3110</v>
      </c>
      <c r="F225" t="s">
        <v>3111</v>
      </c>
      <c r="G225" s="6" t="s">
        <v>2579</v>
      </c>
      <c r="H225" s="1" t="s">
        <v>2580</v>
      </c>
      <c r="I225"/>
      <c r="K225" s="1" t="s">
        <v>3109</v>
      </c>
      <c r="L225" s="3">
        <v>44408</v>
      </c>
      <c r="M225" s="1" t="s">
        <v>35</v>
      </c>
      <c r="N225" s="14" t="s">
        <v>5558</v>
      </c>
      <c r="O225" s="187">
        <v>100</v>
      </c>
      <c r="P225" s="1">
        <v>1</v>
      </c>
      <c r="Q225" s="90">
        <v>0.21</v>
      </c>
      <c r="R225" s="90">
        <v>0.2</v>
      </c>
      <c r="T225" s="95">
        <f t="shared" si="9"/>
        <v>96.8</v>
      </c>
      <c r="U225" s="1" t="s">
        <v>5640</v>
      </c>
      <c r="V225" s="6" t="s">
        <v>5641</v>
      </c>
      <c r="W225" s="2">
        <v>31778</v>
      </c>
      <c r="X225" s="2">
        <v>44383</v>
      </c>
      <c r="Y225" s="11" t="s">
        <v>6079</v>
      </c>
      <c r="Z225" s="3">
        <v>44510</v>
      </c>
      <c r="AA225" s="80" t="s">
        <v>1339</v>
      </c>
      <c r="AD225" t="s">
        <v>3198</v>
      </c>
      <c r="AG225" t="s">
        <v>5559</v>
      </c>
      <c r="AH225" s="2">
        <v>44398</v>
      </c>
      <c r="AK225" s="3">
        <v>44426</v>
      </c>
    </row>
    <row r="226" spans="1:137">
      <c r="A226" s="1">
        <v>225</v>
      </c>
      <c r="B226" s="61" t="s">
        <v>33</v>
      </c>
      <c r="C226" s="2">
        <v>44383</v>
      </c>
      <c r="D226" s="1" t="s">
        <v>5560</v>
      </c>
      <c r="E226" t="s">
        <v>5561</v>
      </c>
      <c r="F226" t="s">
        <v>5562</v>
      </c>
      <c r="G226" s="6" t="s">
        <v>219</v>
      </c>
      <c r="H226" s="1" t="s">
        <v>38</v>
      </c>
      <c r="K226" s="30" t="s">
        <v>237</v>
      </c>
      <c r="L226" s="3">
        <v>44408</v>
      </c>
      <c r="M226" s="1" t="s">
        <v>35</v>
      </c>
      <c r="N226" s="14" t="s">
        <v>5563</v>
      </c>
      <c r="O226" s="187">
        <v>100</v>
      </c>
      <c r="P226" s="1">
        <v>1</v>
      </c>
      <c r="Q226" s="90">
        <v>0.21</v>
      </c>
      <c r="R226" s="90">
        <v>0.2</v>
      </c>
      <c r="T226" s="95">
        <f t="shared" si="9"/>
        <v>96.8</v>
      </c>
      <c r="U226" s="1" t="s">
        <v>5646</v>
      </c>
      <c r="V226" s="5" t="s">
        <v>5647</v>
      </c>
      <c r="W226" s="2">
        <v>35329</v>
      </c>
      <c r="X226" s="2">
        <v>44383</v>
      </c>
      <c r="Y226" s="11" t="s">
        <v>5744</v>
      </c>
      <c r="Z226" s="3">
        <v>44431</v>
      </c>
      <c r="AA226" s="80" t="s">
        <v>1339</v>
      </c>
      <c r="AD226" t="s">
        <v>3198</v>
      </c>
      <c r="AG226" t="s">
        <v>3221</v>
      </c>
      <c r="AH226" s="2">
        <v>44398</v>
      </c>
      <c r="AK226" s="3">
        <v>44400</v>
      </c>
    </row>
    <row r="227" spans="1:137">
      <c r="A227" s="1">
        <v>226</v>
      </c>
      <c r="B227" s="61" t="s">
        <v>33</v>
      </c>
      <c r="C227" s="2">
        <v>44383</v>
      </c>
      <c r="D227" s="1" t="s">
        <v>4330</v>
      </c>
      <c r="E227" s="61" t="s">
        <v>4331</v>
      </c>
      <c r="F227" s="61" t="s">
        <v>4333</v>
      </c>
      <c r="G227" s="6" t="s">
        <v>219</v>
      </c>
      <c r="H227" s="1" t="s">
        <v>4334</v>
      </c>
      <c r="K227" s="1" t="s">
        <v>237</v>
      </c>
      <c r="L227" s="3">
        <v>44408</v>
      </c>
      <c r="M227" s="1" t="s">
        <v>35</v>
      </c>
      <c r="N227" s="14" t="s">
        <v>5564</v>
      </c>
      <c r="O227" s="187">
        <v>100</v>
      </c>
      <c r="P227" s="1">
        <v>1</v>
      </c>
      <c r="Q227" s="90">
        <v>0.21</v>
      </c>
      <c r="R227" s="90">
        <v>0.2</v>
      </c>
      <c r="T227" s="95">
        <f t="shared" si="9"/>
        <v>96.8</v>
      </c>
      <c r="U227" s="1" t="s">
        <v>5801</v>
      </c>
      <c r="V227" s="5" t="s">
        <v>5788</v>
      </c>
      <c r="W227" s="2">
        <v>34732</v>
      </c>
      <c r="X227" s="2">
        <v>44383</v>
      </c>
      <c r="Y227" s="11" t="s">
        <v>6079</v>
      </c>
      <c r="Z227" s="3">
        <v>44510</v>
      </c>
      <c r="AA227" s="80" t="s">
        <v>1339</v>
      </c>
      <c r="AD227" t="s">
        <v>3198</v>
      </c>
      <c r="AG227" t="s">
        <v>3108</v>
      </c>
      <c r="AH227" s="2">
        <v>44445</v>
      </c>
      <c r="AK227" s="3">
        <v>44447</v>
      </c>
    </row>
    <row r="228" spans="1:137">
      <c r="A228" s="1">
        <v>227</v>
      </c>
      <c r="B228" s="61" t="s">
        <v>119</v>
      </c>
      <c r="C228" s="2">
        <v>44383</v>
      </c>
      <c r="D228" s="1" t="s">
        <v>5565</v>
      </c>
      <c r="E228" t="s">
        <v>5566</v>
      </c>
      <c r="F228" t="s">
        <v>5059</v>
      </c>
      <c r="G228" s="6" t="s">
        <v>242</v>
      </c>
      <c r="H228" s="1" t="s">
        <v>3338</v>
      </c>
      <c r="K228" s="1" t="s">
        <v>174</v>
      </c>
      <c r="L228" s="3">
        <v>44408</v>
      </c>
      <c r="M228" s="1" t="s">
        <v>35</v>
      </c>
      <c r="N228" s="14" t="s">
        <v>5567</v>
      </c>
      <c r="O228" s="187">
        <v>100</v>
      </c>
      <c r="P228" s="1">
        <v>1</v>
      </c>
      <c r="Q228" s="90">
        <v>0.21</v>
      </c>
      <c r="R228" s="90">
        <v>0.2</v>
      </c>
      <c r="T228" s="95">
        <f t="shared" si="9"/>
        <v>96.8</v>
      </c>
      <c r="U228" s="1" t="s">
        <v>5642</v>
      </c>
      <c r="V228" s="5" t="s">
        <v>5643</v>
      </c>
      <c r="W228" s="2">
        <v>28970</v>
      </c>
      <c r="X228" s="2">
        <v>44383</v>
      </c>
      <c r="Y228" s="11" t="s">
        <v>6079</v>
      </c>
      <c r="Z228" s="3">
        <v>44517</v>
      </c>
      <c r="AA228" s="80" t="s">
        <v>1339</v>
      </c>
      <c r="AD228" t="s">
        <v>3198</v>
      </c>
      <c r="AG228" t="s">
        <v>3108</v>
      </c>
      <c r="AH228" s="2">
        <v>44398</v>
      </c>
      <c r="AK228" s="3">
        <v>44405</v>
      </c>
    </row>
    <row r="229" spans="1:137">
      <c r="A229" s="1">
        <v>228</v>
      </c>
      <c r="B229" s="61" t="s">
        <v>119</v>
      </c>
      <c r="C229" s="2">
        <v>44383</v>
      </c>
      <c r="D229" s="1" t="s">
        <v>5565</v>
      </c>
      <c r="E229" t="s">
        <v>5566</v>
      </c>
      <c r="F229" t="s">
        <v>5059</v>
      </c>
      <c r="G229" s="6" t="s">
        <v>242</v>
      </c>
      <c r="H229" s="1" t="s">
        <v>3338</v>
      </c>
      <c r="K229" s="1" t="s">
        <v>174</v>
      </c>
      <c r="L229" s="3">
        <v>44408</v>
      </c>
      <c r="M229" s="1" t="s">
        <v>35</v>
      </c>
      <c r="N229" s="14" t="s">
        <v>5568</v>
      </c>
      <c r="O229" s="187">
        <v>100</v>
      </c>
      <c r="P229" s="1">
        <v>1</v>
      </c>
      <c r="Q229" s="90">
        <v>0.21</v>
      </c>
      <c r="R229" s="90">
        <v>0.2</v>
      </c>
      <c r="T229" s="95">
        <f t="shared" si="9"/>
        <v>96.8</v>
      </c>
      <c r="U229" s="1" t="s">
        <v>5644</v>
      </c>
      <c r="V229" s="5" t="s">
        <v>5645</v>
      </c>
      <c r="W229" s="2">
        <v>34206</v>
      </c>
      <c r="X229" s="2">
        <v>44383</v>
      </c>
      <c r="Y229" s="11" t="s">
        <v>6079</v>
      </c>
      <c r="Z229" s="3">
        <v>44509</v>
      </c>
      <c r="AA229" s="80" t="s">
        <v>1339</v>
      </c>
      <c r="AD229" t="s">
        <v>3198</v>
      </c>
      <c r="AG229" t="s">
        <v>3108</v>
      </c>
      <c r="AH229" s="2">
        <v>44398</v>
      </c>
      <c r="AK229" s="3">
        <v>44405</v>
      </c>
    </row>
    <row r="230" spans="1:137">
      <c r="A230" s="1">
        <v>229</v>
      </c>
      <c r="B230" t="s">
        <v>52</v>
      </c>
      <c r="C230" s="2">
        <v>44383</v>
      </c>
      <c r="D230" s="1" t="s">
        <v>256</v>
      </c>
      <c r="E230" s="31" t="s">
        <v>155</v>
      </c>
      <c r="F230" s="31" t="s">
        <v>138</v>
      </c>
      <c r="G230" s="33" t="s">
        <v>227</v>
      </c>
      <c r="H230" s="30" t="s">
        <v>203</v>
      </c>
      <c r="I230" s="31">
        <v>631130911</v>
      </c>
      <c r="K230" s="1" t="s">
        <v>4432</v>
      </c>
      <c r="L230" s="3">
        <v>44408</v>
      </c>
      <c r="M230" s="1" t="s">
        <v>35</v>
      </c>
      <c r="N230" s="14" t="s">
        <v>5569</v>
      </c>
      <c r="O230" s="187">
        <v>100</v>
      </c>
      <c r="P230" s="1">
        <v>1</v>
      </c>
      <c r="Q230" s="90">
        <v>0.21</v>
      </c>
      <c r="R230" s="90">
        <v>0.2</v>
      </c>
      <c r="T230" s="95">
        <f t="shared" si="9"/>
        <v>96.8</v>
      </c>
      <c r="U230" s="1" t="s">
        <v>5732</v>
      </c>
      <c r="V230" s="5" t="s">
        <v>5731</v>
      </c>
      <c r="W230" s="2">
        <v>32549</v>
      </c>
      <c r="X230" s="2">
        <v>44383</v>
      </c>
      <c r="Y230" s="11" t="s">
        <v>6143</v>
      </c>
      <c r="Z230" s="3">
        <v>44524</v>
      </c>
      <c r="AA230" s="80" t="s">
        <v>1339</v>
      </c>
      <c r="AC230" s="162">
        <v>44469</v>
      </c>
      <c r="AD230" t="s">
        <v>3198</v>
      </c>
      <c r="AG230" t="s">
        <v>5570</v>
      </c>
      <c r="AH230" s="2">
        <v>44427</v>
      </c>
      <c r="AK230" s="3">
        <v>44463</v>
      </c>
    </row>
    <row r="231" spans="1:137">
      <c r="A231" s="1">
        <v>230</v>
      </c>
      <c r="B231" s="61" t="s">
        <v>52</v>
      </c>
      <c r="C231" s="2">
        <v>44383</v>
      </c>
      <c r="D231" s="30" t="s">
        <v>458</v>
      </c>
      <c r="E231" t="s">
        <v>84</v>
      </c>
      <c r="F231" s="103" t="s">
        <v>138</v>
      </c>
      <c r="G231" s="30" t="s">
        <v>227</v>
      </c>
      <c r="H231" s="31" t="s">
        <v>203</v>
      </c>
      <c r="I231" s="30"/>
      <c r="K231" s="1" t="s">
        <v>4432</v>
      </c>
      <c r="L231" s="3">
        <v>44408</v>
      </c>
      <c r="M231" s="1" t="s">
        <v>35</v>
      </c>
      <c r="N231" s="14" t="s">
        <v>707</v>
      </c>
      <c r="O231" s="187">
        <v>100</v>
      </c>
      <c r="P231" s="1">
        <v>1</v>
      </c>
      <c r="Q231" s="90">
        <v>0.21</v>
      </c>
      <c r="R231" s="90">
        <v>0.2</v>
      </c>
      <c r="T231" s="95">
        <f t="shared" si="9"/>
        <v>96.8</v>
      </c>
      <c r="U231" s="1" t="s">
        <v>5670</v>
      </c>
      <c r="V231" s="5" t="s">
        <v>5669</v>
      </c>
      <c r="W231" s="2">
        <v>34580</v>
      </c>
      <c r="X231" s="2">
        <v>44383</v>
      </c>
      <c r="Y231" s="11" t="s">
        <v>6079</v>
      </c>
      <c r="Z231" s="3">
        <v>44510</v>
      </c>
      <c r="AA231" s="80" t="s">
        <v>1339</v>
      </c>
      <c r="AB231" t="s">
        <v>5571</v>
      </c>
      <c r="AD231" t="s">
        <v>3198</v>
      </c>
      <c r="AG231" t="s">
        <v>5709</v>
      </c>
      <c r="AK231" s="2">
        <v>44414</v>
      </c>
    </row>
    <row r="232" spans="1:137">
      <c r="A232" s="1">
        <v>231</v>
      </c>
      <c r="B232" t="s">
        <v>33</v>
      </c>
      <c r="C232" s="2">
        <v>44383</v>
      </c>
      <c r="D232" s="1" t="s">
        <v>2669</v>
      </c>
      <c r="E232" s="61" t="s">
        <v>2670</v>
      </c>
      <c r="F232" s="61" t="s">
        <v>3850</v>
      </c>
      <c r="G232" s="6" t="s">
        <v>304</v>
      </c>
      <c r="H232" s="1" t="s">
        <v>3851</v>
      </c>
      <c r="K232" s="30" t="s">
        <v>237</v>
      </c>
      <c r="L232" s="3">
        <v>44408</v>
      </c>
      <c r="M232" s="1" t="s">
        <v>35</v>
      </c>
      <c r="N232" s="14" t="s">
        <v>5572</v>
      </c>
      <c r="O232" s="187">
        <v>100</v>
      </c>
      <c r="P232" s="1">
        <v>1</v>
      </c>
      <c r="Q232" s="90">
        <v>0.21</v>
      </c>
      <c r="R232" s="90">
        <v>0.2</v>
      </c>
      <c r="T232" s="95">
        <f t="shared" si="9"/>
        <v>96.8</v>
      </c>
      <c r="U232" s="1" t="s">
        <v>5735</v>
      </c>
      <c r="V232" s="5" t="s">
        <v>5736</v>
      </c>
      <c r="W232" s="2">
        <v>32512</v>
      </c>
      <c r="X232" s="2">
        <v>44384</v>
      </c>
      <c r="Y232" s="11" t="s">
        <v>6048</v>
      </c>
      <c r="Z232" s="3">
        <v>44504</v>
      </c>
      <c r="AA232" s="80" t="s">
        <v>1339</v>
      </c>
      <c r="AD232" t="s">
        <v>3198</v>
      </c>
      <c r="AG232" t="s">
        <v>5573</v>
      </c>
      <c r="AH232" s="2">
        <v>44427</v>
      </c>
      <c r="AK232" s="3">
        <v>44431</v>
      </c>
    </row>
    <row r="233" spans="1:137" s="196" customFormat="1">
      <c r="A233" s="1">
        <v>232</v>
      </c>
      <c r="B233" t="s">
        <v>1414</v>
      </c>
      <c r="C233" s="2">
        <v>44383</v>
      </c>
      <c r="D233" s="1" t="s">
        <v>1407</v>
      </c>
      <c r="E233" t="s">
        <v>1408</v>
      </c>
      <c r="F233" s="61" t="s">
        <v>1409</v>
      </c>
      <c r="G233" s="6" t="s">
        <v>227</v>
      </c>
      <c r="H233" s="1" t="s">
        <v>203</v>
      </c>
      <c r="I233" s="1"/>
      <c r="J233"/>
      <c r="K233" s="1" t="s">
        <v>1407</v>
      </c>
      <c r="L233" s="3">
        <v>44408</v>
      </c>
      <c r="M233" t="s">
        <v>35</v>
      </c>
      <c r="N233" s="14" t="s">
        <v>5574</v>
      </c>
      <c r="O233" s="187">
        <v>100</v>
      </c>
      <c r="P233" s="1">
        <v>1</v>
      </c>
      <c r="Q233" s="128">
        <v>0.21</v>
      </c>
      <c r="R233" s="128">
        <v>0.2</v>
      </c>
      <c r="S233"/>
      <c r="T233" s="95">
        <f t="shared" si="9"/>
        <v>96.8</v>
      </c>
      <c r="U233" s="1" t="s">
        <v>5575</v>
      </c>
      <c r="V233" s="5" t="s">
        <v>5681</v>
      </c>
      <c r="W233" s="2">
        <v>36525</v>
      </c>
      <c r="X233" s="2">
        <v>44384</v>
      </c>
      <c r="Y233" s="11" t="s">
        <v>5997</v>
      </c>
      <c r="Z233" s="3">
        <v>44495</v>
      </c>
      <c r="AA233" s="80" t="s">
        <v>1339</v>
      </c>
      <c r="AB233"/>
      <c r="AC233"/>
      <c r="AD233" t="s">
        <v>3198</v>
      </c>
      <c r="AE233"/>
      <c r="AF233"/>
      <c r="AG233" t="s">
        <v>3108</v>
      </c>
      <c r="AH233" s="2">
        <v>44407</v>
      </c>
      <c r="AI233"/>
      <c r="AJ233"/>
      <c r="AK233" s="3">
        <v>44425</v>
      </c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</row>
    <row r="234" spans="1:137">
      <c r="A234" s="1">
        <v>233</v>
      </c>
      <c r="B234" t="s">
        <v>1414</v>
      </c>
      <c r="C234" s="2">
        <v>44383</v>
      </c>
      <c r="D234" s="1" t="s">
        <v>2059</v>
      </c>
      <c r="E234" s="14" t="s">
        <v>2060</v>
      </c>
      <c r="F234" s="61" t="s">
        <v>2808</v>
      </c>
      <c r="G234" s="6" t="s">
        <v>221</v>
      </c>
      <c r="H234" t="s">
        <v>34</v>
      </c>
      <c r="I234" s="1">
        <v>661971719</v>
      </c>
      <c r="K234" t="s">
        <v>2059</v>
      </c>
      <c r="L234" s="3">
        <v>44408</v>
      </c>
      <c r="M234" t="s">
        <v>35</v>
      </c>
      <c r="N234" s="14" t="s">
        <v>5650</v>
      </c>
      <c r="O234" s="92">
        <v>60</v>
      </c>
      <c r="P234" s="1">
        <v>1</v>
      </c>
      <c r="Q234" s="128">
        <v>0.21</v>
      </c>
      <c r="R234" s="128">
        <v>0.2</v>
      </c>
      <c r="T234" s="95">
        <f t="shared" si="9"/>
        <v>58.08</v>
      </c>
      <c r="U234" s="1" t="s">
        <v>2063</v>
      </c>
      <c r="V234" s="87" t="s">
        <v>5577</v>
      </c>
      <c r="W234" s="2">
        <v>37047</v>
      </c>
      <c r="X234" s="2">
        <v>44384</v>
      </c>
      <c r="Y234" s="11" t="s">
        <v>5741</v>
      </c>
      <c r="Z234" s="3">
        <v>44427</v>
      </c>
      <c r="AA234" s="80" t="s">
        <v>1339</v>
      </c>
      <c r="AC234" s="3"/>
      <c r="AD234" t="s">
        <v>3198</v>
      </c>
      <c r="AG234" s="1"/>
      <c r="AH234" s="2"/>
      <c r="AI234" s="2"/>
      <c r="AK234" s="2"/>
    </row>
    <row r="235" spans="1:137">
      <c r="A235" s="1">
        <v>234</v>
      </c>
      <c r="B235" t="s">
        <v>40</v>
      </c>
      <c r="C235" s="2">
        <v>44385</v>
      </c>
      <c r="D235" s="1" t="s">
        <v>5274</v>
      </c>
      <c r="E235" t="s">
        <v>5576</v>
      </c>
      <c r="F235" s="61" t="s">
        <v>5275</v>
      </c>
      <c r="G235" s="6" t="s">
        <v>221</v>
      </c>
      <c r="H235" s="1" t="s">
        <v>34</v>
      </c>
      <c r="K235" s="1" t="s">
        <v>5274</v>
      </c>
      <c r="L235" s="3">
        <v>44408</v>
      </c>
      <c r="M235" t="s">
        <v>35</v>
      </c>
      <c r="N235" s="14" t="s">
        <v>5578</v>
      </c>
      <c r="O235" s="187">
        <v>100</v>
      </c>
      <c r="P235" s="1">
        <v>1</v>
      </c>
      <c r="Q235" s="90">
        <v>0.21</v>
      </c>
      <c r="R235" s="90">
        <v>0</v>
      </c>
      <c r="T235" s="95">
        <f t="shared" si="9"/>
        <v>121</v>
      </c>
      <c r="U235" s="1" t="s">
        <v>5373</v>
      </c>
      <c r="V235" s="6" t="s">
        <v>5372</v>
      </c>
      <c r="W235" s="2">
        <v>35932</v>
      </c>
      <c r="X235" s="2">
        <v>44315</v>
      </c>
      <c r="Y235" s="11"/>
      <c r="AD235" t="s">
        <v>3198</v>
      </c>
      <c r="AK235" s="3"/>
    </row>
    <row r="236" spans="1:137">
      <c r="A236" s="1">
        <v>235</v>
      </c>
      <c r="B236" t="s">
        <v>37</v>
      </c>
      <c r="C236" s="2">
        <v>44385</v>
      </c>
      <c r="D236" t="s">
        <v>5724</v>
      </c>
      <c r="E236" t="s">
        <v>5579</v>
      </c>
      <c r="F236" s="61" t="s">
        <v>5580</v>
      </c>
      <c r="G236" s="6" t="s">
        <v>245</v>
      </c>
      <c r="H236" s="1" t="s">
        <v>54</v>
      </c>
      <c r="I236" s="1">
        <v>642059736</v>
      </c>
      <c r="K236" t="s">
        <v>5724</v>
      </c>
      <c r="L236" s="3">
        <v>44408</v>
      </c>
      <c r="M236" t="s">
        <v>35</v>
      </c>
      <c r="N236" s="14" t="s">
        <v>5664</v>
      </c>
      <c r="O236" s="187">
        <v>100</v>
      </c>
      <c r="P236" s="1">
        <v>1</v>
      </c>
      <c r="Q236" s="90">
        <v>0.21</v>
      </c>
      <c r="R236" s="90">
        <v>0</v>
      </c>
      <c r="T236" s="95">
        <f t="shared" si="9"/>
        <v>121</v>
      </c>
      <c r="U236" s="1" t="s">
        <v>5724</v>
      </c>
      <c r="V236" s="5" t="s">
        <v>5725</v>
      </c>
      <c r="W236" s="2">
        <v>31777</v>
      </c>
      <c r="X236" s="2">
        <v>44385</v>
      </c>
      <c r="Y236" s="11" t="s">
        <v>6515</v>
      </c>
      <c r="Z236" s="3">
        <v>44621</v>
      </c>
      <c r="AA236" s="80" t="s">
        <v>1339</v>
      </c>
      <c r="AB236" t="s">
        <v>6026</v>
      </c>
      <c r="AC236" s="162">
        <v>44531</v>
      </c>
      <c r="AD236" t="s">
        <v>3198</v>
      </c>
      <c r="AG236" t="s">
        <v>3108</v>
      </c>
      <c r="AH236" s="2">
        <v>44426</v>
      </c>
      <c r="AK236" s="3">
        <v>44428</v>
      </c>
    </row>
    <row r="237" spans="1:137">
      <c r="A237" s="1">
        <v>236</v>
      </c>
      <c r="B237" s="61" t="s">
        <v>3526</v>
      </c>
      <c r="C237" s="2">
        <v>44386</v>
      </c>
      <c r="D237" t="s">
        <v>5802</v>
      </c>
      <c r="E237" s="61" t="s">
        <v>5858</v>
      </c>
      <c r="F237" s="61" t="s">
        <v>5859</v>
      </c>
      <c r="G237" s="6" t="s">
        <v>250</v>
      </c>
      <c r="H237" s="1" t="s">
        <v>86</v>
      </c>
      <c r="J237" s="1"/>
      <c r="K237" t="s">
        <v>5802</v>
      </c>
      <c r="L237" s="3">
        <v>44408</v>
      </c>
      <c r="M237" s="1" t="s">
        <v>35</v>
      </c>
      <c r="N237" s="14" t="s">
        <v>5581</v>
      </c>
      <c r="O237" s="92">
        <v>100</v>
      </c>
      <c r="P237" s="1">
        <v>1</v>
      </c>
      <c r="Q237" s="90">
        <v>0.21</v>
      </c>
      <c r="R237" s="90">
        <v>0.2</v>
      </c>
      <c r="S237" s="1"/>
      <c r="T237" s="95">
        <f>(O237*P237)*Q237+O237*P237</f>
        <v>121</v>
      </c>
      <c r="U237" s="1" t="s">
        <v>5802</v>
      </c>
      <c r="V237" s="5" t="s">
        <v>5789</v>
      </c>
      <c r="W237" s="2">
        <v>28491</v>
      </c>
      <c r="X237" s="2">
        <v>44386</v>
      </c>
      <c r="Y237" s="11" t="s">
        <v>6023</v>
      </c>
      <c r="Z237" s="3">
        <v>44503</v>
      </c>
      <c r="AA237" s="80" t="s">
        <v>1339</v>
      </c>
      <c r="AD237" t="s">
        <v>3198</v>
      </c>
      <c r="AG237" s="1" t="s">
        <v>5582</v>
      </c>
      <c r="AH237" s="2"/>
      <c r="AI237" s="2"/>
      <c r="AK237" s="2">
        <v>44446</v>
      </c>
    </row>
    <row r="238" spans="1:137">
      <c r="A238" s="1">
        <v>237</v>
      </c>
      <c r="B238" t="s">
        <v>37</v>
      </c>
      <c r="C238" s="2">
        <v>44389</v>
      </c>
      <c r="D238" s="1" t="s">
        <v>5583</v>
      </c>
      <c r="E238" t="s">
        <v>5584</v>
      </c>
      <c r="F238" s="61" t="s">
        <v>5585</v>
      </c>
      <c r="G238" s="6" t="s">
        <v>219</v>
      </c>
      <c r="H238" s="1" t="s">
        <v>38</v>
      </c>
      <c r="I238" s="1">
        <v>672550449</v>
      </c>
      <c r="K238" s="1" t="s">
        <v>5583</v>
      </c>
      <c r="L238" s="3">
        <v>44408</v>
      </c>
      <c r="M238" s="1" t="s">
        <v>35</v>
      </c>
      <c r="N238" s="14" t="s">
        <v>5586</v>
      </c>
      <c r="O238" s="187">
        <v>100</v>
      </c>
      <c r="P238" s="1">
        <v>1</v>
      </c>
      <c r="Q238" s="90">
        <v>0.21</v>
      </c>
      <c r="R238" s="90">
        <v>0</v>
      </c>
      <c r="T238" s="95">
        <f t="shared" ref="T238:T246" si="10">SUM(O238-(O238*R238))*Q238+(O238-(O238*R238))</f>
        <v>121</v>
      </c>
      <c r="U238" s="1" t="s">
        <v>5583</v>
      </c>
      <c r="V238" s="5" t="s">
        <v>5723</v>
      </c>
      <c r="W238" s="2">
        <v>34334</v>
      </c>
      <c r="X238" s="2">
        <v>44389</v>
      </c>
      <c r="Y238" s="13" t="s">
        <v>6022</v>
      </c>
      <c r="Z238" s="3">
        <v>44503</v>
      </c>
      <c r="AA238" s="80" t="s">
        <v>1339</v>
      </c>
      <c r="AB238" t="s">
        <v>6025</v>
      </c>
      <c r="AD238" t="s">
        <v>3198</v>
      </c>
      <c r="AG238" t="s">
        <v>3108</v>
      </c>
      <c r="AH238" s="2">
        <v>44426</v>
      </c>
      <c r="AK238" s="3">
        <v>44439</v>
      </c>
    </row>
    <row r="239" spans="1:137" ht="14.25" customHeight="1">
      <c r="A239" s="1">
        <v>238</v>
      </c>
      <c r="B239" t="s">
        <v>37</v>
      </c>
      <c r="C239" s="2">
        <v>44389</v>
      </c>
      <c r="D239" t="s">
        <v>265</v>
      </c>
      <c r="E239" t="s">
        <v>266</v>
      </c>
      <c r="F239" t="s">
        <v>5077</v>
      </c>
      <c r="G239" s="6" t="s">
        <v>238</v>
      </c>
      <c r="H239" s="1" t="s">
        <v>48</v>
      </c>
      <c r="I239">
        <v>657588849</v>
      </c>
      <c r="K239" s="1" t="s">
        <v>265</v>
      </c>
      <c r="L239" s="3">
        <v>44408</v>
      </c>
      <c r="M239" s="1" t="s">
        <v>35</v>
      </c>
      <c r="N239" s="14" t="s">
        <v>5587</v>
      </c>
      <c r="O239" s="187">
        <v>100</v>
      </c>
      <c r="P239" s="1">
        <v>1</v>
      </c>
      <c r="Q239" s="90">
        <v>0.21</v>
      </c>
      <c r="R239" s="90">
        <v>0.2</v>
      </c>
      <c r="T239" s="95">
        <f t="shared" si="10"/>
        <v>96.8</v>
      </c>
      <c r="U239" s="1" t="s">
        <v>5721</v>
      </c>
      <c r="V239" s="5" t="s">
        <v>5722</v>
      </c>
      <c r="W239" s="2">
        <v>41991</v>
      </c>
      <c r="X239" s="2">
        <v>44389</v>
      </c>
      <c r="Y239" s="244" t="s">
        <v>6275</v>
      </c>
      <c r="Z239" s="3">
        <v>44546</v>
      </c>
      <c r="AA239" s="80" t="s">
        <v>1339</v>
      </c>
      <c r="AB239" t="s">
        <v>6276</v>
      </c>
      <c r="AC239" s="306">
        <v>44484</v>
      </c>
      <c r="AD239" t="s">
        <v>3198</v>
      </c>
      <c r="AG239" t="s">
        <v>3108</v>
      </c>
      <c r="AH239" s="2">
        <v>44426</v>
      </c>
      <c r="AK239" s="3">
        <v>44439</v>
      </c>
    </row>
    <row r="240" spans="1:137" ht="14.25" customHeight="1">
      <c r="A240" s="1">
        <v>239</v>
      </c>
      <c r="B240" t="s">
        <v>37</v>
      </c>
      <c r="C240" s="2">
        <v>44389</v>
      </c>
      <c r="D240" t="s">
        <v>265</v>
      </c>
      <c r="E240" t="s">
        <v>266</v>
      </c>
      <c r="F240" t="s">
        <v>5077</v>
      </c>
      <c r="G240" s="6" t="s">
        <v>238</v>
      </c>
      <c r="H240" s="1" t="s">
        <v>48</v>
      </c>
      <c r="I240">
        <v>657588849</v>
      </c>
      <c r="K240" s="1" t="s">
        <v>265</v>
      </c>
      <c r="L240" s="3">
        <v>44408</v>
      </c>
      <c r="M240" s="1" t="s">
        <v>35</v>
      </c>
      <c r="N240" s="14" t="s">
        <v>5588</v>
      </c>
      <c r="O240" s="187">
        <v>100</v>
      </c>
      <c r="P240" s="1">
        <v>1</v>
      </c>
      <c r="Q240" s="90">
        <v>0.21</v>
      </c>
      <c r="R240" s="90">
        <v>0.2</v>
      </c>
      <c r="T240" s="95">
        <f t="shared" si="10"/>
        <v>96.8</v>
      </c>
      <c r="U240" s="1" t="s">
        <v>5719</v>
      </c>
      <c r="V240" s="5" t="s">
        <v>5720</v>
      </c>
      <c r="W240" s="2">
        <v>40681</v>
      </c>
      <c r="X240" s="2">
        <v>44389</v>
      </c>
      <c r="Y240" s="13" t="s">
        <v>5817</v>
      </c>
      <c r="Z240" s="3">
        <v>44464</v>
      </c>
      <c r="AA240" s="80" t="s">
        <v>1339</v>
      </c>
      <c r="AC240" s="306">
        <v>44484</v>
      </c>
      <c r="AD240" t="s">
        <v>3198</v>
      </c>
      <c r="AG240" t="s">
        <v>3108</v>
      </c>
      <c r="AH240" s="2">
        <v>44426</v>
      </c>
      <c r="AK240" s="3">
        <v>44439</v>
      </c>
    </row>
    <row r="241" spans="1:37">
      <c r="A241" s="1">
        <v>240</v>
      </c>
      <c r="B241" t="s">
        <v>3783</v>
      </c>
      <c r="C241" s="2">
        <v>44389</v>
      </c>
      <c r="D241" t="s">
        <v>2576</v>
      </c>
      <c r="E241" s="14" t="s">
        <v>2577</v>
      </c>
      <c r="F241" t="s">
        <v>2578</v>
      </c>
      <c r="G241" s="6" t="s">
        <v>2579</v>
      </c>
      <c r="H241" t="s">
        <v>2580</v>
      </c>
      <c r="I241"/>
      <c r="K241" t="s">
        <v>2576</v>
      </c>
      <c r="L241" s="3">
        <v>44408</v>
      </c>
      <c r="M241" s="1" t="s">
        <v>35</v>
      </c>
      <c r="N241" s="14" t="s">
        <v>5589</v>
      </c>
      <c r="O241" s="187">
        <v>100</v>
      </c>
      <c r="P241" s="1">
        <v>1</v>
      </c>
      <c r="Q241" s="90">
        <v>0.21</v>
      </c>
      <c r="R241" s="90">
        <v>0.2</v>
      </c>
      <c r="T241" s="95">
        <f t="shared" si="10"/>
        <v>96.8</v>
      </c>
      <c r="U241" t="s">
        <v>6630</v>
      </c>
      <c r="V241" s="5" t="s">
        <v>6629</v>
      </c>
      <c r="W241" s="2">
        <v>30031</v>
      </c>
      <c r="X241" s="2">
        <v>44389</v>
      </c>
      <c r="Y241" s="234" t="s">
        <v>4659</v>
      </c>
      <c r="AD241" t="s">
        <v>3198</v>
      </c>
      <c r="AG241" t="s">
        <v>5590</v>
      </c>
    </row>
    <row r="242" spans="1:37">
      <c r="A242" s="1">
        <v>241</v>
      </c>
      <c r="B242" t="s">
        <v>37</v>
      </c>
      <c r="C242" s="2">
        <v>44389</v>
      </c>
      <c r="D242" s="1" t="s">
        <v>4512</v>
      </c>
      <c r="E242" t="s">
        <v>4613</v>
      </c>
      <c r="F242" t="s">
        <v>4614</v>
      </c>
      <c r="G242" s="6" t="s">
        <v>242</v>
      </c>
      <c r="H242" s="1" t="s">
        <v>86</v>
      </c>
      <c r="I242" s="1">
        <v>673821555</v>
      </c>
      <c r="K242" s="1" t="s">
        <v>4512</v>
      </c>
      <c r="L242" s="3">
        <v>44408</v>
      </c>
      <c r="M242" s="1" t="s">
        <v>35</v>
      </c>
      <c r="N242" s="14" t="s">
        <v>5591</v>
      </c>
      <c r="O242" s="187">
        <v>100</v>
      </c>
      <c r="P242" s="1">
        <v>1</v>
      </c>
      <c r="Q242" s="90">
        <v>0.21</v>
      </c>
      <c r="R242" s="90">
        <v>0</v>
      </c>
      <c r="T242" s="95">
        <f t="shared" si="10"/>
        <v>121</v>
      </c>
      <c r="U242" s="1" t="s">
        <v>5803</v>
      </c>
      <c r="V242" s="5" t="s">
        <v>5787</v>
      </c>
      <c r="W242" s="2">
        <v>29439</v>
      </c>
      <c r="X242" s="2">
        <v>44389</v>
      </c>
      <c r="Y242" s="11" t="s">
        <v>6079</v>
      </c>
      <c r="Z242" s="3">
        <v>44503</v>
      </c>
      <c r="AA242" s="80" t="s">
        <v>1339</v>
      </c>
      <c r="AD242" t="s">
        <v>3198</v>
      </c>
      <c r="AG242" t="s">
        <v>5592</v>
      </c>
    </row>
    <row r="243" spans="1:37">
      <c r="A243" s="1">
        <v>242</v>
      </c>
      <c r="B243" t="s">
        <v>3783</v>
      </c>
      <c r="C243" s="2">
        <v>44389</v>
      </c>
      <c r="D243" s="1" t="s">
        <v>3109</v>
      </c>
      <c r="E243" t="s">
        <v>3110</v>
      </c>
      <c r="F243" t="s">
        <v>3111</v>
      </c>
      <c r="G243" s="6" t="s">
        <v>2579</v>
      </c>
      <c r="H243" s="1" t="s">
        <v>2580</v>
      </c>
      <c r="I243"/>
      <c r="K243" s="1" t="s">
        <v>3109</v>
      </c>
      <c r="L243" s="3">
        <v>44408</v>
      </c>
      <c r="M243" s="1" t="s">
        <v>35</v>
      </c>
      <c r="N243" s="14" t="s">
        <v>5593</v>
      </c>
      <c r="O243" s="187">
        <v>100</v>
      </c>
      <c r="P243" s="1">
        <v>1</v>
      </c>
      <c r="Q243" s="90">
        <v>0.21</v>
      </c>
      <c r="R243" s="90">
        <v>0.2</v>
      </c>
      <c r="T243" s="95">
        <f t="shared" si="10"/>
        <v>96.8</v>
      </c>
      <c r="U243" s="1" t="s">
        <v>5737</v>
      </c>
      <c r="V243" s="5" t="s">
        <v>5738</v>
      </c>
      <c r="W243" s="2">
        <v>32312</v>
      </c>
      <c r="X243" s="2">
        <v>44389</v>
      </c>
      <c r="Y243" s="11" t="s">
        <v>6417</v>
      </c>
      <c r="Z243" s="3">
        <v>44601</v>
      </c>
      <c r="AA243" s="80" t="s">
        <v>1339</v>
      </c>
      <c r="AB243" t="s">
        <v>6047</v>
      </c>
      <c r="AC243" s="162">
        <v>44511</v>
      </c>
      <c r="AD243" t="s">
        <v>3198</v>
      </c>
      <c r="AG243" t="s">
        <v>3108</v>
      </c>
      <c r="AH243" s="2">
        <v>44427</v>
      </c>
      <c r="AK243" s="3">
        <v>44428</v>
      </c>
    </row>
    <row r="244" spans="1:37">
      <c r="A244" s="1">
        <v>243</v>
      </c>
      <c r="B244" t="s">
        <v>1414</v>
      </c>
      <c r="C244" s="2">
        <v>44389</v>
      </c>
      <c r="D244" s="1" t="s">
        <v>1812</v>
      </c>
      <c r="E244" t="s">
        <v>1813</v>
      </c>
      <c r="F244" t="s">
        <v>1994</v>
      </c>
      <c r="G244" s="6" t="s">
        <v>221</v>
      </c>
      <c r="H244" s="1" t="s">
        <v>34</v>
      </c>
      <c r="I244" s="1">
        <v>626326758</v>
      </c>
      <c r="K244" t="s">
        <v>1812</v>
      </c>
      <c r="L244" s="3">
        <v>44408</v>
      </c>
      <c r="M244" s="1" t="s">
        <v>35</v>
      </c>
      <c r="N244" s="14" t="s">
        <v>5600</v>
      </c>
      <c r="O244" s="187">
        <v>100</v>
      </c>
      <c r="P244" s="1">
        <v>1</v>
      </c>
      <c r="Q244" s="90">
        <v>0.21</v>
      </c>
      <c r="R244" s="90">
        <v>0.2</v>
      </c>
      <c r="T244" s="95">
        <f t="shared" si="10"/>
        <v>96.8</v>
      </c>
      <c r="U244" s="1" t="s">
        <v>5739</v>
      </c>
      <c r="V244" s="5" t="s">
        <v>5740</v>
      </c>
      <c r="W244" s="2">
        <v>33942</v>
      </c>
      <c r="X244" s="2">
        <v>44389</v>
      </c>
      <c r="Y244" s="11" t="s">
        <v>6079</v>
      </c>
      <c r="Z244" s="3">
        <v>44509</v>
      </c>
      <c r="AA244" s="80" t="s">
        <v>1339</v>
      </c>
      <c r="AD244" t="s">
        <v>3198</v>
      </c>
      <c r="AG244" t="s">
        <v>4017</v>
      </c>
      <c r="AH244" s="2">
        <v>44435</v>
      </c>
      <c r="AK244" s="3">
        <v>44435</v>
      </c>
    </row>
    <row r="245" spans="1:37">
      <c r="A245" s="1">
        <v>244</v>
      </c>
      <c r="B245" t="s">
        <v>37</v>
      </c>
      <c r="C245" s="2">
        <v>44390</v>
      </c>
      <c r="D245" s="1" t="s">
        <v>1528</v>
      </c>
      <c r="E245" t="s">
        <v>5601</v>
      </c>
      <c r="F245" t="s">
        <v>5602</v>
      </c>
      <c r="G245" s="6" t="s">
        <v>1525</v>
      </c>
      <c r="H245" s="1" t="s">
        <v>1526</v>
      </c>
      <c r="I245" s="1">
        <v>617752530</v>
      </c>
      <c r="K245" s="1" t="s">
        <v>1528</v>
      </c>
      <c r="L245" s="3">
        <v>44408</v>
      </c>
      <c r="M245" s="1" t="s">
        <v>35</v>
      </c>
      <c r="N245" s="14" t="s">
        <v>5603</v>
      </c>
      <c r="O245" s="187">
        <v>60</v>
      </c>
      <c r="P245" s="1">
        <v>1</v>
      </c>
      <c r="Q245" s="90">
        <v>0.21</v>
      </c>
      <c r="R245" s="90">
        <v>0</v>
      </c>
      <c r="T245" s="95">
        <f t="shared" si="10"/>
        <v>72.599999999999994</v>
      </c>
      <c r="U245" s="1" t="s">
        <v>1528</v>
      </c>
      <c r="V245" s="6" t="s">
        <v>5604</v>
      </c>
      <c r="W245" s="2">
        <v>35723</v>
      </c>
      <c r="X245" s="2">
        <v>44390</v>
      </c>
      <c r="Y245" s="11" t="s">
        <v>5754</v>
      </c>
      <c r="Z245" s="3">
        <v>44434</v>
      </c>
      <c r="AA245" s="80" t="s">
        <v>1339</v>
      </c>
      <c r="AD245" t="s">
        <v>3198</v>
      </c>
    </row>
    <row r="246" spans="1:37">
      <c r="A246" s="1">
        <v>245</v>
      </c>
      <c r="B246" t="s">
        <v>1511</v>
      </c>
      <c r="C246" s="2">
        <v>44390</v>
      </c>
      <c r="D246" s="1" t="s">
        <v>4664</v>
      </c>
      <c r="E246" s="61" t="s">
        <v>4665</v>
      </c>
      <c r="F246" s="61" t="s">
        <v>4666</v>
      </c>
      <c r="G246" s="6" t="s">
        <v>4667</v>
      </c>
      <c r="H246" s="1" t="s">
        <v>4668</v>
      </c>
      <c r="J246" s="1"/>
      <c r="K246" s="1" t="s">
        <v>4664</v>
      </c>
      <c r="L246" s="3">
        <v>44408</v>
      </c>
      <c r="M246" t="s">
        <v>35</v>
      </c>
      <c r="N246" s="14" t="s">
        <v>4669</v>
      </c>
      <c r="O246" s="187">
        <v>100</v>
      </c>
      <c r="P246" s="1">
        <v>1</v>
      </c>
      <c r="Q246" s="90">
        <v>0.21</v>
      </c>
      <c r="R246" s="90">
        <v>0.2</v>
      </c>
      <c r="T246" s="95">
        <f t="shared" si="10"/>
        <v>96.8</v>
      </c>
      <c r="U246" s="1" t="s">
        <v>4771</v>
      </c>
      <c r="V246" s="5" t="s">
        <v>5753</v>
      </c>
      <c r="W246" s="2">
        <v>37259</v>
      </c>
      <c r="X246" s="2">
        <v>44390</v>
      </c>
      <c r="Y246" s="11" t="s">
        <v>5818</v>
      </c>
      <c r="Z246" s="3">
        <v>44457</v>
      </c>
      <c r="AA246" s="80" t="s">
        <v>1339</v>
      </c>
      <c r="AD246" t="s">
        <v>3198</v>
      </c>
      <c r="AG246" t="s">
        <v>3221</v>
      </c>
      <c r="AH246"/>
      <c r="AK246" s="3"/>
    </row>
    <row r="247" spans="1:37">
      <c r="A247" s="1">
        <v>246</v>
      </c>
      <c r="B247" s="61" t="s">
        <v>1511</v>
      </c>
      <c r="C247" s="2">
        <v>44392</v>
      </c>
      <c r="D247" t="s">
        <v>3971</v>
      </c>
      <c r="E247" t="s">
        <v>3972</v>
      </c>
      <c r="F247" t="s">
        <v>3973</v>
      </c>
      <c r="G247" s="6" t="s">
        <v>219</v>
      </c>
      <c r="H247" t="s">
        <v>38</v>
      </c>
      <c r="I247" s="1" t="s">
        <v>3974</v>
      </c>
      <c r="J247" s="31"/>
      <c r="K247" t="s">
        <v>3971</v>
      </c>
      <c r="L247" s="3">
        <v>44408</v>
      </c>
      <c r="M247" s="1" t="s">
        <v>35</v>
      </c>
      <c r="N247" s="14" t="s">
        <v>5613</v>
      </c>
      <c r="O247" s="92">
        <v>60</v>
      </c>
      <c r="P247" s="1">
        <v>1</v>
      </c>
      <c r="Q247" s="90">
        <v>0.21</v>
      </c>
      <c r="R247" s="90">
        <v>0</v>
      </c>
      <c r="S247" s="1"/>
      <c r="T247" s="95">
        <f>(O247*P247)*Q247+O247*P247</f>
        <v>72.599999999999994</v>
      </c>
      <c r="U247" s="1" t="s">
        <v>3971</v>
      </c>
      <c r="V247" s="221" t="s">
        <v>5614</v>
      </c>
      <c r="W247" s="2">
        <v>35231</v>
      </c>
      <c r="X247" s="2">
        <v>44392</v>
      </c>
      <c r="Y247" s="11" t="s">
        <v>5742</v>
      </c>
      <c r="Z247" s="3">
        <v>44432</v>
      </c>
      <c r="AA247" s="80" t="s">
        <v>1339</v>
      </c>
      <c r="AD247" t="s">
        <v>3198</v>
      </c>
      <c r="AG247" s="1"/>
      <c r="AI247" s="1"/>
      <c r="AK247" s="2"/>
    </row>
    <row r="248" spans="1:37">
      <c r="A248" s="1">
        <v>247</v>
      </c>
      <c r="B248" t="s">
        <v>37</v>
      </c>
      <c r="C248" s="2">
        <v>44392</v>
      </c>
      <c r="D248" s="1" t="s">
        <v>1532</v>
      </c>
      <c r="E248" t="s">
        <v>5615</v>
      </c>
      <c r="F248" t="s">
        <v>5602</v>
      </c>
      <c r="G248" s="6" t="s">
        <v>1525</v>
      </c>
      <c r="H248" s="1" t="s">
        <v>1526</v>
      </c>
      <c r="I248" s="1">
        <v>617752475</v>
      </c>
      <c r="K248" s="1" t="s">
        <v>1532</v>
      </c>
      <c r="L248" s="3">
        <v>44408</v>
      </c>
      <c r="M248" s="1" t="s">
        <v>35</v>
      </c>
      <c r="N248" s="14" t="s">
        <v>5616</v>
      </c>
      <c r="O248" s="187">
        <v>60</v>
      </c>
      <c r="P248" s="1">
        <v>1</v>
      </c>
      <c r="Q248" s="90">
        <v>0.21</v>
      </c>
      <c r="R248" s="90">
        <v>0</v>
      </c>
      <c r="T248" s="95">
        <f t="shared" ref="T248:T273" si="11">SUM(O248-(O248*R248))*Q248+(O248-(O248*R248))</f>
        <v>72.599999999999994</v>
      </c>
      <c r="U248" s="1" t="s">
        <v>1532</v>
      </c>
      <c r="V248" s="5" t="s">
        <v>5617</v>
      </c>
      <c r="W248" s="2">
        <v>35194</v>
      </c>
      <c r="X248" s="2">
        <v>44392</v>
      </c>
      <c r="Y248" s="11" t="s">
        <v>5754</v>
      </c>
      <c r="Z248" s="3">
        <v>44434</v>
      </c>
      <c r="AA248" s="80" t="s">
        <v>1339</v>
      </c>
      <c r="AD248" t="s">
        <v>3198</v>
      </c>
    </row>
    <row r="249" spans="1:37">
      <c r="A249" s="1">
        <v>248</v>
      </c>
      <c r="B249" t="s">
        <v>37</v>
      </c>
      <c r="C249" s="2">
        <v>44396</v>
      </c>
      <c r="D249" s="1" t="s">
        <v>5618</v>
      </c>
      <c r="E249" t="s">
        <v>5619</v>
      </c>
      <c r="F249" t="s">
        <v>5620</v>
      </c>
      <c r="G249" s="6" t="s">
        <v>220</v>
      </c>
      <c r="H249" s="1" t="s">
        <v>39</v>
      </c>
      <c r="I249" s="1">
        <v>632064606</v>
      </c>
      <c r="K249" s="1" t="s">
        <v>5618</v>
      </c>
      <c r="L249" s="3">
        <v>44408</v>
      </c>
      <c r="M249" s="1" t="s">
        <v>35</v>
      </c>
      <c r="N249" t="s">
        <v>5621</v>
      </c>
      <c r="O249" s="187">
        <v>60</v>
      </c>
      <c r="P249" s="1">
        <v>1</v>
      </c>
      <c r="Q249" s="90">
        <v>0.21</v>
      </c>
      <c r="R249" s="90">
        <v>0</v>
      </c>
      <c r="T249" s="95">
        <f t="shared" si="11"/>
        <v>72.599999999999994</v>
      </c>
      <c r="U249" s="1" t="s">
        <v>5618</v>
      </c>
      <c r="V249" s="6" t="s">
        <v>5771</v>
      </c>
      <c r="W249" s="2">
        <v>31141</v>
      </c>
      <c r="X249" s="2">
        <v>44396</v>
      </c>
      <c r="Y249" s="13" t="s">
        <v>5861</v>
      </c>
      <c r="Z249" s="3">
        <v>44461</v>
      </c>
      <c r="AA249" s="80" t="s">
        <v>1339</v>
      </c>
      <c r="AD249" t="s">
        <v>3198</v>
      </c>
    </row>
    <row r="250" spans="1:37">
      <c r="A250" s="1">
        <v>249</v>
      </c>
      <c r="B250" s="61" t="s">
        <v>3783</v>
      </c>
      <c r="C250" s="2">
        <v>44396</v>
      </c>
      <c r="D250" t="s">
        <v>3109</v>
      </c>
      <c r="E250" t="s">
        <v>3110</v>
      </c>
      <c r="F250" t="s">
        <v>3111</v>
      </c>
      <c r="G250" s="6" t="s">
        <v>2579</v>
      </c>
      <c r="H250" t="s">
        <v>2580</v>
      </c>
      <c r="I250" t="s">
        <v>3890</v>
      </c>
      <c r="K250" t="s">
        <v>3109</v>
      </c>
      <c r="L250" s="3">
        <v>44408</v>
      </c>
      <c r="M250" s="1" t="s">
        <v>35</v>
      </c>
      <c r="N250" s="14" t="s">
        <v>5622</v>
      </c>
      <c r="O250" s="92">
        <v>60</v>
      </c>
      <c r="P250" s="1">
        <v>1</v>
      </c>
      <c r="Q250" s="90">
        <v>0.21</v>
      </c>
      <c r="R250" s="90">
        <v>0.2</v>
      </c>
      <c r="S250" s="1"/>
      <c r="T250" s="95">
        <f t="shared" si="11"/>
        <v>58.08</v>
      </c>
      <c r="U250" s="1" t="s">
        <v>3892</v>
      </c>
      <c r="V250" s="87" t="s">
        <v>5623</v>
      </c>
      <c r="W250" s="2">
        <v>33258</v>
      </c>
      <c r="X250" s="2">
        <v>44396</v>
      </c>
      <c r="Y250" s="11" t="s">
        <v>5752</v>
      </c>
      <c r="Z250" s="3">
        <v>44432</v>
      </c>
      <c r="AA250" s="80" t="s">
        <v>1339</v>
      </c>
      <c r="AD250" t="s">
        <v>3198</v>
      </c>
      <c r="AG250" s="1"/>
      <c r="AI250" s="2"/>
      <c r="AK250" s="2"/>
    </row>
    <row r="251" spans="1:37">
      <c r="A251" s="1">
        <v>250</v>
      </c>
      <c r="B251" t="s">
        <v>2000</v>
      </c>
      <c r="C251" s="2">
        <v>44396</v>
      </c>
      <c r="D251" t="s">
        <v>2001</v>
      </c>
      <c r="E251" t="s">
        <v>2002</v>
      </c>
      <c r="F251" t="s">
        <v>2003</v>
      </c>
      <c r="G251" s="6" t="s">
        <v>230</v>
      </c>
      <c r="H251" t="s">
        <v>1262</v>
      </c>
      <c r="I251" s="1">
        <v>626326761</v>
      </c>
      <c r="K251" t="s">
        <v>2001</v>
      </c>
      <c r="L251" s="3">
        <v>44408</v>
      </c>
      <c r="M251" t="s">
        <v>35</v>
      </c>
      <c r="N251" s="14" t="s">
        <v>5624</v>
      </c>
      <c r="O251" s="92">
        <v>60</v>
      </c>
      <c r="P251" s="1">
        <v>1</v>
      </c>
      <c r="Q251" s="58">
        <v>0.21</v>
      </c>
      <c r="R251" s="90">
        <v>0</v>
      </c>
      <c r="S251" s="214" t="s">
        <v>5626</v>
      </c>
      <c r="T251" s="95">
        <f t="shared" si="11"/>
        <v>72.599999999999994</v>
      </c>
      <c r="U251" s="1" t="s">
        <v>2005</v>
      </c>
      <c r="V251" s="5" t="s">
        <v>5625</v>
      </c>
      <c r="W251" s="3">
        <v>27760</v>
      </c>
      <c r="X251" s="2">
        <v>44396</v>
      </c>
      <c r="Y251" s="11" t="s">
        <v>5755</v>
      </c>
      <c r="Z251" s="3">
        <v>44434</v>
      </c>
      <c r="AA251" s="80" t="s">
        <v>1339</v>
      </c>
      <c r="AB251" s="1"/>
      <c r="AC251" s="3"/>
      <c r="AD251" t="s">
        <v>3198</v>
      </c>
      <c r="AH251" s="3"/>
    </row>
    <row r="252" spans="1:37">
      <c r="A252" s="1">
        <v>251</v>
      </c>
      <c r="B252" t="s">
        <v>1414</v>
      </c>
      <c r="C252" s="2">
        <v>44396</v>
      </c>
      <c r="D252" s="1" t="s">
        <v>1812</v>
      </c>
      <c r="E252" t="s">
        <v>1813</v>
      </c>
      <c r="F252" t="s">
        <v>1994</v>
      </c>
      <c r="G252" s="6" t="s">
        <v>221</v>
      </c>
      <c r="H252" s="1" t="s">
        <v>34</v>
      </c>
      <c r="I252" s="1">
        <v>626326758</v>
      </c>
      <c r="K252" s="1" t="s">
        <v>1812</v>
      </c>
      <c r="L252" s="3">
        <v>44408</v>
      </c>
      <c r="M252" t="s">
        <v>35</v>
      </c>
      <c r="N252" s="14" t="s">
        <v>5627</v>
      </c>
      <c r="O252" s="187">
        <v>100</v>
      </c>
      <c r="P252" s="1">
        <v>1</v>
      </c>
      <c r="Q252" s="90">
        <v>0.21</v>
      </c>
      <c r="R252" s="90">
        <v>0.2</v>
      </c>
      <c r="S252" s="214" t="s">
        <v>5628</v>
      </c>
      <c r="T252" s="95">
        <f t="shared" si="11"/>
        <v>96.8</v>
      </c>
      <c r="U252" s="1" t="s">
        <v>5764</v>
      </c>
      <c r="V252" s="5" t="s">
        <v>5765</v>
      </c>
      <c r="W252" s="2">
        <v>29587</v>
      </c>
      <c r="X252" s="2">
        <v>44396</v>
      </c>
      <c r="Y252" s="11" t="s">
        <v>6119</v>
      </c>
      <c r="Z252" s="3">
        <v>44517</v>
      </c>
      <c r="AA252" s="80" t="s">
        <v>1339</v>
      </c>
      <c r="AD252" t="s">
        <v>3198</v>
      </c>
      <c r="AG252" t="s">
        <v>3108</v>
      </c>
      <c r="AH252" s="2">
        <v>44435</v>
      </c>
      <c r="AK252" s="3">
        <v>44438</v>
      </c>
    </row>
    <row r="253" spans="1:37">
      <c r="A253" s="1">
        <v>252</v>
      </c>
      <c r="B253" t="s">
        <v>52</v>
      </c>
      <c r="C253" s="2">
        <v>44396</v>
      </c>
      <c r="D253" s="30" t="s">
        <v>458</v>
      </c>
      <c r="E253" t="s">
        <v>84</v>
      </c>
      <c r="F253" s="103" t="s">
        <v>138</v>
      </c>
      <c r="G253" s="30" t="s">
        <v>227</v>
      </c>
      <c r="H253" s="31" t="s">
        <v>203</v>
      </c>
      <c r="I253" s="30"/>
      <c r="K253" s="1" t="s">
        <v>4432</v>
      </c>
      <c r="L253" s="3">
        <v>44408</v>
      </c>
      <c r="M253" t="s">
        <v>35</v>
      </c>
      <c r="N253" s="14" t="s">
        <v>5629</v>
      </c>
      <c r="O253" s="187">
        <v>100</v>
      </c>
      <c r="P253" s="1">
        <v>1</v>
      </c>
      <c r="Q253" s="90">
        <v>0.21</v>
      </c>
      <c r="R253" s="90">
        <v>0.2</v>
      </c>
      <c r="T253" s="95">
        <f t="shared" si="11"/>
        <v>96.8</v>
      </c>
      <c r="U253" s="1" t="s">
        <v>5766</v>
      </c>
      <c r="V253" s="5" t="s">
        <v>5767</v>
      </c>
      <c r="W253" s="2">
        <v>36509</v>
      </c>
      <c r="X253" s="2">
        <v>44396</v>
      </c>
      <c r="Y253" s="11" t="s">
        <v>5877</v>
      </c>
      <c r="Z253" s="3">
        <v>44468</v>
      </c>
      <c r="AA253" s="80" t="s">
        <v>1339</v>
      </c>
      <c r="AD253" t="s">
        <v>3198</v>
      </c>
      <c r="AG253" t="s">
        <v>5630</v>
      </c>
      <c r="AH253" s="2">
        <v>44435</v>
      </c>
      <c r="AK253" s="3">
        <v>44441</v>
      </c>
    </row>
    <row r="254" spans="1:37">
      <c r="A254" s="1">
        <v>253</v>
      </c>
      <c r="B254" s="61" t="s">
        <v>3526</v>
      </c>
      <c r="C254" s="2">
        <v>44396</v>
      </c>
      <c r="D254" s="1" t="s">
        <v>210</v>
      </c>
      <c r="E254" s="61" t="s">
        <v>211</v>
      </c>
      <c r="F254" s="61" t="s">
        <v>4378</v>
      </c>
      <c r="G254" s="6" t="s">
        <v>294</v>
      </c>
      <c r="H254" t="s">
        <v>103</v>
      </c>
      <c r="I254" s="1">
        <v>637571817</v>
      </c>
      <c r="K254" t="s">
        <v>210</v>
      </c>
      <c r="L254" s="3">
        <v>44408</v>
      </c>
      <c r="M254" s="1" t="s">
        <v>35</v>
      </c>
      <c r="N254" s="14" t="s">
        <v>5708</v>
      </c>
      <c r="O254" s="163">
        <v>100</v>
      </c>
      <c r="P254" s="1">
        <v>1</v>
      </c>
      <c r="Q254" s="90">
        <v>0.21</v>
      </c>
      <c r="R254" s="90">
        <v>0.2</v>
      </c>
      <c r="T254" s="95">
        <f t="shared" si="11"/>
        <v>96.8</v>
      </c>
      <c r="U254" s="1" t="s">
        <v>591</v>
      </c>
      <c r="V254" s="5" t="s">
        <v>5761</v>
      </c>
      <c r="W254" s="2">
        <v>32139</v>
      </c>
      <c r="X254" s="2">
        <v>44396</v>
      </c>
      <c r="Y254" s="13" t="s">
        <v>6114</v>
      </c>
      <c r="Z254" s="3">
        <v>44516</v>
      </c>
      <c r="AA254" s="80" t="s">
        <v>1339</v>
      </c>
      <c r="AD254" t="s">
        <v>3198</v>
      </c>
      <c r="AG254" t="s">
        <v>3108</v>
      </c>
      <c r="AH254" s="2">
        <v>44435</v>
      </c>
      <c r="AI254" s="1"/>
      <c r="AK254" s="2">
        <v>44439</v>
      </c>
    </row>
    <row r="255" spans="1:37">
      <c r="A255" s="1">
        <v>254</v>
      </c>
      <c r="B255" t="s">
        <v>5635</v>
      </c>
      <c r="C255" s="2">
        <v>44398</v>
      </c>
      <c r="D255" s="1" t="s">
        <v>5636</v>
      </c>
      <c r="E255" t="s">
        <v>5637</v>
      </c>
      <c r="F255" t="s">
        <v>5638</v>
      </c>
      <c r="G255" s="1">
        <v>4711</v>
      </c>
      <c r="H255" s="1" t="s">
        <v>34</v>
      </c>
      <c r="I255" s="1">
        <v>619815278</v>
      </c>
      <c r="K255" s="1" t="s">
        <v>5636</v>
      </c>
      <c r="L255" s="3">
        <v>44408</v>
      </c>
      <c r="M255" s="1" t="s">
        <v>35</v>
      </c>
      <c r="N255" s="14" t="s">
        <v>5639</v>
      </c>
      <c r="O255" s="187">
        <v>100</v>
      </c>
      <c r="P255" s="1">
        <v>1</v>
      </c>
      <c r="Q255" s="90">
        <v>0.21</v>
      </c>
      <c r="R255" s="90">
        <v>0.2</v>
      </c>
      <c r="T255" s="95">
        <f t="shared" si="11"/>
        <v>96.8</v>
      </c>
      <c r="U255" s="1" t="s">
        <v>5759</v>
      </c>
      <c r="V255" s="6" t="s">
        <v>5760</v>
      </c>
      <c r="W255" s="2">
        <v>32383</v>
      </c>
      <c r="X255" s="2">
        <v>44398</v>
      </c>
      <c r="Y255" s="11" t="s">
        <v>6101</v>
      </c>
      <c r="Z255" s="3">
        <v>44515</v>
      </c>
      <c r="AA255" s="80" t="s">
        <v>1339</v>
      </c>
      <c r="AD255" t="s">
        <v>3198</v>
      </c>
      <c r="AG255" t="s">
        <v>3108</v>
      </c>
      <c r="AH255" s="2">
        <v>44435</v>
      </c>
      <c r="AK255" s="3">
        <v>44438</v>
      </c>
    </row>
    <row r="256" spans="1:37">
      <c r="A256" s="1">
        <v>255</v>
      </c>
      <c r="B256" t="s">
        <v>80</v>
      </c>
      <c r="C256" s="2">
        <v>44400</v>
      </c>
      <c r="D256" s="1" t="s">
        <v>1353</v>
      </c>
      <c r="E256" t="s">
        <v>1354</v>
      </c>
      <c r="F256" t="s">
        <v>1842</v>
      </c>
      <c r="G256" s="6" t="s">
        <v>294</v>
      </c>
      <c r="H256" s="1" t="s">
        <v>103</v>
      </c>
      <c r="I256"/>
      <c r="K256" s="1" t="s">
        <v>1353</v>
      </c>
      <c r="L256" s="3">
        <v>44408</v>
      </c>
      <c r="M256" s="1" t="s">
        <v>35</v>
      </c>
      <c r="N256" s="14" t="s">
        <v>2706</v>
      </c>
      <c r="O256" s="187">
        <v>60</v>
      </c>
      <c r="P256" s="1">
        <v>1</v>
      </c>
      <c r="Q256" s="90">
        <v>0.21</v>
      </c>
      <c r="R256" s="90">
        <v>0.2</v>
      </c>
      <c r="T256" s="95">
        <f t="shared" si="11"/>
        <v>58.08</v>
      </c>
      <c r="U256" s="1" t="s">
        <v>1357</v>
      </c>
      <c r="V256" s="6" t="s">
        <v>5648</v>
      </c>
      <c r="W256" s="2">
        <v>25913</v>
      </c>
      <c r="X256" s="2">
        <v>44400</v>
      </c>
      <c r="Y256" s="11" t="s">
        <v>5770</v>
      </c>
      <c r="Z256" s="3">
        <v>44440</v>
      </c>
      <c r="AA256" s="80" t="s">
        <v>1339</v>
      </c>
      <c r="AD256" t="s">
        <v>3198</v>
      </c>
    </row>
    <row r="257" spans="1:37">
      <c r="A257" s="1">
        <v>256</v>
      </c>
      <c r="B257" s="61" t="s">
        <v>3783</v>
      </c>
      <c r="C257" s="2">
        <v>44400</v>
      </c>
      <c r="D257" s="1" t="s">
        <v>3109</v>
      </c>
      <c r="E257" t="s">
        <v>3110</v>
      </c>
      <c r="F257" t="s">
        <v>3111</v>
      </c>
      <c r="G257" s="6" t="s">
        <v>2579</v>
      </c>
      <c r="H257" s="1" t="s">
        <v>2580</v>
      </c>
      <c r="I257"/>
      <c r="K257" s="1" t="s">
        <v>3109</v>
      </c>
      <c r="L257" s="3">
        <v>44408</v>
      </c>
      <c r="M257" s="1" t="s">
        <v>35</v>
      </c>
      <c r="N257" s="14" t="s">
        <v>5552</v>
      </c>
      <c r="O257" s="187">
        <v>60</v>
      </c>
      <c r="P257" s="1">
        <v>1</v>
      </c>
      <c r="Q257" s="90">
        <v>0.21</v>
      </c>
      <c r="R257" s="90">
        <v>0.2</v>
      </c>
      <c r="T257" s="95">
        <f t="shared" si="11"/>
        <v>58.08</v>
      </c>
      <c r="U257" s="1" t="s">
        <v>3841</v>
      </c>
      <c r="V257" s="6" t="s">
        <v>5649</v>
      </c>
      <c r="W257" s="2">
        <v>30682</v>
      </c>
      <c r="X257" s="2">
        <v>44400</v>
      </c>
      <c r="Y257" s="11" t="s">
        <v>5770</v>
      </c>
      <c r="Z257" s="3">
        <v>44440</v>
      </c>
      <c r="AA257" s="80" t="s">
        <v>1339</v>
      </c>
      <c r="AD257" t="s">
        <v>3198</v>
      </c>
    </row>
    <row r="258" spans="1:37">
      <c r="A258" s="1">
        <v>257</v>
      </c>
      <c r="B258" t="s">
        <v>37</v>
      </c>
      <c r="C258" s="2">
        <v>44403</v>
      </c>
      <c r="D258" t="s">
        <v>5762</v>
      </c>
      <c r="E258" t="s">
        <v>5651</v>
      </c>
      <c r="F258" t="s">
        <v>5652</v>
      </c>
      <c r="G258" s="1">
        <v>4140</v>
      </c>
      <c r="H258" s="1" t="s">
        <v>48</v>
      </c>
      <c r="I258" s="1">
        <v>658541350</v>
      </c>
      <c r="K258" t="s">
        <v>5762</v>
      </c>
      <c r="L258" s="3">
        <v>44408</v>
      </c>
      <c r="M258" s="1" t="s">
        <v>35</v>
      </c>
      <c r="N258" s="14" t="s">
        <v>5653</v>
      </c>
      <c r="O258" s="187">
        <v>100</v>
      </c>
      <c r="P258" s="1">
        <v>1</v>
      </c>
      <c r="Q258" s="90">
        <v>0.21</v>
      </c>
      <c r="R258" s="90">
        <v>0</v>
      </c>
      <c r="T258" s="95">
        <f t="shared" si="11"/>
        <v>121</v>
      </c>
      <c r="U258" s="1" t="s">
        <v>5762</v>
      </c>
      <c r="V258" s="5" t="s">
        <v>5763</v>
      </c>
      <c r="W258" s="2">
        <v>32888</v>
      </c>
      <c r="X258" s="2">
        <v>44403</v>
      </c>
      <c r="Y258" s="11" t="s">
        <v>6459</v>
      </c>
      <c r="Z258" s="3">
        <v>44601</v>
      </c>
      <c r="AA258" s="80" t="s">
        <v>1339</v>
      </c>
      <c r="AB258" t="s">
        <v>4499</v>
      </c>
      <c r="AC258" s="115">
        <v>44517</v>
      </c>
      <c r="AD258" t="s">
        <v>3198</v>
      </c>
      <c r="AG258" t="s">
        <v>3108</v>
      </c>
      <c r="AH258" s="2">
        <v>44435</v>
      </c>
      <c r="AK258" s="3">
        <v>44439</v>
      </c>
    </row>
    <row r="259" spans="1:37">
      <c r="A259" s="1">
        <v>258</v>
      </c>
      <c r="B259" t="s">
        <v>1414</v>
      </c>
      <c r="C259" s="2">
        <v>44403</v>
      </c>
      <c r="D259" s="1" t="s">
        <v>3076</v>
      </c>
      <c r="E259" t="s">
        <v>3077</v>
      </c>
      <c r="F259" t="s">
        <v>3078</v>
      </c>
      <c r="G259" s="6" t="s">
        <v>227</v>
      </c>
      <c r="H259" s="1" t="s">
        <v>203</v>
      </c>
      <c r="I259"/>
      <c r="K259" s="1" t="s">
        <v>3076</v>
      </c>
      <c r="L259" s="3">
        <v>44408</v>
      </c>
      <c r="M259" s="1" t="s">
        <v>35</v>
      </c>
      <c r="N259" s="14" t="s">
        <v>5654</v>
      </c>
      <c r="O259" s="187">
        <v>100</v>
      </c>
      <c r="P259" s="1">
        <v>1</v>
      </c>
      <c r="Q259" s="90">
        <v>0.21</v>
      </c>
      <c r="R259" s="90">
        <v>0.2</v>
      </c>
      <c r="T259" s="95">
        <f t="shared" si="11"/>
        <v>96.8</v>
      </c>
      <c r="U259" s="1" t="s">
        <v>5784</v>
      </c>
      <c r="V259" s="5" t="s">
        <v>5785</v>
      </c>
      <c r="W259" s="2">
        <v>31778</v>
      </c>
      <c r="X259" s="2">
        <v>44403</v>
      </c>
      <c r="Y259" s="11" t="s">
        <v>6146</v>
      </c>
      <c r="Z259" s="3">
        <v>44519</v>
      </c>
      <c r="AA259" s="80" t="s">
        <v>1339</v>
      </c>
      <c r="AD259" t="s">
        <v>3198</v>
      </c>
      <c r="AG259" t="s">
        <v>3108</v>
      </c>
      <c r="AH259" s="2">
        <v>44442</v>
      </c>
      <c r="AK259" s="3">
        <v>44447</v>
      </c>
    </row>
    <row r="260" spans="1:37">
      <c r="A260" s="1">
        <v>259</v>
      </c>
      <c r="B260" t="s">
        <v>119</v>
      </c>
      <c r="C260" s="2">
        <v>44405</v>
      </c>
      <c r="D260" s="1" t="s">
        <v>3444</v>
      </c>
      <c r="E260" s="61" t="s">
        <v>3445</v>
      </c>
      <c r="F260" s="61" t="s">
        <v>3446</v>
      </c>
      <c r="G260" s="6" t="s">
        <v>250</v>
      </c>
      <c r="H260" s="1" t="s">
        <v>86</v>
      </c>
      <c r="I260" s="1">
        <v>658789355</v>
      </c>
      <c r="J260" s="1" t="s">
        <v>5904</v>
      </c>
      <c r="K260" s="31" t="s">
        <v>174</v>
      </c>
      <c r="L260" s="3">
        <v>44408</v>
      </c>
      <c r="M260" t="s">
        <v>35</v>
      </c>
      <c r="N260" s="14" t="s">
        <v>5658</v>
      </c>
      <c r="O260" s="92">
        <v>60</v>
      </c>
      <c r="P260" s="1">
        <v>1</v>
      </c>
      <c r="Q260" s="90">
        <v>0.21</v>
      </c>
      <c r="R260" s="90">
        <v>0.2</v>
      </c>
      <c r="T260" s="95">
        <f t="shared" si="11"/>
        <v>58.08</v>
      </c>
      <c r="U260" s="140" t="s">
        <v>4557</v>
      </c>
      <c r="V260" s="87" t="s">
        <v>5659</v>
      </c>
      <c r="W260" s="2">
        <v>25934</v>
      </c>
      <c r="X260" s="2">
        <v>44405</v>
      </c>
      <c r="Y260" s="11" t="s">
        <v>5770</v>
      </c>
      <c r="Z260" s="3">
        <v>44440</v>
      </c>
      <c r="AA260" s="80" t="s">
        <v>1339</v>
      </c>
      <c r="AD260" t="s">
        <v>3198</v>
      </c>
      <c r="AG260" s="1"/>
      <c r="AH260" s="2"/>
      <c r="AI260" s="2"/>
      <c r="AK260" s="2"/>
    </row>
    <row r="261" spans="1:37">
      <c r="A261" s="1">
        <v>260</v>
      </c>
      <c r="B261" t="s">
        <v>1414</v>
      </c>
      <c r="C261" s="2">
        <v>44405</v>
      </c>
      <c r="D261" s="1" t="s">
        <v>5660</v>
      </c>
      <c r="E261" t="s">
        <v>5661</v>
      </c>
      <c r="F261" t="s">
        <v>5662</v>
      </c>
      <c r="G261" s="6" t="s">
        <v>221</v>
      </c>
      <c r="H261" s="1" t="s">
        <v>34</v>
      </c>
      <c r="K261" s="1" t="s">
        <v>5660</v>
      </c>
      <c r="L261" s="3">
        <v>44408</v>
      </c>
      <c r="M261" s="1" t="s">
        <v>35</v>
      </c>
      <c r="N261" s="14" t="s">
        <v>5041</v>
      </c>
      <c r="O261" s="187">
        <v>100</v>
      </c>
      <c r="P261" s="1">
        <v>1</v>
      </c>
      <c r="Q261" s="90">
        <v>0.21</v>
      </c>
      <c r="R261" s="90">
        <v>0.2</v>
      </c>
      <c r="T261" s="95">
        <f t="shared" si="11"/>
        <v>96.8</v>
      </c>
      <c r="U261" s="1" t="s">
        <v>5225</v>
      </c>
      <c r="V261" s="5" t="s">
        <v>5806</v>
      </c>
      <c r="W261" s="2">
        <v>36388</v>
      </c>
      <c r="X261" s="2">
        <v>44405</v>
      </c>
      <c r="Y261" s="11" t="s">
        <v>5961</v>
      </c>
      <c r="Z261" s="3">
        <v>44490</v>
      </c>
      <c r="AA261" s="80" t="s">
        <v>1339</v>
      </c>
      <c r="AD261" t="s">
        <v>3198</v>
      </c>
      <c r="AG261" t="s">
        <v>3221</v>
      </c>
      <c r="AH261" s="2">
        <v>44449</v>
      </c>
      <c r="AK261" s="3">
        <v>44463</v>
      </c>
    </row>
    <row r="262" spans="1:37">
      <c r="A262" s="1">
        <v>261</v>
      </c>
      <c r="B262" t="s">
        <v>37</v>
      </c>
      <c r="C262" s="2">
        <v>44406</v>
      </c>
      <c r="D262" s="1" t="s">
        <v>5665</v>
      </c>
      <c r="E262" t="s">
        <v>5666</v>
      </c>
      <c r="F262" t="s">
        <v>5667</v>
      </c>
      <c r="G262" s="1">
        <v>4700</v>
      </c>
      <c r="H262" s="1" t="s">
        <v>34</v>
      </c>
      <c r="I262" s="1">
        <v>691688036</v>
      </c>
      <c r="K262" s="1" t="s">
        <v>5665</v>
      </c>
      <c r="L262" s="3">
        <v>44408</v>
      </c>
      <c r="M262" s="1" t="s">
        <v>35</v>
      </c>
      <c r="N262" s="14" t="s">
        <v>5668</v>
      </c>
      <c r="O262" s="187">
        <v>50</v>
      </c>
      <c r="P262" s="1">
        <v>1</v>
      </c>
      <c r="Q262" s="90">
        <v>0.21</v>
      </c>
      <c r="R262" s="90">
        <v>0</v>
      </c>
      <c r="T262" s="95">
        <f t="shared" si="11"/>
        <v>60.5</v>
      </c>
      <c r="W262" s="2">
        <v>33548</v>
      </c>
      <c r="X262" s="2">
        <v>44406</v>
      </c>
      <c r="Y262" s="11"/>
      <c r="AD262" t="s">
        <v>3198</v>
      </c>
    </row>
    <row r="263" spans="1:37">
      <c r="A263" s="1">
        <v>262</v>
      </c>
      <c r="B263" s="61" t="s">
        <v>33</v>
      </c>
      <c r="C263" s="2">
        <v>44407</v>
      </c>
      <c r="D263" s="1" t="s">
        <v>3649</v>
      </c>
      <c r="E263" s="61" t="s">
        <v>3651</v>
      </c>
      <c r="F263" s="61" t="s">
        <v>3648</v>
      </c>
      <c r="G263" s="6" t="s">
        <v>241</v>
      </c>
      <c r="H263" s="1" t="s">
        <v>60</v>
      </c>
      <c r="J263" s="1" t="s">
        <v>5903</v>
      </c>
      <c r="K263" t="s">
        <v>237</v>
      </c>
      <c r="L263" s="3">
        <v>44408</v>
      </c>
      <c r="M263" s="1" t="s">
        <v>35</v>
      </c>
      <c r="N263" s="14" t="s">
        <v>5671</v>
      </c>
      <c r="O263" s="92">
        <v>100</v>
      </c>
      <c r="P263" s="1">
        <v>1</v>
      </c>
      <c r="Q263" s="90">
        <v>0.21</v>
      </c>
      <c r="R263" s="90">
        <v>0.2</v>
      </c>
      <c r="S263" s="1"/>
      <c r="T263" s="95">
        <f t="shared" si="11"/>
        <v>96.8</v>
      </c>
      <c r="U263" s="1" t="s">
        <v>5819</v>
      </c>
      <c r="V263" s="5" t="s">
        <v>5820</v>
      </c>
      <c r="W263" s="2">
        <v>34035</v>
      </c>
      <c r="X263" s="2">
        <v>44407</v>
      </c>
      <c r="Y263" s="11" t="s">
        <v>5961</v>
      </c>
      <c r="Z263" s="3">
        <v>44490</v>
      </c>
      <c r="AA263" s="80" t="s">
        <v>1339</v>
      </c>
      <c r="AD263" t="s">
        <v>3198</v>
      </c>
      <c r="AG263" t="s">
        <v>3221</v>
      </c>
      <c r="AH263" s="2">
        <v>44459</v>
      </c>
      <c r="AI263" s="1"/>
      <c r="AK263" s="2">
        <v>44463</v>
      </c>
    </row>
    <row r="264" spans="1:37">
      <c r="A264" s="1">
        <v>263</v>
      </c>
      <c r="B264" t="s">
        <v>137</v>
      </c>
      <c r="C264" s="2">
        <v>44407</v>
      </c>
      <c r="D264" s="1" t="s">
        <v>5672</v>
      </c>
      <c r="E264" t="s">
        <v>5673</v>
      </c>
      <c r="F264" t="s">
        <v>5674</v>
      </c>
      <c r="G264" s="1">
        <v>4700</v>
      </c>
      <c r="H264" s="1" t="s">
        <v>3681</v>
      </c>
      <c r="K264" s="30" t="s">
        <v>1250</v>
      </c>
      <c r="L264" s="3">
        <v>44408</v>
      </c>
      <c r="M264" s="1" t="s">
        <v>35</v>
      </c>
      <c r="N264" s="14" t="s">
        <v>5675</v>
      </c>
      <c r="O264" s="187">
        <v>100</v>
      </c>
      <c r="P264" s="1">
        <v>1</v>
      </c>
      <c r="Q264" s="90">
        <v>0.21</v>
      </c>
      <c r="R264" s="90">
        <v>0.2</v>
      </c>
      <c r="T264" s="95">
        <f t="shared" si="11"/>
        <v>96.8</v>
      </c>
      <c r="U264" s="1" t="s">
        <v>5804</v>
      </c>
      <c r="V264" s="5" t="s">
        <v>5805</v>
      </c>
      <c r="W264" s="2">
        <v>35796</v>
      </c>
      <c r="X264" s="2">
        <v>44407</v>
      </c>
      <c r="Y264" s="11" t="s">
        <v>6148</v>
      </c>
      <c r="Z264" s="3">
        <v>44519</v>
      </c>
      <c r="AA264" s="80" t="s">
        <v>1339</v>
      </c>
      <c r="AB264" t="s">
        <v>5864</v>
      </c>
      <c r="AD264" t="s">
        <v>3198</v>
      </c>
      <c r="AG264" t="s">
        <v>5676</v>
      </c>
      <c r="AH264" s="2">
        <v>44449</v>
      </c>
      <c r="AK264" s="3">
        <v>44462</v>
      </c>
    </row>
    <row r="265" spans="1:37">
      <c r="A265" s="1">
        <v>264</v>
      </c>
      <c r="B265" s="61" t="s">
        <v>119</v>
      </c>
      <c r="C265" s="2">
        <v>44407</v>
      </c>
      <c r="D265" s="1" t="s">
        <v>4011</v>
      </c>
      <c r="E265" s="61" t="s">
        <v>4012</v>
      </c>
      <c r="F265" s="61" t="s">
        <v>4024</v>
      </c>
      <c r="G265" s="6" t="s">
        <v>239</v>
      </c>
      <c r="H265" s="1" t="s">
        <v>86</v>
      </c>
      <c r="I265" s="1" t="s">
        <v>4013</v>
      </c>
      <c r="J265" s="1" t="s">
        <v>5904</v>
      </c>
      <c r="K265" s="31" t="s">
        <v>174</v>
      </c>
      <c r="L265" s="3">
        <v>44408</v>
      </c>
      <c r="M265" s="1" t="s">
        <v>35</v>
      </c>
      <c r="N265" s="14" t="s">
        <v>5677</v>
      </c>
      <c r="O265" s="144">
        <v>60</v>
      </c>
      <c r="P265" s="1">
        <v>1</v>
      </c>
      <c r="Q265" s="90">
        <v>0.21</v>
      </c>
      <c r="R265" s="90">
        <v>0.2</v>
      </c>
      <c r="S265" s="1"/>
      <c r="T265" s="95">
        <f t="shared" si="11"/>
        <v>58.08</v>
      </c>
      <c r="U265" s="1" t="s">
        <v>4015</v>
      </c>
      <c r="V265" s="87" t="s">
        <v>5678</v>
      </c>
      <c r="W265" s="2">
        <v>31407</v>
      </c>
      <c r="X265" s="2">
        <v>44407</v>
      </c>
      <c r="Y265" s="11" t="s">
        <v>5778</v>
      </c>
      <c r="Z265" s="3">
        <v>44441</v>
      </c>
      <c r="AA265" s="80" t="s">
        <v>1339</v>
      </c>
      <c r="AD265" t="s">
        <v>3198</v>
      </c>
      <c r="AG265" s="1"/>
      <c r="AH265" s="2"/>
      <c r="AI265" s="1"/>
      <c r="AK265" s="2"/>
    </row>
    <row r="266" spans="1:37">
      <c r="A266" s="1">
        <v>265</v>
      </c>
      <c r="B266" t="s">
        <v>52</v>
      </c>
      <c r="C266" s="2">
        <v>44407</v>
      </c>
      <c r="D266" s="1" t="s">
        <v>256</v>
      </c>
      <c r="E266" s="31" t="s">
        <v>155</v>
      </c>
      <c r="F266" s="31" t="s">
        <v>138</v>
      </c>
      <c r="G266" s="33" t="s">
        <v>227</v>
      </c>
      <c r="H266" s="30" t="s">
        <v>203</v>
      </c>
      <c r="I266" s="31">
        <v>631130911</v>
      </c>
      <c r="K266" s="1" t="s">
        <v>4432</v>
      </c>
      <c r="L266" s="3">
        <v>44408</v>
      </c>
      <c r="M266" s="1" t="s">
        <v>35</v>
      </c>
      <c r="N266" s="14" t="s">
        <v>5679</v>
      </c>
      <c r="O266" s="187">
        <v>100</v>
      </c>
      <c r="P266" s="1">
        <v>1</v>
      </c>
      <c r="Q266" s="90">
        <v>0.21</v>
      </c>
      <c r="R266" s="90">
        <v>0.2</v>
      </c>
      <c r="T266" s="95">
        <f t="shared" si="11"/>
        <v>96.8</v>
      </c>
      <c r="U266" s="1" t="s">
        <v>5840</v>
      </c>
      <c r="V266" s="5" t="s">
        <v>5841</v>
      </c>
      <c r="W266" s="2">
        <v>32927</v>
      </c>
      <c r="X266" s="2">
        <v>44407</v>
      </c>
      <c r="Y266" s="11" t="s">
        <v>6490</v>
      </c>
      <c r="Z266" s="3">
        <v>44619</v>
      </c>
      <c r="AA266" s="80" t="s">
        <v>1339</v>
      </c>
      <c r="AC266" s="115">
        <v>44512</v>
      </c>
      <c r="AD266" t="s">
        <v>3198</v>
      </c>
      <c r="AG266" t="s">
        <v>3108</v>
      </c>
      <c r="AH266" s="2">
        <v>44460</v>
      </c>
      <c r="AK266" s="3">
        <v>44462</v>
      </c>
    </row>
    <row r="267" spans="1:37" s="31" customFormat="1">
      <c r="A267" s="30">
        <v>266</v>
      </c>
      <c r="B267" s="31" t="s">
        <v>37</v>
      </c>
      <c r="C267" s="2">
        <v>44407</v>
      </c>
      <c r="D267" s="31" t="s">
        <v>868</v>
      </c>
      <c r="E267" t="s">
        <v>869</v>
      </c>
      <c r="F267" s="31" t="s">
        <v>870</v>
      </c>
      <c r="G267" s="63" t="s">
        <v>219</v>
      </c>
      <c r="H267" s="31" t="s">
        <v>38</v>
      </c>
      <c r="I267" s="31" t="s">
        <v>5682</v>
      </c>
      <c r="K267" s="31" t="s">
        <v>868</v>
      </c>
      <c r="L267" s="3">
        <v>44408</v>
      </c>
      <c r="M267" s="31" t="s">
        <v>35</v>
      </c>
      <c r="N267" s="14" t="s">
        <v>5683</v>
      </c>
      <c r="O267" s="187">
        <v>100</v>
      </c>
      <c r="P267" s="1">
        <v>1</v>
      </c>
      <c r="Q267" s="90">
        <v>0.21</v>
      </c>
      <c r="R267" s="90">
        <v>0</v>
      </c>
      <c r="T267" s="95">
        <f t="shared" si="11"/>
        <v>121</v>
      </c>
      <c r="U267" s="1" t="s">
        <v>5822</v>
      </c>
      <c r="V267" s="5" t="s">
        <v>5821</v>
      </c>
      <c r="W267" s="34">
        <v>34636</v>
      </c>
      <c r="X267" s="2">
        <v>44407</v>
      </c>
      <c r="Y267" s="11" t="s">
        <v>5961</v>
      </c>
      <c r="Z267" s="3">
        <v>44490</v>
      </c>
      <c r="AA267" s="80" t="s">
        <v>1339</v>
      </c>
      <c r="AB267"/>
      <c r="AC267"/>
      <c r="AD267" t="s">
        <v>3198</v>
      </c>
      <c r="AG267" t="s">
        <v>3221</v>
      </c>
      <c r="AH267" s="34">
        <v>44459</v>
      </c>
      <c r="AJ267" s="34"/>
      <c r="AK267" s="34">
        <v>44461</v>
      </c>
    </row>
    <row r="268" spans="1:37">
      <c r="A268" s="1">
        <v>267</v>
      </c>
      <c r="B268" t="s">
        <v>423</v>
      </c>
      <c r="C268" s="2">
        <v>44407</v>
      </c>
      <c r="D268" t="s">
        <v>3217</v>
      </c>
      <c r="E268" t="s">
        <v>91</v>
      </c>
      <c r="F268" t="s">
        <v>3218</v>
      </c>
      <c r="G268" s="6" t="s">
        <v>219</v>
      </c>
      <c r="H268" t="s">
        <v>38</v>
      </c>
      <c r="I268">
        <v>629562761</v>
      </c>
      <c r="K268" t="s">
        <v>3217</v>
      </c>
      <c r="L268" s="3">
        <v>44408</v>
      </c>
      <c r="M268" s="1" t="s">
        <v>35</v>
      </c>
      <c r="N268" s="14" t="s">
        <v>5684</v>
      </c>
      <c r="O268" s="187">
        <v>100</v>
      </c>
      <c r="P268" s="1">
        <v>1</v>
      </c>
      <c r="Q268" s="90">
        <v>0.21</v>
      </c>
      <c r="R268" s="90">
        <v>0.2</v>
      </c>
      <c r="T268" s="95">
        <f t="shared" si="11"/>
        <v>96.8</v>
      </c>
      <c r="U268" s="1" t="s">
        <v>5823</v>
      </c>
      <c r="V268" s="5" t="s">
        <v>5824</v>
      </c>
      <c r="W268" s="2">
        <v>35482</v>
      </c>
      <c r="X268" s="2">
        <v>44407</v>
      </c>
      <c r="Y268" s="11" t="s">
        <v>5870</v>
      </c>
      <c r="Z268" s="3">
        <v>44468</v>
      </c>
      <c r="AA268" s="80" t="s">
        <v>1339</v>
      </c>
      <c r="AD268" t="s">
        <v>3198</v>
      </c>
      <c r="AG268" t="s">
        <v>3221</v>
      </c>
      <c r="AH268" s="2">
        <v>44459</v>
      </c>
      <c r="AK268" s="3">
        <v>44460</v>
      </c>
    </row>
    <row r="269" spans="1:37">
      <c r="A269" s="1">
        <v>268</v>
      </c>
      <c r="B269" t="s">
        <v>37</v>
      </c>
      <c r="C269" s="2">
        <v>44407</v>
      </c>
      <c r="D269" s="1" t="s">
        <v>5685</v>
      </c>
      <c r="E269" t="s">
        <v>5686</v>
      </c>
      <c r="F269" t="s">
        <v>5687</v>
      </c>
      <c r="G269" s="1">
        <v>4200</v>
      </c>
      <c r="H269" s="1" t="s">
        <v>1266</v>
      </c>
      <c r="I269" s="1">
        <v>6400563650</v>
      </c>
      <c r="K269" s="1" t="s">
        <v>5685</v>
      </c>
      <c r="L269" s="3">
        <v>44408</v>
      </c>
      <c r="M269" s="1" t="s">
        <v>35</v>
      </c>
      <c r="N269" s="14" t="s">
        <v>5688</v>
      </c>
      <c r="O269" s="187">
        <v>100</v>
      </c>
      <c r="P269" s="1">
        <v>1</v>
      </c>
      <c r="Q269" s="90">
        <v>0.21</v>
      </c>
      <c r="R269" s="90">
        <v>0.2</v>
      </c>
      <c r="T269" s="95">
        <f t="shared" si="11"/>
        <v>96.8</v>
      </c>
      <c r="U269" s="1" t="s">
        <v>5807</v>
      </c>
      <c r="V269" s="5" t="s">
        <v>5808</v>
      </c>
      <c r="W269" s="2">
        <v>30929</v>
      </c>
      <c r="X269" s="2">
        <v>44407</v>
      </c>
      <c r="Y269" s="13" t="s">
        <v>6487</v>
      </c>
      <c r="Z269" s="3">
        <v>44610</v>
      </c>
      <c r="AA269" s="80" t="s">
        <v>1339</v>
      </c>
      <c r="AB269" t="s">
        <v>6488</v>
      </c>
      <c r="AC269" s="236">
        <v>44526</v>
      </c>
      <c r="AD269" t="s">
        <v>3198</v>
      </c>
      <c r="AG269" t="s">
        <v>5689</v>
      </c>
      <c r="AH269" s="2">
        <v>44449</v>
      </c>
      <c r="AK269" s="3">
        <v>44461</v>
      </c>
    </row>
    <row r="270" spans="1:37">
      <c r="A270" s="1">
        <v>269</v>
      </c>
      <c r="B270" t="s">
        <v>37</v>
      </c>
      <c r="C270" s="2">
        <v>44407</v>
      </c>
      <c r="D270" s="1" t="s">
        <v>5685</v>
      </c>
      <c r="E270" t="s">
        <v>5686</v>
      </c>
      <c r="F270" t="s">
        <v>5687</v>
      </c>
      <c r="G270" s="1">
        <v>4200</v>
      </c>
      <c r="H270" s="1" t="s">
        <v>1266</v>
      </c>
      <c r="I270" s="1">
        <v>6400563650</v>
      </c>
      <c r="K270" s="1" t="s">
        <v>5685</v>
      </c>
      <c r="L270" s="3">
        <v>44408</v>
      </c>
      <c r="M270" s="1" t="s">
        <v>35</v>
      </c>
      <c r="N270" s="14" t="s">
        <v>5690</v>
      </c>
      <c r="O270" s="187">
        <v>100</v>
      </c>
      <c r="P270" s="1">
        <v>1</v>
      </c>
      <c r="Q270" s="90">
        <v>0.21</v>
      </c>
      <c r="R270" s="90">
        <v>0.2</v>
      </c>
      <c r="T270" s="95">
        <f t="shared" si="11"/>
        <v>96.8</v>
      </c>
      <c r="U270" s="1" t="s">
        <v>5814</v>
      </c>
      <c r="V270" s="5" t="s">
        <v>5815</v>
      </c>
      <c r="W270" s="2">
        <v>38311</v>
      </c>
      <c r="X270" s="2">
        <v>44407</v>
      </c>
      <c r="Y270" s="13" t="s">
        <v>6487</v>
      </c>
      <c r="Z270" s="3">
        <v>44610</v>
      </c>
      <c r="AA270" s="80" t="s">
        <v>1339</v>
      </c>
      <c r="AB270" t="s">
        <v>6488</v>
      </c>
      <c r="AC270" s="236">
        <v>44526</v>
      </c>
      <c r="AD270" t="s">
        <v>3198</v>
      </c>
      <c r="AG270" t="s">
        <v>3812</v>
      </c>
      <c r="AH270" s="2">
        <v>44449</v>
      </c>
      <c r="AK270" s="34">
        <v>44461</v>
      </c>
    </row>
    <row r="271" spans="1:37">
      <c r="A271" s="1">
        <v>270</v>
      </c>
      <c r="B271" t="s">
        <v>37</v>
      </c>
      <c r="C271" s="2">
        <v>44407</v>
      </c>
      <c r="D271" s="1" t="s">
        <v>5685</v>
      </c>
      <c r="E271" t="s">
        <v>5686</v>
      </c>
      <c r="F271" t="s">
        <v>5687</v>
      </c>
      <c r="G271" s="1">
        <v>4200</v>
      </c>
      <c r="H271" s="1" t="s">
        <v>1266</v>
      </c>
      <c r="I271" s="1">
        <v>6400563650</v>
      </c>
      <c r="K271" s="1" t="s">
        <v>5685</v>
      </c>
      <c r="L271" s="3">
        <v>44408</v>
      </c>
      <c r="M271" s="1" t="s">
        <v>35</v>
      </c>
      <c r="N271" s="14" t="s">
        <v>5813</v>
      </c>
      <c r="O271" s="187">
        <v>100</v>
      </c>
      <c r="P271" s="1">
        <v>1</v>
      </c>
      <c r="Q271" s="90">
        <v>0.21</v>
      </c>
      <c r="R271" s="90">
        <v>0.2</v>
      </c>
      <c r="T271" s="95">
        <f t="shared" si="11"/>
        <v>96.8</v>
      </c>
      <c r="U271" s="1" t="s">
        <v>5811</v>
      </c>
      <c r="V271" s="5" t="s">
        <v>5812</v>
      </c>
      <c r="W271" s="2">
        <v>43012</v>
      </c>
      <c r="X271" s="2">
        <v>44407</v>
      </c>
      <c r="Y271" s="13" t="s">
        <v>6487</v>
      </c>
      <c r="Z271" s="3">
        <v>44610</v>
      </c>
      <c r="AA271" s="80" t="s">
        <v>1339</v>
      </c>
      <c r="AB271" t="s">
        <v>6488</v>
      </c>
      <c r="AC271" s="236">
        <v>44526</v>
      </c>
      <c r="AD271" t="s">
        <v>3198</v>
      </c>
      <c r="AG271" t="s">
        <v>3108</v>
      </c>
      <c r="AH271" s="2">
        <v>44449</v>
      </c>
      <c r="AK271" s="34">
        <v>44461</v>
      </c>
    </row>
    <row r="272" spans="1:37">
      <c r="A272" s="1">
        <v>271</v>
      </c>
      <c r="B272" t="s">
        <v>37</v>
      </c>
      <c r="C272" s="2">
        <v>44408</v>
      </c>
      <c r="D272" s="1" t="s">
        <v>5105</v>
      </c>
      <c r="E272" t="s">
        <v>5106</v>
      </c>
      <c r="F272" s="61" t="s">
        <v>5107</v>
      </c>
      <c r="G272" s="6" t="s">
        <v>219</v>
      </c>
      <c r="H272" s="1" t="s">
        <v>38</v>
      </c>
      <c r="I272" s="1">
        <v>622199031</v>
      </c>
      <c r="K272" s="1" t="s">
        <v>5105</v>
      </c>
      <c r="L272" s="3">
        <v>44408</v>
      </c>
      <c r="M272" s="1" t="s">
        <v>35</v>
      </c>
      <c r="N272" s="14" t="s">
        <v>5691</v>
      </c>
      <c r="O272" s="187">
        <v>60</v>
      </c>
      <c r="P272" s="1">
        <v>1</v>
      </c>
      <c r="Q272" s="90">
        <v>0.21</v>
      </c>
      <c r="R272" s="90">
        <v>0</v>
      </c>
      <c r="T272" s="95">
        <f t="shared" si="11"/>
        <v>72.599999999999994</v>
      </c>
      <c r="U272" s="1" t="s">
        <v>5105</v>
      </c>
      <c r="V272" s="6" t="s">
        <v>5692</v>
      </c>
      <c r="W272" s="2">
        <v>32542</v>
      </c>
      <c r="X272" s="2">
        <v>44408</v>
      </c>
      <c r="Y272" s="11" t="s">
        <v>5778</v>
      </c>
      <c r="Z272" s="3">
        <v>44441</v>
      </c>
      <c r="AA272" s="80" t="s">
        <v>1339</v>
      </c>
      <c r="AD272" t="s">
        <v>3198</v>
      </c>
    </row>
    <row r="273" spans="1:37">
      <c r="A273" s="1">
        <v>272</v>
      </c>
      <c r="B273" t="s">
        <v>37</v>
      </c>
      <c r="C273" s="2">
        <v>44408</v>
      </c>
      <c r="D273" s="1" t="s">
        <v>5105</v>
      </c>
      <c r="E273" t="s">
        <v>5106</v>
      </c>
      <c r="F273" s="61" t="s">
        <v>5107</v>
      </c>
      <c r="G273" s="6" t="s">
        <v>219</v>
      </c>
      <c r="H273" s="1" t="s">
        <v>38</v>
      </c>
      <c r="I273" s="1">
        <v>622199031</v>
      </c>
      <c r="K273" s="1" t="s">
        <v>5105</v>
      </c>
      <c r="L273" s="3">
        <v>44408</v>
      </c>
      <c r="M273" s="1" t="s">
        <v>35</v>
      </c>
      <c r="N273" s="14" t="s">
        <v>5693</v>
      </c>
      <c r="O273" s="187">
        <v>60</v>
      </c>
      <c r="P273" s="1">
        <v>1</v>
      </c>
      <c r="Q273" s="90">
        <v>0.21</v>
      </c>
      <c r="R273" s="90">
        <v>0</v>
      </c>
      <c r="T273" s="95">
        <f t="shared" si="11"/>
        <v>72.599999999999994</v>
      </c>
      <c r="U273" s="1" t="s">
        <v>5242</v>
      </c>
      <c r="V273" s="221" t="s">
        <v>5695</v>
      </c>
      <c r="W273" s="2">
        <v>41275</v>
      </c>
      <c r="X273" s="2">
        <v>44408</v>
      </c>
      <c r="Y273" s="11" t="s">
        <v>5936</v>
      </c>
      <c r="Z273" s="3">
        <v>44489</v>
      </c>
      <c r="AA273" s="80" t="s">
        <v>1339</v>
      </c>
      <c r="AD273" t="s">
        <v>3198</v>
      </c>
      <c r="AG273" t="s">
        <v>5694</v>
      </c>
      <c r="AH273" s="2">
        <v>44482</v>
      </c>
      <c r="AK273" s="3">
        <v>44482</v>
      </c>
    </row>
    <row r="274" spans="1:37" s="153" customFormat="1">
      <c r="A274" s="149">
        <v>273</v>
      </c>
      <c r="B274" s="150" t="s">
        <v>4092</v>
      </c>
      <c r="C274" s="151">
        <v>44408</v>
      </c>
      <c r="D274" s="149" t="s">
        <v>2801</v>
      </c>
      <c r="E274" s="150" t="s">
        <v>4093</v>
      </c>
      <c r="F274" s="150" t="s">
        <v>5696</v>
      </c>
      <c r="G274" s="152" t="s">
        <v>928</v>
      </c>
      <c r="H274" s="149" t="s">
        <v>3681</v>
      </c>
      <c r="I274" s="149">
        <v>672818929</v>
      </c>
      <c r="K274" s="149" t="s">
        <v>2801</v>
      </c>
      <c r="L274" s="154">
        <v>44408</v>
      </c>
      <c r="M274" s="149" t="s">
        <v>35</v>
      </c>
      <c r="N274" s="153" t="s">
        <v>4094</v>
      </c>
      <c r="O274" s="155" t="s">
        <v>3407</v>
      </c>
      <c r="P274" s="149" t="s">
        <v>3407</v>
      </c>
      <c r="Q274" s="156" t="s">
        <v>3407</v>
      </c>
      <c r="R274" s="156" t="s">
        <v>3407</v>
      </c>
      <c r="S274" s="149"/>
      <c r="T274" s="95" t="s">
        <v>3407</v>
      </c>
      <c r="U274" s="149" t="s">
        <v>2801</v>
      </c>
      <c r="V274" s="225" t="s">
        <v>5699</v>
      </c>
      <c r="W274" s="151">
        <v>31256</v>
      </c>
      <c r="X274" s="151">
        <v>44408</v>
      </c>
      <c r="Y274" s="11" t="s">
        <v>6661</v>
      </c>
      <c r="Z274" s="154">
        <v>44553</v>
      </c>
      <c r="AA274" s="193" t="s">
        <v>1339</v>
      </c>
      <c r="AC274" s="162">
        <v>44582</v>
      </c>
      <c r="AD274" s="153" t="s">
        <v>3198</v>
      </c>
      <c r="AG274" s="149" t="s">
        <v>5800</v>
      </c>
      <c r="AH274" s="149"/>
      <c r="AI274" s="149"/>
      <c r="AK274" s="151">
        <v>44442</v>
      </c>
    </row>
    <row r="275" spans="1:37" s="153" customFormat="1">
      <c r="A275" s="149">
        <v>274</v>
      </c>
      <c r="B275" s="150" t="s">
        <v>4092</v>
      </c>
      <c r="C275" s="151">
        <v>44408</v>
      </c>
      <c r="D275" s="149" t="s">
        <v>3875</v>
      </c>
      <c r="E275" s="150" t="s">
        <v>3876</v>
      </c>
      <c r="F275" s="150" t="s">
        <v>5696</v>
      </c>
      <c r="G275" s="152" t="s">
        <v>928</v>
      </c>
      <c r="H275" s="149" t="s">
        <v>3681</v>
      </c>
      <c r="I275" s="149">
        <v>672818929</v>
      </c>
      <c r="K275" s="149" t="s">
        <v>3875</v>
      </c>
      <c r="L275" s="154">
        <v>44408</v>
      </c>
      <c r="M275" s="149" t="s">
        <v>35</v>
      </c>
      <c r="N275" s="191" t="s">
        <v>5697</v>
      </c>
      <c r="O275" s="222" t="s">
        <v>3407</v>
      </c>
      <c r="P275" s="149" t="s">
        <v>3407</v>
      </c>
      <c r="Q275" s="149" t="s">
        <v>3407</v>
      </c>
      <c r="R275" s="149" t="s">
        <v>3407</v>
      </c>
      <c r="S275" s="149"/>
      <c r="T275" s="95" t="s">
        <v>3407</v>
      </c>
      <c r="U275" s="149" t="s">
        <v>3875</v>
      </c>
      <c r="V275" s="225" t="s">
        <v>5702</v>
      </c>
      <c r="W275" s="151">
        <v>30517</v>
      </c>
      <c r="X275" s="151">
        <v>44408</v>
      </c>
      <c r="Y275" s="11" t="s">
        <v>6661</v>
      </c>
      <c r="Z275" s="154">
        <v>44578</v>
      </c>
      <c r="AA275" s="193" t="s">
        <v>1339</v>
      </c>
      <c r="AB275" s="153" t="s">
        <v>5228</v>
      </c>
      <c r="AC275" s="162">
        <v>44582</v>
      </c>
      <c r="AD275" s="153" t="s">
        <v>3198</v>
      </c>
      <c r="AG275" s="149" t="s">
        <v>5700</v>
      </c>
      <c r="AH275" s="149"/>
      <c r="AI275" s="151"/>
      <c r="AK275" s="151">
        <v>44442</v>
      </c>
    </row>
    <row r="276" spans="1:37" s="153" customFormat="1">
      <c r="A276" s="149">
        <v>275</v>
      </c>
      <c r="B276" s="150" t="s">
        <v>4092</v>
      </c>
      <c r="C276" s="151">
        <v>44408</v>
      </c>
      <c r="D276" s="149" t="s">
        <v>3877</v>
      </c>
      <c r="E276" s="150" t="s">
        <v>3878</v>
      </c>
      <c r="F276" s="150" t="s">
        <v>5696</v>
      </c>
      <c r="G276" s="152" t="s">
        <v>928</v>
      </c>
      <c r="H276" s="149" t="s">
        <v>3681</v>
      </c>
      <c r="I276" s="149">
        <v>672818929</v>
      </c>
      <c r="J276" s="149"/>
      <c r="K276" s="149" t="s">
        <v>3877</v>
      </c>
      <c r="L276" s="154">
        <v>44408</v>
      </c>
      <c r="M276" s="149" t="s">
        <v>35</v>
      </c>
      <c r="N276" s="191" t="s">
        <v>5698</v>
      </c>
      <c r="O276" s="222" t="s">
        <v>3407</v>
      </c>
      <c r="P276" s="149" t="s">
        <v>3407</v>
      </c>
      <c r="Q276" s="223" t="s">
        <v>3407</v>
      </c>
      <c r="R276" s="224" t="s">
        <v>3407</v>
      </c>
      <c r="S276" s="149"/>
      <c r="T276" s="95" t="s">
        <v>3407</v>
      </c>
      <c r="U276" s="149" t="s">
        <v>3877</v>
      </c>
      <c r="V276" s="225" t="s">
        <v>5703</v>
      </c>
      <c r="W276" s="151">
        <v>42435</v>
      </c>
      <c r="X276" s="151">
        <v>44408</v>
      </c>
      <c r="Y276" s="11" t="s">
        <v>6661</v>
      </c>
      <c r="Z276" s="154">
        <v>44565</v>
      </c>
      <c r="AA276" s="193" t="s">
        <v>1339</v>
      </c>
      <c r="AC276" s="162">
        <v>44582</v>
      </c>
      <c r="AD276" s="153" t="s">
        <v>3198</v>
      </c>
      <c r="AG276" s="149" t="s">
        <v>5701</v>
      </c>
      <c r="AH276" s="149"/>
      <c r="AI276" s="151"/>
      <c r="AK276" s="151">
        <v>44442</v>
      </c>
    </row>
    <row r="277" spans="1:37">
      <c r="A277" s="1">
        <v>276</v>
      </c>
      <c r="B277" s="61" t="s">
        <v>37</v>
      </c>
      <c r="C277" s="2">
        <v>44408</v>
      </c>
      <c r="D277" t="s">
        <v>5809</v>
      </c>
      <c r="E277" s="61" t="s">
        <v>5704</v>
      </c>
      <c r="F277" s="61" t="s">
        <v>5705</v>
      </c>
      <c r="G277" s="1">
        <v>4470</v>
      </c>
      <c r="H277" s="1" t="s">
        <v>4919</v>
      </c>
      <c r="I277" s="1">
        <v>631587864</v>
      </c>
      <c r="K277" s="1" t="s">
        <v>5809</v>
      </c>
      <c r="L277" s="3">
        <v>44408</v>
      </c>
      <c r="M277" s="1" t="s">
        <v>35</v>
      </c>
      <c r="N277" s="14" t="s">
        <v>5706</v>
      </c>
      <c r="O277" s="187">
        <v>100</v>
      </c>
      <c r="P277" s="1">
        <v>1</v>
      </c>
      <c r="Q277" s="128">
        <v>0.21</v>
      </c>
      <c r="R277" s="128">
        <v>0</v>
      </c>
      <c r="T277" s="95">
        <f t="shared" ref="T277:T302" si="12">SUM(O277-(O277*R277))*Q277+(O277-(O277*R277))</f>
        <v>121</v>
      </c>
      <c r="U277" s="1" t="s">
        <v>5809</v>
      </c>
      <c r="V277" s="5" t="s">
        <v>5810</v>
      </c>
      <c r="W277" s="2">
        <v>33161</v>
      </c>
      <c r="X277" s="2">
        <v>44408</v>
      </c>
      <c r="Y277" s="11" t="s">
        <v>6125</v>
      </c>
      <c r="Z277" s="3">
        <v>44518</v>
      </c>
      <c r="AA277" s="80" t="s">
        <v>1339</v>
      </c>
      <c r="AD277" t="s">
        <v>3198</v>
      </c>
      <c r="AG277" t="s">
        <v>5707</v>
      </c>
      <c r="AH277" s="2">
        <v>44449</v>
      </c>
      <c r="AK277" s="3">
        <v>44459</v>
      </c>
    </row>
    <row r="278" spans="1:37">
      <c r="A278" s="1">
        <v>277</v>
      </c>
      <c r="B278" s="61" t="s">
        <v>33</v>
      </c>
      <c r="C278" s="2">
        <v>44425</v>
      </c>
      <c r="D278" s="1" t="s">
        <v>2669</v>
      </c>
      <c r="E278" s="61" t="s">
        <v>2670</v>
      </c>
      <c r="F278" s="61" t="s">
        <v>3850</v>
      </c>
      <c r="G278" s="6" t="s">
        <v>304</v>
      </c>
      <c r="H278" s="1" t="s">
        <v>3851</v>
      </c>
      <c r="I278" s="1" t="s">
        <v>3852</v>
      </c>
      <c r="J278" s="1" t="s">
        <v>5903</v>
      </c>
      <c r="K278" t="s">
        <v>237</v>
      </c>
      <c r="L278" s="2">
        <v>44439</v>
      </c>
      <c r="M278" s="1" t="s">
        <v>35</v>
      </c>
      <c r="N278" s="14" t="s">
        <v>5712</v>
      </c>
      <c r="O278" s="92">
        <v>75</v>
      </c>
      <c r="P278" s="1">
        <v>1</v>
      </c>
      <c r="Q278" s="90">
        <v>0.21</v>
      </c>
      <c r="R278" s="128">
        <v>0.2</v>
      </c>
      <c r="S278" s="1"/>
      <c r="T278" s="95">
        <f t="shared" si="12"/>
        <v>72.599999999999994</v>
      </c>
      <c r="U278" s="1" t="s">
        <v>3854</v>
      </c>
      <c r="V278" s="87" t="s">
        <v>5713</v>
      </c>
      <c r="W278" s="2">
        <v>27463</v>
      </c>
      <c r="X278" s="2">
        <v>44425</v>
      </c>
      <c r="Y278" s="11" t="s">
        <v>5828</v>
      </c>
      <c r="Z278" s="3">
        <v>44459</v>
      </c>
      <c r="AA278" s="80" t="s">
        <v>1339</v>
      </c>
      <c r="AD278" t="s">
        <v>3198</v>
      </c>
      <c r="AG278" s="1"/>
      <c r="AI278" s="2"/>
      <c r="AK278" s="2"/>
    </row>
    <row r="279" spans="1:37">
      <c r="A279" s="1">
        <v>278</v>
      </c>
      <c r="B279" t="s">
        <v>33</v>
      </c>
      <c r="C279" s="2">
        <v>44425</v>
      </c>
      <c r="D279" s="1" t="s">
        <v>1160</v>
      </c>
      <c r="E279" t="s">
        <v>1161</v>
      </c>
      <c r="F279" t="s">
        <v>5046</v>
      </c>
      <c r="G279" s="6" t="s">
        <v>304</v>
      </c>
      <c r="H279" s="1" t="s">
        <v>68</v>
      </c>
      <c r="J279" t="s">
        <v>5903</v>
      </c>
      <c r="K279" s="30" t="s">
        <v>237</v>
      </c>
      <c r="L279" s="2">
        <v>44439</v>
      </c>
      <c r="M279" s="1" t="s">
        <v>35</v>
      </c>
      <c r="N279" s="14" t="s">
        <v>5047</v>
      </c>
      <c r="O279" s="187">
        <v>125</v>
      </c>
      <c r="P279" s="1">
        <v>1</v>
      </c>
      <c r="Q279" s="90">
        <v>0.21</v>
      </c>
      <c r="R279" s="90">
        <v>0.2</v>
      </c>
      <c r="T279" s="95">
        <f t="shared" si="12"/>
        <v>121</v>
      </c>
      <c r="U279" s="1" t="s">
        <v>5222</v>
      </c>
      <c r="V279" s="5" t="s">
        <v>5825</v>
      </c>
      <c r="W279" s="2">
        <v>36526</v>
      </c>
      <c r="X279" s="2">
        <v>44425</v>
      </c>
      <c r="Y279" s="11" t="s">
        <v>5892</v>
      </c>
      <c r="Z279" s="3">
        <v>44476</v>
      </c>
      <c r="AA279" s="80" t="s">
        <v>1339</v>
      </c>
      <c r="AD279" t="s">
        <v>3198</v>
      </c>
      <c r="AG279" t="s">
        <v>5757</v>
      </c>
      <c r="AH279" s="3">
        <v>44459</v>
      </c>
      <c r="AK279" s="3">
        <v>44463</v>
      </c>
    </row>
    <row r="280" spans="1:37">
      <c r="A280" s="1">
        <v>279</v>
      </c>
      <c r="B280" t="s">
        <v>45</v>
      </c>
      <c r="C280" s="2">
        <v>44427</v>
      </c>
      <c r="D280" s="1" t="s">
        <v>5726</v>
      </c>
      <c r="E280" t="s">
        <v>5727</v>
      </c>
      <c r="F280" t="s">
        <v>5728</v>
      </c>
      <c r="G280" s="6" t="s">
        <v>221</v>
      </c>
      <c r="H280" s="1" t="s">
        <v>34</v>
      </c>
      <c r="I280" s="14">
        <v>628869680</v>
      </c>
      <c r="J280" s="229" t="s">
        <v>5837</v>
      </c>
      <c r="K280" s="1" t="s">
        <v>5726</v>
      </c>
      <c r="L280" s="2">
        <v>44439</v>
      </c>
      <c r="M280" s="1" t="s">
        <v>35</v>
      </c>
      <c r="N280" s="14" t="s">
        <v>5729</v>
      </c>
      <c r="O280" s="187">
        <v>125</v>
      </c>
      <c r="P280" s="1">
        <v>1</v>
      </c>
      <c r="Q280" s="90">
        <v>0.21</v>
      </c>
      <c r="R280" s="90">
        <v>0.2</v>
      </c>
      <c r="T280" s="95">
        <f t="shared" si="12"/>
        <v>121</v>
      </c>
      <c r="U280" s="1" t="s">
        <v>5868</v>
      </c>
      <c r="V280" s="5" t="s">
        <v>5869</v>
      </c>
      <c r="W280" s="2">
        <v>29451</v>
      </c>
      <c r="X280" s="2">
        <v>44427</v>
      </c>
      <c r="Y280" s="11" t="s">
        <v>6326</v>
      </c>
      <c r="Z280" s="3">
        <v>44554</v>
      </c>
      <c r="AA280" s="80" t="s">
        <v>1339</v>
      </c>
      <c r="AD280" t="s">
        <v>3198</v>
      </c>
      <c r="AG280" t="s">
        <v>5730</v>
      </c>
      <c r="AH280" s="2">
        <v>44466</v>
      </c>
      <c r="AK280" s="3">
        <v>44473</v>
      </c>
    </row>
    <row r="281" spans="1:37">
      <c r="A281" s="1">
        <v>280</v>
      </c>
      <c r="B281" t="s">
        <v>1414</v>
      </c>
      <c r="C281" s="2">
        <v>44427</v>
      </c>
      <c r="D281" s="1" t="s">
        <v>1079</v>
      </c>
      <c r="E281" t="s">
        <v>41</v>
      </c>
      <c r="F281" s="61" t="s">
        <v>2115</v>
      </c>
      <c r="G281" s="1" t="s">
        <v>230</v>
      </c>
      <c r="H281" s="1" t="s">
        <v>1262</v>
      </c>
      <c r="I281" s="1">
        <v>631212115</v>
      </c>
      <c r="K281" s="1" t="s">
        <v>1079</v>
      </c>
      <c r="L281" s="2">
        <v>44439</v>
      </c>
      <c r="M281" s="1" t="s">
        <v>35</v>
      </c>
      <c r="N281" s="14" t="s">
        <v>5743</v>
      </c>
      <c r="O281" s="187">
        <v>125</v>
      </c>
      <c r="P281" s="1">
        <v>1</v>
      </c>
      <c r="Q281" s="90">
        <v>0.21</v>
      </c>
      <c r="R281" s="90">
        <v>0.2</v>
      </c>
      <c r="T281" s="95">
        <f t="shared" si="12"/>
        <v>121</v>
      </c>
      <c r="U281" s="1" t="s">
        <v>5866</v>
      </c>
      <c r="V281" s="5" t="s">
        <v>5867</v>
      </c>
      <c r="W281" s="2">
        <v>36160</v>
      </c>
      <c r="X281" s="2">
        <v>44427</v>
      </c>
      <c r="Y281" s="11" t="s">
        <v>6723</v>
      </c>
      <c r="Z281" s="3">
        <v>44663</v>
      </c>
      <c r="AA281" s="80" t="s">
        <v>1339</v>
      </c>
      <c r="AC281" s="162">
        <v>44585</v>
      </c>
      <c r="AD281" t="s">
        <v>3198</v>
      </c>
      <c r="AG281" t="s">
        <v>3108</v>
      </c>
      <c r="AH281" s="2">
        <v>44474</v>
      </c>
      <c r="AK281" s="3">
        <v>44474</v>
      </c>
    </row>
    <row r="282" spans="1:37">
      <c r="A282" s="1">
        <v>281</v>
      </c>
      <c r="B282" t="s">
        <v>52</v>
      </c>
      <c r="C282" s="2">
        <v>44431</v>
      </c>
      <c r="D282" s="30" t="s">
        <v>458</v>
      </c>
      <c r="E282" t="s">
        <v>84</v>
      </c>
      <c r="F282" s="103" t="s">
        <v>138</v>
      </c>
      <c r="G282" s="30" t="s">
        <v>227</v>
      </c>
      <c r="H282" s="31" t="s">
        <v>203</v>
      </c>
      <c r="I282" s="30" t="s">
        <v>5906</v>
      </c>
      <c r="J282" s="30" t="s">
        <v>5906</v>
      </c>
      <c r="K282" s="1" t="s">
        <v>4432</v>
      </c>
      <c r="L282" s="2">
        <v>44439</v>
      </c>
      <c r="M282" t="s">
        <v>35</v>
      </c>
      <c r="N282" s="14" t="s">
        <v>5746</v>
      </c>
      <c r="O282" s="187">
        <v>125</v>
      </c>
      <c r="P282" s="1">
        <v>1</v>
      </c>
      <c r="Q282" s="90">
        <v>0.21</v>
      </c>
      <c r="R282" s="90">
        <v>0.2</v>
      </c>
      <c r="T282" s="95">
        <f t="shared" si="12"/>
        <v>121</v>
      </c>
      <c r="U282" s="1" t="s">
        <v>5838</v>
      </c>
      <c r="V282" s="5" t="s">
        <v>5839</v>
      </c>
      <c r="W282" s="2">
        <v>31777</v>
      </c>
      <c r="X282" s="2">
        <v>44431</v>
      </c>
      <c r="Y282" s="11" t="s">
        <v>5892</v>
      </c>
      <c r="Z282" s="3">
        <v>44476</v>
      </c>
      <c r="AA282" s="80" t="s">
        <v>1339</v>
      </c>
      <c r="AD282" t="s">
        <v>3198</v>
      </c>
      <c r="AG282" t="s">
        <v>5559</v>
      </c>
      <c r="AH282" s="2">
        <v>44460</v>
      </c>
      <c r="AK282" s="3">
        <v>44463</v>
      </c>
    </row>
    <row r="283" spans="1:37">
      <c r="A283" s="1">
        <v>282</v>
      </c>
      <c r="B283" t="s">
        <v>40</v>
      </c>
      <c r="C283" s="2">
        <v>44431</v>
      </c>
      <c r="D283" s="1" t="s">
        <v>184</v>
      </c>
      <c r="E283" t="s">
        <v>185</v>
      </c>
      <c r="F283" s="61" t="s">
        <v>5381</v>
      </c>
      <c r="G283" s="1">
        <v>4710</v>
      </c>
      <c r="H283" s="1" t="s">
        <v>34</v>
      </c>
      <c r="K283" s="1" t="s">
        <v>184</v>
      </c>
      <c r="L283" s="2">
        <v>44439</v>
      </c>
      <c r="M283" s="1" t="s">
        <v>35</v>
      </c>
      <c r="N283" s="14" t="s">
        <v>5748</v>
      </c>
      <c r="O283" s="187">
        <v>100</v>
      </c>
      <c r="P283" s="1">
        <v>1</v>
      </c>
      <c r="Q283" s="90">
        <v>0.21</v>
      </c>
      <c r="R283" s="90">
        <v>0</v>
      </c>
      <c r="S283" s="214" t="s">
        <v>5385</v>
      </c>
      <c r="T283" s="95">
        <f t="shared" si="12"/>
        <v>121</v>
      </c>
      <c r="U283" s="1" t="s">
        <v>5383</v>
      </c>
      <c r="V283" s="6" t="s">
        <v>5384</v>
      </c>
      <c r="W283" s="2">
        <v>31778</v>
      </c>
      <c r="X283" s="2">
        <v>44334</v>
      </c>
      <c r="Y283" s="11"/>
      <c r="Z283" s="3"/>
      <c r="AA283" s="80"/>
      <c r="AD283" t="s">
        <v>3198</v>
      </c>
      <c r="AH283" s="2"/>
      <c r="AK283" s="3"/>
    </row>
    <row r="284" spans="1:37">
      <c r="A284" s="1">
        <v>283</v>
      </c>
      <c r="B284" t="s">
        <v>5278</v>
      </c>
      <c r="C284" s="2">
        <v>44432</v>
      </c>
      <c r="D284" s="1" t="s">
        <v>3036</v>
      </c>
      <c r="E284" t="s">
        <v>3037</v>
      </c>
      <c r="F284" s="61" t="s">
        <v>5279</v>
      </c>
      <c r="G284" s="6" t="s">
        <v>239</v>
      </c>
      <c r="H284" s="1" t="s">
        <v>3204</v>
      </c>
      <c r="J284" t="s">
        <v>5904</v>
      </c>
      <c r="K284" s="1" t="s">
        <v>174</v>
      </c>
      <c r="L284" s="2">
        <v>44439</v>
      </c>
      <c r="M284" s="1" t="s">
        <v>35</v>
      </c>
      <c r="N284" s="14" t="s">
        <v>5749</v>
      </c>
      <c r="O284" s="187">
        <v>100</v>
      </c>
      <c r="P284" s="1">
        <v>1</v>
      </c>
      <c r="Q284" s="90">
        <v>0.21</v>
      </c>
      <c r="R284" s="90">
        <v>0</v>
      </c>
      <c r="T284" s="95">
        <f t="shared" si="12"/>
        <v>121</v>
      </c>
      <c r="U284" s="1" t="s">
        <v>5355</v>
      </c>
      <c r="V284" s="6" t="s">
        <v>5354</v>
      </c>
      <c r="W284" s="2">
        <v>36160</v>
      </c>
      <c r="X284" s="2">
        <v>44316</v>
      </c>
      <c r="Y284" s="11"/>
    </row>
    <row r="285" spans="1:37">
      <c r="A285" s="1">
        <v>284</v>
      </c>
      <c r="B285" t="s">
        <v>33</v>
      </c>
      <c r="C285" s="2">
        <v>44432</v>
      </c>
      <c r="D285" s="1" t="s">
        <v>5282</v>
      </c>
      <c r="E285" t="s">
        <v>5283</v>
      </c>
      <c r="F285" s="61" t="s">
        <v>5284</v>
      </c>
      <c r="G285" s="6" t="s">
        <v>3709</v>
      </c>
      <c r="H285" s="1" t="s">
        <v>5285</v>
      </c>
      <c r="J285" t="s">
        <v>5903</v>
      </c>
      <c r="K285" s="30" t="s">
        <v>237</v>
      </c>
      <c r="L285" s="2">
        <v>44439</v>
      </c>
      <c r="M285" t="s">
        <v>35</v>
      </c>
      <c r="N285" s="14" t="s">
        <v>5750</v>
      </c>
      <c r="O285" s="187">
        <v>100</v>
      </c>
      <c r="P285" s="1">
        <v>1</v>
      </c>
      <c r="Q285" s="90">
        <v>0.21</v>
      </c>
      <c r="R285" s="90">
        <v>0</v>
      </c>
      <c r="T285" s="95">
        <f t="shared" si="12"/>
        <v>121</v>
      </c>
      <c r="U285" s="1" t="s">
        <v>5340</v>
      </c>
      <c r="V285" s="6" t="s">
        <v>5341</v>
      </c>
      <c r="W285" s="2">
        <v>35901</v>
      </c>
      <c r="X285" s="2">
        <v>44319</v>
      </c>
      <c r="Y285" s="11" t="s">
        <v>5913</v>
      </c>
      <c r="Z285" s="3">
        <v>44498</v>
      </c>
      <c r="AA285" s="80" t="s">
        <v>1339</v>
      </c>
    </row>
    <row r="286" spans="1:37">
      <c r="A286" s="1">
        <v>285</v>
      </c>
      <c r="B286" t="s">
        <v>52</v>
      </c>
      <c r="C286" s="2">
        <v>44435</v>
      </c>
      <c r="D286" s="1" t="s">
        <v>256</v>
      </c>
      <c r="E286" s="31" t="s">
        <v>155</v>
      </c>
      <c r="F286" s="31" t="s">
        <v>138</v>
      </c>
      <c r="G286" s="33" t="s">
        <v>227</v>
      </c>
      <c r="H286" s="30" t="s">
        <v>203</v>
      </c>
      <c r="I286" s="31">
        <v>631130911</v>
      </c>
      <c r="J286" s="30" t="s">
        <v>5906</v>
      </c>
      <c r="K286" s="1" t="s">
        <v>4432</v>
      </c>
      <c r="L286" s="2">
        <v>44439</v>
      </c>
      <c r="M286" s="1" t="s">
        <v>35</v>
      </c>
      <c r="N286" s="14" t="s">
        <v>5756</v>
      </c>
      <c r="O286" s="187">
        <v>125</v>
      </c>
      <c r="P286" s="1">
        <v>1</v>
      </c>
      <c r="Q286" s="90">
        <v>0.21</v>
      </c>
      <c r="R286" s="90">
        <v>0.2</v>
      </c>
      <c r="T286" s="95">
        <f t="shared" si="12"/>
        <v>121</v>
      </c>
      <c r="U286" s="1" t="s">
        <v>5842</v>
      </c>
      <c r="V286" s="5" t="s">
        <v>5843</v>
      </c>
      <c r="W286" s="2">
        <v>37635</v>
      </c>
      <c r="X286" s="2">
        <v>44435</v>
      </c>
      <c r="Y286" s="11" t="s">
        <v>5892</v>
      </c>
      <c r="Z286" s="3">
        <v>44476</v>
      </c>
      <c r="AA286" s="80" t="s">
        <v>1339</v>
      </c>
      <c r="AD286" t="s">
        <v>3198</v>
      </c>
      <c r="AG286" t="s">
        <v>5757</v>
      </c>
      <c r="AH286" s="2">
        <v>44460</v>
      </c>
      <c r="AK286" s="3">
        <v>44463</v>
      </c>
    </row>
    <row r="287" spans="1:37">
      <c r="A287" s="1">
        <v>286</v>
      </c>
      <c r="B287" s="61" t="s">
        <v>119</v>
      </c>
      <c r="C287" s="2">
        <v>44435</v>
      </c>
      <c r="D287" s="1" t="s">
        <v>613</v>
      </c>
      <c r="E287" s="61" t="s">
        <v>614</v>
      </c>
      <c r="F287" s="61" t="s">
        <v>3795</v>
      </c>
      <c r="G287" s="6" t="s">
        <v>239</v>
      </c>
      <c r="H287" s="1" t="s">
        <v>2585</v>
      </c>
      <c r="I287" s="1">
        <v>637421137</v>
      </c>
      <c r="J287" s="1" t="s">
        <v>5904</v>
      </c>
      <c r="K287" s="31" t="s">
        <v>174</v>
      </c>
      <c r="L287" s="2">
        <v>44439</v>
      </c>
      <c r="M287" s="1" t="s">
        <v>35</v>
      </c>
      <c r="N287" s="14" t="s">
        <v>5768</v>
      </c>
      <c r="O287" s="92">
        <v>75</v>
      </c>
      <c r="P287" s="1">
        <v>1</v>
      </c>
      <c r="Q287" s="90">
        <v>0.21</v>
      </c>
      <c r="R287" s="90">
        <v>0.2</v>
      </c>
      <c r="S287" s="1"/>
      <c r="T287" s="95">
        <f t="shared" si="12"/>
        <v>72.599999999999994</v>
      </c>
      <c r="U287" s="1" t="s">
        <v>3797</v>
      </c>
      <c r="V287" s="87" t="s">
        <v>5769</v>
      </c>
      <c r="W287" s="2">
        <v>37256</v>
      </c>
      <c r="X287" s="2">
        <v>44435</v>
      </c>
      <c r="Y287" s="125" t="s">
        <v>5870</v>
      </c>
      <c r="Z287" s="3">
        <v>44466</v>
      </c>
      <c r="AA287" s="80" t="s">
        <v>1339</v>
      </c>
      <c r="AD287" t="s">
        <v>3198</v>
      </c>
      <c r="AG287" s="1"/>
      <c r="AI287" s="2"/>
      <c r="AK287" s="2"/>
    </row>
    <row r="288" spans="1:37">
      <c r="A288" s="1">
        <v>287</v>
      </c>
      <c r="B288" t="s">
        <v>33</v>
      </c>
      <c r="C288" s="2">
        <v>44441</v>
      </c>
      <c r="D288" s="1" t="s">
        <v>5773</v>
      </c>
      <c r="E288" t="s">
        <v>5774</v>
      </c>
      <c r="F288" s="61" t="s">
        <v>5775</v>
      </c>
      <c r="G288" s="6" t="s">
        <v>220</v>
      </c>
      <c r="H288" s="1" t="s">
        <v>39</v>
      </c>
      <c r="J288" t="s">
        <v>5903</v>
      </c>
      <c r="K288" s="30" t="s">
        <v>237</v>
      </c>
      <c r="L288" s="3">
        <v>44469</v>
      </c>
      <c r="M288" s="1" t="s">
        <v>35</v>
      </c>
      <c r="N288" s="14" t="s">
        <v>5776</v>
      </c>
      <c r="O288" s="187">
        <v>125</v>
      </c>
      <c r="P288" s="1">
        <v>1</v>
      </c>
      <c r="Q288" s="90">
        <v>0.21</v>
      </c>
      <c r="R288" s="90">
        <v>0.2</v>
      </c>
      <c r="T288" s="95">
        <f t="shared" si="12"/>
        <v>121</v>
      </c>
      <c r="U288" s="1" t="s">
        <v>5897</v>
      </c>
      <c r="V288" s="5" t="s">
        <v>5896</v>
      </c>
      <c r="W288" s="2">
        <v>30970</v>
      </c>
      <c r="X288" s="2">
        <v>44441</v>
      </c>
      <c r="Y288" s="11" t="s">
        <v>6325</v>
      </c>
      <c r="Z288" s="3">
        <v>44554</v>
      </c>
      <c r="AA288" s="80" t="s">
        <v>1339</v>
      </c>
      <c r="AD288" t="s">
        <v>3198</v>
      </c>
      <c r="AG288" t="s">
        <v>5777</v>
      </c>
      <c r="AH288" s="2">
        <v>44477</v>
      </c>
      <c r="AK288" s="3">
        <v>44483</v>
      </c>
    </row>
    <row r="289" spans="1:37">
      <c r="A289" s="1">
        <v>288</v>
      </c>
      <c r="B289" t="s">
        <v>40</v>
      </c>
      <c r="C289" s="2">
        <v>44442</v>
      </c>
      <c r="D289" s="1" t="s">
        <v>5779</v>
      </c>
      <c r="E289" t="s">
        <v>5780</v>
      </c>
      <c r="F289" s="61" t="s">
        <v>5781</v>
      </c>
      <c r="G289" s="6" t="s">
        <v>227</v>
      </c>
      <c r="H289" s="1" t="s">
        <v>4719</v>
      </c>
      <c r="J289" t="s">
        <v>6189</v>
      </c>
      <c r="K289" s="1" t="s">
        <v>5779</v>
      </c>
      <c r="L289" s="3">
        <v>44469</v>
      </c>
      <c r="M289" s="1" t="s">
        <v>35</v>
      </c>
      <c r="N289" s="14" t="s">
        <v>5782</v>
      </c>
      <c r="O289" s="187">
        <v>125</v>
      </c>
      <c r="P289" s="1">
        <v>1</v>
      </c>
      <c r="Q289" s="90">
        <v>0.21</v>
      </c>
      <c r="R289" s="90">
        <v>0.2</v>
      </c>
      <c r="T289" s="95">
        <f t="shared" si="12"/>
        <v>121</v>
      </c>
      <c r="U289" t="s">
        <v>6029</v>
      </c>
      <c r="V289" s="5" t="s">
        <v>6030</v>
      </c>
      <c r="W289" s="2">
        <v>33562</v>
      </c>
      <c r="X289" s="2">
        <v>44442</v>
      </c>
      <c r="Y289" s="11" t="s">
        <v>6147</v>
      </c>
      <c r="Z289" s="3">
        <v>44519</v>
      </c>
      <c r="AA289" s="80" t="s">
        <v>1339</v>
      </c>
      <c r="AD289" t="s">
        <v>3198</v>
      </c>
      <c r="AG289" t="s">
        <v>5783</v>
      </c>
      <c r="AH289" s="2">
        <v>44503</v>
      </c>
      <c r="AK289" s="3">
        <v>44515</v>
      </c>
    </row>
    <row r="290" spans="1:37">
      <c r="A290" s="1">
        <v>289</v>
      </c>
      <c r="B290" t="s">
        <v>40</v>
      </c>
      <c r="C290" s="2">
        <v>44442</v>
      </c>
      <c r="D290" t="s">
        <v>3158</v>
      </c>
      <c r="E290" t="s">
        <v>3159</v>
      </c>
      <c r="F290" t="s">
        <v>3160</v>
      </c>
      <c r="G290" s="6" t="s">
        <v>227</v>
      </c>
      <c r="H290" t="s">
        <v>203</v>
      </c>
      <c r="I290" s="14">
        <v>647921182</v>
      </c>
      <c r="J290" s="14" t="s">
        <v>6234</v>
      </c>
      <c r="K290" t="s">
        <v>3158</v>
      </c>
      <c r="L290" s="3">
        <v>44469</v>
      </c>
      <c r="M290" t="s">
        <v>35</v>
      </c>
      <c r="N290" s="14" t="s">
        <v>5786</v>
      </c>
      <c r="O290" s="187">
        <v>125</v>
      </c>
      <c r="P290" s="1">
        <v>1</v>
      </c>
      <c r="Q290" s="90">
        <v>0.21</v>
      </c>
      <c r="R290" s="90">
        <v>0.2</v>
      </c>
      <c r="T290" s="95">
        <f t="shared" si="12"/>
        <v>121</v>
      </c>
      <c r="U290" s="1" t="s">
        <v>5844</v>
      </c>
      <c r="V290" s="5" t="s">
        <v>5845</v>
      </c>
      <c r="W290" s="3">
        <v>34790</v>
      </c>
      <c r="X290" s="2">
        <v>44442</v>
      </c>
      <c r="Y290" s="13" t="s">
        <v>5937</v>
      </c>
      <c r="Z290" s="3">
        <v>44487</v>
      </c>
      <c r="AA290" s="80" t="s">
        <v>1339</v>
      </c>
      <c r="AD290" t="s">
        <v>3198</v>
      </c>
      <c r="AG290" t="s">
        <v>5757</v>
      </c>
      <c r="AH290" s="3">
        <v>44460</v>
      </c>
      <c r="AK290" s="3">
        <v>44463</v>
      </c>
    </row>
    <row r="291" spans="1:37">
      <c r="A291" s="1">
        <v>290</v>
      </c>
      <c r="B291" t="s">
        <v>143</v>
      </c>
      <c r="C291" s="2">
        <v>44442</v>
      </c>
      <c r="D291" s="1" t="s">
        <v>1226</v>
      </c>
      <c r="E291" t="s">
        <v>5790</v>
      </c>
      <c r="F291" s="61" t="s">
        <v>5791</v>
      </c>
      <c r="G291" s="6" t="s">
        <v>1229</v>
      </c>
      <c r="H291" s="1" t="s">
        <v>38</v>
      </c>
      <c r="K291" s="1" t="s">
        <v>1226</v>
      </c>
      <c r="L291" s="3">
        <v>44469</v>
      </c>
      <c r="M291" t="s">
        <v>35</v>
      </c>
      <c r="N291" s="14" t="s">
        <v>5792</v>
      </c>
      <c r="O291" s="187">
        <v>41.32</v>
      </c>
      <c r="P291" s="1">
        <v>1</v>
      </c>
      <c r="Q291" s="90">
        <v>0.21</v>
      </c>
      <c r="R291" s="90">
        <v>0</v>
      </c>
      <c r="S291" s="227" t="s">
        <v>5795</v>
      </c>
      <c r="T291" s="95">
        <f t="shared" si="12"/>
        <v>49.997199999999999</v>
      </c>
      <c r="U291" s="1" t="s">
        <v>5793</v>
      </c>
      <c r="V291" s="6" t="s">
        <v>5794</v>
      </c>
      <c r="W291" s="2">
        <v>29781</v>
      </c>
      <c r="X291" s="2">
        <v>44400</v>
      </c>
      <c r="Y291" s="11"/>
    </row>
    <row r="292" spans="1:37">
      <c r="A292" s="1">
        <v>291</v>
      </c>
      <c r="B292" t="s">
        <v>37</v>
      </c>
      <c r="C292" s="2">
        <v>44442</v>
      </c>
      <c r="D292" t="s">
        <v>5898</v>
      </c>
      <c r="E292" t="s">
        <v>5796</v>
      </c>
      <c r="F292" s="61" t="s">
        <v>5797</v>
      </c>
      <c r="G292" s="6" t="s">
        <v>270</v>
      </c>
      <c r="H292" s="1" t="s">
        <v>3681</v>
      </c>
      <c r="I292">
        <v>642679553</v>
      </c>
      <c r="K292" t="s">
        <v>5898</v>
      </c>
      <c r="L292" s="3">
        <v>44469</v>
      </c>
      <c r="M292" s="1" t="s">
        <v>35</v>
      </c>
      <c r="N292" s="14" t="s">
        <v>5798</v>
      </c>
      <c r="O292" s="187">
        <v>125</v>
      </c>
      <c r="P292" s="1">
        <v>1</v>
      </c>
      <c r="Q292" s="90">
        <v>0.21</v>
      </c>
      <c r="R292" s="90">
        <v>0</v>
      </c>
      <c r="T292" s="95">
        <f t="shared" si="12"/>
        <v>151.25</v>
      </c>
      <c r="U292" s="1" t="s">
        <v>5898</v>
      </c>
      <c r="V292" s="5" t="s">
        <v>5899</v>
      </c>
      <c r="W292" s="2">
        <v>33983</v>
      </c>
      <c r="X292" s="2">
        <v>44442</v>
      </c>
      <c r="Y292" s="11" t="s">
        <v>6326</v>
      </c>
      <c r="Z292" s="3">
        <v>44554</v>
      </c>
      <c r="AA292" s="80" t="s">
        <v>1339</v>
      </c>
      <c r="AD292" t="s">
        <v>3198</v>
      </c>
      <c r="AG292" t="s">
        <v>3108</v>
      </c>
      <c r="AH292" s="2">
        <v>44477</v>
      </c>
      <c r="AK292" s="3">
        <v>44480</v>
      </c>
    </row>
    <row r="293" spans="1:37">
      <c r="A293" s="1">
        <v>292</v>
      </c>
      <c r="B293" t="s">
        <v>37</v>
      </c>
      <c r="C293" s="2">
        <v>44442</v>
      </c>
      <c r="D293" s="1" t="s">
        <v>4923</v>
      </c>
      <c r="E293" t="s">
        <v>4924</v>
      </c>
      <c r="F293" t="s">
        <v>4925</v>
      </c>
      <c r="G293" s="6" t="s">
        <v>221</v>
      </c>
      <c r="H293" s="1" t="s">
        <v>34</v>
      </c>
      <c r="I293" s="1">
        <v>632595852</v>
      </c>
      <c r="K293" s="1" t="s">
        <v>4923</v>
      </c>
      <c r="L293" s="3">
        <v>44469</v>
      </c>
      <c r="M293" t="s">
        <v>35</v>
      </c>
      <c r="N293" s="14" t="s">
        <v>5799</v>
      </c>
      <c r="O293" s="187">
        <v>100</v>
      </c>
      <c r="P293" s="1">
        <v>1</v>
      </c>
      <c r="Q293" s="90">
        <v>0.21</v>
      </c>
      <c r="R293" s="90">
        <v>0</v>
      </c>
      <c r="T293" s="95">
        <f t="shared" si="12"/>
        <v>121</v>
      </c>
      <c r="U293" s="1" t="s">
        <v>4933</v>
      </c>
      <c r="V293" s="6" t="s">
        <v>5067</v>
      </c>
      <c r="W293" s="2">
        <v>35680</v>
      </c>
      <c r="X293" s="2">
        <v>44271</v>
      </c>
      <c r="Y293" s="13"/>
      <c r="Z293" s="3"/>
      <c r="AA293" s="80"/>
      <c r="AC293" s="182">
        <v>44442</v>
      </c>
      <c r="AD293" t="s">
        <v>3198</v>
      </c>
    </row>
    <row r="294" spans="1:37">
      <c r="A294" s="1">
        <v>293</v>
      </c>
      <c r="B294" t="s">
        <v>4321</v>
      </c>
      <c r="C294" s="2">
        <v>44449</v>
      </c>
      <c r="D294" s="1" t="s">
        <v>5380</v>
      </c>
      <c r="E294" s="61" t="s">
        <v>3800</v>
      </c>
      <c r="F294" s="61" t="s">
        <v>3801</v>
      </c>
      <c r="G294" s="6" t="s">
        <v>2654</v>
      </c>
      <c r="H294" s="1" t="s">
        <v>2359</v>
      </c>
      <c r="I294" s="1">
        <v>627436272</v>
      </c>
      <c r="J294" s="1"/>
      <c r="K294" s="1" t="s">
        <v>3965</v>
      </c>
      <c r="L294" s="3">
        <v>44469</v>
      </c>
      <c r="M294" s="1" t="s">
        <v>35</v>
      </c>
      <c r="N294" s="14" t="s">
        <v>5816</v>
      </c>
      <c r="O294" s="187">
        <v>125</v>
      </c>
      <c r="P294" s="1">
        <v>1</v>
      </c>
      <c r="Q294" s="90">
        <v>0.21</v>
      </c>
      <c r="R294" s="90">
        <v>0.2</v>
      </c>
      <c r="T294" s="95">
        <f t="shared" si="12"/>
        <v>121</v>
      </c>
      <c r="U294" s="1" t="s">
        <v>5900</v>
      </c>
      <c r="V294" s="5" t="s">
        <v>5901</v>
      </c>
      <c r="W294" s="2">
        <v>28961</v>
      </c>
      <c r="X294" s="2">
        <v>44449</v>
      </c>
      <c r="Y294" s="11" t="s">
        <v>6371</v>
      </c>
      <c r="Z294" s="3">
        <v>44574</v>
      </c>
      <c r="AA294" s="80" t="s">
        <v>1339</v>
      </c>
      <c r="AD294" t="s">
        <v>3198</v>
      </c>
      <c r="AG294" t="s">
        <v>3108</v>
      </c>
      <c r="AH294" s="2">
        <v>44477</v>
      </c>
      <c r="AK294" s="3">
        <v>44487</v>
      </c>
    </row>
    <row r="295" spans="1:37">
      <c r="A295" s="1">
        <v>294</v>
      </c>
      <c r="B295" t="s">
        <v>37</v>
      </c>
      <c r="C295" s="2">
        <v>44467</v>
      </c>
      <c r="D295" s="1" t="s">
        <v>5830</v>
      </c>
      <c r="E295" t="s">
        <v>5831</v>
      </c>
      <c r="F295" s="61" t="s">
        <v>5832</v>
      </c>
      <c r="G295" s="6" t="s">
        <v>2451</v>
      </c>
      <c r="H295" s="1" t="s">
        <v>3681</v>
      </c>
      <c r="K295" s="1" t="s">
        <v>5830</v>
      </c>
      <c r="L295" s="3">
        <v>44469</v>
      </c>
      <c r="M295" s="1" t="s">
        <v>35</v>
      </c>
      <c r="N295" s="14" t="s">
        <v>5833</v>
      </c>
      <c r="O295" s="187">
        <v>125</v>
      </c>
      <c r="P295" s="1">
        <v>1</v>
      </c>
      <c r="Q295" s="90">
        <v>0.21</v>
      </c>
      <c r="R295" s="90">
        <v>0</v>
      </c>
      <c r="T295" s="95">
        <f t="shared" si="12"/>
        <v>151.25</v>
      </c>
      <c r="U295" s="1" t="s">
        <v>5865</v>
      </c>
      <c r="V295" s="6" t="s">
        <v>5893</v>
      </c>
      <c r="W295" s="2">
        <v>44427</v>
      </c>
      <c r="X295" s="2">
        <v>44467</v>
      </c>
      <c r="Y295" s="11"/>
      <c r="AD295" t="s">
        <v>3198</v>
      </c>
      <c r="AG295" t="s">
        <v>3108</v>
      </c>
      <c r="AH295" s="2">
        <v>44462</v>
      </c>
      <c r="AK295" s="3">
        <v>44463</v>
      </c>
    </row>
    <row r="296" spans="1:37">
      <c r="A296" s="1">
        <v>295</v>
      </c>
      <c r="B296" t="s">
        <v>3526</v>
      </c>
      <c r="C296" s="2">
        <v>44459</v>
      </c>
      <c r="D296" s="1" t="s">
        <v>4512</v>
      </c>
      <c r="E296" t="s">
        <v>4613</v>
      </c>
      <c r="F296" t="s">
        <v>4614</v>
      </c>
      <c r="G296" s="6" t="s">
        <v>242</v>
      </c>
      <c r="H296" s="1" t="s">
        <v>86</v>
      </c>
      <c r="I296" s="1">
        <v>673821555</v>
      </c>
      <c r="K296" s="1" t="s">
        <v>4512</v>
      </c>
      <c r="L296" s="3">
        <v>44469</v>
      </c>
      <c r="M296" t="s">
        <v>35</v>
      </c>
      <c r="N296" s="14" t="s">
        <v>5834</v>
      </c>
      <c r="O296" s="187">
        <v>125</v>
      </c>
      <c r="P296" s="1">
        <v>1</v>
      </c>
      <c r="Q296" s="90">
        <v>0.21</v>
      </c>
      <c r="R296" s="90">
        <v>0.2</v>
      </c>
      <c r="T296" s="95">
        <f t="shared" si="12"/>
        <v>121</v>
      </c>
      <c r="U296" s="1" t="s">
        <v>5955</v>
      </c>
      <c r="V296" s="5" t="s">
        <v>5954</v>
      </c>
      <c r="W296" s="2">
        <v>33616</v>
      </c>
      <c r="X296" s="2">
        <v>44459</v>
      </c>
      <c r="Y296" s="11" t="s">
        <v>6411</v>
      </c>
      <c r="Z296" s="3">
        <v>44585</v>
      </c>
      <c r="AA296" s="80" t="s">
        <v>1339</v>
      </c>
      <c r="AD296" t="s">
        <v>3198</v>
      </c>
      <c r="AG296" t="s">
        <v>3108</v>
      </c>
      <c r="AH296" s="3">
        <v>44489</v>
      </c>
      <c r="AK296" s="3">
        <v>44491</v>
      </c>
    </row>
    <row r="297" spans="1:37">
      <c r="A297" s="1">
        <v>296</v>
      </c>
      <c r="B297" t="s">
        <v>3783</v>
      </c>
      <c r="C297" s="2">
        <v>44460</v>
      </c>
      <c r="D297" s="1" t="s">
        <v>5313</v>
      </c>
      <c r="E297" t="s">
        <v>5432</v>
      </c>
      <c r="F297" s="61" t="s">
        <v>5314</v>
      </c>
      <c r="G297" s="6" t="s">
        <v>2579</v>
      </c>
      <c r="H297" s="1" t="s">
        <v>2580</v>
      </c>
      <c r="K297" s="1" t="s">
        <v>5313</v>
      </c>
      <c r="L297" s="3">
        <v>44469</v>
      </c>
      <c r="M297" s="1" t="s">
        <v>35</v>
      </c>
      <c r="N297" s="14" t="s">
        <v>5836</v>
      </c>
      <c r="O297" s="187">
        <v>100</v>
      </c>
      <c r="P297" s="1">
        <v>1</v>
      </c>
      <c r="Q297" s="90">
        <v>0.21</v>
      </c>
      <c r="R297" s="90">
        <v>0</v>
      </c>
      <c r="T297" s="95">
        <f t="shared" si="12"/>
        <v>121</v>
      </c>
      <c r="U297" s="1" t="s">
        <v>5386</v>
      </c>
      <c r="V297" s="6" t="s">
        <v>5387</v>
      </c>
      <c r="W297" s="2">
        <v>27198</v>
      </c>
      <c r="X297" s="2">
        <v>44323</v>
      </c>
      <c r="Y297" s="11"/>
      <c r="Z297" s="3"/>
      <c r="AA297" s="184"/>
      <c r="AD297" t="s">
        <v>3198</v>
      </c>
      <c r="AH297" s="2"/>
      <c r="AK297" s="3"/>
    </row>
    <row r="298" spans="1:37">
      <c r="A298" s="1">
        <v>297</v>
      </c>
      <c r="B298" t="s">
        <v>119</v>
      </c>
      <c r="C298" s="2">
        <v>44460</v>
      </c>
      <c r="D298" s="1" t="s">
        <v>5846</v>
      </c>
      <c r="E298" t="s">
        <v>5847</v>
      </c>
      <c r="F298" s="61" t="s">
        <v>5848</v>
      </c>
      <c r="G298" s="6" t="s">
        <v>239</v>
      </c>
      <c r="H298" s="1" t="s">
        <v>86</v>
      </c>
      <c r="J298" t="s">
        <v>5904</v>
      </c>
      <c r="K298" s="31" t="s">
        <v>174</v>
      </c>
      <c r="L298" s="3">
        <v>44469</v>
      </c>
      <c r="M298" s="1" t="s">
        <v>35</v>
      </c>
      <c r="N298" s="14" t="s">
        <v>5849</v>
      </c>
      <c r="O298" s="187">
        <v>125</v>
      </c>
      <c r="P298" s="1">
        <v>1</v>
      </c>
      <c r="Q298" s="90">
        <v>0.21</v>
      </c>
      <c r="R298" s="90">
        <v>0.2</v>
      </c>
      <c r="T298" s="95">
        <f t="shared" si="12"/>
        <v>121</v>
      </c>
      <c r="U298" t="s">
        <v>6008</v>
      </c>
      <c r="V298" s="5" t="s">
        <v>6007</v>
      </c>
      <c r="W298" s="2">
        <v>35683</v>
      </c>
      <c r="X298" s="2">
        <v>44460</v>
      </c>
      <c r="Y298" s="11" t="s">
        <v>6411</v>
      </c>
      <c r="Z298" s="3">
        <v>44585</v>
      </c>
      <c r="AA298" s="80" t="s">
        <v>1339</v>
      </c>
      <c r="AD298" t="s">
        <v>3198</v>
      </c>
      <c r="AG298" t="s">
        <v>4521</v>
      </c>
      <c r="AH298" s="2">
        <v>44502</v>
      </c>
      <c r="AK298" s="3">
        <v>44525</v>
      </c>
    </row>
    <row r="299" spans="1:37">
      <c r="A299" s="1">
        <v>298</v>
      </c>
      <c r="B299" t="s">
        <v>40</v>
      </c>
      <c r="C299" s="2">
        <v>44460</v>
      </c>
      <c r="D299" s="1" t="s">
        <v>5850</v>
      </c>
      <c r="E299" t="s">
        <v>5851</v>
      </c>
      <c r="F299" s="61" t="s">
        <v>5852</v>
      </c>
      <c r="G299" s="6" t="s">
        <v>221</v>
      </c>
      <c r="H299" s="1" t="s">
        <v>34</v>
      </c>
      <c r="I299" s="14">
        <v>655206622</v>
      </c>
      <c r="J299" s="245" t="s">
        <v>6233</v>
      </c>
      <c r="K299" s="1" t="s">
        <v>5850</v>
      </c>
      <c r="L299" s="3">
        <v>44469</v>
      </c>
      <c r="M299" s="1" t="s">
        <v>35</v>
      </c>
      <c r="N299" s="14" t="s">
        <v>5853</v>
      </c>
      <c r="O299" s="187">
        <v>125</v>
      </c>
      <c r="P299" s="1">
        <v>1</v>
      </c>
      <c r="Q299" s="90">
        <v>0.21</v>
      </c>
      <c r="R299" s="90">
        <v>0.2</v>
      </c>
      <c r="T299" s="95">
        <f t="shared" si="12"/>
        <v>121</v>
      </c>
      <c r="U299" t="s">
        <v>6010</v>
      </c>
      <c r="V299" s="5" t="s">
        <v>6009</v>
      </c>
      <c r="W299" s="2">
        <v>33512</v>
      </c>
      <c r="X299" s="2">
        <v>44460</v>
      </c>
      <c r="Y299" s="76" t="s">
        <v>6409</v>
      </c>
      <c r="Z299" s="3">
        <v>44585</v>
      </c>
      <c r="AA299" s="80" t="s">
        <v>1339</v>
      </c>
      <c r="AB299" t="s">
        <v>4621</v>
      </c>
      <c r="AD299" t="s">
        <v>3198</v>
      </c>
      <c r="AG299" t="s">
        <v>4492</v>
      </c>
      <c r="AH299" s="2">
        <v>44502</v>
      </c>
      <c r="AK299" s="3">
        <v>44504</v>
      </c>
    </row>
    <row r="300" spans="1:37">
      <c r="A300" s="1">
        <v>299</v>
      </c>
      <c r="B300" t="s">
        <v>82</v>
      </c>
      <c r="C300" s="2">
        <v>44460</v>
      </c>
      <c r="D300" s="1" t="s">
        <v>772</v>
      </c>
      <c r="E300" s="14" t="s">
        <v>773</v>
      </c>
      <c r="F300" t="s">
        <v>1872</v>
      </c>
      <c r="G300" s="6" t="s">
        <v>239</v>
      </c>
      <c r="H300" t="s">
        <v>2585</v>
      </c>
      <c r="I300" s="1">
        <v>629246817</v>
      </c>
      <c r="K300" s="1" t="s">
        <v>772</v>
      </c>
      <c r="L300" s="3">
        <v>44469</v>
      </c>
      <c r="M300" s="1" t="s">
        <v>35</v>
      </c>
      <c r="N300" s="14" t="s">
        <v>5435</v>
      </c>
      <c r="O300" s="92">
        <v>125</v>
      </c>
      <c r="P300" s="1">
        <v>1</v>
      </c>
      <c r="Q300" s="90">
        <v>0.21</v>
      </c>
      <c r="R300" s="90">
        <v>0.2</v>
      </c>
      <c r="S300" s="1"/>
      <c r="T300" s="95">
        <f t="shared" si="12"/>
        <v>121</v>
      </c>
      <c r="U300" s="1" t="s">
        <v>5496</v>
      </c>
      <c r="V300" s="5" t="s">
        <v>5873</v>
      </c>
      <c r="W300" s="2">
        <v>27316</v>
      </c>
      <c r="X300" s="2">
        <v>44460</v>
      </c>
      <c r="Y300" s="125" t="s">
        <v>5914</v>
      </c>
      <c r="Z300" s="3">
        <v>44482</v>
      </c>
      <c r="AA300" s="80" t="s">
        <v>1339</v>
      </c>
      <c r="AD300" t="s">
        <v>3198</v>
      </c>
      <c r="AG300" t="s">
        <v>3221</v>
      </c>
      <c r="AH300" s="2">
        <v>44466</v>
      </c>
      <c r="AI300" s="2"/>
      <c r="AK300" s="2">
        <v>44469</v>
      </c>
    </row>
    <row r="301" spans="1:37">
      <c r="A301" s="1">
        <v>300</v>
      </c>
      <c r="B301" t="s">
        <v>33</v>
      </c>
      <c r="C301" s="2">
        <v>44460</v>
      </c>
      <c r="D301" s="1" t="s">
        <v>5854</v>
      </c>
      <c r="E301" t="s">
        <v>5855</v>
      </c>
      <c r="F301" s="61" t="s">
        <v>5856</v>
      </c>
      <c r="G301" s="6" t="s">
        <v>219</v>
      </c>
      <c r="H301" s="1" t="s">
        <v>38</v>
      </c>
      <c r="J301" t="s">
        <v>5903</v>
      </c>
      <c r="K301" s="30" t="s">
        <v>237</v>
      </c>
      <c r="L301" s="3">
        <v>44469</v>
      </c>
      <c r="M301" s="1" t="s">
        <v>35</v>
      </c>
      <c r="N301" s="14" t="s">
        <v>5857</v>
      </c>
      <c r="O301" s="187">
        <v>125</v>
      </c>
      <c r="P301" s="1">
        <v>1</v>
      </c>
      <c r="Q301" s="90">
        <v>0.21</v>
      </c>
      <c r="R301" s="90">
        <v>0.2</v>
      </c>
      <c r="T301" s="95">
        <f t="shared" si="12"/>
        <v>121</v>
      </c>
      <c r="U301" s="1" t="s">
        <v>5871</v>
      </c>
      <c r="V301" s="5" t="s">
        <v>5872</v>
      </c>
      <c r="W301" s="2">
        <v>36240</v>
      </c>
      <c r="X301" s="2">
        <v>44460</v>
      </c>
      <c r="Y301" s="125" t="s">
        <v>5952</v>
      </c>
      <c r="Z301" s="3">
        <v>44490</v>
      </c>
      <c r="AA301" s="80" t="s">
        <v>1339</v>
      </c>
      <c r="AD301" t="s">
        <v>3198</v>
      </c>
      <c r="AG301" t="s">
        <v>3221</v>
      </c>
      <c r="AH301" s="2">
        <v>44466</v>
      </c>
      <c r="AK301" s="3">
        <v>44470</v>
      </c>
    </row>
    <row r="302" spans="1:37">
      <c r="A302" s="1">
        <v>301</v>
      </c>
      <c r="B302" s="61" t="s">
        <v>37</v>
      </c>
      <c r="C302" s="2">
        <v>44461</v>
      </c>
      <c r="D302" s="1" t="s">
        <v>4101</v>
      </c>
      <c r="E302" s="61" t="s">
        <v>4102</v>
      </c>
      <c r="F302" s="61" t="s">
        <v>4103</v>
      </c>
      <c r="G302" s="6" t="s">
        <v>1402</v>
      </c>
      <c r="H302" s="1" t="s">
        <v>3681</v>
      </c>
      <c r="I302" s="1">
        <v>666276574</v>
      </c>
      <c r="K302" s="1" t="s">
        <v>4101</v>
      </c>
      <c r="L302" s="3">
        <v>44469</v>
      </c>
      <c r="M302" s="1" t="s">
        <v>35</v>
      </c>
      <c r="N302" s="14" t="s">
        <v>5862</v>
      </c>
      <c r="O302" s="144">
        <v>60</v>
      </c>
      <c r="P302" s="1">
        <v>1</v>
      </c>
      <c r="Q302" s="90">
        <v>0.21</v>
      </c>
      <c r="R302" s="90">
        <v>0</v>
      </c>
      <c r="S302" s="1"/>
      <c r="T302" s="95">
        <f t="shared" si="12"/>
        <v>72.599999999999994</v>
      </c>
      <c r="U302" s="1" t="s">
        <v>4101</v>
      </c>
      <c r="V302" s="6" t="s">
        <v>5863</v>
      </c>
      <c r="W302" s="2">
        <v>33588</v>
      </c>
      <c r="X302" s="2">
        <v>44461</v>
      </c>
      <c r="Y302" s="125" t="s">
        <v>5997</v>
      </c>
      <c r="Z302" s="3">
        <v>44495</v>
      </c>
      <c r="AA302" s="80" t="s">
        <v>1339</v>
      </c>
      <c r="AD302" t="s">
        <v>3198</v>
      </c>
      <c r="AG302" s="1"/>
      <c r="AI302" s="1"/>
      <c r="AK302" s="2"/>
    </row>
    <row r="303" spans="1:37" s="153" customFormat="1">
      <c r="A303" s="149">
        <v>302</v>
      </c>
      <c r="B303" s="153" t="s">
        <v>37</v>
      </c>
      <c r="C303" s="151">
        <v>44461</v>
      </c>
      <c r="D303" s="149" t="s">
        <v>5618</v>
      </c>
      <c r="E303" s="153" t="s">
        <v>5619</v>
      </c>
      <c r="F303" s="153" t="s">
        <v>5620</v>
      </c>
      <c r="G303" s="152" t="s">
        <v>220</v>
      </c>
      <c r="H303" s="149" t="s">
        <v>39</v>
      </c>
      <c r="I303" s="149">
        <v>632064606</v>
      </c>
      <c r="K303" s="149" t="s">
        <v>5618</v>
      </c>
      <c r="L303" s="154">
        <v>44469</v>
      </c>
      <c r="M303" s="149" t="s">
        <v>35</v>
      </c>
      <c r="N303" s="153" t="s">
        <v>5621</v>
      </c>
      <c r="O303" s="192">
        <v>0</v>
      </c>
      <c r="P303" s="149" t="s">
        <v>3407</v>
      </c>
      <c r="Q303" s="156" t="s">
        <v>3407</v>
      </c>
      <c r="R303" s="156" t="s">
        <v>3407</v>
      </c>
      <c r="T303" s="157" t="s">
        <v>3407</v>
      </c>
      <c r="U303" s="149" t="s">
        <v>5618</v>
      </c>
      <c r="V303" s="5" t="s">
        <v>5960</v>
      </c>
      <c r="W303" s="151">
        <v>31141</v>
      </c>
      <c r="X303" s="151">
        <v>44461</v>
      </c>
      <c r="Y303" s="76" t="s">
        <v>6408</v>
      </c>
      <c r="Z303" s="154">
        <v>44585</v>
      </c>
      <c r="AA303" s="80" t="s">
        <v>1339</v>
      </c>
      <c r="AB303" s="153" t="s">
        <v>5228</v>
      </c>
      <c r="AC303" s="182">
        <v>44502</v>
      </c>
      <c r="AD303" s="153" t="s">
        <v>3198</v>
      </c>
      <c r="AH303" s="149"/>
    </row>
    <row r="304" spans="1:37">
      <c r="A304" s="1">
        <v>303</v>
      </c>
      <c r="B304" t="s">
        <v>40</v>
      </c>
      <c r="C304" s="2">
        <v>44466</v>
      </c>
      <c r="D304" s="1" t="s">
        <v>445</v>
      </c>
      <c r="E304" t="s">
        <v>446</v>
      </c>
      <c r="F304" s="61" t="s">
        <v>447</v>
      </c>
      <c r="G304" s="6" t="s">
        <v>227</v>
      </c>
      <c r="H304" s="1" t="s">
        <v>4719</v>
      </c>
      <c r="K304" s="1" t="s">
        <v>445</v>
      </c>
      <c r="L304" s="3">
        <v>44469</v>
      </c>
      <c r="M304" s="1" t="s">
        <v>35</v>
      </c>
      <c r="N304" s="14" t="s">
        <v>5874</v>
      </c>
      <c r="O304" s="187">
        <v>75</v>
      </c>
      <c r="P304" s="1">
        <v>1</v>
      </c>
      <c r="Q304" s="90">
        <v>0.21</v>
      </c>
      <c r="R304" s="90">
        <v>0.2</v>
      </c>
      <c r="T304" s="95">
        <f>SUM(O304-(O304*R304))*Q304+(O304-(O304*R304))</f>
        <v>72.599999999999994</v>
      </c>
      <c r="U304" s="1" t="s">
        <v>5875</v>
      </c>
      <c r="V304" s="5" t="s">
        <v>5953</v>
      </c>
      <c r="W304" s="2">
        <v>36982</v>
      </c>
      <c r="X304" s="2">
        <v>44466</v>
      </c>
      <c r="Y304" s="125" t="s">
        <v>6024</v>
      </c>
      <c r="Z304" s="3">
        <v>44503</v>
      </c>
      <c r="AA304" s="80" t="s">
        <v>1339</v>
      </c>
      <c r="AD304" t="s">
        <v>3198</v>
      </c>
      <c r="AG304" t="s">
        <v>5876</v>
      </c>
      <c r="AH304" s="2">
        <v>44489</v>
      </c>
      <c r="AK304" s="3">
        <v>44489</v>
      </c>
    </row>
    <row r="305" spans="1:37">
      <c r="A305" s="1">
        <v>304</v>
      </c>
      <c r="B305" t="s">
        <v>137</v>
      </c>
      <c r="C305" s="2">
        <v>44469</v>
      </c>
      <c r="D305" s="1" t="s">
        <v>5878</v>
      </c>
      <c r="E305" t="s">
        <v>5879</v>
      </c>
      <c r="F305" s="61" t="s">
        <v>5880</v>
      </c>
      <c r="G305" s="6" t="s">
        <v>221</v>
      </c>
      <c r="H305" s="1" t="s">
        <v>34</v>
      </c>
      <c r="J305" t="s">
        <v>5905</v>
      </c>
      <c r="K305" s="30" t="s">
        <v>1250</v>
      </c>
      <c r="L305" s="3">
        <v>44469</v>
      </c>
      <c r="M305" s="1" t="s">
        <v>35</v>
      </c>
      <c r="N305" s="14" t="s">
        <v>5881</v>
      </c>
      <c r="O305" s="187">
        <v>125</v>
      </c>
      <c r="P305" s="1">
        <v>1</v>
      </c>
      <c r="Q305" s="90">
        <v>0.21</v>
      </c>
      <c r="R305" s="90">
        <v>0.2</v>
      </c>
      <c r="T305" s="95">
        <f>SUM(O305-(O305*R305))*Q305+(O305-(O305*R305))</f>
        <v>121</v>
      </c>
      <c r="U305" s="1" t="s">
        <v>5890</v>
      </c>
      <c r="V305" s="5" t="s">
        <v>5891</v>
      </c>
      <c r="W305" s="2">
        <v>33969</v>
      </c>
      <c r="X305" s="2">
        <v>44469</v>
      </c>
      <c r="Y305" s="247" t="s">
        <v>6462</v>
      </c>
      <c r="Z305" s="3">
        <v>44601</v>
      </c>
      <c r="AA305" s="80" t="s">
        <v>1339</v>
      </c>
      <c r="AC305" s="248">
        <v>44539</v>
      </c>
      <c r="AD305" t="s">
        <v>3198</v>
      </c>
      <c r="AG305" t="s">
        <v>3108</v>
      </c>
      <c r="AH305" s="2">
        <v>44475</v>
      </c>
      <c r="AK305" s="3">
        <v>44522</v>
      </c>
    </row>
    <row r="306" spans="1:37">
      <c r="A306" s="1">
        <v>305</v>
      </c>
      <c r="B306" s="61" t="s">
        <v>52</v>
      </c>
      <c r="C306" s="2">
        <v>44470</v>
      </c>
      <c r="D306" s="1" t="s">
        <v>2675</v>
      </c>
      <c r="E306" s="61" t="s">
        <v>2676</v>
      </c>
      <c r="F306" s="61" t="s">
        <v>4283</v>
      </c>
      <c r="G306" s="6" t="s">
        <v>219</v>
      </c>
      <c r="H306" s="1" t="s">
        <v>38</v>
      </c>
      <c r="I306" s="1">
        <v>622198513</v>
      </c>
      <c r="J306" t="s">
        <v>5906</v>
      </c>
      <c r="K306" s="31" t="s">
        <v>53</v>
      </c>
      <c r="L306" s="3">
        <v>44500</v>
      </c>
      <c r="M306" s="1" t="s">
        <v>35</v>
      </c>
      <c r="N306" s="14" t="s">
        <v>5883</v>
      </c>
      <c r="O306" s="92" t="s">
        <v>3407</v>
      </c>
      <c r="P306" s="1" t="s">
        <v>3407</v>
      </c>
      <c r="Q306" s="90" t="s">
        <v>3407</v>
      </c>
      <c r="R306" s="90" t="s">
        <v>3407</v>
      </c>
      <c r="T306" s="95" t="s">
        <v>3407</v>
      </c>
      <c r="U306" s="1" t="s">
        <v>4286</v>
      </c>
      <c r="V306" s="161" t="s">
        <v>5994</v>
      </c>
      <c r="W306" s="2">
        <v>18072</v>
      </c>
      <c r="X306" s="2">
        <v>44470</v>
      </c>
      <c r="Y306" s="11" t="s">
        <v>6531</v>
      </c>
      <c r="Z306" s="3">
        <v>44627</v>
      </c>
      <c r="AA306" s="80" t="s">
        <v>1339</v>
      </c>
      <c r="AD306" t="s">
        <v>3198</v>
      </c>
      <c r="AG306" s="1"/>
      <c r="AH306" s="2"/>
      <c r="AI306" s="1"/>
      <c r="AK306" s="2"/>
    </row>
    <row r="307" spans="1:37">
      <c r="A307" s="1">
        <v>306</v>
      </c>
      <c r="B307" s="61" t="s">
        <v>52</v>
      </c>
      <c r="C307" s="2">
        <v>44470</v>
      </c>
      <c r="D307" s="1" t="s">
        <v>2675</v>
      </c>
      <c r="E307" s="61" t="s">
        <v>2676</v>
      </c>
      <c r="F307" s="61" t="s">
        <v>4283</v>
      </c>
      <c r="G307" s="6" t="s">
        <v>219</v>
      </c>
      <c r="H307" s="1" t="s">
        <v>38</v>
      </c>
      <c r="I307" s="1">
        <v>622198513</v>
      </c>
      <c r="J307" t="s">
        <v>5906</v>
      </c>
      <c r="K307" s="31" t="s">
        <v>53</v>
      </c>
      <c r="L307" s="3">
        <v>44500</v>
      </c>
      <c r="M307" s="1" t="s">
        <v>35</v>
      </c>
      <c r="N307" s="14" t="s">
        <v>5884</v>
      </c>
      <c r="O307" s="92" t="s">
        <v>3407</v>
      </c>
      <c r="P307" s="1" t="s">
        <v>3407</v>
      </c>
      <c r="Q307" s="90" t="s">
        <v>3407</v>
      </c>
      <c r="R307" s="90" t="s">
        <v>3407</v>
      </c>
      <c r="T307" s="95" t="s">
        <v>3407</v>
      </c>
      <c r="U307" s="1" t="s">
        <v>4288</v>
      </c>
      <c r="V307" s="5" t="s">
        <v>5993</v>
      </c>
      <c r="W307" s="2">
        <v>20280</v>
      </c>
      <c r="X307" s="2">
        <v>44470</v>
      </c>
      <c r="Y307" s="11" t="s">
        <v>6531</v>
      </c>
      <c r="Z307" s="3">
        <v>44627</v>
      </c>
      <c r="AA307" s="80" t="s">
        <v>1339</v>
      </c>
      <c r="AD307" t="s">
        <v>3198</v>
      </c>
      <c r="AG307" s="1"/>
      <c r="AH307" s="2"/>
      <c r="AI307" s="1"/>
      <c r="AK307" s="2"/>
    </row>
    <row r="308" spans="1:37">
      <c r="A308" s="1">
        <v>307</v>
      </c>
      <c r="B308" t="s">
        <v>3526</v>
      </c>
      <c r="C308" s="2">
        <v>44470</v>
      </c>
      <c r="D308" s="1" t="s">
        <v>2733</v>
      </c>
      <c r="E308" t="s">
        <v>2734</v>
      </c>
      <c r="F308" s="61" t="s">
        <v>5885</v>
      </c>
      <c r="G308" s="6" t="s">
        <v>294</v>
      </c>
      <c r="H308" s="1" t="s">
        <v>103</v>
      </c>
      <c r="I308" s="14">
        <v>667652994</v>
      </c>
      <c r="J308" s="229" t="s">
        <v>5887</v>
      </c>
      <c r="K308" s="1" t="s">
        <v>2733</v>
      </c>
      <c r="L308" s="3">
        <v>44500</v>
      </c>
      <c r="M308" s="1" t="s">
        <v>35</v>
      </c>
      <c r="N308" s="14" t="s">
        <v>5886</v>
      </c>
      <c r="O308" s="187">
        <v>125</v>
      </c>
      <c r="P308" s="1">
        <v>1</v>
      </c>
      <c r="Q308" s="90">
        <v>0.21</v>
      </c>
      <c r="R308" s="90">
        <v>0.2</v>
      </c>
      <c r="T308" s="95">
        <f t="shared" ref="T308:T327" si="13">SUM(O308-(O308*R308))*Q308+(O308-(O308*R308))</f>
        <v>121</v>
      </c>
      <c r="U308" s="1" t="s">
        <v>5959</v>
      </c>
      <c r="V308" s="5" t="s">
        <v>5958</v>
      </c>
      <c r="W308" s="2">
        <v>32239</v>
      </c>
      <c r="X308" s="2">
        <v>44470</v>
      </c>
      <c r="Y308" s="11" t="s">
        <v>6247</v>
      </c>
      <c r="Z308" s="3">
        <v>44541</v>
      </c>
      <c r="AA308" s="80" t="s">
        <v>1339</v>
      </c>
      <c r="AD308" t="s">
        <v>3198</v>
      </c>
      <c r="AG308" t="s">
        <v>3221</v>
      </c>
      <c r="AH308" s="2">
        <v>44489</v>
      </c>
      <c r="AK308" s="3">
        <v>44522</v>
      </c>
    </row>
    <row r="309" spans="1:37">
      <c r="A309" s="1">
        <v>308</v>
      </c>
      <c r="B309" s="61" t="s">
        <v>33</v>
      </c>
      <c r="C309" s="2">
        <v>44475</v>
      </c>
      <c r="D309" s="1" t="s">
        <v>4330</v>
      </c>
      <c r="E309" s="61" t="s">
        <v>4331</v>
      </c>
      <c r="F309" s="61" t="s">
        <v>4333</v>
      </c>
      <c r="G309" s="6" t="s">
        <v>219</v>
      </c>
      <c r="H309" s="1" t="s">
        <v>4334</v>
      </c>
      <c r="J309" t="s">
        <v>5903</v>
      </c>
      <c r="K309" s="1" t="s">
        <v>237</v>
      </c>
      <c r="L309" s="3">
        <v>44500</v>
      </c>
      <c r="M309" s="1" t="s">
        <v>35</v>
      </c>
      <c r="N309" s="14" t="s">
        <v>5889</v>
      </c>
      <c r="O309" s="187">
        <v>125</v>
      </c>
      <c r="P309" s="1">
        <v>1</v>
      </c>
      <c r="Q309" s="90">
        <v>0.21</v>
      </c>
      <c r="R309" s="90">
        <v>0.2</v>
      </c>
      <c r="T309" s="95">
        <f t="shared" si="13"/>
        <v>121</v>
      </c>
      <c r="U309" s="1" t="s">
        <v>5956</v>
      </c>
      <c r="V309" s="5" t="s">
        <v>5957</v>
      </c>
      <c r="W309" s="2">
        <v>32963</v>
      </c>
      <c r="X309" s="2">
        <v>44475</v>
      </c>
      <c r="Y309" s="11" t="s">
        <v>6112</v>
      </c>
      <c r="Z309" s="3">
        <v>44516</v>
      </c>
      <c r="AA309" s="80" t="s">
        <v>1339</v>
      </c>
      <c r="AD309" t="s">
        <v>3198</v>
      </c>
      <c r="AG309" t="s">
        <v>3221</v>
      </c>
      <c r="AH309" s="2">
        <v>44489</v>
      </c>
      <c r="AK309" s="3">
        <v>44495</v>
      </c>
    </row>
    <row r="310" spans="1:37">
      <c r="A310" s="1">
        <v>309</v>
      </c>
      <c r="B310" t="s">
        <v>52</v>
      </c>
      <c r="C310" s="2">
        <v>44476</v>
      </c>
      <c r="D310" s="1" t="s">
        <v>256</v>
      </c>
      <c r="E310" s="31" t="s">
        <v>155</v>
      </c>
      <c r="F310" s="31" t="s">
        <v>138</v>
      </c>
      <c r="G310" s="33" t="s">
        <v>227</v>
      </c>
      <c r="H310" s="30" t="s">
        <v>203</v>
      </c>
      <c r="I310" s="31">
        <v>631130911</v>
      </c>
      <c r="J310" t="s">
        <v>5906</v>
      </c>
      <c r="K310" s="1" t="s">
        <v>4432</v>
      </c>
      <c r="L310" s="3">
        <v>44500</v>
      </c>
      <c r="M310" s="1" t="s">
        <v>35</v>
      </c>
      <c r="N310" s="14" t="s">
        <v>5894</v>
      </c>
      <c r="O310" s="187">
        <v>75</v>
      </c>
      <c r="P310" s="1">
        <v>1</v>
      </c>
      <c r="Q310" s="90">
        <v>0.21</v>
      </c>
      <c r="R310" s="90">
        <v>0.2</v>
      </c>
      <c r="T310" s="95">
        <f t="shared" si="13"/>
        <v>72.599999999999994</v>
      </c>
      <c r="U310" s="1" t="s">
        <v>3845</v>
      </c>
      <c r="V310" s="5" t="s">
        <v>5895</v>
      </c>
      <c r="W310" s="2">
        <v>35446</v>
      </c>
      <c r="X310" s="2">
        <v>44476</v>
      </c>
      <c r="Y310" s="11" t="s">
        <v>6147</v>
      </c>
      <c r="Z310" s="3">
        <v>44526</v>
      </c>
      <c r="AA310" s="80" t="s">
        <v>1339</v>
      </c>
      <c r="AD310" t="s">
        <v>3198</v>
      </c>
      <c r="AG310" t="s">
        <v>3108</v>
      </c>
      <c r="AH310" s="2">
        <v>44460</v>
      </c>
      <c r="AK310" s="3">
        <v>44462</v>
      </c>
    </row>
    <row r="311" spans="1:37">
      <c r="A311" s="1">
        <v>310</v>
      </c>
      <c r="B311" s="61" t="s">
        <v>37</v>
      </c>
      <c r="C311" s="2">
        <v>44480</v>
      </c>
      <c r="D311" s="1" t="s">
        <v>1944</v>
      </c>
      <c r="E311" s="61" t="s">
        <v>1945</v>
      </c>
      <c r="F311" s="61" t="s">
        <v>5910</v>
      </c>
      <c r="G311" s="6" t="s">
        <v>219</v>
      </c>
      <c r="H311" s="1" t="s">
        <v>38</v>
      </c>
      <c r="I311" s="1">
        <v>632886664</v>
      </c>
      <c r="K311" s="1" t="s">
        <v>1944</v>
      </c>
      <c r="L311" s="3">
        <v>44500</v>
      </c>
      <c r="M311" s="1" t="s">
        <v>35</v>
      </c>
      <c r="N311" s="14" t="s">
        <v>5911</v>
      </c>
      <c r="O311" s="187">
        <v>75</v>
      </c>
      <c r="P311" s="1">
        <v>1</v>
      </c>
      <c r="Q311" s="90">
        <v>0.21</v>
      </c>
      <c r="R311" s="90">
        <v>0</v>
      </c>
      <c r="T311" s="95">
        <f t="shared" si="13"/>
        <v>90.75</v>
      </c>
      <c r="U311" s="1" t="s">
        <v>1944</v>
      </c>
      <c r="V311" s="6" t="s">
        <v>5912</v>
      </c>
      <c r="W311" s="2">
        <v>29587</v>
      </c>
      <c r="X311" s="2">
        <v>44480</v>
      </c>
      <c r="Y311" s="11" t="s">
        <v>6166</v>
      </c>
      <c r="Z311" s="3">
        <v>44526</v>
      </c>
      <c r="AA311" s="80" t="s">
        <v>1339</v>
      </c>
      <c r="AD311" t="s">
        <v>3198</v>
      </c>
    </row>
    <row r="312" spans="1:37">
      <c r="A312" s="1">
        <v>311</v>
      </c>
      <c r="B312" t="s">
        <v>37</v>
      </c>
      <c r="C312" s="2">
        <v>44482</v>
      </c>
      <c r="D312" s="1" t="s">
        <v>5915</v>
      </c>
      <c r="E312" t="s">
        <v>5916</v>
      </c>
      <c r="F312" s="61" t="s">
        <v>5917</v>
      </c>
      <c r="G312" s="6" t="s">
        <v>245</v>
      </c>
      <c r="H312" s="1" t="s">
        <v>54</v>
      </c>
      <c r="I312" s="1">
        <v>696431513</v>
      </c>
      <c r="J312" t="s">
        <v>5924</v>
      </c>
      <c r="K312" s="1" t="s">
        <v>5915</v>
      </c>
      <c r="L312" s="3">
        <v>44500</v>
      </c>
      <c r="M312" s="1" t="s">
        <v>35</v>
      </c>
      <c r="N312" s="14" t="s">
        <v>5918</v>
      </c>
      <c r="O312" s="187">
        <v>80</v>
      </c>
      <c r="P312" s="1">
        <v>1</v>
      </c>
      <c r="Q312" s="90">
        <v>0.21</v>
      </c>
      <c r="R312" s="90">
        <v>0</v>
      </c>
      <c r="T312" s="95">
        <f t="shared" si="13"/>
        <v>96.8</v>
      </c>
      <c r="U312" t="s">
        <v>6004</v>
      </c>
      <c r="V312" s="5" t="s">
        <v>6005</v>
      </c>
      <c r="W312" s="2">
        <v>31373</v>
      </c>
      <c r="X312" s="2">
        <v>44482</v>
      </c>
      <c r="Y312" s="11" t="s">
        <v>6583</v>
      </c>
      <c r="Z312" s="3">
        <v>44631</v>
      </c>
      <c r="AA312" s="80" t="s">
        <v>1339</v>
      </c>
      <c r="AD312" t="s">
        <v>3198</v>
      </c>
      <c r="AG312" t="s">
        <v>6006</v>
      </c>
      <c r="AH312" s="2">
        <v>44498</v>
      </c>
      <c r="AK312" s="2">
        <v>44498</v>
      </c>
    </row>
    <row r="313" spans="1:37">
      <c r="A313" s="1">
        <v>312</v>
      </c>
      <c r="B313" s="61" t="s">
        <v>45</v>
      </c>
      <c r="C313" s="2">
        <v>44482</v>
      </c>
      <c r="D313" s="1" t="s">
        <v>5919</v>
      </c>
      <c r="E313" t="s">
        <v>5920</v>
      </c>
      <c r="F313" s="61" t="s">
        <v>5921</v>
      </c>
      <c r="G313" s="6" t="s">
        <v>221</v>
      </c>
      <c r="H313" s="1" t="s">
        <v>34</v>
      </c>
      <c r="I313">
        <v>687940760</v>
      </c>
      <c r="J313" t="s">
        <v>5923</v>
      </c>
      <c r="K313" s="1" t="s">
        <v>5919</v>
      </c>
      <c r="L313" s="3">
        <v>44500</v>
      </c>
      <c r="M313" s="1" t="s">
        <v>35</v>
      </c>
      <c r="N313" s="14" t="s">
        <v>5922</v>
      </c>
      <c r="O313" s="187">
        <v>125</v>
      </c>
      <c r="P313" s="1">
        <v>1</v>
      </c>
      <c r="Q313" s="90">
        <v>0.21</v>
      </c>
      <c r="R313" s="90">
        <v>0.2</v>
      </c>
      <c r="T313" s="95">
        <f t="shared" si="13"/>
        <v>121</v>
      </c>
      <c r="U313" t="s">
        <v>5995</v>
      </c>
      <c r="V313" s="6" t="s">
        <v>5996</v>
      </c>
      <c r="W313" s="2">
        <v>35303</v>
      </c>
      <c r="X313" s="2">
        <v>44482</v>
      </c>
      <c r="Y313" s="11" t="s">
        <v>6200</v>
      </c>
      <c r="Z313" s="3">
        <v>44531</v>
      </c>
      <c r="AA313" s="80" t="s">
        <v>1339</v>
      </c>
      <c r="AD313" t="s">
        <v>3198</v>
      </c>
      <c r="AG313" t="s">
        <v>3221</v>
      </c>
      <c r="AH313" s="2">
        <v>44495</v>
      </c>
      <c r="AK313" s="3">
        <v>44503</v>
      </c>
    </row>
    <row r="314" spans="1:37">
      <c r="A314" s="1">
        <v>313</v>
      </c>
      <c r="B314" s="61" t="s">
        <v>33</v>
      </c>
      <c r="C314" s="2">
        <v>44487</v>
      </c>
      <c r="D314" s="1" t="s">
        <v>4477</v>
      </c>
      <c r="E314" s="61" t="s">
        <v>4478</v>
      </c>
      <c r="F314" s="61" t="s">
        <v>4479</v>
      </c>
      <c r="G314" s="6" t="s">
        <v>304</v>
      </c>
      <c r="H314" t="s">
        <v>4480</v>
      </c>
      <c r="J314" t="s">
        <v>5903</v>
      </c>
      <c r="K314" s="1" t="s">
        <v>237</v>
      </c>
      <c r="L314" s="3">
        <v>44500</v>
      </c>
      <c r="M314" s="1" t="s">
        <v>35</v>
      </c>
      <c r="N314" s="14" t="s">
        <v>4481</v>
      </c>
      <c r="O314" s="163">
        <v>125</v>
      </c>
      <c r="P314" s="1">
        <v>1</v>
      </c>
      <c r="Q314" s="90">
        <v>0.21</v>
      </c>
      <c r="R314" s="90">
        <v>0.2</v>
      </c>
      <c r="T314" s="95">
        <f t="shared" si="13"/>
        <v>121</v>
      </c>
      <c r="U314" s="1" t="s">
        <v>4482</v>
      </c>
      <c r="V314" s="5" t="s">
        <v>6060</v>
      </c>
      <c r="W314" s="2">
        <v>24249</v>
      </c>
      <c r="X314" s="2">
        <v>44487</v>
      </c>
      <c r="Y314" s="262" t="s">
        <v>6900</v>
      </c>
      <c r="Z314" s="3">
        <v>44699</v>
      </c>
      <c r="AA314" s="80" t="s">
        <v>1339</v>
      </c>
      <c r="AB314" t="s">
        <v>6489</v>
      </c>
      <c r="AC314" s="261">
        <v>44624</v>
      </c>
      <c r="AD314" t="s">
        <v>3198</v>
      </c>
      <c r="AG314" t="s">
        <v>3108</v>
      </c>
      <c r="AH314" s="2">
        <v>44508</v>
      </c>
      <c r="AI314" s="1"/>
      <c r="AK314" s="2">
        <v>44511</v>
      </c>
    </row>
    <row r="315" spans="1:37">
      <c r="A315" s="1">
        <v>314</v>
      </c>
      <c r="B315" t="s">
        <v>4321</v>
      </c>
      <c r="C315" s="2">
        <v>44487</v>
      </c>
      <c r="D315" s="1" t="s">
        <v>5380</v>
      </c>
      <c r="E315" s="61" t="s">
        <v>3800</v>
      </c>
      <c r="F315" s="61" t="s">
        <v>3801</v>
      </c>
      <c r="G315" s="6" t="s">
        <v>2654</v>
      </c>
      <c r="H315" s="1" t="s">
        <v>2359</v>
      </c>
      <c r="I315" s="1">
        <v>627436272</v>
      </c>
      <c r="J315" s="1" t="s">
        <v>5925</v>
      </c>
      <c r="K315" s="1" t="s">
        <v>3965</v>
      </c>
      <c r="L315" s="3">
        <v>44500</v>
      </c>
      <c r="M315" s="1" t="s">
        <v>35</v>
      </c>
      <c r="N315" s="14" t="s">
        <v>5926</v>
      </c>
      <c r="O315" s="187">
        <v>125</v>
      </c>
      <c r="P315" s="1">
        <v>1</v>
      </c>
      <c r="Q315" s="90">
        <v>0.21</v>
      </c>
      <c r="R315" s="90">
        <v>0.2</v>
      </c>
      <c r="T315" s="95">
        <f t="shared" si="13"/>
        <v>121</v>
      </c>
      <c r="U315" t="s">
        <v>6064</v>
      </c>
      <c r="V315" s="5" t="s">
        <v>6063</v>
      </c>
      <c r="W315" s="2">
        <v>35693</v>
      </c>
      <c r="X315" s="2">
        <v>44487</v>
      </c>
      <c r="Y315" s="11" t="s">
        <v>6490</v>
      </c>
      <c r="Z315" s="3">
        <v>44610</v>
      </c>
      <c r="AA315" s="80" t="s">
        <v>1339</v>
      </c>
      <c r="AD315" t="s">
        <v>3198</v>
      </c>
      <c r="AG315" t="s">
        <v>3108</v>
      </c>
      <c r="AH315" s="2">
        <v>44508</v>
      </c>
      <c r="AK315" s="3">
        <v>44517</v>
      </c>
    </row>
    <row r="316" spans="1:37">
      <c r="A316" s="1">
        <v>315</v>
      </c>
      <c r="B316" s="61" t="s">
        <v>5927</v>
      </c>
      <c r="C316" s="2">
        <v>44487</v>
      </c>
      <c r="D316" t="s">
        <v>6061</v>
      </c>
      <c r="E316" s="61" t="s">
        <v>5928</v>
      </c>
      <c r="F316" s="61" t="s">
        <v>5929</v>
      </c>
      <c r="G316" s="6" t="s">
        <v>242</v>
      </c>
      <c r="H316" s="1" t="s">
        <v>86</v>
      </c>
      <c r="J316" t="s">
        <v>5930</v>
      </c>
      <c r="K316" t="s">
        <v>6061</v>
      </c>
      <c r="L316" s="3">
        <v>44500</v>
      </c>
      <c r="M316" s="1" t="s">
        <v>35</v>
      </c>
      <c r="N316" s="14" t="s">
        <v>5931</v>
      </c>
      <c r="O316" s="187">
        <v>125</v>
      </c>
      <c r="P316" s="1">
        <v>1</v>
      </c>
      <c r="Q316" s="90">
        <v>0.21</v>
      </c>
      <c r="R316" s="90">
        <v>0.2</v>
      </c>
      <c r="T316" s="95">
        <f t="shared" si="13"/>
        <v>121</v>
      </c>
      <c r="U316" t="s">
        <v>6061</v>
      </c>
      <c r="V316" s="5" t="s">
        <v>6062</v>
      </c>
      <c r="W316" s="2">
        <v>36013</v>
      </c>
      <c r="X316" s="2">
        <v>44487</v>
      </c>
      <c r="Y316" s="11" t="s">
        <v>6514</v>
      </c>
      <c r="Z316" s="3">
        <v>44621</v>
      </c>
      <c r="AA316" s="80" t="s">
        <v>1339</v>
      </c>
      <c r="AD316" t="s">
        <v>3198</v>
      </c>
      <c r="AG316" t="s">
        <v>4476</v>
      </c>
      <c r="AH316" s="2">
        <v>44508</v>
      </c>
      <c r="AK316" s="3">
        <v>44595</v>
      </c>
    </row>
    <row r="317" spans="1:37">
      <c r="A317" s="1">
        <v>316</v>
      </c>
      <c r="B317" s="61" t="s">
        <v>3526</v>
      </c>
      <c r="C317" s="2">
        <v>44487</v>
      </c>
      <c r="D317" s="1" t="s">
        <v>5932</v>
      </c>
      <c r="E317" s="61" t="s">
        <v>5933</v>
      </c>
      <c r="F317" s="61" t="s">
        <v>5934</v>
      </c>
      <c r="G317" s="6" t="s">
        <v>432</v>
      </c>
      <c r="H317" s="1" t="s">
        <v>3681</v>
      </c>
      <c r="I317">
        <v>603721478</v>
      </c>
      <c r="K317" s="1" t="s">
        <v>5932</v>
      </c>
      <c r="L317" s="3">
        <v>44500</v>
      </c>
      <c r="M317" s="1" t="s">
        <v>35</v>
      </c>
      <c r="N317" s="14" t="s">
        <v>5935</v>
      </c>
      <c r="O317" s="187">
        <v>125</v>
      </c>
      <c r="P317" s="1">
        <v>1</v>
      </c>
      <c r="Q317" s="90">
        <v>0.21</v>
      </c>
      <c r="R317" s="90">
        <v>0.2</v>
      </c>
      <c r="T317" s="95">
        <f t="shared" si="13"/>
        <v>121</v>
      </c>
      <c r="U317" t="s">
        <v>6054</v>
      </c>
      <c r="V317" s="5" t="s">
        <v>6053</v>
      </c>
      <c r="W317" s="2">
        <v>36357</v>
      </c>
      <c r="X317" s="2">
        <v>44487</v>
      </c>
      <c r="Y317" s="11" t="s">
        <v>6653</v>
      </c>
      <c r="Z317" s="3">
        <v>44651</v>
      </c>
      <c r="AA317" s="80" t="s">
        <v>1339</v>
      </c>
      <c r="AC317" s="162">
        <v>44565</v>
      </c>
      <c r="AD317" t="s">
        <v>3198</v>
      </c>
      <c r="AG317" t="s">
        <v>3108</v>
      </c>
      <c r="AH317" s="2">
        <v>44504</v>
      </c>
      <c r="AK317" s="3">
        <v>44516</v>
      </c>
    </row>
    <row r="318" spans="1:37">
      <c r="A318" s="1">
        <v>317</v>
      </c>
      <c r="B318" t="s">
        <v>1414</v>
      </c>
      <c r="C318" s="2">
        <v>44488</v>
      </c>
      <c r="D318" s="1" t="s">
        <v>1079</v>
      </c>
      <c r="E318" t="s">
        <v>41</v>
      </c>
      <c r="F318" s="61" t="s">
        <v>2115</v>
      </c>
      <c r="G318" s="1" t="s">
        <v>230</v>
      </c>
      <c r="H318" s="1" t="s">
        <v>1262</v>
      </c>
      <c r="I318" s="1">
        <v>631212115</v>
      </c>
      <c r="J318" t="s">
        <v>5939</v>
      </c>
      <c r="K318" s="1" t="s">
        <v>1079</v>
      </c>
      <c r="L318" s="3">
        <v>44500</v>
      </c>
      <c r="M318" s="1" t="s">
        <v>35</v>
      </c>
      <c r="N318" s="14" t="s">
        <v>5940</v>
      </c>
      <c r="O318" s="187">
        <v>75</v>
      </c>
      <c r="P318" s="1">
        <v>1</v>
      </c>
      <c r="Q318" s="90">
        <v>0.21</v>
      </c>
      <c r="R318" s="90">
        <v>0.2</v>
      </c>
      <c r="T318" s="95">
        <f t="shared" si="13"/>
        <v>72.599999999999994</v>
      </c>
      <c r="U318" s="1" t="s">
        <v>3071</v>
      </c>
      <c r="V318" s="6" t="s">
        <v>5941</v>
      </c>
      <c r="W318" s="2">
        <v>37356</v>
      </c>
      <c r="X318" s="2">
        <v>44488</v>
      </c>
      <c r="Y318" s="11" t="s">
        <v>6274</v>
      </c>
      <c r="Z318" s="3">
        <v>44546</v>
      </c>
      <c r="AA318" s="80" t="s">
        <v>1339</v>
      </c>
      <c r="AD318" t="s">
        <v>3198</v>
      </c>
    </row>
    <row r="319" spans="1:37">
      <c r="A319" s="1">
        <v>318</v>
      </c>
      <c r="B319" s="61" t="s">
        <v>4203</v>
      </c>
      <c r="C319" s="2">
        <v>44488</v>
      </c>
      <c r="D319" s="1" t="s">
        <v>2604</v>
      </c>
      <c r="E319" s="61" t="s">
        <v>2605</v>
      </c>
      <c r="F319" s="61" t="s">
        <v>4209</v>
      </c>
      <c r="G319" s="6" t="s">
        <v>219</v>
      </c>
      <c r="H319" s="1" t="s">
        <v>38</v>
      </c>
      <c r="J319" t="s">
        <v>5942</v>
      </c>
      <c r="K319" s="1" t="s">
        <v>4208</v>
      </c>
      <c r="L319" s="3">
        <v>44500</v>
      </c>
      <c r="M319" s="1" t="s">
        <v>35</v>
      </c>
      <c r="N319" s="14" t="s">
        <v>5943</v>
      </c>
      <c r="O319" s="144">
        <v>75</v>
      </c>
      <c r="P319" s="1">
        <v>1</v>
      </c>
      <c r="Q319" s="90">
        <v>0.21</v>
      </c>
      <c r="R319" s="90">
        <v>0.2</v>
      </c>
      <c r="S319" s="72"/>
      <c r="T319" s="95">
        <f t="shared" si="13"/>
        <v>72.599999999999994</v>
      </c>
      <c r="U319" s="1" t="s">
        <v>4205</v>
      </c>
      <c r="V319" s="5" t="s">
        <v>6273</v>
      </c>
      <c r="W319" s="2">
        <v>32853</v>
      </c>
      <c r="X319" s="2">
        <v>44488</v>
      </c>
      <c r="Y319" s="11" t="s">
        <v>6274</v>
      </c>
      <c r="Z319" s="3">
        <v>44546</v>
      </c>
      <c r="AA319" s="80" t="s">
        <v>1339</v>
      </c>
      <c r="AD319" t="s">
        <v>3198</v>
      </c>
      <c r="AG319" s="1"/>
      <c r="AH319" s="2"/>
      <c r="AI319" s="1"/>
      <c r="AK319" s="2"/>
    </row>
    <row r="320" spans="1:37">
      <c r="A320" s="1">
        <v>319</v>
      </c>
      <c r="B320" s="61" t="s">
        <v>37</v>
      </c>
      <c r="C320" s="2">
        <v>44488</v>
      </c>
      <c r="D320" s="1" t="s">
        <v>5944</v>
      </c>
      <c r="E320" s="61" t="s">
        <v>5945</v>
      </c>
      <c r="F320" s="61" t="s">
        <v>5946</v>
      </c>
      <c r="G320" s="6" t="s">
        <v>1222</v>
      </c>
      <c r="H320" s="1" t="s">
        <v>1223</v>
      </c>
      <c r="I320" s="1">
        <v>642942743</v>
      </c>
      <c r="K320" s="1" t="s">
        <v>5944</v>
      </c>
      <c r="L320" s="3">
        <v>44500</v>
      </c>
      <c r="M320" s="1" t="s">
        <v>35</v>
      </c>
      <c r="N320" s="14" t="s">
        <v>5947</v>
      </c>
      <c r="O320" s="187">
        <v>75</v>
      </c>
      <c r="P320" s="1">
        <v>1</v>
      </c>
      <c r="Q320" s="90">
        <v>0.21</v>
      </c>
      <c r="R320" s="90">
        <v>0</v>
      </c>
      <c r="T320" s="95">
        <f t="shared" si="13"/>
        <v>90.75</v>
      </c>
      <c r="U320" s="1" t="s">
        <v>5944</v>
      </c>
      <c r="V320" s="6" t="s">
        <v>5951</v>
      </c>
      <c r="W320" s="2">
        <v>27448</v>
      </c>
      <c r="X320" s="2">
        <v>44488</v>
      </c>
      <c r="Y320" s="11" t="s">
        <v>6079</v>
      </c>
      <c r="Z320" s="3">
        <v>44509</v>
      </c>
      <c r="AA320" s="80" t="s">
        <v>1339</v>
      </c>
      <c r="AD320" t="s">
        <v>3198</v>
      </c>
    </row>
    <row r="321" spans="1:37">
      <c r="A321" s="1">
        <v>320</v>
      </c>
      <c r="B321" s="61" t="s">
        <v>37</v>
      </c>
      <c r="C321" s="2">
        <v>44488</v>
      </c>
      <c r="D321" t="s">
        <v>6098</v>
      </c>
      <c r="E321" s="61" t="s">
        <v>5948</v>
      </c>
      <c r="F321" s="61" t="s">
        <v>5949</v>
      </c>
      <c r="G321" s="6" t="s">
        <v>219</v>
      </c>
      <c r="H321" s="1" t="s">
        <v>38</v>
      </c>
      <c r="I321" s="1">
        <v>643072530</v>
      </c>
      <c r="K321" t="s">
        <v>6098</v>
      </c>
      <c r="L321" s="3">
        <v>44500</v>
      </c>
      <c r="M321" s="1" t="s">
        <v>35</v>
      </c>
      <c r="N321" s="14" t="s">
        <v>5950</v>
      </c>
      <c r="O321" s="187">
        <v>125</v>
      </c>
      <c r="P321" s="1">
        <v>1</v>
      </c>
      <c r="Q321" s="90">
        <v>0.21</v>
      </c>
      <c r="R321" s="90">
        <v>0</v>
      </c>
      <c r="T321" s="95">
        <f t="shared" si="13"/>
        <v>151.25</v>
      </c>
      <c r="U321" t="s">
        <v>6098</v>
      </c>
      <c r="V321" s="5" t="s">
        <v>6099</v>
      </c>
      <c r="W321" s="2">
        <v>32206</v>
      </c>
      <c r="X321" s="2">
        <v>44488</v>
      </c>
      <c r="Y321" s="11" t="s">
        <v>6515</v>
      </c>
      <c r="Z321" s="3">
        <v>44623</v>
      </c>
      <c r="AA321" s="80" t="s">
        <v>1339</v>
      </c>
      <c r="AD321" t="s">
        <v>3198</v>
      </c>
      <c r="AG321" t="s">
        <v>6100</v>
      </c>
      <c r="AH321" s="2">
        <v>44512</v>
      </c>
      <c r="AK321" s="3">
        <v>44515</v>
      </c>
    </row>
    <row r="322" spans="1:37">
      <c r="A322" s="1">
        <v>321</v>
      </c>
      <c r="B322" s="61" t="s">
        <v>3526</v>
      </c>
      <c r="C322" s="2">
        <v>44490</v>
      </c>
      <c r="D322" s="1" t="s">
        <v>5962</v>
      </c>
      <c r="E322" s="61" t="s">
        <v>5963</v>
      </c>
      <c r="F322" s="61" t="s">
        <v>5964</v>
      </c>
      <c r="G322" s="6" t="s">
        <v>294</v>
      </c>
      <c r="H322" s="1" t="s">
        <v>3681</v>
      </c>
      <c r="I322" s="1">
        <v>649440825</v>
      </c>
      <c r="J322" t="s">
        <v>6353</v>
      </c>
      <c r="K322" s="1" t="s">
        <v>5962</v>
      </c>
      <c r="L322" s="3">
        <v>44500</v>
      </c>
      <c r="M322" s="1" t="s">
        <v>35</v>
      </c>
      <c r="N322" s="14" t="s">
        <v>5965</v>
      </c>
      <c r="O322" s="187">
        <v>125</v>
      </c>
      <c r="P322" s="1">
        <v>1</v>
      </c>
      <c r="Q322" s="90">
        <v>0.21</v>
      </c>
      <c r="R322" s="90">
        <v>0.2</v>
      </c>
      <c r="T322" s="95">
        <f t="shared" si="13"/>
        <v>121</v>
      </c>
      <c r="U322" t="s">
        <v>6065</v>
      </c>
      <c r="V322" s="5" t="s">
        <v>6066</v>
      </c>
      <c r="W322" s="2">
        <v>32441</v>
      </c>
      <c r="X322" s="2">
        <v>44490</v>
      </c>
      <c r="Y322" s="11" t="s">
        <v>6515</v>
      </c>
      <c r="Z322" s="3">
        <v>44623</v>
      </c>
      <c r="AA322" s="80" t="s">
        <v>1339</v>
      </c>
      <c r="AD322" t="s">
        <v>3198</v>
      </c>
      <c r="AG322" t="s">
        <v>5986</v>
      </c>
      <c r="AH322" s="2">
        <v>44508</v>
      </c>
      <c r="AK322" s="3">
        <v>44515</v>
      </c>
    </row>
    <row r="323" spans="1:37">
      <c r="A323" s="1">
        <v>322</v>
      </c>
      <c r="B323" s="61" t="s">
        <v>3783</v>
      </c>
      <c r="C323" s="2">
        <v>44490</v>
      </c>
      <c r="D323" s="1" t="s">
        <v>3109</v>
      </c>
      <c r="E323" t="s">
        <v>3110</v>
      </c>
      <c r="F323" t="s">
        <v>3111</v>
      </c>
      <c r="G323" s="6" t="s">
        <v>2579</v>
      </c>
      <c r="H323" s="1" t="s">
        <v>2580</v>
      </c>
      <c r="I323"/>
      <c r="J323" t="s">
        <v>5968</v>
      </c>
      <c r="K323" s="1" t="s">
        <v>3109</v>
      </c>
      <c r="L323" s="3">
        <v>44500</v>
      </c>
      <c r="M323" s="1" t="s">
        <v>35</v>
      </c>
      <c r="N323" s="14" t="s">
        <v>5966</v>
      </c>
      <c r="O323" s="187">
        <v>125</v>
      </c>
      <c r="P323" s="1">
        <v>1</v>
      </c>
      <c r="Q323" s="90">
        <v>0.21</v>
      </c>
      <c r="R323" s="90">
        <v>0.2</v>
      </c>
      <c r="T323" s="95">
        <f t="shared" si="13"/>
        <v>121</v>
      </c>
      <c r="U323" t="s">
        <v>6027</v>
      </c>
      <c r="V323" s="5" t="s">
        <v>6028</v>
      </c>
      <c r="W323" s="2">
        <v>31420</v>
      </c>
      <c r="X323" s="2">
        <v>44490</v>
      </c>
      <c r="Y323" s="11" t="s">
        <v>6247</v>
      </c>
      <c r="Z323" s="3">
        <v>44541</v>
      </c>
      <c r="AA323" s="80" t="s">
        <v>1339</v>
      </c>
      <c r="AD323" t="s">
        <v>3198</v>
      </c>
      <c r="AG323" s="76" t="s">
        <v>5967</v>
      </c>
      <c r="AH323" s="2">
        <v>44503</v>
      </c>
      <c r="AK323" s="3">
        <v>44525</v>
      </c>
    </row>
    <row r="324" spans="1:37">
      <c r="A324" s="1">
        <v>323</v>
      </c>
      <c r="B324" t="s">
        <v>40</v>
      </c>
      <c r="C324" s="2">
        <v>44490</v>
      </c>
      <c r="D324" s="1" t="s">
        <v>1392</v>
      </c>
      <c r="E324" t="s">
        <v>4838</v>
      </c>
      <c r="F324" t="s">
        <v>4839</v>
      </c>
      <c r="G324" s="6" t="s">
        <v>221</v>
      </c>
      <c r="H324" s="1" t="s">
        <v>34</v>
      </c>
      <c r="I324" s="14">
        <v>661604087</v>
      </c>
      <c r="J324" s="227" t="s">
        <v>5970</v>
      </c>
      <c r="K324" s="1" t="s">
        <v>1392</v>
      </c>
      <c r="L324" s="3">
        <v>44500</v>
      </c>
      <c r="M324" s="1" t="s">
        <v>35</v>
      </c>
      <c r="N324" s="14" t="s">
        <v>4840</v>
      </c>
      <c r="O324" s="187">
        <v>125</v>
      </c>
      <c r="P324" s="1">
        <v>1</v>
      </c>
      <c r="Q324" s="90">
        <v>0.21</v>
      </c>
      <c r="R324" s="90">
        <v>0.2</v>
      </c>
      <c r="T324" s="95">
        <f t="shared" si="13"/>
        <v>121</v>
      </c>
      <c r="U324" s="1" t="s">
        <v>5011</v>
      </c>
      <c r="V324" s="5" t="s">
        <v>6046</v>
      </c>
      <c r="W324" s="2">
        <v>29952</v>
      </c>
      <c r="X324" s="2">
        <v>44490</v>
      </c>
      <c r="Y324" s="11" t="s">
        <v>6274</v>
      </c>
      <c r="Z324" s="3">
        <v>44547</v>
      </c>
      <c r="AA324" s="80" t="s">
        <v>1339</v>
      </c>
      <c r="AD324" t="s">
        <v>3198</v>
      </c>
      <c r="AG324" t="s">
        <v>5757</v>
      </c>
      <c r="AH324" s="2">
        <v>44504</v>
      </c>
      <c r="AK324" s="3">
        <v>44512</v>
      </c>
    </row>
    <row r="325" spans="1:37">
      <c r="A325" s="1">
        <v>324</v>
      </c>
      <c r="B325" s="61" t="s">
        <v>143</v>
      </c>
      <c r="C325" s="2">
        <v>44490</v>
      </c>
      <c r="D325" s="1" t="s">
        <v>984</v>
      </c>
      <c r="E325" t="s">
        <v>5971</v>
      </c>
      <c r="F325" s="61" t="s">
        <v>5972</v>
      </c>
      <c r="G325" s="6" t="s">
        <v>220</v>
      </c>
      <c r="H325" s="1" t="s">
        <v>39</v>
      </c>
      <c r="J325" t="s">
        <v>5973</v>
      </c>
      <c r="K325" s="1" t="s">
        <v>984</v>
      </c>
      <c r="L325" s="3">
        <v>44500</v>
      </c>
      <c r="M325" s="1" t="s">
        <v>35</v>
      </c>
      <c r="N325" s="14" t="s">
        <v>5974</v>
      </c>
      <c r="O325" s="187">
        <v>41.32</v>
      </c>
      <c r="P325" s="1">
        <v>1</v>
      </c>
      <c r="Q325" s="90">
        <v>0.21</v>
      </c>
      <c r="R325" s="90">
        <v>0</v>
      </c>
      <c r="T325" s="95">
        <f t="shared" si="13"/>
        <v>49.997199999999999</v>
      </c>
      <c r="U325" s="1" t="s">
        <v>5975</v>
      </c>
      <c r="V325" s="6" t="s">
        <v>5976</v>
      </c>
      <c r="X325" s="2">
        <v>44490</v>
      </c>
      <c r="Y325" s="11"/>
      <c r="AD325" t="s">
        <v>3198</v>
      </c>
    </row>
    <row r="326" spans="1:37">
      <c r="A326" s="1">
        <v>325</v>
      </c>
      <c r="B326" t="s">
        <v>3783</v>
      </c>
      <c r="C326" s="2">
        <v>44491</v>
      </c>
      <c r="D326" s="1" t="s">
        <v>5313</v>
      </c>
      <c r="E326" t="s">
        <v>5432</v>
      </c>
      <c r="F326" s="61" t="s">
        <v>5314</v>
      </c>
      <c r="G326" s="6" t="s">
        <v>2579</v>
      </c>
      <c r="H326" s="1" t="s">
        <v>2580</v>
      </c>
      <c r="J326" t="s">
        <v>5968</v>
      </c>
      <c r="K326" s="1" t="s">
        <v>5313</v>
      </c>
      <c r="L326" s="3">
        <v>44500</v>
      </c>
      <c r="M326" s="1" t="s">
        <v>35</v>
      </c>
      <c r="N326" s="14" t="s">
        <v>5977</v>
      </c>
      <c r="O326" s="187">
        <v>125</v>
      </c>
      <c r="P326" s="1">
        <v>1</v>
      </c>
      <c r="Q326" s="90">
        <v>0.21</v>
      </c>
      <c r="R326" s="90">
        <v>0.2</v>
      </c>
      <c r="T326" s="95">
        <f t="shared" si="13"/>
        <v>121</v>
      </c>
      <c r="U326" t="s">
        <v>6050</v>
      </c>
      <c r="V326" s="5" t="s">
        <v>6049</v>
      </c>
      <c r="W326" s="2">
        <v>35514</v>
      </c>
      <c r="X326" s="2">
        <v>44491</v>
      </c>
      <c r="Y326" s="11" t="s">
        <v>6252</v>
      </c>
      <c r="Z326" s="3">
        <v>44543</v>
      </c>
      <c r="AA326" s="80" t="s">
        <v>1339</v>
      </c>
      <c r="AD326" t="s">
        <v>3198</v>
      </c>
      <c r="AG326" t="s">
        <v>5967</v>
      </c>
      <c r="AH326" s="2">
        <v>44504</v>
      </c>
      <c r="AK326" s="3">
        <v>44525</v>
      </c>
    </row>
    <row r="327" spans="1:37">
      <c r="A327" s="1">
        <v>326</v>
      </c>
      <c r="B327" s="61" t="s">
        <v>37</v>
      </c>
      <c r="C327" s="2">
        <v>44491</v>
      </c>
      <c r="D327" t="s">
        <v>6080</v>
      </c>
      <c r="E327" t="s">
        <v>5978</v>
      </c>
      <c r="F327" s="61" t="s">
        <v>5979</v>
      </c>
      <c r="G327" s="6" t="s">
        <v>219</v>
      </c>
      <c r="H327" s="1" t="s">
        <v>38</v>
      </c>
      <c r="I327" s="1">
        <v>632314381</v>
      </c>
      <c r="K327" t="s">
        <v>6080</v>
      </c>
      <c r="L327" s="3">
        <v>44500</v>
      </c>
      <c r="M327" s="1" t="s">
        <v>35</v>
      </c>
      <c r="N327" s="14" t="s">
        <v>5980</v>
      </c>
      <c r="O327" s="187">
        <v>125</v>
      </c>
      <c r="P327" s="1">
        <v>1</v>
      </c>
      <c r="Q327" s="90">
        <v>0.21</v>
      </c>
      <c r="R327" s="90">
        <v>0</v>
      </c>
      <c r="T327" s="95">
        <f t="shared" si="13"/>
        <v>151.25</v>
      </c>
      <c r="U327" t="s">
        <v>6080</v>
      </c>
      <c r="V327" s="5" t="s">
        <v>6081</v>
      </c>
      <c r="W327" s="2">
        <v>32857</v>
      </c>
      <c r="X327" s="2">
        <v>44491</v>
      </c>
      <c r="Y327" s="125" t="s">
        <v>6945</v>
      </c>
      <c r="Z327" s="3">
        <v>44701</v>
      </c>
      <c r="AA327" s="80" t="s">
        <v>1339</v>
      </c>
      <c r="AC327" s="162">
        <v>44635</v>
      </c>
      <c r="AD327" t="s">
        <v>3198</v>
      </c>
      <c r="AG327" t="s">
        <v>3812</v>
      </c>
      <c r="AH327" s="2">
        <v>44509</v>
      </c>
      <c r="AK327" s="3">
        <v>44515</v>
      </c>
    </row>
    <row r="328" spans="1:37">
      <c r="A328" s="1">
        <v>327</v>
      </c>
      <c r="B328" s="61" t="s">
        <v>37</v>
      </c>
      <c r="C328" s="2">
        <v>44491</v>
      </c>
      <c r="D328" s="1" t="s">
        <v>3600</v>
      </c>
      <c r="E328" s="61" t="s">
        <v>3601</v>
      </c>
      <c r="F328" s="61" t="s">
        <v>3602</v>
      </c>
      <c r="G328" s="6" t="s">
        <v>314</v>
      </c>
      <c r="H328" s="1" t="s">
        <v>3603</v>
      </c>
      <c r="I328" s="1">
        <v>631912608</v>
      </c>
      <c r="J328" s="1"/>
      <c r="K328" t="s">
        <v>3600</v>
      </c>
      <c r="L328" s="3">
        <v>44500</v>
      </c>
      <c r="M328" s="1" t="s">
        <v>35</v>
      </c>
      <c r="N328" s="14" t="s">
        <v>5981</v>
      </c>
      <c r="O328" s="144">
        <v>75</v>
      </c>
      <c r="P328" s="1">
        <v>1</v>
      </c>
      <c r="Q328" s="90">
        <v>0.21</v>
      </c>
      <c r="R328" s="90">
        <v>0</v>
      </c>
      <c r="S328" s="72"/>
      <c r="T328" s="95">
        <f>(O328*P328)*Q328+O328*P328</f>
        <v>90.75</v>
      </c>
      <c r="U328" s="1" t="s">
        <v>3600</v>
      </c>
      <c r="V328" s="5" t="s">
        <v>6288</v>
      </c>
      <c r="W328" s="2">
        <v>30089</v>
      </c>
      <c r="X328" s="2">
        <v>44491</v>
      </c>
      <c r="Y328" s="11" t="s">
        <v>6307</v>
      </c>
      <c r="Z328" s="3">
        <v>44551</v>
      </c>
      <c r="AA328" s="80" t="s">
        <v>1339</v>
      </c>
      <c r="AD328" t="s">
        <v>3198</v>
      </c>
      <c r="AG328" s="76" t="s">
        <v>5757</v>
      </c>
      <c r="AH328" s="2"/>
      <c r="AI328" s="1"/>
      <c r="AK328" s="2"/>
    </row>
    <row r="329" spans="1:37">
      <c r="A329" s="1">
        <v>328</v>
      </c>
      <c r="B329" s="61" t="s">
        <v>3526</v>
      </c>
      <c r="C329" s="2">
        <v>44491</v>
      </c>
      <c r="D329" s="1" t="s">
        <v>5982</v>
      </c>
      <c r="E329" t="s">
        <v>5983</v>
      </c>
      <c r="F329" s="61" t="s">
        <v>5984</v>
      </c>
      <c r="G329" s="6" t="s">
        <v>294</v>
      </c>
      <c r="H329" s="1" t="s">
        <v>103</v>
      </c>
      <c r="I329">
        <v>649440825</v>
      </c>
      <c r="J329" t="s">
        <v>5969</v>
      </c>
      <c r="K329" s="1" t="s">
        <v>5982</v>
      </c>
      <c r="L329" s="3">
        <v>44500</v>
      </c>
      <c r="M329" s="1" t="s">
        <v>35</v>
      </c>
      <c r="N329" s="14" t="s">
        <v>5985</v>
      </c>
      <c r="O329" s="187">
        <v>125</v>
      </c>
      <c r="P329" s="1">
        <v>1</v>
      </c>
      <c r="Q329" s="90">
        <v>0.21</v>
      </c>
      <c r="R329" s="90">
        <v>0.2</v>
      </c>
      <c r="T329" s="95">
        <f>SUM(O329-(O329*R329))*Q329+(O329-(O329*R329))</f>
        <v>121</v>
      </c>
      <c r="U329" t="s">
        <v>6096</v>
      </c>
      <c r="V329" s="5" t="s">
        <v>6097</v>
      </c>
      <c r="W329" s="2">
        <v>37594</v>
      </c>
      <c r="X329" s="2">
        <v>44491</v>
      </c>
      <c r="Y329" s="125" t="s">
        <v>6661</v>
      </c>
      <c r="Z329" s="3">
        <v>44645</v>
      </c>
      <c r="AA329" s="80" t="s">
        <v>1339</v>
      </c>
      <c r="AC329" s="162">
        <v>44573</v>
      </c>
      <c r="AD329" t="s">
        <v>3198</v>
      </c>
      <c r="AG329" t="s">
        <v>5757</v>
      </c>
      <c r="AH329" s="2">
        <v>44512</v>
      </c>
      <c r="AK329" s="3">
        <v>44523</v>
      </c>
    </row>
    <row r="330" spans="1:37" s="153" customFormat="1">
      <c r="A330" s="149">
        <v>329</v>
      </c>
      <c r="B330" s="150" t="s">
        <v>4092</v>
      </c>
      <c r="C330" s="151">
        <v>44495</v>
      </c>
      <c r="D330" s="149" t="s">
        <v>2801</v>
      </c>
      <c r="E330" s="150" t="s">
        <v>4093</v>
      </c>
      <c r="F330" s="150" t="s">
        <v>5696</v>
      </c>
      <c r="G330" s="152" t="s">
        <v>928</v>
      </c>
      <c r="H330" s="149" t="s">
        <v>3681</v>
      </c>
      <c r="I330" s="149">
        <v>672818929</v>
      </c>
      <c r="K330" s="149" t="s">
        <v>2801</v>
      </c>
      <c r="L330" s="154">
        <v>44500</v>
      </c>
      <c r="M330" s="149" t="s">
        <v>35</v>
      </c>
      <c r="N330" s="153" t="s">
        <v>5987</v>
      </c>
      <c r="O330" s="155" t="s">
        <v>3407</v>
      </c>
      <c r="P330" s="149" t="s">
        <v>3407</v>
      </c>
      <c r="Q330" s="156" t="s">
        <v>3407</v>
      </c>
      <c r="R330" s="156" t="s">
        <v>3407</v>
      </c>
      <c r="S330" s="149"/>
      <c r="T330" s="95" t="s">
        <v>3407</v>
      </c>
      <c r="U330" s="149" t="s">
        <v>2801</v>
      </c>
      <c r="V330" s="225" t="s">
        <v>6051</v>
      </c>
      <c r="W330" s="151">
        <v>31256</v>
      </c>
      <c r="X330" s="151">
        <v>44495</v>
      </c>
      <c r="Y330" s="125" t="s">
        <v>6723</v>
      </c>
      <c r="Z330" s="154">
        <v>44652</v>
      </c>
      <c r="AA330" s="80" t="s">
        <v>1339</v>
      </c>
      <c r="AC330" s="162">
        <v>44582</v>
      </c>
      <c r="AD330" s="153" t="s">
        <v>3198</v>
      </c>
      <c r="AG330" s="149"/>
      <c r="AH330" s="149"/>
      <c r="AI330" s="149"/>
      <c r="AK330" s="151"/>
    </row>
    <row r="331" spans="1:37">
      <c r="A331" s="1">
        <v>330</v>
      </c>
      <c r="B331" s="61" t="s">
        <v>4321</v>
      </c>
      <c r="C331" s="2">
        <v>44495</v>
      </c>
      <c r="D331" s="1" t="s">
        <v>5988</v>
      </c>
      <c r="E331" t="s">
        <v>5989</v>
      </c>
      <c r="F331" s="61" t="s">
        <v>5990</v>
      </c>
      <c r="G331" s="6" t="s">
        <v>242</v>
      </c>
      <c r="H331" s="1" t="s">
        <v>5083</v>
      </c>
      <c r="J331" s="1" t="s">
        <v>5991</v>
      </c>
      <c r="K331" s="1" t="s">
        <v>5988</v>
      </c>
      <c r="L331" s="3">
        <v>44500</v>
      </c>
      <c r="M331" s="1" t="s">
        <v>35</v>
      </c>
      <c r="N331" s="14" t="s">
        <v>5992</v>
      </c>
      <c r="O331" s="187">
        <v>125</v>
      </c>
      <c r="P331" s="1">
        <v>1</v>
      </c>
      <c r="Q331" s="90">
        <v>0.21</v>
      </c>
      <c r="R331" s="90">
        <v>0.2</v>
      </c>
      <c r="T331" s="95">
        <f t="shared" ref="T331:T362" si="14">SUM(O331-(O331*R331))*Q331+(O331-(O331*R331))</f>
        <v>121</v>
      </c>
      <c r="U331" t="s">
        <v>6092</v>
      </c>
      <c r="V331" s="5" t="s">
        <v>6093</v>
      </c>
      <c r="W331" s="2">
        <v>34290</v>
      </c>
      <c r="X331" s="2">
        <v>44495</v>
      </c>
      <c r="Y331" s="13" t="s">
        <v>6778</v>
      </c>
      <c r="Z331" s="3">
        <v>44668</v>
      </c>
      <c r="AA331" s="80" t="s">
        <v>1339</v>
      </c>
      <c r="AC331" s="255">
        <v>44589</v>
      </c>
      <c r="AD331" t="s">
        <v>3198</v>
      </c>
      <c r="AG331" t="s">
        <v>5757</v>
      </c>
      <c r="AH331" s="2">
        <v>44512</v>
      </c>
      <c r="AK331" s="3">
        <v>44532</v>
      </c>
    </row>
    <row r="332" spans="1:37">
      <c r="A332" s="1">
        <v>331</v>
      </c>
      <c r="B332" t="s">
        <v>37</v>
      </c>
      <c r="C332" s="2">
        <v>44496</v>
      </c>
      <c r="D332" s="1" t="s">
        <v>4512</v>
      </c>
      <c r="E332" t="s">
        <v>4613</v>
      </c>
      <c r="F332" t="s">
        <v>4614</v>
      </c>
      <c r="G332" s="6" t="s">
        <v>242</v>
      </c>
      <c r="H332" s="1" t="s">
        <v>86</v>
      </c>
      <c r="I332" s="1">
        <v>673821555</v>
      </c>
      <c r="K332" s="1" t="s">
        <v>4512</v>
      </c>
      <c r="L332" s="3">
        <v>44500</v>
      </c>
      <c r="M332" s="1" t="s">
        <v>35</v>
      </c>
      <c r="N332" s="14" t="s">
        <v>5998</v>
      </c>
      <c r="O332" s="187">
        <v>41.32</v>
      </c>
      <c r="P332" s="1">
        <v>1</v>
      </c>
      <c r="Q332" s="90">
        <v>0.21</v>
      </c>
      <c r="R332" s="90">
        <v>0</v>
      </c>
      <c r="T332" s="95">
        <f t="shared" si="14"/>
        <v>49.997199999999999</v>
      </c>
      <c r="V332" s="5"/>
      <c r="W332" s="2"/>
      <c r="X332" s="2"/>
      <c r="Y332" s="11"/>
      <c r="AD332" t="s">
        <v>3198</v>
      </c>
    </row>
    <row r="333" spans="1:37">
      <c r="A333" s="1">
        <v>332</v>
      </c>
      <c r="B333" t="s">
        <v>37</v>
      </c>
      <c r="C333" s="2">
        <v>44496</v>
      </c>
      <c r="D333" s="1" t="s">
        <v>4512</v>
      </c>
      <c r="E333" t="s">
        <v>4613</v>
      </c>
      <c r="F333" t="s">
        <v>4614</v>
      </c>
      <c r="G333" s="6" t="s">
        <v>242</v>
      </c>
      <c r="H333" s="1" t="s">
        <v>86</v>
      </c>
      <c r="I333" s="1">
        <v>673821555</v>
      </c>
      <c r="K333" s="1" t="s">
        <v>4512</v>
      </c>
      <c r="L333" s="3">
        <v>44500</v>
      </c>
      <c r="M333" s="1" t="s">
        <v>35</v>
      </c>
      <c r="N333" s="14" t="s">
        <v>5999</v>
      </c>
      <c r="O333" s="187">
        <v>41.32</v>
      </c>
      <c r="P333" s="1">
        <v>1</v>
      </c>
      <c r="Q333" s="90">
        <v>0.21</v>
      </c>
      <c r="R333" s="90">
        <v>0</v>
      </c>
      <c r="T333" s="95">
        <f t="shared" si="14"/>
        <v>49.997199999999999</v>
      </c>
      <c r="V333" s="5"/>
      <c r="W333" s="2"/>
      <c r="X333" s="2"/>
      <c r="Y333" s="11"/>
      <c r="AD333" t="s">
        <v>3198</v>
      </c>
    </row>
    <row r="334" spans="1:37">
      <c r="A334" s="1">
        <v>333</v>
      </c>
      <c r="B334" t="s">
        <v>52</v>
      </c>
      <c r="C334" s="2">
        <v>44496</v>
      </c>
      <c r="D334" s="1" t="s">
        <v>62</v>
      </c>
      <c r="E334" s="61" t="s">
        <v>63</v>
      </c>
      <c r="F334" s="61" t="s">
        <v>214</v>
      </c>
      <c r="G334" s="6" t="s">
        <v>219</v>
      </c>
      <c r="H334" s="1" t="s">
        <v>38</v>
      </c>
      <c r="I334" s="1">
        <v>607281764</v>
      </c>
      <c r="J334" t="s">
        <v>5906</v>
      </c>
      <c r="K334" s="1" t="s">
        <v>4432</v>
      </c>
      <c r="L334" s="3">
        <v>44500</v>
      </c>
      <c r="M334" t="s">
        <v>35</v>
      </c>
      <c r="N334" s="14" t="s">
        <v>6000</v>
      </c>
      <c r="O334" s="187">
        <v>125</v>
      </c>
      <c r="P334" s="1">
        <v>1</v>
      </c>
      <c r="Q334" s="90">
        <v>0.21</v>
      </c>
      <c r="R334" s="90">
        <v>0.2</v>
      </c>
      <c r="T334" s="95">
        <f t="shared" si="14"/>
        <v>121</v>
      </c>
      <c r="U334" t="s">
        <v>6128</v>
      </c>
      <c r="V334" s="5" t="s">
        <v>6129</v>
      </c>
      <c r="W334" s="2">
        <v>35799</v>
      </c>
      <c r="X334" s="2">
        <v>44496</v>
      </c>
      <c r="Y334" s="125" t="s">
        <v>6326</v>
      </c>
      <c r="Z334" s="3">
        <v>44565</v>
      </c>
      <c r="AA334" s="80" t="s">
        <v>1339</v>
      </c>
      <c r="AD334" t="s">
        <v>3198</v>
      </c>
      <c r="AG334" t="s">
        <v>5757</v>
      </c>
      <c r="AH334" s="3">
        <v>44518</v>
      </c>
      <c r="AK334" s="3">
        <v>44523</v>
      </c>
    </row>
    <row r="335" spans="1:37">
      <c r="A335" s="1">
        <v>334</v>
      </c>
      <c r="B335" t="s">
        <v>1414</v>
      </c>
      <c r="C335" s="2">
        <v>44497</v>
      </c>
      <c r="D335" s="1" t="s">
        <v>3076</v>
      </c>
      <c r="E335" t="s">
        <v>3077</v>
      </c>
      <c r="F335" t="s">
        <v>3078</v>
      </c>
      <c r="G335" s="6" t="s">
        <v>227</v>
      </c>
      <c r="H335" s="1" t="s">
        <v>203</v>
      </c>
      <c r="I335"/>
      <c r="K335" s="1" t="s">
        <v>3076</v>
      </c>
      <c r="L335" s="3">
        <v>44500</v>
      </c>
      <c r="M335" s="1" t="s">
        <v>35</v>
      </c>
      <c r="N335" s="14" t="s">
        <v>6002</v>
      </c>
      <c r="O335" s="187">
        <v>125</v>
      </c>
      <c r="P335" s="1">
        <v>1</v>
      </c>
      <c r="Q335" s="90">
        <v>0.21</v>
      </c>
      <c r="R335" s="90">
        <v>0.2</v>
      </c>
      <c r="T335" s="95">
        <f t="shared" si="14"/>
        <v>121</v>
      </c>
      <c r="U335" t="s">
        <v>6132</v>
      </c>
      <c r="V335" s="5" t="s">
        <v>6131</v>
      </c>
      <c r="W335" s="2">
        <v>37816</v>
      </c>
      <c r="X335" s="2">
        <v>44497</v>
      </c>
      <c r="Y335" s="13" t="s">
        <v>6226</v>
      </c>
      <c r="Z335" s="3">
        <v>44533</v>
      </c>
      <c r="AA335" s="80" t="s">
        <v>1339</v>
      </c>
      <c r="AD335" t="s">
        <v>3198</v>
      </c>
      <c r="AG335" t="s">
        <v>5757</v>
      </c>
      <c r="AH335" s="2">
        <v>44519</v>
      </c>
      <c r="AK335" s="3">
        <v>44519</v>
      </c>
    </row>
    <row r="336" spans="1:37">
      <c r="A336" s="1">
        <v>335</v>
      </c>
      <c r="B336" t="s">
        <v>40</v>
      </c>
      <c r="C336" s="2">
        <v>44498</v>
      </c>
      <c r="D336" s="1" t="s">
        <v>6011</v>
      </c>
      <c r="E336" t="s">
        <v>6012</v>
      </c>
      <c r="F336" t="s">
        <v>6013</v>
      </c>
      <c r="G336" s="6" t="s">
        <v>221</v>
      </c>
      <c r="H336" s="1" t="s">
        <v>34</v>
      </c>
      <c r="K336" s="1" t="s">
        <v>6011</v>
      </c>
      <c r="L336" s="3">
        <v>44500</v>
      </c>
      <c r="M336" s="1" t="s">
        <v>35</v>
      </c>
      <c r="N336" s="14" t="s">
        <v>6014</v>
      </c>
      <c r="O336" s="187">
        <v>125</v>
      </c>
      <c r="P336" s="1">
        <v>1</v>
      </c>
      <c r="Q336" s="90">
        <v>0.21</v>
      </c>
      <c r="R336" s="90">
        <v>0.2</v>
      </c>
      <c r="S336" s="242" t="s">
        <v>6235</v>
      </c>
      <c r="T336" s="95">
        <f t="shared" si="14"/>
        <v>121</v>
      </c>
      <c r="U336" t="s">
        <v>6082</v>
      </c>
      <c r="V336" s="5" t="s">
        <v>6083</v>
      </c>
      <c r="W336" s="2">
        <v>37181</v>
      </c>
      <c r="X336" s="2">
        <v>44498</v>
      </c>
      <c r="Y336" s="125" t="s">
        <v>6274</v>
      </c>
      <c r="Z336" s="3">
        <v>44547</v>
      </c>
      <c r="AA336" s="80" t="s">
        <v>1339</v>
      </c>
      <c r="AD336" t="s">
        <v>3198</v>
      </c>
      <c r="AG336" t="s">
        <v>5757</v>
      </c>
      <c r="AH336" s="2">
        <v>44510</v>
      </c>
      <c r="AK336" s="3">
        <v>44516</v>
      </c>
    </row>
    <row r="337" spans="1:37">
      <c r="A337" s="1">
        <v>336</v>
      </c>
      <c r="B337" t="s">
        <v>40</v>
      </c>
      <c r="C337" s="2">
        <v>44498</v>
      </c>
      <c r="D337" s="1" t="s">
        <v>6015</v>
      </c>
      <c r="E337" t="s">
        <v>6016</v>
      </c>
      <c r="F337" t="s">
        <v>6017</v>
      </c>
      <c r="G337" s="6" t="s">
        <v>221</v>
      </c>
      <c r="H337" s="1" t="s">
        <v>34</v>
      </c>
      <c r="K337" s="1" t="s">
        <v>6015</v>
      </c>
      <c r="L337" s="3">
        <v>44500</v>
      </c>
      <c r="M337" s="1" t="s">
        <v>35</v>
      </c>
      <c r="N337" s="14" t="s">
        <v>6018</v>
      </c>
      <c r="O337" s="187">
        <v>125</v>
      </c>
      <c r="P337" s="1">
        <v>1</v>
      </c>
      <c r="Q337" s="90">
        <v>0.21</v>
      </c>
      <c r="R337" s="90">
        <v>0.2</v>
      </c>
      <c r="T337" s="95">
        <f t="shared" si="14"/>
        <v>121</v>
      </c>
      <c r="U337" t="s">
        <v>6031</v>
      </c>
      <c r="V337" s="5" t="s">
        <v>6107</v>
      </c>
      <c r="W337" s="2">
        <v>32007</v>
      </c>
      <c r="X337" s="2">
        <v>44498</v>
      </c>
      <c r="Y337" s="13" t="s">
        <v>6407</v>
      </c>
      <c r="Z337" s="3">
        <v>44585</v>
      </c>
      <c r="AA337" s="80" t="s">
        <v>1339</v>
      </c>
      <c r="AB337" t="s">
        <v>6410</v>
      </c>
      <c r="AC337" t="s">
        <v>6486</v>
      </c>
      <c r="AD337" t="s">
        <v>3198</v>
      </c>
      <c r="AG337" t="s">
        <v>3812</v>
      </c>
      <c r="AH337" s="2">
        <v>44503</v>
      </c>
      <c r="AK337" s="3">
        <v>44515</v>
      </c>
    </row>
    <row r="338" spans="1:37">
      <c r="A338" s="1">
        <v>337</v>
      </c>
      <c r="B338" t="s">
        <v>1414</v>
      </c>
      <c r="C338" s="2">
        <v>44502</v>
      </c>
      <c r="D338" s="1" t="s">
        <v>1812</v>
      </c>
      <c r="E338" t="s">
        <v>1813</v>
      </c>
      <c r="F338" t="s">
        <v>1994</v>
      </c>
      <c r="G338" s="6" t="s">
        <v>221</v>
      </c>
      <c r="H338" s="1" t="s">
        <v>34</v>
      </c>
      <c r="I338" s="1">
        <v>626326758</v>
      </c>
      <c r="J338" t="s">
        <v>6019</v>
      </c>
      <c r="K338" t="s">
        <v>1812</v>
      </c>
      <c r="L338" s="3">
        <v>44530</v>
      </c>
      <c r="M338" s="1" t="s">
        <v>35</v>
      </c>
      <c r="N338" s="14" t="s">
        <v>6020</v>
      </c>
      <c r="O338" s="187">
        <v>125</v>
      </c>
      <c r="P338" s="1">
        <v>1</v>
      </c>
      <c r="Q338" s="90">
        <v>0.21</v>
      </c>
      <c r="R338" s="90">
        <v>0.2</v>
      </c>
      <c r="T338" s="95">
        <f t="shared" si="14"/>
        <v>121</v>
      </c>
      <c r="U338" t="s">
        <v>6141</v>
      </c>
      <c r="V338" s="5" t="s">
        <v>6142</v>
      </c>
      <c r="W338" s="2">
        <v>32553</v>
      </c>
      <c r="X338" s="2">
        <v>44502</v>
      </c>
      <c r="Y338" s="125" t="s">
        <v>6597</v>
      </c>
      <c r="Z338" s="3">
        <v>44634</v>
      </c>
      <c r="AA338" s="80" t="s">
        <v>1339</v>
      </c>
      <c r="AD338" t="s">
        <v>3198</v>
      </c>
      <c r="AG338" t="s">
        <v>3812</v>
      </c>
      <c r="AH338" s="2">
        <v>44519</v>
      </c>
      <c r="AK338" s="3">
        <v>44523</v>
      </c>
    </row>
    <row r="339" spans="1:37">
      <c r="A339" s="1">
        <v>338</v>
      </c>
      <c r="B339" t="s">
        <v>40</v>
      </c>
      <c r="C339" s="2">
        <v>44502</v>
      </c>
      <c r="D339" s="1" t="s">
        <v>6015</v>
      </c>
      <c r="E339" t="s">
        <v>6016</v>
      </c>
      <c r="F339" t="s">
        <v>6017</v>
      </c>
      <c r="G339" s="6" t="s">
        <v>221</v>
      </c>
      <c r="H339" s="1" t="s">
        <v>34</v>
      </c>
      <c r="K339" s="1" t="s">
        <v>6015</v>
      </c>
      <c r="L339" s="3">
        <v>44530</v>
      </c>
      <c r="M339" s="1" t="s">
        <v>35</v>
      </c>
      <c r="N339" s="14" t="s">
        <v>6021</v>
      </c>
      <c r="O339" s="187">
        <v>125</v>
      </c>
      <c r="P339" s="1">
        <v>1</v>
      </c>
      <c r="Q339" s="90">
        <v>0.21</v>
      </c>
      <c r="R339" s="90">
        <v>0.2</v>
      </c>
      <c r="T339" s="95">
        <f t="shared" si="14"/>
        <v>121</v>
      </c>
      <c r="U339" t="s">
        <v>6139</v>
      </c>
      <c r="V339" s="5" t="s">
        <v>6140</v>
      </c>
      <c r="W339" s="2">
        <v>32590</v>
      </c>
      <c r="X339" s="2">
        <v>44502</v>
      </c>
      <c r="Y339" s="125" t="s">
        <v>6622</v>
      </c>
      <c r="Z339" s="3">
        <v>44638</v>
      </c>
      <c r="AA339" s="80" t="s">
        <v>1339</v>
      </c>
      <c r="AD339" t="s">
        <v>3198</v>
      </c>
      <c r="AG339" t="s">
        <v>3812</v>
      </c>
      <c r="AH339" s="2">
        <v>44519</v>
      </c>
      <c r="AK339" s="3">
        <v>44523</v>
      </c>
    </row>
    <row r="340" spans="1:37">
      <c r="A340" s="1">
        <v>339</v>
      </c>
      <c r="B340" s="61" t="s">
        <v>52</v>
      </c>
      <c r="C340" s="2">
        <v>44503</v>
      </c>
      <c r="D340" s="1" t="s">
        <v>66</v>
      </c>
      <c r="E340" s="61" t="s">
        <v>65</v>
      </c>
      <c r="F340" s="61" t="s">
        <v>3666</v>
      </c>
      <c r="G340" s="6" t="s">
        <v>230</v>
      </c>
      <c r="H340" s="1" t="s">
        <v>34</v>
      </c>
      <c r="I340" s="1">
        <v>646968420</v>
      </c>
      <c r="J340" t="s">
        <v>5906</v>
      </c>
      <c r="K340" s="1" t="s">
        <v>4432</v>
      </c>
      <c r="L340" s="3">
        <v>44530</v>
      </c>
      <c r="M340" s="1" t="s">
        <v>35</v>
      </c>
      <c r="N340" s="14" t="s">
        <v>6032</v>
      </c>
      <c r="O340" s="144">
        <v>125</v>
      </c>
      <c r="P340" s="1">
        <v>1</v>
      </c>
      <c r="Q340" s="90">
        <v>0.21</v>
      </c>
      <c r="R340" s="90">
        <v>0.2</v>
      </c>
      <c r="S340" s="1"/>
      <c r="T340" s="95">
        <f t="shared" si="14"/>
        <v>121</v>
      </c>
      <c r="U340" t="s">
        <v>6135</v>
      </c>
      <c r="V340" s="5" t="s">
        <v>6136</v>
      </c>
      <c r="W340" s="2">
        <v>30317</v>
      </c>
      <c r="X340" s="2">
        <v>44503</v>
      </c>
      <c r="Y340" s="125" t="s">
        <v>6662</v>
      </c>
      <c r="Z340" s="3">
        <v>44645</v>
      </c>
      <c r="AA340" s="80" t="s">
        <v>1339</v>
      </c>
      <c r="AD340" t="s">
        <v>3198</v>
      </c>
      <c r="AG340" t="s">
        <v>3812</v>
      </c>
      <c r="AH340" s="2">
        <v>44519</v>
      </c>
      <c r="AI340" s="1"/>
      <c r="AK340" s="3">
        <v>44523</v>
      </c>
    </row>
    <row r="341" spans="1:37">
      <c r="A341" s="1">
        <v>340</v>
      </c>
      <c r="B341" t="s">
        <v>40</v>
      </c>
      <c r="C341" s="2">
        <v>44503</v>
      </c>
      <c r="D341" s="1" t="s">
        <v>6033</v>
      </c>
      <c r="E341" t="s">
        <v>6034</v>
      </c>
      <c r="F341" t="s">
        <v>6035</v>
      </c>
      <c r="G341" s="6" t="s">
        <v>964</v>
      </c>
      <c r="H341" s="1" t="s">
        <v>34</v>
      </c>
      <c r="K341" s="1" t="s">
        <v>6033</v>
      </c>
      <c r="L341" s="3">
        <v>44530</v>
      </c>
      <c r="M341" s="1" t="s">
        <v>35</v>
      </c>
      <c r="N341" s="14" t="s">
        <v>6036</v>
      </c>
      <c r="O341" s="187">
        <v>125</v>
      </c>
      <c r="P341" s="1">
        <v>1</v>
      </c>
      <c r="Q341" s="90">
        <v>0.21</v>
      </c>
      <c r="R341" s="90">
        <v>0.2</v>
      </c>
      <c r="S341" s="242" t="s">
        <v>6236</v>
      </c>
      <c r="T341" s="95">
        <f t="shared" si="14"/>
        <v>121</v>
      </c>
      <c r="U341" s="1" t="s">
        <v>6037</v>
      </c>
      <c r="V341" s="5" t="s">
        <v>6113</v>
      </c>
      <c r="W341" s="2">
        <v>25453</v>
      </c>
      <c r="X341" s="2">
        <v>44503</v>
      </c>
      <c r="Y341" s="125" t="s">
        <v>6143</v>
      </c>
      <c r="Z341" s="3">
        <v>44519</v>
      </c>
      <c r="AA341" s="80" t="s">
        <v>1339</v>
      </c>
      <c r="AD341" t="s">
        <v>3198</v>
      </c>
      <c r="AG341" t="s">
        <v>5757</v>
      </c>
      <c r="AH341" s="2">
        <v>44516</v>
      </c>
      <c r="AK341" s="3">
        <v>44516</v>
      </c>
    </row>
    <row r="342" spans="1:37">
      <c r="A342" s="1">
        <v>341</v>
      </c>
      <c r="B342" t="s">
        <v>3526</v>
      </c>
      <c r="C342" s="2">
        <v>44503</v>
      </c>
      <c r="D342" s="1" t="s">
        <v>6038</v>
      </c>
      <c r="E342" t="s">
        <v>6039</v>
      </c>
      <c r="F342" t="s">
        <v>6040</v>
      </c>
      <c r="G342" s="6" t="s">
        <v>294</v>
      </c>
      <c r="H342" s="1" t="s">
        <v>6041</v>
      </c>
      <c r="I342">
        <v>649920289</v>
      </c>
      <c r="J342" t="s">
        <v>6055</v>
      </c>
      <c r="K342" s="1" t="s">
        <v>6038</v>
      </c>
      <c r="L342" s="3">
        <v>44530</v>
      </c>
      <c r="M342" s="1" t="s">
        <v>35</v>
      </c>
      <c r="N342" s="14" t="s">
        <v>6042</v>
      </c>
      <c r="O342" s="187">
        <v>125</v>
      </c>
      <c r="P342" s="1">
        <v>1</v>
      </c>
      <c r="Q342" s="90">
        <v>0.21</v>
      </c>
      <c r="R342" s="90">
        <v>0.2</v>
      </c>
      <c r="T342" s="95">
        <f t="shared" si="14"/>
        <v>121</v>
      </c>
      <c r="U342" t="s">
        <v>6116</v>
      </c>
      <c r="V342" s="5" t="s">
        <v>6117</v>
      </c>
      <c r="W342" s="2">
        <v>37068</v>
      </c>
      <c r="X342" s="2">
        <v>44503</v>
      </c>
      <c r="Y342" s="307" t="s">
        <v>6226</v>
      </c>
      <c r="Z342" s="3">
        <v>44550</v>
      </c>
      <c r="AA342" s="80" t="s">
        <v>1339</v>
      </c>
      <c r="AB342" t="s">
        <v>6043</v>
      </c>
      <c r="AD342" t="s">
        <v>3198</v>
      </c>
      <c r="AG342" t="s">
        <v>5757</v>
      </c>
      <c r="AH342" s="2">
        <v>44516</v>
      </c>
      <c r="AK342" s="3">
        <v>44523</v>
      </c>
    </row>
    <row r="343" spans="1:37">
      <c r="A343" s="1">
        <v>342</v>
      </c>
      <c r="B343" t="s">
        <v>3526</v>
      </c>
      <c r="C343" s="2">
        <v>44503</v>
      </c>
      <c r="D343" s="1" t="s">
        <v>5327</v>
      </c>
      <c r="E343" t="s">
        <v>5328</v>
      </c>
      <c r="F343" s="61" t="s">
        <v>5329</v>
      </c>
      <c r="G343" s="6" t="s">
        <v>294</v>
      </c>
      <c r="H343" s="1" t="s">
        <v>5330</v>
      </c>
      <c r="I343" s="1">
        <v>660570576</v>
      </c>
      <c r="K343" s="1" t="s">
        <v>5327</v>
      </c>
      <c r="L343" s="3">
        <v>44530</v>
      </c>
      <c r="M343" s="1" t="s">
        <v>35</v>
      </c>
      <c r="N343" s="14" t="s">
        <v>6044</v>
      </c>
      <c r="O343" s="187">
        <v>100</v>
      </c>
      <c r="P343" s="1">
        <v>1</v>
      </c>
      <c r="Q343" s="90">
        <v>0.21</v>
      </c>
      <c r="R343" s="90">
        <v>0.2</v>
      </c>
      <c r="T343" s="95">
        <f t="shared" si="14"/>
        <v>96.8</v>
      </c>
      <c r="U343" t="s">
        <v>6138</v>
      </c>
      <c r="V343" s="5" t="s">
        <v>6137</v>
      </c>
      <c r="W343" s="2">
        <v>28887</v>
      </c>
      <c r="X343" s="2">
        <v>44503</v>
      </c>
      <c r="Y343" s="125" t="s">
        <v>6654</v>
      </c>
      <c r="Z343" s="3">
        <v>44643</v>
      </c>
      <c r="AA343" s="80" t="s">
        <v>1339</v>
      </c>
      <c r="AB343" t="s">
        <v>6157</v>
      </c>
      <c r="AD343" t="s">
        <v>3198</v>
      </c>
      <c r="AG343" t="s">
        <v>4484</v>
      </c>
      <c r="AH343" s="2">
        <v>44519</v>
      </c>
      <c r="AK343" s="3">
        <v>44524</v>
      </c>
    </row>
    <row r="344" spans="1:37">
      <c r="A344" s="1">
        <v>342</v>
      </c>
      <c r="B344" t="s">
        <v>137</v>
      </c>
      <c r="C344" s="2">
        <v>44505</v>
      </c>
      <c r="D344" s="1" t="s">
        <v>6056</v>
      </c>
      <c r="E344" t="s">
        <v>6057</v>
      </c>
      <c r="F344" t="s">
        <v>6058</v>
      </c>
      <c r="G344" s="6" t="s">
        <v>230</v>
      </c>
      <c r="H344" s="1" t="s">
        <v>1262</v>
      </c>
      <c r="J344" t="s">
        <v>5905</v>
      </c>
      <c r="K344" s="30" t="s">
        <v>1250</v>
      </c>
      <c r="L344" s="3">
        <v>44530</v>
      </c>
      <c r="M344" s="1" t="s">
        <v>35</v>
      </c>
      <c r="N344" s="14" t="s">
        <v>6059</v>
      </c>
      <c r="O344" s="187">
        <v>125</v>
      </c>
      <c r="P344" s="1">
        <v>1</v>
      </c>
      <c r="Q344" s="90">
        <v>0.21</v>
      </c>
      <c r="R344" s="90">
        <v>0.2</v>
      </c>
      <c r="T344" s="95">
        <f t="shared" si="14"/>
        <v>121</v>
      </c>
      <c r="U344" t="s">
        <v>6126</v>
      </c>
      <c r="V344" s="5" t="s">
        <v>6127</v>
      </c>
      <c r="W344" s="2">
        <v>28126</v>
      </c>
      <c r="X344" s="2">
        <v>44504</v>
      </c>
      <c r="Y344" s="125" t="s">
        <v>6623</v>
      </c>
      <c r="Z344" s="3">
        <v>44638</v>
      </c>
      <c r="AA344" s="80" t="s">
        <v>1339</v>
      </c>
      <c r="AD344" t="s">
        <v>3198</v>
      </c>
      <c r="AG344" t="s">
        <v>3812</v>
      </c>
      <c r="AH344" s="2">
        <v>44518</v>
      </c>
      <c r="AK344" s="3">
        <v>44525</v>
      </c>
    </row>
    <row r="345" spans="1:37">
      <c r="A345" s="1">
        <v>343</v>
      </c>
      <c r="B345" t="s">
        <v>37</v>
      </c>
      <c r="C345" s="2">
        <v>44508</v>
      </c>
      <c r="D345" s="1" t="s">
        <v>6067</v>
      </c>
      <c r="E345" t="s">
        <v>6068</v>
      </c>
      <c r="F345" t="s">
        <v>6069</v>
      </c>
      <c r="G345" s="6" t="s">
        <v>221</v>
      </c>
      <c r="H345" s="1" t="s">
        <v>34</v>
      </c>
      <c r="I345" s="1">
        <v>642935538</v>
      </c>
      <c r="K345" s="1" t="s">
        <v>6067</v>
      </c>
      <c r="L345" s="2">
        <v>44530</v>
      </c>
      <c r="M345" s="1" t="s">
        <v>35</v>
      </c>
      <c r="N345" t="s">
        <v>6070</v>
      </c>
      <c r="O345" s="187">
        <v>75</v>
      </c>
      <c r="P345" s="1">
        <v>1</v>
      </c>
      <c r="Q345" s="90">
        <v>0.21</v>
      </c>
      <c r="R345" s="90">
        <v>0</v>
      </c>
      <c r="T345" s="95">
        <f t="shared" si="14"/>
        <v>90.75</v>
      </c>
      <c r="U345" t="s">
        <v>6067</v>
      </c>
      <c r="V345" s="5" t="s">
        <v>6071</v>
      </c>
      <c r="W345" s="2">
        <v>25691</v>
      </c>
      <c r="X345" s="2">
        <v>44508</v>
      </c>
      <c r="Y345" s="125" t="s">
        <v>6146</v>
      </c>
      <c r="Z345" s="3">
        <v>44526</v>
      </c>
      <c r="AA345" s="80" t="s">
        <v>1339</v>
      </c>
      <c r="AD345" t="s">
        <v>3198</v>
      </c>
      <c r="AG345" s="1"/>
    </row>
    <row r="346" spans="1:37">
      <c r="A346" s="1">
        <v>344</v>
      </c>
      <c r="B346" t="s">
        <v>37</v>
      </c>
      <c r="C346" s="2">
        <v>44509</v>
      </c>
      <c r="D346" t="s">
        <v>265</v>
      </c>
      <c r="E346" t="s">
        <v>266</v>
      </c>
      <c r="F346" t="s">
        <v>5077</v>
      </c>
      <c r="G346" s="6" t="s">
        <v>238</v>
      </c>
      <c r="H346" s="1" t="s">
        <v>48</v>
      </c>
      <c r="I346">
        <v>657588849</v>
      </c>
      <c r="K346" s="1" t="s">
        <v>265</v>
      </c>
      <c r="L346" s="2">
        <v>44530</v>
      </c>
      <c r="M346" s="1" t="s">
        <v>35</v>
      </c>
      <c r="N346" t="s">
        <v>6072</v>
      </c>
      <c r="O346" s="187">
        <v>75</v>
      </c>
      <c r="P346" s="1">
        <v>1</v>
      </c>
      <c r="Q346" s="90">
        <v>0.21</v>
      </c>
      <c r="R346" s="90">
        <v>0.2</v>
      </c>
      <c r="T346" s="95">
        <f t="shared" si="14"/>
        <v>72.599999999999994</v>
      </c>
      <c r="U346" t="s">
        <v>265</v>
      </c>
      <c r="V346" s="5" t="s">
        <v>6073</v>
      </c>
      <c r="W346" s="2">
        <v>31051</v>
      </c>
      <c r="X346" s="2">
        <v>44509</v>
      </c>
      <c r="Y346" s="125" t="s">
        <v>6491</v>
      </c>
      <c r="Z346" s="3">
        <v>44613</v>
      </c>
      <c r="AA346" s="80" t="s">
        <v>1339</v>
      </c>
      <c r="AC346" s="162">
        <v>44526</v>
      </c>
      <c r="AD346" t="s">
        <v>3198</v>
      </c>
      <c r="AH346" s="2"/>
      <c r="AK346" s="3"/>
    </row>
    <row r="347" spans="1:37">
      <c r="A347" s="1">
        <v>345</v>
      </c>
      <c r="B347" t="s">
        <v>37</v>
      </c>
      <c r="C347" s="2">
        <v>44509</v>
      </c>
      <c r="D347" s="1" t="s">
        <v>6074</v>
      </c>
      <c r="E347" t="s">
        <v>6075</v>
      </c>
      <c r="F347" t="s">
        <v>6076</v>
      </c>
      <c r="G347" s="6" t="s">
        <v>238</v>
      </c>
      <c r="H347" s="1" t="s">
        <v>48</v>
      </c>
      <c r="I347" s="1">
        <v>632137427</v>
      </c>
      <c r="K347" s="1" t="s">
        <v>6074</v>
      </c>
      <c r="L347" s="2">
        <v>44530</v>
      </c>
      <c r="M347" s="1" t="s">
        <v>35</v>
      </c>
      <c r="N347" t="s">
        <v>6077</v>
      </c>
      <c r="O347" s="187">
        <v>75</v>
      </c>
      <c r="P347" s="1">
        <v>1</v>
      </c>
      <c r="Q347" s="90">
        <v>0.21</v>
      </c>
      <c r="R347" s="90">
        <v>0</v>
      </c>
      <c r="T347" s="95">
        <f t="shared" si="14"/>
        <v>90.75</v>
      </c>
      <c r="U347" s="1" t="s">
        <v>6074</v>
      </c>
      <c r="V347" s="5" t="s">
        <v>6078</v>
      </c>
      <c r="W347" s="2">
        <v>29942</v>
      </c>
      <c r="X347" s="2">
        <v>44509</v>
      </c>
      <c r="Y347" s="125" t="s">
        <v>6146</v>
      </c>
      <c r="Z347" s="3">
        <v>44526</v>
      </c>
      <c r="AA347" s="80" t="s">
        <v>1339</v>
      </c>
      <c r="AD347" t="s">
        <v>3198</v>
      </c>
    </row>
    <row r="348" spans="1:37">
      <c r="A348" s="1">
        <v>346</v>
      </c>
      <c r="B348" t="s">
        <v>45</v>
      </c>
      <c r="C348" s="2">
        <v>44512</v>
      </c>
      <c r="D348" s="1" t="s">
        <v>6084</v>
      </c>
      <c r="E348" t="s">
        <v>6085</v>
      </c>
      <c r="F348" t="s">
        <v>6086</v>
      </c>
      <c r="G348" s="6" t="s">
        <v>220</v>
      </c>
      <c r="H348" s="1" t="s">
        <v>39</v>
      </c>
      <c r="I348">
        <v>699523346</v>
      </c>
      <c r="J348" t="s">
        <v>6094</v>
      </c>
      <c r="K348" s="1" t="s">
        <v>6084</v>
      </c>
      <c r="L348" s="2">
        <v>44530</v>
      </c>
      <c r="M348" s="1" t="s">
        <v>35</v>
      </c>
      <c r="N348" s="14" t="s">
        <v>6087</v>
      </c>
      <c r="O348" s="187">
        <v>125</v>
      </c>
      <c r="P348" s="1">
        <v>1</v>
      </c>
      <c r="Q348" s="90">
        <v>0.21</v>
      </c>
      <c r="R348" s="90">
        <v>0.2</v>
      </c>
      <c r="S348" s="214" t="s">
        <v>6095</v>
      </c>
      <c r="T348" s="95">
        <f t="shared" si="14"/>
        <v>121</v>
      </c>
      <c r="U348" t="s">
        <v>6134</v>
      </c>
      <c r="V348" s="5" t="s">
        <v>6133</v>
      </c>
      <c r="W348" s="2">
        <v>29678</v>
      </c>
      <c r="X348" s="2">
        <v>44512</v>
      </c>
      <c r="Y348" s="125" t="s">
        <v>6654</v>
      </c>
      <c r="Z348" s="3">
        <v>44643</v>
      </c>
      <c r="AA348" s="80" t="s">
        <v>1339</v>
      </c>
      <c r="AD348" t="s">
        <v>3198</v>
      </c>
      <c r="AG348" s="76" t="s">
        <v>3108</v>
      </c>
      <c r="AH348" s="2">
        <v>44519</v>
      </c>
    </row>
    <row r="349" spans="1:37">
      <c r="A349" s="1">
        <v>347</v>
      </c>
      <c r="B349" t="s">
        <v>40</v>
      </c>
      <c r="C349" s="2">
        <v>44512</v>
      </c>
      <c r="D349" s="1" t="s">
        <v>6088</v>
      </c>
      <c r="E349" t="s">
        <v>6089</v>
      </c>
      <c r="F349" t="s">
        <v>6090</v>
      </c>
      <c r="G349" s="6" t="s">
        <v>221</v>
      </c>
      <c r="H349" s="1" t="s">
        <v>34</v>
      </c>
      <c r="J349" t="s">
        <v>6237</v>
      </c>
      <c r="K349" s="1" t="s">
        <v>6088</v>
      </c>
      <c r="L349" s="2">
        <v>44530</v>
      </c>
      <c r="M349" s="1" t="s">
        <v>35</v>
      </c>
      <c r="N349" s="14" t="s">
        <v>6091</v>
      </c>
      <c r="O349" s="187">
        <v>125</v>
      </c>
      <c r="P349" s="1">
        <v>1</v>
      </c>
      <c r="Q349" s="90">
        <v>0.21</v>
      </c>
      <c r="R349" s="90">
        <v>0.2</v>
      </c>
      <c r="S349" s="242" t="s">
        <v>6238</v>
      </c>
      <c r="T349" s="95">
        <f t="shared" si="14"/>
        <v>121</v>
      </c>
      <c r="U349" t="s">
        <v>6178</v>
      </c>
      <c r="V349" s="5" t="s">
        <v>6179</v>
      </c>
      <c r="W349" s="2">
        <v>31048</v>
      </c>
      <c r="X349" s="2">
        <v>44512</v>
      </c>
      <c r="Y349" s="307" t="s">
        <v>6372</v>
      </c>
      <c r="Z349" s="3">
        <v>44575</v>
      </c>
      <c r="AA349" s="80" t="s">
        <v>1339</v>
      </c>
      <c r="AD349" t="s">
        <v>3198</v>
      </c>
      <c r="AE349" s="76" t="s">
        <v>6287</v>
      </c>
      <c r="AG349" t="s">
        <v>5757</v>
      </c>
      <c r="AH349" s="2">
        <v>44529</v>
      </c>
      <c r="AK349" s="3">
        <v>44532</v>
      </c>
    </row>
    <row r="350" spans="1:37">
      <c r="A350" s="1">
        <v>348</v>
      </c>
      <c r="B350" t="s">
        <v>37</v>
      </c>
      <c r="C350" s="2">
        <v>44515</v>
      </c>
      <c r="D350" t="s">
        <v>6169</v>
      </c>
      <c r="E350" t="s">
        <v>6102</v>
      </c>
      <c r="F350" t="s">
        <v>6103</v>
      </c>
      <c r="G350" s="6" t="s">
        <v>6104</v>
      </c>
      <c r="H350" s="1" t="s">
        <v>6105</v>
      </c>
      <c r="I350" s="1">
        <v>643736160</v>
      </c>
      <c r="J350" t="s">
        <v>6115</v>
      </c>
      <c r="K350" t="s">
        <v>6169</v>
      </c>
      <c r="L350" s="2">
        <v>44530</v>
      </c>
      <c r="M350" s="1" t="s">
        <v>35</v>
      </c>
      <c r="N350" s="14" t="s">
        <v>6106</v>
      </c>
      <c r="O350" s="187">
        <v>125</v>
      </c>
      <c r="P350" s="1">
        <v>1</v>
      </c>
      <c r="Q350" s="90">
        <v>0.21</v>
      </c>
      <c r="R350" s="90">
        <v>0</v>
      </c>
      <c r="T350" s="95">
        <f t="shared" si="14"/>
        <v>151.25</v>
      </c>
      <c r="U350" t="s">
        <v>6169</v>
      </c>
      <c r="V350" s="5" t="s">
        <v>6168</v>
      </c>
      <c r="W350" s="2">
        <v>32186</v>
      </c>
      <c r="X350" s="2">
        <v>44515</v>
      </c>
      <c r="Y350" s="125" t="s">
        <v>6663</v>
      </c>
      <c r="Z350" s="3">
        <v>44655</v>
      </c>
      <c r="AA350" s="80" t="s">
        <v>1339</v>
      </c>
      <c r="AD350" t="s">
        <v>3198</v>
      </c>
      <c r="AG350" t="s">
        <v>3108</v>
      </c>
      <c r="AH350" s="2">
        <v>44529</v>
      </c>
      <c r="AK350" s="3">
        <v>44530</v>
      </c>
    </row>
    <row r="351" spans="1:37">
      <c r="A351" s="1">
        <v>349</v>
      </c>
      <c r="B351" t="s">
        <v>33</v>
      </c>
      <c r="C351" s="2">
        <v>44515</v>
      </c>
      <c r="D351" s="1" t="s">
        <v>3537</v>
      </c>
      <c r="E351" t="s">
        <v>3538</v>
      </c>
      <c r="F351" t="s">
        <v>6108</v>
      </c>
      <c r="G351" s="6" t="s">
        <v>241</v>
      </c>
      <c r="H351" s="1" t="s">
        <v>60</v>
      </c>
      <c r="J351" t="s">
        <v>5903</v>
      </c>
      <c r="K351" s="1" t="s">
        <v>237</v>
      </c>
      <c r="L351" s="2">
        <v>44530</v>
      </c>
      <c r="M351" s="1" t="s">
        <v>35</v>
      </c>
      <c r="N351" s="14" t="s">
        <v>6109</v>
      </c>
      <c r="O351" s="187">
        <v>125</v>
      </c>
      <c r="P351" s="1">
        <v>1</v>
      </c>
      <c r="Q351" s="90">
        <v>0.21</v>
      </c>
      <c r="R351" s="90">
        <v>0.2</v>
      </c>
      <c r="T351" s="95">
        <f t="shared" si="14"/>
        <v>121</v>
      </c>
      <c r="U351" t="s">
        <v>6170</v>
      </c>
      <c r="V351" s="5" t="s">
        <v>6171</v>
      </c>
      <c r="W351" s="2">
        <v>33917</v>
      </c>
      <c r="X351" s="2">
        <v>44515</v>
      </c>
      <c r="Y351" s="125" t="s">
        <v>6759</v>
      </c>
      <c r="Z351" s="3">
        <v>44659</v>
      </c>
      <c r="AA351" s="80" t="s">
        <v>1339</v>
      </c>
      <c r="AD351" t="s">
        <v>3198</v>
      </c>
      <c r="AG351" t="s">
        <v>3108</v>
      </c>
      <c r="AH351" s="2">
        <v>44529</v>
      </c>
      <c r="AK351" s="3">
        <v>44532</v>
      </c>
    </row>
    <row r="352" spans="1:37">
      <c r="A352" s="1">
        <v>350</v>
      </c>
      <c r="B352" t="s">
        <v>119</v>
      </c>
      <c r="C352" s="2">
        <v>44515</v>
      </c>
      <c r="D352" s="1" t="s">
        <v>494</v>
      </c>
      <c r="E352" t="s">
        <v>495</v>
      </c>
      <c r="F352" s="61" t="s">
        <v>5059</v>
      </c>
      <c r="G352" s="6" t="s">
        <v>242</v>
      </c>
      <c r="H352" s="1" t="s">
        <v>86</v>
      </c>
      <c r="J352" t="s">
        <v>5904</v>
      </c>
      <c r="K352" s="1" t="s">
        <v>174</v>
      </c>
      <c r="L352" s="2">
        <v>44530</v>
      </c>
      <c r="M352" s="1" t="s">
        <v>35</v>
      </c>
      <c r="N352" s="14" t="s">
        <v>6110</v>
      </c>
      <c r="O352" s="187">
        <v>125</v>
      </c>
      <c r="P352" s="1">
        <v>1</v>
      </c>
      <c r="Q352" s="128">
        <v>0.21</v>
      </c>
      <c r="R352" s="128">
        <v>0.2</v>
      </c>
      <c r="T352" s="95">
        <f t="shared" si="14"/>
        <v>121</v>
      </c>
      <c r="U352" t="s">
        <v>6144</v>
      </c>
      <c r="V352" s="5" t="s">
        <v>6145</v>
      </c>
      <c r="W352" s="2">
        <v>34953</v>
      </c>
      <c r="X352" s="2">
        <v>44515</v>
      </c>
      <c r="Y352" s="125" t="s">
        <v>6663</v>
      </c>
      <c r="Z352" s="3">
        <v>44644</v>
      </c>
      <c r="AA352" s="80" t="s">
        <v>1339</v>
      </c>
      <c r="AD352" t="s">
        <v>3198</v>
      </c>
      <c r="AG352" t="s">
        <v>6111</v>
      </c>
      <c r="AH352" s="2">
        <v>44519</v>
      </c>
      <c r="AK352" s="3">
        <v>44526</v>
      </c>
    </row>
    <row r="353" spans="1:37">
      <c r="A353" s="1">
        <v>351</v>
      </c>
      <c r="B353" t="s">
        <v>4321</v>
      </c>
      <c r="C353" s="2">
        <v>44516</v>
      </c>
      <c r="D353" s="1" t="s">
        <v>5080</v>
      </c>
      <c r="E353" t="s">
        <v>5081</v>
      </c>
      <c r="F353" s="61" t="s">
        <v>5082</v>
      </c>
      <c r="G353" s="6" t="s">
        <v>242</v>
      </c>
      <c r="H353" s="1" t="s">
        <v>5083</v>
      </c>
      <c r="K353" s="1" t="s">
        <v>5080</v>
      </c>
      <c r="L353" s="2">
        <v>44530</v>
      </c>
      <c r="M353" s="1" t="s">
        <v>35</v>
      </c>
      <c r="N353" t="s">
        <v>6154</v>
      </c>
      <c r="O353" s="187">
        <v>70</v>
      </c>
      <c r="P353" s="1">
        <v>1</v>
      </c>
      <c r="Q353" s="90">
        <v>0.21</v>
      </c>
      <c r="R353" s="90">
        <v>0.2</v>
      </c>
      <c r="S353" s="214" t="s">
        <v>6118</v>
      </c>
      <c r="T353" s="95">
        <f t="shared" si="14"/>
        <v>67.760000000000005</v>
      </c>
      <c r="V353" s="218"/>
      <c r="W353" s="2"/>
      <c r="X353" s="2"/>
      <c r="Y353" s="11"/>
      <c r="AD353" t="s">
        <v>3198</v>
      </c>
    </row>
    <row r="354" spans="1:37">
      <c r="A354" s="1">
        <v>352</v>
      </c>
      <c r="B354" t="s">
        <v>4321</v>
      </c>
      <c r="C354" s="2">
        <v>44518</v>
      </c>
      <c r="D354" s="1" t="s">
        <v>6120</v>
      </c>
      <c r="E354" t="s">
        <v>6121</v>
      </c>
      <c r="F354" t="s">
        <v>6122</v>
      </c>
      <c r="G354" s="6" t="s">
        <v>238</v>
      </c>
      <c r="H354" s="1" t="s">
        <v>48</v>
      </c>
      <c r="I354" s="14">
        <v>637544943</v>
      </c>
      <c r="J354" s="14" t="s">
        <v>6124</v>
      </c>
      <c r="K354" s="1" t="s">
        <v>6120</v>
      </c>
      <c r="L354" s="2">
        <v>44530</v>
      </c>
      <c r="M354" s="1" t="s">
        <v>35</v>
      </c>
      <c r="N354" s="14" t="s">
        <v>6123</v>
      </c>
      <c r="O354" s="187">
        <v>125</v>
      </c>
      <c r="P354" s="1">
        <v>1</v>
      </c>
      <c r="Q354" s="90">
        <v>0.21</v>
      </c>
      <c r="R354" s="90">
        <v>0.2</v>
      </c>
      <c r="T354" s="95">
        <f t="shared" si="14"/>
        <v>121</v>
      </c>
      <c r="U354" t="s">
        <v>6172</v>
      </c>
      <c r="V354" s="5" t="s">
        <v>6173</v>
      </c>
      <c r="W354" s="2">
        <v>34356</v>
      </c>
      <c r="X354" s="2">
        <v>44518</v>
      </c>
      <c r="Y354" s="125" t="s">
        <v>6663</v>
      </c>
      <c r="Z354" s="3">
        <v>44645</v>
      </c>
      <c r="AA354" s="80" t="s">
        <v>1339</v>
      </c>
      <c r="AD354" t="s">
        <v>3198</v>
      </c>
      <c r="AG354" t="s">
        <v>3108</v>
      </c>
      <c r="AH354" s="2">
        <v>44529</v>
      </c>
      <c r="AK354" s="3">
        <v>44532</v>
      </c>
    </row>
    <row r="355" spans="1:37">
      <c r="A355" s="1">
        <v>353</v>
      </c>
      <c r="B355" t="s">
        <v>52</v>
      </c>
      <c r="C355" s="2">
        <v>44518</v>
      </c>
      <c r="D355" s="1" t="s">
        <v>70</v>
      </c>
      <c r="E355" s="61" t="s">
        <v>3543</v>
      </c>
      <c r="F355" s="61" t="s">
        <v>3544</v>
      </c>
      <c r="G355" s="6" t="s">
        <v>221</v>
      </c>
      <c r="H355" s="1" t="s">
        <v>34</v>
      </c>
      <c r="I355" s="1">
        <v>645871002</v>
      </c>
      <c r="J355" t="s">
        <v>5906</v>
      </c>
      <c r="K355" s="1" t="s">
        <v>4432</v>
      </c>
      <c r="L355" s="2">
        <v>44530</v>
      </c>
      <c r="M355" s="1" t="s">
        <v>35</v>
      </c>
      <c r="N355" s="14" t="s">
        <v>6130</v>
      </c>
      <c r="O355" s="187">
        <v>125</v>
      </c>
      <c r="P355" s="1">
        <v>1</v>
      </c>
      <c r="Q355" s="90">
        <v>0.21</v>
      </c>
      <c r="R355" s="90">
        <v>0.2</v>
      </c>
      <c r="T355" s="95">
        <f t="shared" si="14"/>
        <v>121</v>
      </c>
      <c r="U355" t="s">
        <v>6176</v>
      </c>
      <c r="V355" s="5" t="s">
        <v>6177</v>
      </c>
      <c r="W355" s="2">
        <v>36282</v>
      </c>
      <c r="X355" s="2">
        <v>44518</v>
      </c>
      <c r="Y355" s="11" t="s">
        <v>6355</v>
      </c>
      <c r="Z355" s="3">
        <v>44569</v>
      </c>
      <c r="AA355" s="80" t="s">
        <v>1339</v>
      </c>
      <c r="AD355" t="s">
        <v>3198</v>
      </c>
      <c r="AG355" t="s">
        <v>5757</v>
      </c>
      <c r="AH355" s="2">
        <v>44529</v>
      </c>
      <c r="AK355" s="3">
        <v>44532</v>
      </c>
    </row>
    <row r="356" spans="1:37">
      <c r="A356" s="1">
        <v>354</v>
      </c>
      <c r="B356" t="s">
        <v>37</v>
      </c>
      <c r="C356" s="2">
        <v>44519</v>
      </c>
      <c r="D356" s="1" t="s">
        <v>4575</v>
      </c>
      <c r="E356" t="s">
        <v>4576</v>
      </c>
      <c r="F356" t="s">
        <v>4577</v>
      </c>
      <c r="G356" s="6" t="s">
        <v>219</v>
      </c>
      <c r="H356" s="1" t="s">
        <v>38</v>
      </c>
      <c r="I356" s="1">
        <v>681677471</v>
      </c>
      <c r="K356" s="1" t="s">
        <v>4575</v>
      </c>
      <c r="L356" s="2">
        <v>44530</v>
      </c>
      <c r="M356" t="s">
        <v>35</v>
      </c>
      <c r="N356" s="14" t="s">
        <v>4578</v>
      </c>
      <c r="O356" s="187">
        <v>80</v>
      </c>
      <c r="P356" s="1">
        <v>1</v>
      </c>
      <c r="Q356" s="90">
        <v>0.21</v>
      </c>
      <c r="R356" s="90">
        <v>0</v>
      </c>
      <c r="T356" s="95">
        <f t="shared" si="14"/>
        <v>96.8</v>
      </c>
      <c r="U356" s="1" t="s">
        <v>4642</v>
      </c>
      <c r="V356" s="5" t="s">
        <v>6230</v>
      </c>
      <c r="W356" s="2">
        <v>35983</v>
      </c>
      <c r="X356" s="3">
        <v>44519</v>
      </c>
      <c r="Y356" s="125" t="s">
        <v>6795</v>
      </c>
      <c r="Z356" s="3">
        <v>44670</v>
      </c>
      <c r="AA356" s="80" t="s">
        <v>1339</v>
      </c>
      <c r="AD356" t="s">
        <v>3198</v>
      </c>
      <c r="AH356" s="2"/>
      <c r="AK356" s="3"/>
    </row>
    <row r="357" spans="1:37">
      <c r="A357" s="1">
        <v>355</v>
      </c>
      <c r="B357" t="s">
        <v>37</v>
      </c>
      <c r="C357" s="2">
        <v>44519</v>
      </c>
      <c r="D357" t="s">
        <v>6180</v>
      </c>
      <c r="E357" t="s">
        <v>6149</v>
      </c>
      <c r="F357" s="61" t="s">
        <v>5797</v>
      </c>
      <c r="G357" s="6" t="s">
        <v>270</v>
      </c>
      <c r="H357" s="1" t="s">
        <v>3681</v>
      </c>
      <c r="I357" s="1">
        <v>642443690</v>
      </c>
      <c r="K357" t="s">
        <v>6180</v>
      </c>
      <c r="L357" s="2">
        <v>44530</v>
      </c>
      <c r="M357" s="1" t="s">
        <v>35</v>
      </c>
      <c r="N357" s="14" t="s">
        <v>6150</v>
      </c>
      <c r="O357" s="187">
        <v>125</v>
      </c>
      <c r="P357" s="1">
        <v>1</v>
      </c>
      <c r="Q357" s="90">
        <v>0.21</v>
      </c>
      <c r="R357" s="90">
        <v>0</v>
      </c>
      <c r="T357" s="95">
        <f t="shared" si="14"/>
        <v>151.25</v>
      </c>
      <c r="U357" t="s">
        <v>6180</v>
      </c>
      <c r="V357" s="5" t="s">
        <v>6181</v>
      </c>
      <c r="W357" s="2">
        <v>32058</v>
      </c>
      <c r="X357" s="2">
        <v>44519</v>
      </c>
      <c r="Y357" s="125" t="s">
        <v>6759</v>
      </c>
      <c r="Z357" s="3">
        <v>44659</v>
      </c>
      <c r="AA357" s="80" t="s">
        <v>1339</v>
      </c>
      <c r="AD357" t="s">
        <v>3198</v>
      </c>
      <c r="AG357" t="s">
        <v>3108</v>
      </c>
      <c r="AH357" s="2">
        <v>44529</v>
      </c>
      <c r="AK357" s="3">
        <v>44530</v>
      </c>
    </row>
    <row r="358" spans="1:37">
      <c r="A358" s="1">
        <v>356</v>
      </c>
      <c r="B358" t="s">
        <v>137</v>
      </c>
      <c r="C358" s="2">
        <v>44522</v>
      </c>
      <c r="D358" s="1" t="s">
        <v>6151</v>
      </c>
      <c r="E358" t="s">
        <v>1096</v>
      </c>
      <c r="F358" t="s">
        <v>1097</v>
      </c>
      <c r="G358" s="6" t="s">
        <v>227</v>
      </c>
      <c r="H358" s="1" t="s">
        <v>203</v>
      </c>
      <c r="J358" t="s">
        <v>5905</v>
      </c>
      <c r="K358" s="30" t="s">
        <v>1250</v>
      </c>
      <c r="L358" s="3">
        <v>44530</v>
      </c>
      <c r="M358" s="1" t="s">
        <v>35</v>
      </c>
      <c r="N358" s="14" t="s">
        <v>6152</v>
      </c>
      <c r="O358" s="187">
        <v>125</v>
      </c>
      <c r="P358" s="1">
        <v>1</v>
      </c>
      <c r="Q358" s="90">
        <v>0.21</v>
      </c>
      <c r="R358" s="90">
        <v>0.2</v>
      </c>
      <c r="T358" s="95">
        <f t="shared" si="14"/>
        <v>121</v>
      </c>
      <c r="U358" t="s">
        <v>6213</v>
      </c>
      <c r="V358" s="5" t="s">
        <v>6212</v>
      </c>
      <c r="W358" s="2">
        <v>33036</v>
      </c>
      <c r="X358" s="2">
        <v>44522</v>
      </c>
      <c r="Y358" s="11" t="s">
        <v>6355</v>
      </c>
      <c r="Z358" s="3">
        <v>44569</v>
      </c>
      <c r="AA358" s="80" t="s">
        <v>1339</v>
      </c>
      <c r="AD358" t="s">
        <v>3198</v>
      </c>
      <c r="AG358" s="76" t="s">
        <v>5757</v>
      </c>
      <c r="AH358" s="2">
        <v>44565</v>
      </c>
    </row>
    <row r="359" spans="1:37">
      <c r="A359" s="1">
        <v>357</v>
      </c>
      <c r="B359" t="s">
        <v>80</v>
      </c>
      <c r="C359" s="2">
        <v>44523</v>
      </c>
      <c r="D359" s="1" t="s">
        <v>6201</v>
      </c>
      <c r="E359" t="s">
        <v>6153</v>
      </c>
      <c r="F359" s="61" t="s">
        <v>6202</v>
      </c>
      <c r="G359" s="6" t="s">
        <v>245</v>
      </c>
      <c r="H359" s="1" t="s">
        <v>54</v>
      </c>
      <c r="I359" s="1">
        <v>645782325</v>
      </c>
      <c r="K359" s="1" t="s">
        <v>6201</v>
      </c>
      <c r="L359" s="3">
        <v>44530</v>
      </c>
      <c r="M359" s="1" t="s">
        <v>35</v>
      </c>
      <c r="N359" t="s">
        <v>6155</v>
      </c>
      <c r="O359" s="187">
        <v>87.5</v>
      </c>
      <c r="P359" s="1">
        <v>1</v>
      </c>
      <c r="Q359" s="90">
        <v>0.21</v>
      </c>
      <c r="R359" s="90">
        <v>0.2</v>
      </c>
      <c r="T359" s="95">
        <f t="shared" si="14"/>
        <v>84.7</v>
      </c>
      <c r="U359" s="1" t="s">
        <v>6156</v>
      </c>
      <c r="Y359" s="11"/>
    </row>
    <row r="360" spans="1:37">
      <c r="A360" s="1">
        <v>358</v>
      </c>
      <c r="B360" t="s">
        <v>40</v>
      </c>
      <c r="C360" s="2">
        <v>44524</v>
      </c>
      <c r="D360" s="1" t="s">
        <v>4953</v>
      </c>
      <c r="E360" t="s">
        <v>4954</v>
      </c>
      <c r="F360" t="s">
        <v>4955</v>
      </c>
      <c r="G360" s="6" t="s">
        <v>227</v>
      </c>
      <c r="H360" s="1" t="s">
        <v>4719</v>
      </c>
      <c r="I360" s="14">
        <v>678774595</v>
      </c>
      <c r="J360" t="s">
        <v>6190</v>
      </c>
      <c r="K360" s="1" t="s">
        <v>4953</v>
      </c>
      <c r="L360" s="3">
        <v>44530</v>
      </c>
      <c r="M360" s="1" t="s">
        <v>35</v>
      </c>
      <c r="N360" s="14" t="s">
        <v>4956</v>
      </c>
      <c r="O360" s="187">
        <v>125</v>
      </c>
      <c r="P360" s="1">
        <v>1</v>
      </c>
      <c r="Q360" s="90">
        <v>0.21</v>
      </c>
      <c r="R360" s="90">
        <v>0.2</v>
      </c>
      <c r="T360" s="95">
        <f t="shared" si="14"/>
        <v>121</v>
      </c>
      <c r="U360" s="1" t="s">
        <v>5153</v>
      </c>
      <c r="V360" s="6" t="s">
        <v>6267</v>
      </c>
      <c r="W360" s="2">
        <v>31413</v>
      </c>
      <c r="X360" s="2">
        <v>44524</v>
      </c>
      <c r="Y360" s="11" t="s">
        <v>7505</v>
      </c>
      <c r="Z360" s="3">
        <v>44687</v>
      </c>
      <c r="AA360" s="80" t="s">
        <v>1339</v>
      </c>
      <c r="AB360" t="s">
        <v>6158</v>
      </c>
      <c r="AC360" s="162">
        <v>44603</v>
      </c>
      <c r="AD360" t="s">
        <v>3198</v>
      </c>
      <c r="AE360" s="76" t="s">
        <v>6287</v>
      </c>
      <c r="AG360" t="s">
        <v>3221</v>
      </c>
      <c r="AH360" s="2">
        <v>44545</v>
      </c>
      <c r="AK360" s="3">
        <v>44545</v>
      </c>
    </row>
    <row r="361" spans="1:37">
      <c r="A361" s="1">
        <v>359</v>
      </c>
      <c r="B361" t="s">
        <v>45</v>
      </c>
      <c r="C361" s="2">
        <v>44525</v>
      </c>
      <c r="D361" s="1" t="s">
        <v>3287</v>
      </c>
      <c r="E361" t="s">
        <v>3288</v>
      </c>
      <c r="F361" t="s">
        <v>6159</v>
      </c>
      <c r="G361" s="1">
        <v>4700</v>
      </c>
      <c r="H361" s="1" t="s">
        <v>34</v>
      </c>
      <c r="I361" s="1">
        <v>615165042</v>
      </c>
      <c r="K361" s="1" t="s">
        <v>3287</v>
      </c>
      <c r="L361" s="3">
        <v>44530</v>
      </c>
      <c r="M361" s="1" t="s">
        <v>35</v>
      </c>
      <c r="N361" s="14" t="s">
        <v>6160</v>
      </c>
      <c r="O361" s="187">
        <v>125</v>
      </c>
      <c r="P361" s="1">
        <v>1</v>
      </c>
      <c r="Q361" s="90">
        <v>0.21</v>
      </c>
      <c r="R361" s="90">
        <v>0.2</v>
      </c>
      <c r="S361" s="214" t="s">
        <v>6163</v>
      </c>
      <c r="T361" s="95">
        <f t="shared" si="14"/>
        <v>121</v>
      </c>
      <c r="U361" t="s">
        <v>3290</v>
      </c>
      <c r="V361" s="5" t="s">
        <v>6214</v>
      </c>
      <c r="W361" s="2">
        <v>32402</v>
      </c>
      <c r="X361" s="2">
        <v>44525</v>
      </c>
      <c r="Y361" s="125" t="s">
        <v>6759</v>
      </c>
      <c r="Z361" s="3">
        <v>44659</v>
      </c>
      <c r="AA361" s="80" t="s">
        <v>1339</v>
      </c>
      <c r="AD361" t="s">
        <v>3198</v>
      </c>
      <c r="AG361" t="s">
        <v>3108</v>
      </c>
      <c r="AH361" s="2">
        <v>44532</v>
      </c>
      <c r="AK361" s="3">
        <v>44537</v>
      </c>
    </row>
    <row r="362" spans="1:37">
      <c r="A362" s="1">
        <v>360</v>
      </c>
      <c r="B362" s="61" t="s">
        <v>45</v>
      </c>
      <c r="C362" s="2">
        <v>44525</v>
      </c>
      <c r="D362" s="1" t="s">
        <v>1965</v>
      </c>
      <c r="E362" s="61" t="s">
        <v>795</v>
      </c>
      <c r="F362" t="s">
        <v>4020</v>
      </c>
      <c r="G362" s="6" t="s">
        <v>221</v>
      </c>
      <c r="H362" s="1" t="s">
        <v>34</v>
      </c>
      <c r="I362" s="1">
        <v>615165042</v>
      </c>
      <c r="J362" s="1"/>
      <c r="K362" s="1" t="s">
        <v>1965</v>
      </c>
      <c r="L362" s="3">
        <v>44530</v>
      </c>
      <c r="M362" s="1" t="s">
        <v>35</v>
      </c>
      <c r="N362" s="14" t="s">
        <v>6161</v>
      </c>
      <c r="O362" s="92">
        <v>125</v>
      </c>
      <c r="P362" s="1">
        <v>1</v>
      </c>
      <c r="Q362" s="90">
        <v>0.21</v>
      </c>
      <c r="R362" s="90">
        <v>0.2</v>
      </c>
      <c r="S362" s="214" t="s">
        <v>6164</v>
      </c>
      <c r="T362" s="95">
        <f t="shared" si="14"/>
        <v>121</v>
      </c>
      <c r="U362" t="s">
        <v>6210</v>
      </c>
      <c r="V362" s="5" t="s">
        <v>6211</v>
      </c>
      <c r="W362" s="2">
        <v>35197</v>
      </c>
      <c r="X362" s="2">
        <v>44525</v>
      </c>
      <c r="Y362" s="125" t="s">
        <v>6759</v>
      </c>
      <c r="Z362" s="3">
        <v>44659</v>
      </c>
      <c r="AA362" s="80" t="s">
        <v>1339</v>
      </c>
      <c r="AD362" t="s">
        <v>3198</v>
      </c>
      <c r="AG362" t="s">
        <v>3108</v>
      </c>
      <c r="AH362" s="2">
        <v>44532</v>
      </c>
      <c r="AI362" s="1"/>
      <c r="AK362" s="3">
        <v>44537</v>
      </c>
    </row>
    <row r="363" spans="1:37">
      <c r="A363" s="1">
        <v>361</v>
      </c>
      <c r="B363" t="s">
        <v>1242</v>
      </c>
      <c r="C363" s="2">
        <v>44525</v>
      </c>
      <c r="D363" s="1" t="s">
        <v>344</v>
      </c>
      <c r="E363" s="61" t="s">
        <v>345</v>
      </c>
      <c r="F363" s="61" t="s">
        <v>1249</v>
      </c>
      <c r="G363" s="6" t="s">
        <v>221</v>
      </c>
      <c r="H363" s="1" t="s">
        <v>34</v>
      </c>
      <c r="I363" s="1">
        <v>677842922</v>
      </c>
      <c r="J363" t="s">
        <v>5905</v>
      </c>
      <c r="K363" s="30" t="s">
        <v>1250</v>
      </c>
      <c r="L363" s="3">
        <v>44530</v>
      </c>
      <c r="M363" t="s">
        <v>35</v>
      </c>
      <c r="N363" s="14" t="s">
        <v>6162</v>
      </c>
      <c r="O363" s="187">
        <v>125</v>
      </c>
      <c r="P363" s="1">
        <v>1</v>
      </c>
      <c r="Q363" s="90">
        <v>0.21</v>
      </c>
      <c r="R363" s="90">
        <v>0.2</v>
      </c>
      <c r="T363" s="95">
        <f t="shared" ref="T363:T394" si="15">SUM(O363-(O363*R363))*Q363+(O363-(O363*R363))</f>
        <v>121</v>
      </c>
      <c r="U363" t="s">
        <v>6209</v>
      </c>
      <c r="V363" s="5" t="s">
        <v>6208</v>
      </c>
      <c r="W363" s="2">
        <v>32575</v>
      </c>
      <c r="X363" s="2">
        <v>44525</v>
      </c>
      <c r="Y363" s="11" t="s">
        <v>6768</v>
      </c>
      <c r="Z363" s="3">
        <v>44663</v>
      </c>
      <c r="AA363" s="80" t="s">
        <v>1339</v>
      </c>
      <c r="AD363" t="s">
        <v>3198</v>
      </c>
      <c r="AG363" t="s">
        <v>3108</v>
      </c>
      <c r="AH363" s="2">
        <v>44532</v>
      </c>
      <c r="AK363" s="3">
        <v>44545</v>
      </c>
    </row>
    <row r="364" spans="1:37">
      <c r="A364" s="1">
        <v>362</v>
      </c>
      <c r="B364" s="61" t="s">
        <v>1511</v>
      </c>
      <c r="C364" s="2">
        <v>44526</v>
      </c>
      <c r="D364" t="s">
        <v>1512</v>
      </c>
      <c r="E364" t="s">
        <v>1513</v>
      </c>
      <c r="F364" t="s">
        <v>1514</v>
      </c>
      <c r="G364" s="6" t="s">
        <v>219</v>
      </c>
      <c r="H364" t="s">
        <v>38</v>
      </c>
      <c r="I364">
        <v>631437787</v>
      </c>
      <c r="K364" t="s">
        <v>1512</v>
      </c>
      <c r="L364" s="3">
        <v>44530</v>
      </c>
      <c r="M364" s="1" t="s">
        <v>35</v>
      </c>
      <c r="N364" s="14" t="s">
        <v>6165</v>
      </c>
      <c r="O364" s="92">
        <v>125</v>
      </c>
      <c r="P364" s="1">
        <v>1</v>
      </c>
      <c r="Q364" s="90">
        <v>0.21</v>
      </c>
      <c r="R364" s="90">
        <v>0.2</v>
      </c>
      <c r="T364" s="95">
        <f t="shared" si="15"/>
        <v>121</v>
      </c>
      <c r="U364" t="s">
        <v>6284</v>
      </c>
      <c r="V364" s="5" t="s">
        <v>6283</v>
      </c>
      <c r="W364" s="2">
        <v>37246</v>
      </c>
      <c r="X364" s="2">
        <v>44526</v>
      </c>
      <c r="Y364" s="11" t="s">
        <v>7265</v>
      </c>
      <c r="Z364" s="3">
        <v>44662</v>
      </c>
      <c r="AA364" s="80" t="s">
        <v>1339</v>
      </c>
      <c r="AC364" s="162">
        <v>44594</v>
      </c>
      <c r="AD364" t="s">
        <v>3198</v>
      </c>
      <c r="AG364" s="76" t="s">
        <v>3221</v>
      </c>
      <c r="AI364" s="1"/>
      <c r="AK364" s="1"/>
    </row>
    <row r="365" spans="1:37">
      <c r="A365" s="1">
        <v>363</v>
      </c>
      <c r="B365" t="s">
        <v>1414</v>
      </c>
      <c r="C365" s="2">
        <v>44526</v>
      </c>
      <c r="D365" s="1" t="s">
        <v>4834</v>
      </c>
      <c r="E365" t="s">
        <v>4835</v>
      </c>
      <c r="F365" t="s">
        <v>4836</v>
      </c>
      <c r="G365" s="6" t="s">
        <v>227</v>
      </c>
      <c r="H365" s="1" t="s">
        <v>4719</v>
      </c>
      <c r="I365">
        <v>661982041</v>
      </c>
      <c r="K365" s="1" t="s">
        <v>4834</v>
      </c>
      <c r="L365" s="3">
        <v>44530</v>
      </c>
      <c r="M365" s="1" t="s">
        <v>35</v>
      </c>
      <c r="N365" s="14" t="s">
        <v>6167</v>
      </c>
      <c r="O365" s="187">
        <v>125</v>
      </c>
      <c r="P365" s="1">
        <v>1</v>
      </c>
      <c r="Q365" s="90">
        <v>0.21</v>
      </c>
      <c r="R365" s="90">
        <v>0.2</v>
      </c>
      <c r="S365" s="214" t="s">
        <v>6174</v>
      </c>
      <c r="T365" s="95">
        <f t="shared" si="15"/>
        <v>121</v>
      </c>
      <c r="U365" t="s">
        <v>6286</v>
      </c>
      <c r="V365" s="5" t="s">
        <v>6285</v>
      </c>
      <c r="W365" s="2">
        <v>36176</v>
      </c>
      <c r="X365" s="2">
        <v>44526</v>
      </c>
      <c r="Y365" s="11" t="s">
        <v>6371</v>
      </c>
      <c r="Z365" s="3">
        <v>44579</v>
      </c>
      <c r="AA365" s="80" t="s">
        <v>1339</v>
      </c>
      <c r="AD365" t="s">
        <v>3198</v>
      </c>
      <c r="AG365" t="s">
        <v>3221</v>
      </c>
      <c r="AH365" s="3">
        <v>44550</v>
      </c>
      <c r="AK365" s="3">
        <v>44550</v>
      </c>
    </row>
    <row r="366" spans="1:37">
      <c r="A366" s="1">
        <v>364</v>
      </c>
      <c r="B366" t="s">
        <v>423</v>
      </c>
      <c r="C366" s="2">
        <v>44529</v>
      </c>
      <c r="D366" t="s">
        <v>3217</v>
      </c>
      <c r="E366" t="s">
        <v>91</v>
      </c>
      <c r="F366" t="s">
        <v>3218</v>
      </c>
      <c r="G366" s="6" t="s">
        <v>219</v>
      </c>
      <c r="H366" t="s">
        <v>38</v>
      </c>
      <c r="I366">
        <v>629562761</v>
      </c>
      <c r="J366" t="s">
        <v>6182</v>
      </c>
      <c r="K366" t="s">
        <v>3217</v>
      </c>
      <c r="L366" s="3">
        <v>44530</v>
      </c>
      <c r="M366" s="1" t="s">
        <v>35</v>
      </c>
      <c r="N366" s="14" t="s">
        <v>6183</v>
      </c>
      <c r="O366" s="187">
        <v>125</v>
      </c>
      <c r="P366" s="1">
        <v>1</v>
      </c>
      <c r="Q366" s="90">
        <v>0.21</v>
      </c>
      <c r="R366" s="90">
        <v>0.2</v>
      </c>
      <c r="T366" s="95">
        <f t="shared" si="15"/>
        <v>121</v>
      </c>
      <c r="U366" t="s">
        <v>6277</v>
      </c>
      <c r="V366" s="5" t="s">
        <v>6278</v>
      </c>
      <c r="W366" s="2">
        <v>33969</v>
      </c>
      <c r="X366" s="2">
        <v>44529</v>
      </c>
      <c r="Y366" s="11" t="s">
        <v>6758</v>
      </c>
      <c r="Z366" s="3">
        <v>44659</v>
      </c>
      <c r="AA366" s="80" t="s">
        <v>1339</v>
      </c>
      <c r="AD366" t="s">
        <v>3198</v>
      </c>
      <c r="AG366" t="s">
        <v>3108</v>
      </c>
      <c r="AH366" s="2">
        <v>44546</v>
      </c>
      <c r="AK366" s="3">
        <v>44550</v>
      </c>
    </row>
    <row r="367" spans="1:37" ht="14.25" customHeight="1">
      <c r="A367" s="1">
        <v>365</v>
      </c>
      <c r="B367" t="s">
        <v>1414</v>
      </c>
      <c r="C367" s="2">
        <v>44529</v>
      </c>
      <c r="D367" s="1" t="s">
        <v>2963</v>
      </c>
      <c r="E367" s="14" t="s">
        <v>2964</v>
      </c>
      <c r="F367" t="s">
        <v>2115</v>
      </c>
      <c r="G367" s="6" t="s">
        <v>230</v>
      </c>
      <c r="H367" s="1" t="s">
        <v>1262</v>
      </c>
      <c r="I367">
        <v>661982041</v>
      </c>
      <c r="J367" t="s">
        <v>6192</v>
      </c>
      <c r="K367" s="1" t="s">
        <v>2963</v>
      </c>
      <c r="L367" s="3">
        <v>44530</v>
      </c>
      <c r="M367" t="s">
        <v>35</v>
      </c>
      <c r="N367" s="14" t="s">
        <v>6184</v>
      </c>
      <c r="O367" s="187">
        <v>125</v>
      </c>
      <c r="P367" s="1">
        <v>1</v>
      </c>
      <c r="Q367" s="90">
        <v>0.21</v>
      </c>
      <c r="R367" s="90">
        <v>0.2</v>
      </c>
      <c r="T367" s="95">
        <f t="shared" si="15"/>
        <v>121</v>
      </c>
      <c r="U367" t="s">
        <v>6282</v>
      </c>
      <c r="V367" s="5" t="s">
        <v>6281</v>
      </c>
      <c r="W367" s="2">
        <v>37457</v>
      </c>
      <c r="X367" s="2">
        <v>44529</v>
      </c>
      <c r="Y367" s="11" t="s">
        <v>6371</v>
      </c>
      <c r="Z367" s="3">
        <v>44579</v>
      </c>
      <c r="AA367" s="80" t="s">
        <v>1339</v>
      </c>
      <c r="AD367" t="s">
        <v>3198</v>
      </c>
      <c r="AG367" t="s">
        <v>3221</v>
      </c>
      <c r="AH367" s="3">
        <v>44550</v>
      </c>
      <c r="AK367" s="3">
        <v>44550</v>
      </c>
    </row>
    <row r="368" spans="1:37">
      <c r="A368" s="1">
        <v>366</v>
      </c>
      <c r="B368" t="s">
        <v>40</v>
      </c>
      <c r="C368" s="2">
        <v>44529</v>
      </c>
      <c r="D368" s="1" t="s">
        <v>6185</v>
      </c>
      <c r="E368" t="s">
        <v>6186</v>
      </c>
      <c r="F368" t="s">
        <v>6187</v>
      </c>
      <c r="G368" s="1">
        <v>4700</v>
      </c>
      <c r="H368" s="1" t="s">
        <v>34</v>
      </c>
      <c r="K368" s="1" t="s">
        <v>6185</v>
      </c>
      <c r="L368" s="3">
        <v>44530</v>
      </c>
      <c r="M368" s="1" t="s">
        <v>35</v>
      </c>
      <c r="N368" s="14" t="s">
        <v>6188</v>
      </c>
      <c r="O368" s="187">
        <v>125</v>
      </c>
      <c r="P368" s="1">
        <v>1</v>
      </c>
      <c r="Q368" s="90">
        <v>0.21</v>
      </c>
      <c r="R368" s="90">
        <v>0.2</v>
      </c>
      <c r="T368" s="95">
        <f t="shared" si="15"/>
        <v>121</v>
      </c>
      <c r="U368" t="s">
        <v>6279</v>
      </c>
      <c r="V368" s="5" t="s">
        <v>6280</v>
      </c>
      <c r="W368" s="2">
        <v>32984</v>
      </c>
      <c r="X368" s="2">
        <v>44529</v>
      </c>
      <c r="Y368" s="11" t="s">
        <v>6758</v>
      </c>
      <c r="Z368" s="3">
        <v>44659</v>
      </c>
      <c r="AA368" s="80" t="s">
        <v>1339</v>
      </c>
      <c r="AD368" t="s">
        <v>3198</v>
      </c>
      <c r="AG368" t="s">
        <v>3108</v>
      </c>
      <c r="AH368" s="2">
        <v>44546</v>
      </c>
      <c r="AK368" s="3">
        <v>44551</v>
      </c>
    </row>
    <row r="369" spans="1:37">
      <c r="A369" s="1">
        <v>367</v>
      </c>
      <c r="B369" t="s">
        <v>33</v>
      </c>
      <c r="C369" s="2">
        <v>44529</v>
      </c>
      <c r="D369" s="1" t="s">
        <v>3459</v>
      </c>
      <c r="E369" s="61" t="s">
        <v>3460</v>
      </c>
      <c r="F369" s="61" t="s">
        <v>3461</v>
      </c>
      <c r="G369" s="6" t="s">
        <v>219</v>
      </c>
      <c r="H369" s="1" t="s">
        <v>38</v>
      </c>
      <c r="I369" s="1">
        <v>600502530</v>
      </c>
      <c r="J369" t="s">
        <v>5903</v>
      </c>
      <c r="K369" s="1" t="s">
        <v>237</v>
      </c>
      <c r="L369" s="3">
        <v>44530</v>
      </c>
      <c r="M369" t="s">
        <v>35</v>
      </c>
      <c r="N369" s="14" t="s">
        <v>6191</v>
      </c>
      <c r="O369" s="92">
        <v>125</v>
      </c>
      <c r="P369" s="1">
        <v>1</v>
      </c>
      <c r="Q369" s="90">
        <v>0.21</v>
      </c>
      <c r="R369" s="90">
        <v>0.2</v>
      </c>
      <c r="T369" s="95">
        <f t="shared" si="15"/>
        <v>121</v>
      </c>
      <c r="U369" t="s">
        <v>6319</v>
      </c>
      <c r="V369" s="5" t="s">
        <v>6320</v>
      </c>
      <c r="W369" s="2">
        <v>37587</v>
      </c>
      <c r="X369" s="2">
        <v>44529</v>
      </c>
      <c r="Y369" s="11" t="s">
        <v>6490</v>
      </c>
      <c r="Z369" s="3">
        <v>44615</v>
      </c>
      <c r="AA369" s="80" t="s">
        <v>1339</v>
      </c>
      <c r="AD369" t="s">
        <v>3198</v>
      </c>
      <c r="AG369" t="s">
        <v>3221</v>
      </c>
      <c r="AH369" s="3">
        <v>44554</v>
      </c>
      <c r="AI369" s="1"/>
      <c r="AJ369" s="1"/>
      <c r="AK369" s="2">
        <v>44217</v>
      </c>
    </row>
    <row r="370" spans="1:37">
      <c r="A370" s="1">
        <v>368</v>
      </c>
      <c r="B370" t="s">
        <v>37</v>
      </c>
      <c r="C370" s="2">
        <v>44530</v>
      </c>
      <c r="D370" s="1" t="s">
        <v>6193</v>
      </c>
      <c r="E370" t="s">
        <v>6194</v>
      </c>
      <c r="F370" t="s">
        <v>6195</v>
      </c>
      <c r="G370" s="1">
        <v>4009</v>
      </c>
      <c r="H370" s="1" t="s">
        <v>3681</v>
      </c>
      <c r="I370" s="1">
        <v>662676564</v>
      </c>
      <c r="K370" s="1" t="s">
        <v>6193</v>
      </c>
      <c r="L370" s="3">
        <v>44530</v>
      </c>
      <c r="M370" t="s">
        <v>35</v>
      </c>
      <c r="N370" s="14" t="s">
        <v>6196</v>
      </c>
      <c r="O370" s="187">
        <v>100</v>
      </c>
      <c r="P370" s="1">
        <v>1</v>
      </c>
      <c r="Q370" s="90">
        <v>0.21</v>
      </c>
      <c r="R370" s="90">
        <v>0</v>
      </c>
      <c r="T370" s="95">
        <f t="shared" si="15"/>
        <v>121</v>
      </c>
      <c r="U370" s="1" t="s">
        <v>6197</v>
      </c>
      <c r="V370" s="6" t="s">
        <v>6198</v>
      </c>
      <c r="W370" s="2">
        <v>30390</v>
      </c>
      <c r="X370" s="2">
        <v>44530</v>
      </c>
      <c r="Y370" s="11"/>
    </row>
    <row r="371" spans="1:37">
      <c r="A371" s="1">
        <v>369</v>
      </c>
      <c r="B371" t="s">
        <v>137</v>
      </c>
      <c r="C371" s="2">
        <v>44530</v>
      </c>
      <c r="D371" s="1" t="s">
        <v>6151</v>
      </c>
      <c r="E371" t="s">
        <v>1096</v>
      </c>
      <c r="F371" t="s">
        <v>1097</v>
      </c>
      <c r="G371" s="6" t="s">
        <v>227</v>
      </c>
      <c r="H371" s="1" t="s">
        <v>203</v>
      </c>
      <c r="J371" t="s">
        <v>5905</v>
      </c>
      <c r="K371" s="30" t="s">
        <v>1250</v>
      </c>
      <c r="L371" s="3">
        <v>44530</v>
      </c>
      <c r="M371" s="1" t="s">
        <v>35</v>
      </c>
      <c r="N371" s="14" t="s">
        <v>6199</v>
      </c>
      <c r="O371" s="187">
        <v>125</v>
      </c>
      <c r="P371" s="1">
        <v>1</v>
      </c>
      <c r="Q371" s="90">
        <v>0.21</v>
      </c>
      <c r="R371" s="90">
        <v>0.2</v>
      </c>
      <c r="T371" s="95">
        <f t="shared" si="15"/>
        <v>121</v>
      </c>
      <c r="U371" t="s">
        <v>6339</v>
      </c>
      <c r="V371" s="5" t="s">
        <v>6340</v>
      </c>
      <c r="W371" s="2">
        <v>33994</v>
      </c>
      <c r="X371" s="2">
        <v>44530</v>
      </c>
      <c r="Y371" s="11" t="s">
        <v>6417</v>
      </c>
      <c r="Z371" s="3">
        <v>44585</v>
      </c>
      <c r="AA371" s="80" t="s">
        <v>1339</v>
      </c>
      <c r="AD371" t="s">
        <v>3198</v>
      </c>
      <c r="AG371" t="s">
        <v>5757</v>
      </c>
      <c r="AH371" s="2">
        <v>44532</v>
      </c>
      <c r="AK371" s="3">
        <v>44545</v>
      </c>
    </row>
    <row r="372" spans="1:37">
      <c r="A372" s="1">
        <v>370</v>
      </c>
      <c r="B372" t="s">
        <v>37</v>
      </c>
      <c r="C372" s="2">
        <v>44531</v>
      </c>
      <c r="D372" s="1" t="s">
        <v>6203</v>
      </c>
      <c r="E372" t="s">
        <v>6204</v>
      </c>
      <c r="F372" t="s">
        <v>6205</v>
      </c>
      <c r="G372" s="6" t="s">
        <v>250</v>
      </c>
      <c r="H372" s="1" t="s">
        <v>86</v>
      </c>
      <c r="I372" s="1">
        <v>640725354</v>
      </c>
      <c r="K372" s="1" t="s">
        <v>6203</v>
      </c>
      <c r="L372" s="3">
        <v>44561</v>
      </c>
      <c r="M372" s="1" t="s">
        <v>35</v>
      </c>
      <c r="N372" s="14" t="s">
        <v>6206</v>
      </c>
      <c r="O372" s="187">
        <v>100</v>
      </c>
      <c r="P372" s="1">
        <v>1</v>
      </c>
      <c r="Q372" s="90">
        <v>0.21</v>
      </c>
      <c r="R372" s="90">
        <v>0</v>
      </c>
      <c r="T372" s="95">
        <f t="shared" si="15"/>
        <v>121</v>
      </c>
      <c r="U372" s="1" t="s">
        <v>6203</v>
      </c>
      <c r="V372" s="6" t="s">
        <v>6207</v>
      </c>
      <c r="X372" s="2">
        <v>44531</v>
      </c>
      <c r="Y372" s="11"/>
      <c r="AD372" t="s">
        <v>3198</v>
      </c>
    </row>
    <row r="373" spans="1:37">
      <c r="A373" s="1">
        <v>371</v>
      </c>
      <c r="B373" t="s">
        <v>3526</v>
      </c>
      <c r="C373" s="2">
        <v>44532</v>
      </c>
      <c r="D373" s="1" t="s">
        <v>6215</v>
      </c>
      <c r="E373" t="s">
        <v>6216</v>
      </c>
      <c r="F373" t="s">
        <v>6217</v>
      </c>
      <c r="G373" s="1">
        <v>4117</v>
      </c>
      <c r="H373" s="1" t="s">
        <v>86</v>
      </c>
      <c r="I373" s="1">
        <v>647672066</v>
      </c>
      <c r="K373" s="1" t="s">
        <v>6215</v>
      </c>
      <c r="L373" s="3">
        <v>44561</v>
      </c>
      <c r="M373" s="1" t="s">
        <v>35</v>
      </c>
      <c r="N373" s="14" t="s">
        <v>6218</v>
      </c>
      <c r="O373" s="187">
        <v>125</v>
      </c>
      <c r="P373" s="1">
        <v>1</v>
      </c>
      <c r="Q373" s="90">
        <v>0.21</v>
      </c>
      <c r="R373" s="90">
        <v>0.2</v>
      </c>
      <c r="T373" s="95">
        <f t="shared" si="15"/>
        <v>121</v>
      </c>
      <c r="U373" t="s">
        <v>6321</v>
      </c>
      <c r="V373" s="5" t="s">
        <v>6322</v>
      </c>
      <c r="W373" s="2">
        <v>29390</v>
      </c>
      <c r="X373" s="2">
        <v>44532</v>
      </c>
      <c r="Y373" s="11" t="s">
        <v>6767</v>
      </c>
      <c r="Z373" s="3">
        <v>44663</v>
      </c>
      <c r="AA373" s="80" t="s">
        <v>1339</v>
      </c>
      <c r="AD373" t="s">
        <v>3198</v>
      </c>
      <c r="AG373" t="s">
        <v>3108</v>
      </c>
      <c r="AH373" s="2">
        <v>44554</v>
      </c>
      <c r="AK373" s="3">
        <v>44554</v>
      </c>
    </row>
    <row r="374" spans="1:37">
      <c r="A374" s="1">
        <v>372</v>
      </c>
      <c r="B374" t="s">
        <v>1414</v>
      </c>
      <c r="C374" s="2">
        <v>44532</v>
      </c>
      <c r="D374" s="1" t="s">
        <v>3076</v>
      </c>
      <c r="E374" t="s">
        <v>3077</v>
      </c>
      <c r="F374" t="s">
        <v>3078</v>
      </c>
      <c r="G374" s="6" t="s">
        <v>227</v>
      </c>
      <c r="H374" s="1" t="s">
        <v>203</v>
      </c>
      <c r="I374" s="1">
        <v>659251664</v>
      </c>
      <c r="K374" s="1" t="s">
        <v>3076</v>
      </c>
      <c r="L374" s="3">
        <v>44561</v>
      </c>
      <c r="M374" s="1" t="s">
        <v>35</v>
      </c>
      <c r="N374" s="14" t="s">
        <v>6219</v>
      </c>
      <c r="O374" s="187">
        <v>125</v>
      </c>
      <c r="P374" s="1">
        <v>1</v>
      </c>
      <c r="Q374" s="90">
        <v>0.21</v>
      </c>
      <c r="R374" s="90">
        <v>0.2</v>
      </c>
      <c r="T374" s="95">
        <f t="shared" si="15"/>
        <v>121</v>
      </c>
      <c r="U374" t="s">
        <v>6364</v>
      </c>
      <c r="V374" s="5" t="s">
        <v>6363</v>
      </c>
      <c r="W374" s="2">
        <v>35528</v>
      </c>
      <c r="X374" s="2">
        <v>44532</v>
      </c>
      <c r="Y374" s="11" t="s">
        <v>6768</v>
      </c>
      <c r="Z374" s="3">
        <v>44663</v>
      </c>
      <c r="AA374" s="80" t="s">
        <v>1339</v>
      </c>
      <c r="AD374" t="s">
        <v>3198</v>
      </c>
      <c r="AG374" t="s">
        <v>3108</v>
      </c>
      <c r="AH374" s="2">
        <v>44589</v>
      </c>
      <c r="AK374" s="2">
        <v>44589</v>
      </c>
    </row>
    <row r="375" spans="1:37">
      <c r="A375" s="1">
        <v>373</v>
      </c>
      <c r="B375" t="s">
        <v>37</v>
      </c>
      <c r="C375" s="2">
        <v>44533</v>
      </c>
      <c r="D375" s="1" t="s">
        <v>6220</v>
      </c>
      <c r="E375" t="s">
        <v>6221</v>
      </c>
      <c r="F375" t="s">
        <v>6222</v>
      </c>
      <c r="G375" s="6" t="s">
        <v>6223</v>
      </c>
      <c r="H375" s="1" t="s">
        <v>6224</v>
      </c>
      <c r="I375" s="1">
        <v>669314764</v>
      </c>
      <c r="K375" s="1" t="s">
        <v>6220</v>
      </c>
      <c r="L375" s="3">
        <v>44561</v>
      </c>
      <c r="M375" s="1" t="s">
        <v>35</v>
      </c>
      <c r="N375" t="s">
        <v>6225</v>
      </c>
      <c r="O375" s="187">
        <v>87.5</v>
      </c>
      <c r="P375" s="1">
        <v>1</v>
      </c>
      <c r="Q375" s="90">
        <v>0.21</v>
      </c>
      <c r="R375" s="90">
        <v>0.2</v>
      </c>
      <c r="T375" s="95">
        <f t="shared" si="15"/>
        <v>84.7</v>
      </c>
      <c r="U375" s="1" t="s">
        <v>6220</v>
      </c>
      <c r="W375" s="2">
        <v>32748</v>
      </c>
      <c r="X375" s="2">
        <v>44533</v>
      </c>
      <c r="Y375" s="11"/>
      <c r="AD375" t="s">
        <v>3198</v>
      </c>
    </row>
    <row r="376" spans="1:37">
      <c r="A376" s="1">
        <v>374</v>
      </c>
      <c r="B376" t="s">
        <v>37</v>
      </c>
      <c r="C376" s="2">
        <v>44533</v>
      </c>
      <c r="D376" t="s">
        <v>6323</v>
      </c>
      <c r="E376" t="s">
        <v>6227</v>
      </c>
      <c r="F376" t="s">
        <v>6228</v>
      </c>
      <c r="G376" s="6" t="s">
        <v>219</v>
      </c>
      <c r="H376" s="1" t="s">
        <v>38</v>
      </c>
      <c r="I376" s="1">
        <v>641203364</v>
      </c>
      <c r="K376" t="s">
        <v>6323</v>
      </c>
      <c r="L376" s="3">
        <v>44561</v>
      </c>
      <c r="M376" s="1" t="s">
        <v>35</v>
      </c>
      <c r="N376" s="14" t="s">
        <v>6229</v>
      </c>
      <c r="O376" s="187">
        <v>125</v>
      </c>
      <c r="P376" s="1">
        <v>1</v>
      </c>
      <c r="Q376" s="90">
        <v>0.21</v>
      </c>
      <c r="R376" s="90">
        <v>0</v>
      </c>
      <c r="T376" s="95">
        <f t="shared" si="15"/>
        <v>151.25</v>
      </c>
      <c r="U376" t="s">
        <v>6323</v>
      </c>
      <c r="V376" s="5" t="s">
        <v>6324</v>
      </c>
      <c r="W376" s="2">
        <v>27642</v>
      </c>
      <c r="X376" s="2">
        <v>44533</v>
      </c>
      <c r="Y376" s="11" t="s">
        <v>7084</v>
      </c>
      <c r="Z376" s="3">
        <v>44739</v>
      </c>
      <c r="AA376" s="80" t="s">
        <v>1339</v>
      </c>
      <c r="AC376" s="274">
        <v>44676</v>
      </c>
      <c r="AD376" t="s">
        <v>3198</v>
      </c>
      <c r="AG376" t="s">
        <v>3108</v>
      </c>
      <c r="AH376" s="2">
        <v>44554</v>
      </c>
      <c r="AK376" s="3">
        <v>44564</v>
      </c>
    </row>
    <row r="377" spans="1:37">
      <c r="A377" s="1">
        <v>375</v>
      </c>
      <c r="B377" t="s">
        <v>37</v>
      </c>
      <c r="C377" s="2">
        <v>44537</v>
      </c>
      <c r="D377" s="1" t="s">
        <v>2644</v>
      </c>
      <c r="E377" t="s">
        <v>2645</v>
      </c>
      <c r="F377" t="s">
        <v>6231</v>
      </c>
      <c r="G377" s="6" t="s">
        <v>3429</v>
      </c>
      <c r="H377" s="1" t="s">
        <v>86</v>
      </c>
      <c r="I377" s="1">
        <v>642137212</v>
      </c>
      <c r="K377" s="1" t="s">
        <v>2644</v>
      </c>
      <c r="L377" s="3">
        <v>44561</v>
      </c>
      <c r="M377" s="1" t="s">
        <v>35</v>
      </c>
      <c r="N377" s="14" t="s">
        <v>2647</v>
      </c>
      <c r="O377" s="187">
        <v>125</v>
      </c>
      <c r="P377" s="1">
        <v>1</v>
      </c>
      <c r="Q377" s="90">
        <v>0.21</v>
      </c>
      <c r="R377" s="90">
        <v>0</v>
      </c>
      <c r="T377" s="95">
        <f t="shared" si="15"/>
        <v>151.25</v>
      </c>
      <c r="U377" s="1" t="s">
        <v>2644</v>
      </c>
      <c r="V377" s="5" t="s">
        <v>6357</v>
      </c>
      <c r="W377" s="2">
        <v>33203</v>
      </c>
      <c r="X377" s="2">
        <v>44537</v>
      </c>
      <c r="Y377" s="11" t="s">
        <v>6824</v>
      </c>
      <c r="Z377" s="3">
        <v>44678</v>
      </c>
      <c r="AA377" s="80" t="s">
        <v>1339</v>
      </c>
      <c r="AD377" t="s">
        <v>3198</v>
      </c>
      <c r="AG377" t="s">
        <v>3108</v>
      </c>
      <c r="AH377" s="2">
        <v>44573</v>
      </c>
      <c r="AK377" s="3">
        <v>44575</v>
      </c>
    </row>
    <row r="378" spans="1:37">
      <c r="A378" s="1">
        <v>376</v>
      </c>
      <c r="B378" s="61" t="s">
        <v>3232</v>
      </c>
      <c r="C378" s="2">
        <v>44537</v>
      </c>
      <c r="D378" t="s">
        <v>1522</v>
      </c>
      <c r="E378" t="s">
        <v>3233</v>
      </c>
      <c r="F378" t="s">
        <v>3241</v>
      </c>
      <c r="G378" s="6" t="s">
        <v>3234</v>
      </c>
      <c r="H378" t="s">
        <v>3235</v>
      </c>
      <c r="I378">
        <v>680761760</v>
      </c>
      <c r="J378" t="s">
        <v>6232</v>
      </c>
      <c r="K378" t="s">
        <v>1522</v>
      </c>
      <c r="L378" s="3">
        <v>44561</v>
      </c>
      <c r="M378" s="1" t="s">
        <v>35</v>
      </c>
      <c r="N378" s="14" t="s">
        <v>6370</v>
      </c>
      <c r="O378" s="163">
        <v>125</v>
      </c>
      <c r="P378" s="1">
        <v>1</v>
      </c>
      <c r="Q378" s="90">
        <v>0.21</v>
      </c>
      <c r="R378" s="90">
        <v>0.2</v>
      </c>
      <c r="T378" s="95">
        <f t="shared" si="15"/>
        <v>121</v>
      </c>
      <c r="U378" t="s">
        <v>6360</v>
      </c>
      <c r="V378" s="5" t="s">
        <v>6359</v>
      </c>
      <c r="W378" s="2">
        <v>36030</v>
      </c>
      <c r="X378" s="2">
        <v>44537</v>
      </c>
      <c r="Y378" s="11" t="s">
        <v>6497</v>
      </c>
      <c r="Z378" s="3">
        <v>44623</v>
      </c>
      <c r="AA378" s="80" t="s">
        <v>1339</v>
      </c>
      <c r="AD378" t="s">
        <v>3198</v>
      </c>
      <c r="AG378" t="s">
        <v>5757</v>
      </c>
      <c r="AH378" s="2">
        <v>44573</v>
      </c>
      <c r="AI378" s="1"/>
      <c r="AK378" s="2">
        <v>44579</v>
      </c>
    </row>
    <row r="379" spans="1:37">
      <c r="A379" s="1">
        <v>377</v>
      </c>
      <c r="B379" t="s">
        <v>37</v>
      </c>
      <c r="C379" s="2">
        <v>44539</v>
      </c>
      <c r="D379" s="1" t="s">
        <v>6239</v>
      </c>
      <c r="E379" t="s">
        <v>6240</v>
      </c>
      <c r="F379" t="s">
        <v>6241</v>
      </c>
      <c r="G379" s="6" t="s">
        <v>239</v>
      </c>
      <c r="H379" s="1" t="s">
        <v>2585</v>
      </c>
      <c r="I379" s="1">
        <v>641643370</v>
      </c>
      <c r="K379" s="1" t="s">
        <v>6239</v>
      </c>
      <c r="L379" s="3">
        <v>44561</v>
      </c>
      <c r="M379" s="1" t="s">
        <v>35</v>
      </c>
      <c r="N379" t="s">
        <v>6242</v>
      </c>
      <c r="O379" s="187">
        <v>87.5</v>
      </c>
      <c r="P379" s="1">
        <v>1</v>
      </c>
      <c r="Q379" s="90">
        <v>0.21</v>
      </c>
      <c r="R379" s="90">
        <v>0</v>
      </c>
      <c r="T379" s="95">
        <f t="shared" si="15"/>
        <v>105.875</v>
      </c>
      <c r="U379" s="1" t="s">
        <v>6243</v>
      </c>
      <c r="W379" s="2">
        <v>37825</v>
      </c>
      <c r="X379" s="2">
        <v>44539</v>
      </c>
      <c r="Y379" s="11"/>
      <c r="AD379" t="s">
        <v>3198</v>
      </c>
    </row>
    <row r="380" spans="1:37">
      <c r="A380" s="1">
        <v>378</v>
      </c>
      <c r="B380" t="s">
        <v>37</v>
      </c>
      <c r="C380" s="2">
        <v>44540</v>
      </c>
      <c r="D380" s="1" t="s">
        <v>1836</v>
      </c>
      <c r="E380" t="s">
        <v>2949</v>
      </c>
      <c r="F380" t="s">
        <v>6244</v>
      </c>
      <c r="G380" s="6" t="s">
        <v>245</v>
      </c>
      <c r="H380" s="1" t="s">
        <v>54</v>
      </c>
      <c r="I380" s="1">
        <v>643738430</v>
      </c>
      <c r="K380" s="1" t="s">
        <v>1836</v>
      </c>
      <c r="L380" s="3">
        <v>44561</v>
      </c>
      <c r="M380" s="1" t="s">
        <v>35</v>
      </c>
      <c r="N380" s="14" t="s">
        <v>6245</v>
      </c>
      <c r="O380" s="187">
        <v>75</v>
      </c>
      <c r="P380" s="1">
        <v>1</v>
      </c>
      <c r="Q380" s="90">
        <v>0.21</v>
      </c>
      <c r="R380" s="90">
        <v>0</v>
      </c>
      <c r="T380" s="95">
        <f t="shared" si="15"/>
        <v>90.75</v>
      </c>
      <c r="U380" s="1" t="s">
        <v>1836</v>
      </c>
      <c r="V380" s="6" t="s">
        <v>6246</v>
      </c>
      <c r="W380" s="2">
        <v>32184</v>
      </c>
      <c r="X380" s="2">
        <v>44540</v>
      </c>
      <c r="Y380" s="11" t="s">
        <v>6441</v>
      </c>
      <c r="Z380" s="3">
        <v>44596</v>
      </c>
      <c r="AA380" s="80" t="s">
        <v>1339</v>
      </c>
      <c r="AD380" t="s">
        <v>3198</v>
      </c>
    </row>
    <row r="381" spans="1:37">
      <c r="A381" s="1">
        <v>379</v>
      </c>
      <c r="B381" t="s">
        <v>40</v>
      </c>
      <c r="C381" s="2">
        <v>44543</v>
      </c>
      <c r="D381" s="1" t="s">
        <v>6249</v>
      </c>
      <c r="E381" t="s">
        <v>6248</v>
      </c>
      <c r="F381" t="s">
        <v>5259</v>
      </c>
      <c r="G381" s="6" t="s">
        <v>233</v>
      </c>
      <c r="H381" s="1" t="s">
        <v>34</v>
      </c>
      <c r="I381" s="14">
        <v>607146505</v>
      </c>
      <c r="J381" t="s">
        <v>6251</v>
      </c>
      <c r="K381" s="1" t="s">
        <v>6249</v>
      </c>
      <c r="L381" s="3">
        <v>44561</v>
      </c>
      <c r="M381" s="1" t="s">
        <v>35</v>
      </c>
      <c r="N381" s="14" t="s">
        <v>6250</v>
      </c>
      <c r="O381" s="187">
        <v>125</v>
      </c>
      <c r="P381" s="1">
        <v>1</v>
      </c>
      <c r="Q381" s="90">
        <v>0.21</v>
      </c>
      <c r="R381" s="90">
        <v>0.2</v>
      </c>
      <c r="T381" s="95">
        <f t="shared" si="15"/>
        <v>121</v>
      </c>
      <c r="U381" s="1" t="s">
        <v>6508</v>
      </c>
      <c r="V381" s="6" t="s">
        <v>6509</v>
      </c>
      <c r="W381" s="2">
        <v>31376</v>
      </c>
      <c r="X381" s="2">
        <v>44543</v>
      </c>
      <c r="Y381" s="11" t="s">
        <v>6857</v>
      </c>
      <c r="Z381" s="3">
        <v>44685</v>
      </c>
      <c r="AA381" s="80" t="s">
        <v>1339</v>
      </c>
      <c r="AD381" t="s">
        <v>3198</v>
      </c>
      <c r="AG381" t="s">
        <v>3108</v>
      </c>
      <c r="AH381" s="2">
        <v>44617</v>
      </c>
      <c r="AK381" s="3">
        <v>44624</v>
      </c>
    </row>
    <row r="382" spans="1:37">
      <c r="A382" s="1">
        <v>380</v>
      </c>
      <c r="B382" t="s">
        <v>111</v>
      </c>
      <c r="C382" s="2">
        <v>44544</v>
      </c>
      <c r="D382" t="s">
        <v>2920</v>
      </c>
      <c r="E382" s="14" t="s">
        <v>2921</v>
      </c>
      <c r="F382" t="s">
        <v>2922</v>
      </c>
      <c r="G382" s="6" t="s">
        <v>220</v>
      </c>
      <c r="H382" t="s">
        <v>39</v>
      </c>
      <c r="I382">
        <v>686382523</v>
      </c>
      <c r="K382" t="s">
        <v>2920</v>
      </c>
      <c r="L382" s="3">
        <v>44561</v>
      </c>
      <c r="M382" s="1" t="s">
        <v>35</v>
      </c>
      <c r="N382" s="14" t="s">
        <v>6253</v>
      </c>
      <c r="O382" s="187">
        <v>125</v>
      </c>
      <c r="P382" s="1">
        <v>1</v>
      </c>
      <c r="Q382" s="90">
        <v>0.21</v>
      </c>
      <c r="R382" s="90">
        <v>0.2</v>
      </c>
      <c r="T382" s="95">
        <f t="shared" si="15"/>
        <v>121</v>
      </c>
      <c r="U382" t="s">
        <v>6413</v>
      </c>
      <c r="V382" s="5" t="s">
        <v>6414</v>
      </c>
      <c r="W382" s="2">
        <v>33972</v>
      </c>
      <c r="X382" s="2">
        <v>44544</v>
      </c>
      <c r="Y382" s="11" t="s">
        <v>6856</v>
      </c>
      <c r="Z382" s="3">
        <v>44685</v>
      </c>
      <c r="AA382" s="80" t="s">
        <v>1339</v>
      </c>
      <c r="AD382" t="s">
        <v>3198</v>
      </c>
      <c r="AG382" t="s">
        <v>3108</v>
      </c>
      <c r="AH382" s="2">
        <v>44585</v>
      </c>
      <c r="AK382" s="3">
        <v>44592</v>
      </c>
    </row>
    <row r="383" spans="1:37">
      <c r="A383" s="1">
        <v>381</v>
      </c>
      <c r="B383" t="s">
        <v>111</v>
      </c>
      <c r="C383" s="2">
        <v>44544</v>
      </c>
      <c r="D383" s="1" t="s">
        <v>6255</v>
      </c>
      <c r="E383" t="s">
        <v>6254</v>
      </c>
      <c r="F383" t="s">
        <v>6256</v>
      </c>
      <c r="G383" s="6" t="s">
        <v>1229</v>
      </c>
      <c r="H383" s="1" t="s">
        <v>5285</v>
      </c>
      <c r="I383" s="1">
        <v>699478433</v>
      </c>
      <c r="J383" s="230"/>
      <c r="K383" s="1" t="s">
        <v>6255</v>
      </c>
      <c r="L383" s="3">
        <v>44561</v>
      </c>
      <c r="M383" s="1" t="s">
        <v>35</v>
      </c>
      <c r="N383" s="14" t="s">
        <v>6257</v>
      </c>
      <c r="O383" s="187">
        <v>125</v>
      </c>
      <c r="P383" s="1">
        <v>1</v>
      </c>
      <c r="Q383" s="90">
        <v>0.21</v>
      </c>
      <c r="R383" s="90">
        <v>0.2</v>
      </c>
      <c r="T383" s="95">
        <f t="shared" si="15"/>
        <v>121</v>
      </c>
      <c r="U383" t="s">
        <v>6415</v>
      </c>
      <c r="V383" s="5" t="s">
        <v>6416</v>
      </c>
      <c r="W383" s="2">
        <v>30317</v>
      </c>
      <c r="X383" s="2">
        <v>44544</v>
      </c>
      <c r="Y383" s="11" t="s">
        <v>6856</v>
      </c>
      <c r="Z383" s="3">
        <v>44685</v>
      </c>
      <c r="AA383" s="80" t="s">
        <v>1339</v>
      </c>
      <c r="AD383" t="s">
        <v>3198</v>
      </c>
      <c r="AG383" t="s">
        <v>3108</v>
      </c>
      <c r="AH383" s="2">
        <v>44585</v>
      </c>
      <c r="AK383" s="3">
        <v>44595</v>
      </c>
    </row>
    <row r="384" spans="1:37">
      <c r="A384" s="1">
        <v>382</v>
      </c>
      <c r="B384" t="s">
        <v>37</v>
      </c>
      <c r="C384" s="2">
        <v>44544</v>
      </c>
      <c r="D384" s="1" t="s">
        <v>6258</v>
      </c>
      <c r="E384" t="s">
        <v>6259</v>
      </c>
      <c r="F384" t="s">
        <v>6260</v>
      </c>
      <c r="G384" s="6" t="s">
        <v>6261</v>
      </c>
      <c r="H384" s="1" t="s">
        <v>6262</v>
      </c>
      <c r="I384" s="1">
        <v>686420297</v>
      </c>
      <c r="K384" s="1" t="s">
        <v>6258</v>
      </c>
      <c r="L384" s="3">
        <v>44561</v>
      </c>
      <c r="M384" s="1" t="s">
        <v>35</v>
      </c>
      <c r="N384" s="14" t="s">
        <v>6263</v>
      </c>
      <c r="O384" s="187">
        <v>125</v>
      </c>
      <c r="P384" s="1">
        <v>1</v>
      </c>
      <c r="Q384" s="90">
        <v>0.21</v>
      </c>
      <c r="R384" s="90">
        <v>0.2</v>
      </c>
      <c r="T384" s="95">
        <f t="shared" si="15"/>
        <v>121</v>
      </c>
      <c r="U384" t="s">
        <v>6422</v>
      </c>
      <c r="V384" s="5" t="s">
        <v>6423</v>
      </c>
      <c r="W384" s="2">
        <v>34700</v>
      </c>
      <c r="X384" s="2">
        <v>44544</v>
      </c>
      <c r="Y384" s="11" t="s">
        <v>6532</v>
      </c>
      <c r="Z384" s="3">
        <v>44628</v>
      </c>
      <c r="AA384" s="80" t="s">
        <v>1339</v>
      </c>
      <c r="AD384" t="s">
        <v>3198</v>
      </c>
      <c r="AG384" t="s">
        <v>6264</v>
      </c>
      <c r="AH384" s="2">
        <v>44585</v>
      </c>
      <c r="AK384" s="3">
        <v>44602</v>
      </c>
    </row>
    <row r="385" spans="1:37">
      <c r="A385" s="1">
        <v>383</v>
      </c>
      <c r="B385" t="s">
        <v>37</v>
      </c>
      <c r="C385" s="2">
        <v>44544</v>
      </c>
      <c r="D385" s="1" t="s">
        <v>6258</v>
      </c>
      <c r="E385" t="s">
        <v>6259</v>
      </c>
      <c r="F385" t="s">
        <v>6260</v>
      </c>
      <c r="G385" s="6" t="s">
        <v>6261</v>
      </c>
      <c r="H385" s="1" t="s">
        <v>6262</v>
      </c>
      <c r="I385" s="1">
        <v>686420297</v>
      </c>
      <c r="K385" s="1" t="s">
        <v>6258</v>
      </c>
      <c r="L385" s="3">
        <v>44561</v>
      </c>
      <c r="M385" s="1" t="s">
        <v>35</v>
      </c>
      <c r="N385" s="14" t="s">
        <v>6265</v>
      </c>
      <c r="O385" s="187">
        <v>125</v>
      </c>
      <c r="P385" s="1">
        <v>1</v>
      </c>
      <c r="Q385" s="90">
        <v>0.21</v>
      </c>
      <c r="R385" s="90">
        <v>0.2</v>
      </c>
      <c r="T385" s="95">
        <f t="shared" si="15"/>
        <v>121</v>
      </c>
      <c r="U385" t="s">
        <v>6420</v>
      </c>
      <c r="V385" s="5" t="s">
        <v>6421</v>
      </c>
      <c r="W385" s="2">
        <v>44537</v>
      </c>
      <c r="X385" s="2">
        <v>44544</v>
      </c>
      <c r="Y385" s="11" t="s">
        <v>6532</v>
      </c>
      <c r="Z385" s="3">
        <v>44628</v>
      </c>
      <c r="AA385" s="80" t="s">
        <v>1339</v>
      </c>
      <c r="AD385" t="s">
        <v>3198</v>
      </c>
      <c r="AG385" t="s">
        <v>6264</v>
      </c>
      <c r="AH385" s="2">
        <v>44585</v>
      </c>
      <c r="AK385" s="3">
        <v>44602</v>
      </c>
    </row>
    <row r="386" spans="1:37">
      <c r="A386" s="1">
        <v>384</v>
      </c>
      <c r="B386" t="s">
        <v>37</v>
      </c>
      <c r="C386" s="2">
        <v>44544</v>
      </c>
      <c r="D386" s="1" t="s">
        <v>6258</v>
      </c>
      <c r="E386" t="s">
        <v>6259</v>
      </c>
      <c r="F386" t="s">
        <v>6260</v>
      </c>
      <c r="G386" s="6" t="s">
        <v>6261</v>
      </c>
      <c r="H386" s="1" t="s">
        <v>6262</v>
      </c>
      <c r="I386" s="1">
        <v>686420297</v>
      </c>
      <c r="K386" s="1" t="s">
        <v>6258</v>
      </c>
      <c r="L386" s="3">
        <v>44561</v>
      </c>
      <c r="M386" s="1" t="s">
        <v>35</v>
      </c>
      <c r="N386" s="14" t="s">
        <v>6266</v>
      </c>
      <c r="O386" s="187">
        <v>125</v>
      </c>
      <c r="P386" s="1">
        <v>1</v>
      </c>
      <c r="Q386" s="90">
        <v>0.21</v>
      </c>
      <c r="R386" s="90">
        <v>0.2</v>
      </c>
      <c r="T386" s="95">
        <f t="shared" si="15"/>
        <v>121</v>
      </c>
      <c r="U386" t="s">
        <v>6418</v>
      </c>
      <c r="V386" s="5" t="s">
        <v>6419</v>
      </c>
      <c r="W386" s="2">
        <v>43040</v>
      </c>
      <c r="X386" s="2">
        <v>44544</v>
      </c>
      <c r="Y386" s="11" t="s">
        <v>6532</v>
      </c>
      <c r="Z386" s="3">
        <v>44628</v>
      </c>
      <c r="AA386" s="80" t="s">
        <v>1339</v>
      </c>
      <c r="AD386" t="s">
        <v>3198</v>
      </c>
      <c r="AG386" t="s">
        <v>6264</v>
      </c>
      <c r="AH386" s="2">
        <v>44585</v>
      </c>
      <c r="AK386" s="3">
        <v>44602</v>
      </c>
    </row>
    <row r="387" spans="1:37">
      <c r="A387" s="1">
        <v>385</v>
      </c>
      <c r="B387" t="s">
        <v>83</v>
      </c>
      <c r="C387" s="2">
        <v>44545</v>
      </c>
      <c r="D387" s="1" t="s">
        <v>6268</v>
      </c>
      <c r="E387" t="s">
        <v>6269</v>
      </c>
      <c r="F387" t="s">
        <v>6270</v>
      </c>
      <c r="G387" s="6" t="s">
        <v>221</v>
      </c>
      <c r="H387" s="1" t="s">
        <v>34</v>
      </c>
      <c r="I387" s="1" t="s">
        <v>6271</v>
      </c>
      <c r="K387" s="1" t="s">
        <v>6268</v>
      </c>
      <c r="L387" s="3">
        <v>44561</v>
      </c>
      <c r="M387" s="1" t="s">
        <v>35</v>
      </c>
      <c r="N387" t="s">
        <v>6272</v>
      </c>
      <c r="O387" s="187">
        <v>87.5</v>
      </c>
      <c r="P387" s="1">
        <v>1</v>
      </c>
      <c r="Q387" s="90">
        <v>0.21</v>
      </c>
      <c r="R387" s="90">
        <v>0.2</v>
      </c>
      <c r="S387" s="243" t="s">
        <v>4723</v>
      </c>
      <c r="T387" s="95">
        <f t="shared" si="15"/>
        <v>84.7</v>
      </c>
      <c r="U387" s="1" t="s">
        <v>6268</v>
      </c>
      <c r="W387" s="2">
        <v>33682</v>
      </c>
      <c r="X387" s="2">
        <v>44545</v>
      </c>
      <c r="Y387" s="11"/>
      <c r="AD387" t="s">
        <v>3198</v>
      </c>
    </row>
    <row r="388" spans="1:37">
      <c r="A388" s="1">
        <v>386</v>
      </c>
      <c r="B388" t="s">
        <v>40</v>
      </c>
      <c r="C388" s="2">
        <v>44550</v>
      </c>
      <c r="D388" s="1" t="s">
        <v>6289</v>
      </c>
      <c r="E388" t="s">
        <v>6290</v>
      </c>
      <c r="F388" t="s">
        <v>6291</v>
      </c>
      <c r="G388" s="6" t="s">
        <v>230</v>
      </c>
      <c r="H388" s="1" t="s">
        <v>1262</v>
      </c>
      <c r="I388" s="14">
        <v>629762110</v>
      </c>
      <c r="J388" t="s">
        <v>6293</v>
      </c>
      <c r="K388" s="1" t="s">
        <v>6289</v>
      </c>
      <c r="L388" s="3">
        <v>44561</v>
      </c>
      <c r="M388" s="1" t="s">
        <v>35</v>
      </c>
      <c r="N388" s="14" t="s">
        <v>6292</v>
      </c>
      <c r="O388" s="187">
        <v>125</v>
      </c>
      <c r="P388" s="1">
        <v>1</v>
      </c>
      <c r="Q388" s="90">
        <v>0.21</v>
      </c>
      <c r="R388" s="90">
        <v>0.2</v>
      </c>
      <c r="T388" s="95">
        <f t="shared" si="15"/>
        <v>121</v>
      </c>
      <c r="U388" s="1" t="s">
        <v>6510</v>
      </c>
      <c r="V388" s="6" t="s">
        <v>6553</v>
      </c>
      <c r="W388" s="2">
        <v>36264</v>
      </c>
      <c r="X388" s="2">
        <v>44550</v>
      </c>
      <c r="Y388" s="11" t="s">
        <v>6862</v>
      </c>
      <c r="Z388" s="3">
        <v>44686</v>
      </c>
      <c r="AA388" s="80" t="s">
        <v>1339</v>
      </c>
      <c r="AD388" t="s">
        <v>3198</v>
      </c>
      <c r="AG388" s="76" t="s">
        <v>3108</v>
      </c>
      <c r="AH388" s="2">
        <v>44617</v>
      </c>
    </row>
    <row r="389" spans="1:37">
      <c r="A389" s="1">
        <v>387</v>
      </c>
      <c r="B389" t="s">
        <v>6294</v>
      </c>
      <c r="C389" s="2">
        <v>44550</v>
      </c>
      <c r="D389" t="s">
        <v>124</v>
      </c>
      <c r="E389" t="s">
        <v>6349</v>
      </c>
      <c r="F389" s="61" t="s">
        <v>6348</v>
      </c>
      <c r="G389" s="1">
        <v>41850</v>
      </c>
      <c r="H389" s="1" t="s">
        <v>6295</v>
      </c>
      <c r="I389" s="1">
        <v>617073484</v>
      </c>
      <c r="J389" t="s">
        <v>6296</v>
      </c>
      <c r="K389" t="s">
        <v>124</v>
      </c>
      <c r="L389" s="3">
        <v>44561</v>
      </c>
      <c r="M389" s="1" t="s">
        <v>35</v>
      </c>
      <c r="N389" s="14" t="s">
        <v>6297</v>
      </c>
      <c r="O389" s="187">
        <v>125</v>
      </c>
      <c r="P389" s="1">
        <v>1</v>
      </c>
      <c r="Q389" s="90">
        <v>0.21</v>
      </c>
      <c r="R389" s="90">
        <v>0</v>
      </c>
      <c r="T389" s="95">
        <f t="shared" si="15"/>
        <v>151.25</v>
      </c>
      <c r="U389" t="s">
        <v>124</v>
      </c>
      <c r="V389" s="5" t="s">
        <v>6448</v>
      </c>
      <c r="W389" s="2">
        <v>29275</v>
      </c>
      <c r="X389" s="2">
        <v>44550</v>
      </c>
      <c r="Y389" s="11" t="s">
        <v>8139</v>
      </c>
      <c r="Z389" s="3">
        <v>44980</v>
      </c>
      <c r="AA389" s="80" t="s">
        <v>1339</v>
      </c>
      <c r="AB389" t="s">
        <v>5228</v>
      </c>
      <c r="AC389" s="162">
        <v>44719</v>
      </c>
      <c r="AD389" t="s">
        <v>3198</v>
      </c>
      <c r="AG389" t="s">
        <v>3108</v>
      </c>
      <c r="AH389" s="2">
        <v>44599</v>
      </c>
      <c r="AK389" s="3">
        <v>44609</v>
      </c>
    </row>
    <row r="390" spans="1:37">
      <c r="A390" s="1">
        <v>388</v>
      </c>
      <c r="B390" t="s">
        <v>6294</v>
      </c>
      <c r="C390" s="2">
        <v>44550</v>
      </c>
      <c r="D390" s="1" t="s">
        <v>6446</v>
      </c>
      <c r="E390" t="s">
        <v>6350</v>
      </c>
      <c r="F390" s="61" t="s">
        <v>6348</v>
      </c>
      <c r="G390" s="1">
        <v>41850</v>
      </c>
      <c r="H390" s="1" t="s">
        <v>6295</v>
      </c>
      <c r="I390" s="1">
        <v>617073484</v>
      </c>
      <c r="J390" t="s">
        <v>6296</v>
      </c>
      <c r="K390" t="s">
        <v>125</v>
      </c>
      <c r="L390" s="3">
        <v>44561</v>
      </c>
      <c r="M390" s="1" t="s">
        <v>35</v>
      </c>
      <c r="N390" s="14" t="s">
        <v>6298</v>
      </c>
      <c r="O390" s="187">
        <v>125</v>
      </c>
      <c r="P390" s="1">
        <v>1</v>
      </c>
      <c r="Q390" s="90">
        <v>0.21</v>
      </c>
      <c r="R390" s="90">
        <v>0</v>
      </c>
      <c r="T390" s="95">
        <f t="shared" si="15"/>
        <v>151.25</v>
      </c>
      <c r="U390" t="s">
        <v>125</v>
      </c>
      <c r="V390" s="5" t="s">
        <v>6447</v>
      </c>
      <c r="W390" s="2">
        <v>30430</v>
      </c>
      <c r="X390" s="2">
        <v>44550</v>
      </c>
      <c r="Y390" s="11" t="s">
        <v>8139</v>
      </c>
      <c r="Z390" s="3">
        <v>44980</v>
      </c>
      <c r="AA390" s="80" t="s">
        <v>1339</v>
      </c>
      <c r="AB390" t="s">
        <v>5228</v>
      </c>
      <c r="AC390" s="162">
        <v>44706</v>
      </c>
      <c r="AD390" t="s">
        <v>3198</v>
      </c>
      <c r="AG390" t="s">
        <v>3108</v>
      </c>
      <c r="AH390" s="2">
        <v>44599</v>
      </c>
      <c r="AK390" s="3">
        <v>44609</v>
      </c>
    </row>
    <row r="391" spans="1:37">
      <c r="A391" s="1">
        <v>389</v>
      </c>
      <c r="B391" t="s">
        <v>6294</v>
      </c>
      <c r="C391" s="2">
        <v>44550</v>
      </c>
      <c r="D391" s="1" t="s">
        <v>6449</v>
      </c>
      <c r="E391" t="s">
        <v>6351</v>
      </c>
      <c r="F391" s="61" t="s">
        <v>6348</v>
      </c>
      <c r="G391" s="1">
        <v>41850</v>
      </c>
      <c r="H391" s="1" t="s">
        <v>6295</v>
      </c>
      <c r="I391" s="1">
        <v>617073484</v>
      </c>
      <c r="J391" t="s">
        <v>6296</v>
      </c>
      <c r="K391" t="s">
        <v>283</v>
      </c>
      <c r="L391" s="3">
        <v>44561</v>
      </c>
      <c r="M391" s="1" t="s">
        <v>35</v>
      </c>
      <c r="N391" s="14" t="s">
        <v>6299</v>
      </c>
      <c r="O391" s="187">
        <v>125</v>
      </c>
      <c r="P391" s="1">
        <v>1</v>
      </c>
      <c r="Q391" s="90">
        <v>0.21</v>
      </c>
      <c r="R391" s="90">
        <v>0</v>
      </c>
      <c r="T391" s="95">
        <f t="shared" si="15"/>
        <v>151.25</v>
      </c>
      <c r="U391" t="s">
        <v>283</v>
      </c>
      <c r="V391" s="6" t="s">
        <v>6451</v>
      </c>
      <c r="W391" s="2">
        <v>32155</v>
      </c>
      <c r="X391" s="2">
        <v>44550</v>
      </c>
      <c r="Y391" s="13" t="s">
        <v>7273</v>
      </c>
      <c r="Z391" s="276">
        <v>44802</v>
      </c>
      <c r="AA391" s="80" t="s">
        <v>1339</v>
      </c>
      <c r="AB391" t="s">
        <v>5228</v>
      </c>
      <c r="AC391" s="182">
        <v>44706</v>
      </c>
      <c r="AD391" t="s">
        <v>3198</v>
      </c>
      <c r="AG391" t="s">
        <v>3108</v>
      </c>
      <c r="AH391" s="2">
        <v>44599</v>
      </c>
      <c r="AK391" s="3">
        <v>44609</v>
      </c>
    </row>
    <row r="392" spans="1:37">
      <c r="A392" s="1">
        <v>390</v>
      </c>
      <c r="B392" t="s">
        <v>6294</v>
      </c>
      <c r="C392" s="2">
        <v>44550</v>
      </c>
      <c r="D392" s="1" t="s">
        <v>193</v>
      </c>
      <c r="E392" t="s">
        <v>6352</v>
      </c>
      <c r="F392" s="61" t="s">
        <v>6348</v>
      </c>
      <c r="G392" s="1">
        <v>41850</v>
      </c>
      <c r="H392" s="1" t="s">
        <v>6295</v>
      </c>
      <c r="I392" s="1">
        <v>617073484</v>
      </c>
      <c r="J392" t="s">
        <v>6296</v>
      </c>
      <c r="K392" t="s">
        <v>193</v>
      </c>
      <c r="L392" s="3">
        <v>44561</v>
      </c>
      <c r="M392" s="1" t="s">
        <v>35</v>
      </c>
      <c r="N392" s="14" t="s">
        <v>6300</v>
      </c>
      <c r="O392" s="187">
        <v>125</v>
      </c>
      <c r="P392" s="1">
        <v>1</v>
      </c>
      <c r="Q392" s="90">
        <v>0.21</v>
      </c>
      <c r="R392" s="90">
        <v>0</v>
      </c>
      <c r="T392" s="95">
        <f t="shared" si="15"/>
        <v>151.25</v>
      </c>
      <c r="U392" t="s">
        <v>193</v>
      </c>
      <c r="V392" s="6" t="s">
        <v>6450</v>
      </c>
      <c r="W392" s="2">
        <v>33635</v>
      </c>
      <c r="X392" s="2">
        <v>44550</v>
      </c>
      <c r="Y392" s="11" t="s">
        <v>8139</v>
      </c>
      <c r="Z392" s="3">
        <v>44980</v>
      </c>
      <c r="AA392" s="80" t="s">
        <v>1339</v>
      </c>
      <c r="AB392" t="s">
        <v>5228</v>
      </c>
      <c r="AC392" s="162">
        <v>44706</v>
      </c>
      <c r="AD392" t="s">
        <v>3198</v>
      </c>
      <c r="AG392" t="s">
        <v>3108</v>
      </c>
      <c r="AH392" s="2">
        <v>44599</v>
      </c>
      <c r="AK392" s="3">
        <v>44609</v>
      </c>
    </row>
    <row r="393" spans="1:37">
      <c r="A393" s="164">
        <v>391</v>
      </c>
      <c r="B393" s="160" t="s">
        <v>4203</v>
      </c>
      <c r="C393" s="165">
        <v>44551</v>
      </c>
      <c r="D393" s="1" t="s">
        <v>4297</v>
      </c>
      <c r="E393" s="160" t="s">
        <v>2218</v>
      </c>
      <c r="F393" s="160" t="s">
        <v>6301</v>
      </c>
      <c r="G393" s="166" t="s">
        <v>4299</v>
      </c>
      <c r="H393" s="164" t="s">
        <v>38</v>
      </c>
      <c r="I393" s="164">
        <v>649287284</v>
      </c>
      <c r="J393" s="81" t="s">
        <v>5942</v>
      </c>
      <c r="K393" s="164" t="s">
        <v>4297</v>
      </c>
      <c r="L393" s="3">
        <v>44561</v>
      </c>
      <c r="M393" s="164" t="s">
        <v>35</v>
      </c>
      <c r="N393" s="14" t="s">
        <v>6302</v>
      </c>
      <c r="O393" s="168">
        <v>75</v>
      </c>
      <c r="P393" s="164">
        <v>1</v>
      </c>
      <c r="Q393" s="169">
        <v>0.21</v>
      </c>
      <c r="R393" s="169">
        <v>0.2</v>
      </c>
      <c r="S393" s="81"/>
      <c r="T393" s="170">
        <f t="shared" si="15"/>
        <v>72.599999999999994</v>
      </c>
      <c r="U393" s="164" t="s">
        <v>4301</v>
      </c>
      <c r="V393" s="171" t="s">
        <v>6303</v>
      </c>
      <c r="W393" s="165">
        <v>33603</v>
      </c>
      <c r="X393" s="165">
        <v>44551</v>
      </c>
      <c r="Y393" s="11" t="s">
        <v>6497</v>
      </c>
      <c r="Z393" s="3">
        <v>44615</v>
      </c>
      <c r="AA393" s="80" t="s">
        <v>1339</v>
      </c>
      <c r="AD393" t="s">
        <v>3198</v>
      </c>
      <c r="AH393"/>
      <c r="AI393" s="1"/>
      <c r="AK393" s="2"/>
    </row>
    <row r="394" spans="1:37">
      <c r="A394" s="1">
        <v>392</v>
      </c>
      <c r="B394" t="s">
        <v>33</v>
      </c>
      <c r="C394" s="165">
        <v>44551</v>
      </c>
      <c r="D394" s="1" t="s">
        <v>4245</v>
      </c>
      <c r="E394" t="s">
        <v>4246</v>
      </c>
      <c r="F394" s="61" t="s">
        <v>6304</v>
      </c>
      <c r="G394" s="6" t="s">
        <v>230</v>
      </c>
      <c r="H394" s="1" t="s">
        <v>4719</v>
      </c>
      <c r="J394" t="s">
        <v>5903</v>
      </c>
      <c r="K394" s="1" t="s">
        <v>237</v>
      </c>
      <c r="L394" s="3">
        <v>44561</v>
      </c>
      <c r="M394" s="164" t="s">
        <v>35</v>
      </c>
      <c r="N394" s="14" t="s">
        <v>6305</v>
      </c>
      <c r="O394" s="187">
        <v>125</v>
      </c>
      <c r="P394" s="1">
        <v>1</v>
      </c>
      <c r="Q394" s="90">
        <v>0.21</v>
      </c>
      <c r="R394" s="90">
        <v>0.2</v>
      </c>
      <c r="T394" s="95">
        <f t="shared" si="15"/>
        <v>121</v>
      </c>
      <c r="U394" t="s">
        <v>6460</v>
      </c>
      <c r="V394" s="5" t="s">
        <v>6461</v>
      </c>
      <c r="W394" s="2">
        <v>34770</v>
      </c>
      <c r="X394" s="2">
        <v>44551</v>
      </c>
      <c r="Y394" s="11" t="s">
        <v>6583</v>
      </c>
      <c r="Z394" s="3">
        <v>44631</v>
      </c>
      <c r="AA394" s="80" t="s">
        <v>1339</v>
      </c>
      <c r="AD394" t="s">
        <v>3198</v>
      </c>
      <c r="AG394" t="s">
        <v>3108</v>
      </c>
      <c r="AH394" s="2">
        <v>44601</v>
      </c>
      <c r="AK394" s="3">
        <v>44606</v>
      </c>
    </row>
    <row r="395" spans="1:37">
      <c r="A395" s="1">
        <v>393</v>
      </c>
      <c r="B395" t="s">
        <v>1414</v>
      </c>
      <c r="C395" s="2">
        <v>44551</v>
      </c>
      <c r="D395" s="1" t="s">
        <v>1079</v>
      </c>
      <c r="E395" t="s">
        <v>41</v>
      </c>
      <c r="F395" s="61" t="s">
        <v>2115</v>
      </c>
      <c r="G395" s="1" t="s">
        <v>230</v>
      </c>
      <c r="H395" s="1" t="s">
        <v>1262</v>
      </c>
      <c r="I395" s="1">
        <v>631212115</v>
      </c>
      <c r="J395" t="s">
        <v>6306</v>
      </c>
      <c r="K395" s="1" t="s">
        <v>1079</v>
      </c>
      <c r="L395" s="3">
        <v>44561</v>
      </c>
      <c r="M395" s="1" t="s">
        <v>35</v>
      </c>
      <c r="N395" s="14" t="s">
        <v>5098</v>
      </c>
      <c r="O395" s="187">
        <v>125</v>
      </c>
      <c r="P395" s="1">
        <v>1</v>
      </c>
      <c r="Q395" s="128">
        <v>0.21</v>
      </c>
      <c r="R395" s="128">
        <v>0.2</v>
      </c>
      <c r="T395" s="95">
        <f t="shared" ref="T395:T401" si="16">SUM(O395-(O395*R395))*Q395+(O395-(O395*R395))</f>
        <v>121</v>
      </c>
      <c r="U395" s="1" t="s">
        <v>5244</v>
      </c>
      <c r="V395" s="6" t="s">
        <v>6500</v>
      </c>
      <c r="W395" s="2">
        <v>34213</v>
      </c>
      <c r="X395" s="2">
        <v>44551</v>
      </c>
      <c r="Y395" s="11" t="s">
        <v>6858</v>
      </c>
      <c r="Z395" s="3">
        <v>44685</v>
      </c>
      <c r="AA395" s="80" t="s">
        <v>1339</v>
      </c>
      <c r="AD395" t="s">
        <v>3198</v>
      </c>
      <c r="AG395" t="s">
        <v>3108</v>
      </c>
      <c r="AH395" s="2">
        <v>44551</v>
      </c>
      <c r="AK395" s="3"/>
    </row>
    <row r="396" spans="1:37">
      <c r="A396" s="1">
        <v>394</v>
      </c>
      <c r="B396" t="s">
        <v>37</v>
      </c>
      <c r="C396" s="2">
        <v>44551</v>
      </c>
      <c r="D396" t="s">
        <v>6463</v>
      </c>
      <c r="E396" t="s">
        <v>6308</v>
      </c>
      <c r="F396" s="61" t="s">
        <v>6309</v>
      </c>
      <c r="G396" s="6" t="s">
        <v>219</v>
      </c>
      <c r="H396" s="1" t="s">
        <v>38</v>
      </c>
      <c r="I396" s="1">
        <v>631849191</v>
      </c>
      <c r="K396" t="s">
        <v>6463</v>
      </c>
      <c r="L396" s="3">
        <v>44561</v>
      </c>
      <c r="M396" s="1" t="s">
        <v>35</v>
      </c>
      <c r="N396" s="14" t="s">
        <v>6310</v>
      </c>
      <c r="O396" s="187">
        <v>125</v>
      </c>
      <c r="P396" s="1">
        <v>1</v>
      </c>
      <c r="Q396" s="90">
        <v>0.21</v>
      </c>
      <c r="R396" s="90">
        <v>0.2</v>
      </c>
      <c r="T396" s="95">
        <f t="shared" si="16"/>
        <v>121</v>
      </c>
      <c r="U396" t="s">
        <v>6463</v>
      </c>
      <c r="V396" s="5" t="s">
        <v>6464</v>
      </c>
      <c r="W396" s="2">
        <v>32207</v>
      </c>
      <c r="X396" s="2">
        <v>44551</v>
      </c>
      <c r="Y396" s="11" t="s">
        <v>6890</v>
      </c>
      <c r="Z396" s="3">
        <v>44693</v>
      </c>
      <c r="AA396" s="80" t="s">
        <v>1339</v>
      </c>
      <c r="AD396" t="s">
        <v>3198</v>
      </c>
      <c r="AG396" t="s">
        <v>6311</v>
      </c>
      <c r="AH396" s="2">
        <v>44237</v>
      </c>
      <c r="AK396" s="3">
        <v>44237</v>
      </c>
    </row>
    <row r="397" spans="1:37">
      <c r="A397" s="1">
        <v>395</v>
      </c>
      <c r="B397" t="s">
        <v>137</v>
      </c>
      <c r="C397" s="2">
        <v>44553</v>
      </c>
      <c r="D397" s="1" t="s">
        <v>6312</v>
      </c>
      <c r="E397" t="s">
        <v>6313</v>
      </c>
      <c r="F397" s="61" t="s">
        <v>6314</v>
      </c>
      <c r="G397" s="6" t="s">
        <v>227</v>
      </c>
      <c r="H397" s="1" t="s">
        <v>34</v>
      </c>
      <c r="J397" t="s">
        <v>5905</v>
      </c>
      <c r="K397" s="30" t="s">
        <v>1250</v>
      </c>
      <c r="L397" s="3">
        <v>44561</v>
      </c>
      <c r="M397" s="1" t="s">
        <v>35</v>
      </c>
      <c r="N397" s="14" t="s">
        <v>6315</v>
      </c>
      <c r="O397" s="187">
        <v>125</v>
      </c>
      <c r="P397" s="1">
        <v>1</v>
      </c>
      <c r="Q397" s="90">
        <v>0.21</v>
      </c>
      <c r="R397" s="90">
        <v>0.2</v>
      </c>
      <c r="T397" s="95">
        <f t="shared" si="16"/>
        <v>121</v>
      </c>
      <c r="U397" t="s">
        <v>6362</v>
      </c>
      <c r="V397" s="5" t="s">
        <v>6356</v>
      </c>
      <c r="W397" s="2">
        <v>30895</v>
      </c>
      <c r="X397" s="2">
        <v>44553</v>
      </c>
      <c r="Y397" s="11" t="s">
        <v>7201</v>
      </c>
      <c r="Z397" s="3">
        <v>44764</v>
      </c>
      <c r="AA397" s="80" t="s">
        <v>1339</v>
      </c>
      <c r="AC397" s="274">
        <v>44648</v>
      </c>
      <c r="AD397" t="s">
        <v>3198</v>
      </c>
      <c r="AG397" t="s">
        <v>3108</v>
      </c>
      <c r="AH397" s="2">
        <v>44574</v>
      </c>
      <c r="AK397" s="3">
        <v>44575</v>
      </c>
    </row>
    <row r="398" spans="1:37">
      <c r="A398" s="1">
        <v>396</v>
      </c>
      <c r="B398" t="s">
        <v>33</v>
      </c>
      <c r="C398" s="2">
        <v>44553</v>
      </c>
      <c r="D398" s="1" t="s">
        <v>4537</v>
      </c>
      <c r="E398" t="s">
        <v>4540</v>
      </c>
      <c r="F398" s="61" t="s">
        <v>6316</v>
      </c>
      <c r="G398" s="6" t="s">
        <v>220</v>
      </c>
      <c r="H398" s="1" t="s">
        <v>39</v>
      </c>
      <c r="J398" t="s">
        <v>5903</v>
      </c>
      <c r="K398" s="1" t="s">
        <v>237</v>
      </c>
      <c r="L398" s="3">
        <v>44561</v>
      </c>
      <c r="M398" s="164" t="s">
        <v>35</v>
      </c>
      <c r="N398" s="14" t="s">
        <v>6317</v>
      </c>
      <c r="O398" s="187">
        <v>75</v>
      </c>
      <c r="P398" s="1">
        <v>1</v>
      </c>
      <c r="Q398" s="90">
        <v>0.21</v>
      </c>
      <c r="R398" s="90">
        <v>0.2</v>
      </c>
      <c r="T398" s="95">
        <f t="shared" si="16"/>
        <v>72.599999999999994</v>
      </c>
      <c r="U398" s="1" t="s">
        <v>4541</v>
      </c>
      <c r="V398" s="6" t="s">
        <v>6318</v>
      </c>
      <c r="W398" s="2">
        <v>33327</v>
      </c>
      <c r="X398" s="2">
        <v>44553</v>
      </c>
      <c r="Y398" s="11" t="s">
        <v>6514</v>
      </c>
      <c r="Z398" s="3">
        <v>44621</v>
      </c>
      <c r="AA398" s="80" t="s">
        <v>1339</v>
      </c>
      <c r="AD398" t="s">
        <v>3198</v>
      </c>
    </row>
    <row r="399" spans="1:37">
      <c r="A399" s="1">
        <v>397</v>
      </c>
      <c r="B399" t="s">
        <v>33</v>
      </c>
      <c r="C399" s="2">
        <v>44554</v>
      </c>
      <c r="D399" s="1" t="s">
        <v>6327</v>
      </c>
      <c r="E399" t="s">
        <v>6328</v>
      </c>
      <c r="F399" s="61" t="s">
        <v>6329</v>
      </c>
      <c r="G399" s="6" t="s">
        <v>227</v>
      </c>
      <c r="H399" s="1" t="s">
        <v>4719</v>
      </c>
      <c r="J399" t="s">
        <v>5903</v>
      </c>
      <c r="K399" s="1" t="s">
        <v>237</v>
      </c>
      <c r="L399" s="3">
        <v>44561</v>
      </c>
      <c r="M399" s="164" t="s">
        <v>35</v>
      </c>
      <c r="N399" s="14" t="s">
        <v>6330</v>
      </c>
      <c r="O399" s="187">
        <v>125</v>
      </c>
      <c r="P399" s="1">
        <v>1</v>
      </c>
      <c r="Q399" s="90">
        <v>0.21</v>
      </c>
      <c r="R399" s="90">
        <v>0.2</v>
      </c>
      <c r="T399" s="95">
        <f t="shared" si="16"/>
        <v>121</v>
      </c>
      <c r="U399" t="s">
        <v>6439</v>
      </c>
      <c r="V399" s="5" t="s">
        <v>6440</v>
      </c>
      <c r="W399" s="2">
        <v>33045</v>
      </c>
      <c r="X399" s="2">
        <v>44554</v>
      </c>
      <c r="Y399" s="13" t="s">
        <v>7344</v>
      </c>
      <c r="Z399" s="3">
        <v>44823</v>
      </c>
      <c r="AA399" s="80" t="s">
        <v>1339</v>
      </c>
      <c r="AC399" s="292">
        <v>44741</v>
      </c>
      <c r="AD399" t="s">
        <v>3198</v>
      </c>
      <c r="AG399" s="76" t="s">
        <v>3221</v>
      </c>
      <c r="AH399" s="2">
        <v>44595</v>
      </c>
    </row>
    <row r="400" spans="1:37">
      <c r="A400" s="1">
        <v>398</v>
      </c>
      <c r="B400" t="s">
        <v>5927</v>
      </c>
      <c r="C400" s="2">
        <v>44554</v>
      </c>
      <c r="D400" s="1" t="s">
        <v>6375</v>
      </c>
      <c r="E400" t="s">
        <v>6376</v>
      </c>
      <c r="F400" s="61" t="s">
        <v>6377</v>
      </c>
      <c r="G400" s="6" t="s">
        <v>294</v>
      </c>
      <c r="H400" s="1" t="s">
        <v>103</v>
      </c>
      <c r="I400">
        <v>660744167</v>
      </c>
      <c r="J400" t="s">
        <v>6332</v>
      </c>
      <c r="K400" s="1" t="s">
        <v>6331</v>
      </c>
      <c r="L400" s="3">
        <v>44561</v>
      </c>
      <c r="M400" s="164" t="s">
        <v>35</v>
      </c>
      <c r="N400" s="14" t="s">
        <v>6333</v>
      </c>
      <c r="O400" s="187">
        <v>75</v>
      </c>
      <c r="P400" s="1">
        <v>1</v>
      </c>
      <c r="Q400" s="90">
        <v>0.21</v>
      </c>
      <c r="R400" s="90">
        <v>0.2</v>
      </c>
      <c r="T400" s="95">
        <f t="shared" si="16"/>
        <v>72.599999999999994</v>
      </c>
      <c r="U400" s="1" t="s">
        <v>6331</v>
      </c>
      <c r="V400" s="5" t="s">
        <v>6373</v>
      </c>
      <c r="W400" s="2">
        <v>37769</v>
      </c>
      <c r="X400" s="2">
        <v>44554</v>
      </c>
      <c r="Y400" s="11" t="s">
        <v>6374</v>
      </c>
      <c r="Z400" s="3">
        <v>44578</v>
      </c>
      <c r="AA400" s="80" t="s">
        <v>1339</v>
      </c>
      <c r="AD400" t="s">
        <v>3198</v>
      </c>
    </row>
    <row r="401" spans="1:34">
      <c r="A401" s="1">
        <v>399</v>
      </c>
      <c r="B401" t="s">
        <v>40</v>
      </c>
      <c r="C401" s="2">
        <v>44554</v>
      </c>
      <c r="D401" s="1" t="s">
        <v>2072</v>
      </c>
      <c r="E401" t="s">
        <v>6334</v>
      </c>
      <c r="F401" s="61" t="s">
        <v>6335</v>
      </c>
      <c r="G401" s="6" t="s">
        <v>227</v>
      </c>
      <c r="H401" s="1" t="s">
        <v>34</v>
      </c>
      <c r="I401" s="14" t="s">
        <v>6338</v>
      </c>
      <c r="J401" t="s">
        <v>6337</v>
      </c>
      <c r="K401" s="1" t="s">
        <v>2072</v>
      </c>
      <c r="L401" s="3">
        <v>44561</v>
      </c>
      <c r="M401" s="1" t="s">
        <v>35</v>
      </c>
      <c r="N401" s="14" t="s">
        <v>6336</v>
      </c>
      <c r="O401" s="187">
        <v>125</v>
      </c>
      <c r="P401" s="1">
        <v>1</v>
      </c>
      <c r="Q401" s="90">
        <v>0.21</v>
      </c>
      <c r="R401" s="90">
        <v>0.2</v>
      </c>
      <c r="T401" s="95">
        <f t="shared" si="16"/>
        <v>121</v>
      </c>
      <c r="U401" t="s">
        <v>6476</v>
      </c>
      <c r="V401" s="5" t="s">
        <v>6477</v>
      </c>
      <c r="W401" s="2">
        <v>32748</v>
      </c>
      <c r="X401" s="2">
        <v>44554</v>
      </c>
      <c r="Y401" s="11" t="s">
        <v>6941</v>
      </c>
      <c r="Z401" s="3">
        <v>44704</v>
      </c>
      <c r="AA401" s="80" t="s">
        <v>1339</v>
      </c>
      <c r="AD401" t="s">
        <v>3198</v>
      </c>
      <c r="AG401" s="76" t="s">
        <v>3108</v>
      </c>
      <c r="AH401" s="2">
        <v>44607</v>
      </c>
    </row>
  </sheetData>
  <autoFilter ref="A1:AM401" xr:uid="{00000000-0009-0000-0000-000004000000}">
    <sortState xmlns:xlrd2="http://schemas.microsoft.com/office/spreadsheetml/2017/richdata2" ref="A52:AM132">
      <sortCondition ref="B1:B185"/>
    </sortState>
  </autoFilter>
  <hyperlinks>
    <hyperlink ref="AE201" r:id="rId1" display="mailto:pjcanetemunoz@hotmail.com" xr:uid="{00000000-0004-0000-0400-000000000000}"/>
    <hyperlink ref="J280" r:id="rId2" display="mailto:luisalvaro.mal@gmail.com" xr:uid="{00000000-0004-0000-0400-000001000000}"/>
    <hyperlink ref="J308" r:id="rId3" xr:uid="{00000000-0004-0000-0400-000002000000}"/>
    <hyperlink ref="J41" r:id="rId4" display="mailto:anabel.hidalgo@gmail.com" xr:uid="{00000000-0004-0000-0400-000003000000}"/>
    <hyperlink ref="J42" r:id="rId5" display="mailto:anabel.hidalgo@gmail.com" xr:uid="{00000000-0004-0000-0400-000004000000}"/>
    <hyperlink ref="J299" r:id="rId6" xr:uid="{00000000-0004-0000-0400-000005000000}"/>
  </hyperlinks>
  <pageMargins left="0.7" right="0.7" top="0.75" bottom="0.75" header="0.3" footer="0.3"/>
  <pageSetup paperSize="9" scale="21" fitToHeight="0" orientation="landscape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IX433"/>
  <sheetViews>
    <sheetView topLeftCell="A292" zoomScale="85" zoomScaleNormal="85" workbookViewId="0">
      <pane xSplit="2" topLeftCell="C1" activePane="topRight" state="frozen"/>
      <selection pane="topRight" activeCell="F314" sqref="F314"/>
    </sheetView>
  </sheetViews>
  <sheetFormatPr baseColWidth="10" defaultRowHeight="15"/>
  <cols>
    <col min="1" max="1" width="11.42578125" style="1" customWidth="1"/>
    <col min="2" max="2" width="29.140625" bestFit="1" customWidth="1"/>
    <col min="3" max="3" width="13.42578125" style="1" customWidth="1"/>
    <col min="4" max="4" width="11.42578125" style="1"/>
    <col min="5" max="5" width="9.28515625" customWidth="1"/>
    <col min="6" max="6" width="44.7109375" customWidth="1"/>
    <col min="7" max="7" width="12.28515625" style="1" customWidth="1"/>
    <col min="8" max="8" width="27.85546875" style="1" customWidth="1"/>
    <col min="9" max="9" width="15.42578125" style="8" customWidth="1"/>
    <col min="10" max="10" width="38.7109375" style="8" customWidth="1"/>
    <col min="11" max="11" width="13.42578125" customWidth="1"/>
    <col min="12" max="12" width="14.85546875" customWidth="1"/>
    <col min="13" max="13" width="31.7109375" bestFit="1" customWidth="1"/>
    <col min="14" max="14" width="23.140625" bestFit="1" customWidth="1"/>
    <col min="15" max="15" width="77.140625" customWidth="1"/>
    <col min="16" max="16" width="98.140625" style="187" bestFit="1" customWidth="1"/>
    <col min="17" max="17" width="10.42578125" style="1" customWidth="1"/>
    <col min="18" max="18" width="6.7109375" style="90" bestFit="1" customWidth="1"/>
    <col min="19" max="19" width="13.140625" style="90" customWidth="1"/>
    <col min="20" max="20" width="15.85546875" bestFit="1" customWidth="1"/>
    <col min="21" max="21" width="10.7109375" bestFit="1" customWidth="1"/>
    <col min="22" max="22" width="11.42578125" style="1"/>
    <col min="23" max="23" width="20.28515625" style="1" customWidth="1"/>
    <col min="24" max="24" width="11.42578125" style="1"/>
    <col min="25" max="25" width="12.85546875" style="1" customWidth="1"/>
    <col min="26" max="26" width="34" style="61" customWidth="1"/>
    <col min="27" max="27" width="31.5703125" bestFit="1" customWidth="1"/>
    <col min="28" max="28" width="11.5703125" bestFit="1" customWidth="1"/>
    <col min="29" max="29" width="20.28515625" customWidth="1"/>
    <col min="31" max="31" width="24.85546875" customWidth="1"/>
    <col min="32" max="32" width="24.85546875" hidden="1" customWidth="1"/>
    <col min="33" max="33" width="13.5703125" hidden="1" customWidth="1"/>
    <col min="34" max="34" width="20.28515625" customWidth="1"/>
    <col min="35" max="35" width="13.140625" style="1" customWidth="1"/>
    <col min="36" max="36" width="14.85546875" customWidth="1"/>
    <col min="37" max="37" width="14.28515625" customWidth="1"/>
    <col min="38" max="38" width="13.42578125" style="8" customWidth="1"/>
    <col min="40" max="40" width="19.42578125" bestFit="1" customWidth="1"/>
    <col min="41" max="41" width="5.85546875" bestFit="1" customWidth="1"/>
    <col min="45" max="45" width="23.140625" style="1" bestFit="1" customWidth="1"/>
  </cols>
  <sheetData>
    <row r="1" spans="1:139" ht="75">
      <c r="A1" s="318" t="s">
        <v>7772</v>
      </c>
      <c r="B1" s="319" t="s">
        <v>0</v>
      </c>
      <c r="C1" s="320" t="s">
        <v>1</v>
      </c>
      <c r="D1" s="321" t="s">
        <v>2</v>
      </c>
      <c r="E1" s="321" t="s">
        <v>7923</v>
      </c>
      <c r="F1" s="322" t="s">
        <v>3</v>
      </c>
      <c r="G1" s="322" t="s">
        <v>4</v>
      </c>
      <c r="H1" s="323" t="s">
        <v>5</v>
      </c>
      <c r="I1" s="321" t="s">
        <v>6</v>
      </c>
      <c r="J1" s="321" t="s">
        <v>7</v>
      </c>
      <c r="K1" s="321" t="s">
        <v>8</v>
      </c>
      <c r="L1" s="324" t="s">
        <v>9</v>
      </c>
      <c r="M1" s="325" t="s">
        <v>10</v>
      </c>
      <c r="N1" s="321" t="s">
        <v>11</v>
      </c>
      <c r="O1" s="326" t="s">
        <v>7927</v>
      </c>
      <c r="P1" s="326" t="s">
        <v>12</v>
      </c>
      <c r="Q1" s="327" t="s">
        <v>13</v>
      </c>
      <c r="R1" s="321" t="s">
        <v>14</v>
      </c>
      <c r="S1" s="328" t="s">
        <v>15</v>
      </c>
      <c r="T1" s="329" t="s">
        <v>16</v>
      </c>
      <c r="U1" s="321" t="s">
        <v>17</v>
      </c>
      <c r="V1" s="330" t="s">
        <v>18</v>
      </c>
      <c r="W1" s="331" t="s">
        <v>19</v>
      </c>
      <c r="X1" s="332" t="s">
        <v>20</v>
      </c>
      <c r="Y1" s="333" t="s">
        <v>21</v>
      </c>
      <c r="Z1" s="320" t="s">
        <v>7773</v>
      </c>
      <c r="AA1" s="334" t="s">
        <v>22</v>
      </c>
      <c r="AB1" s="335" t="s">
        <v>1338</v>
      </c>
      <c r="AC1" s="331" t="s">
        <v>3362</v>
      </c>
      <c r="AD1" s="335" t="s">
        <v>1490</v>
      </c>
      <c r="AE1" s="331" t="s">
        <v>153</v>
      </c>
      <c r="AF1" s="331" t="s">
        <v>218</v>
      </c>
      <c r="AG1" s="336" t="s">
        <v>3382</v>
      </c>
      <c r="AH1" s="331" t="s">
        <v>1359</v>
      </c>
      <c r="AI1" s="331" t="s">
        <v>25</v>
      </c>
      <c r="AJ1" s="333" t="s">
        <v>26</v>
      </c>
      <c r="AK1" s="333" t="s">
        <v>27</v>
      </c>
      <c r="AL1" s="333" t="s">
        <v>28</v>
      </c>
      <c r="AM1" s="333" t="s">
        <v>29</v>
      </c>
      <c r="AN1" s="28" t="s">
        <v>31</v>
      </c>
      <c r="AO1" s="25" t="s">
        <v>32</v>
      </c>
      <c r="AS1"/>
      <c r="AT1" s="1"/>
    </row>
    <row r="2" spans="1:139">
      <c r="A2" s="1">
        <v>1</v>
      </c>
      <c r="B2" t="s">
        <v>40</v>
      </c>
      <c r="C2" s="2">
        <v>44566</v>
      </c>
      <c r="D2" s="1" t="s">
        <v>2423</v>
      </c>
      <c r="E2" s="1"/>
      <c r="F2" t="s">
        <v>2424</v>
      </c>
      <c r="G2" s="61" t="s">
        <v>6342</v>
      </c>
      <c r="H2" s="6" t="s">
        <v>221</v>
      </c>
      <c r="I2" s="1" t="s">
        <v>34</v>
      </c>
      <c r="J2" s="295">
        <v>647354016</v>
      </c>
      <c r="K2" s="8"/>
      <c r="L2" t="s">
        <v>2423</v>
      </c>
      <c r="M2" s="3">
        <v>44592</v>
      </c>
      <c r="N2" s="1" t="s">
        <v>35</v>
      </c>
      <c r="O2" s="1" t="s">
        <v>7925</v>
      </c>
      <c r="P2" s="14" t="s">
        <v>6343</v>
      </c>
      <c r="Q2" s="187">
        <v>125</v>
      </c>
      <c r="R2" s="1">
        <v>1</v>
      </c>
      <c r="S2" s="90">
        <v>0.21</v>
      </c>
      <c r="T2" s="90">
        <v>0.2</v>
      </c>
      <c r="V2" s="95">
        <f t="shared" ref="V2:V33" si="0">SUM(Q2-(Q2*T2))*S2+(Q2-(Q2*T2))</f>
        <v>121</v>
      </c>
      <c r="W2" t="s">
        <v>6544</v>
      </c>
      <c r="X2" s="6" t="s">
        <v>6545</v>
      </c>
      <c r="Y2" s="2">
        <v>31481</v>
      </c>
      <c r="Z2" s="2">
        <v>44566</v>
      </c>
      <c r="AA2" s="284" t="s">
        <v>6940</v>
      </c>
      <c r="AB2" s="3">
        <v>44704</v>
      </c>
      <c r="AC2" s="80" t="s">
        <v>1339</v>
      </c>
      <c r="AF2" t="s">
        <v>3198</v>
      </c>
      <c r="AI2" t="s">
        <v>3108</v>
      </c>
      <c r="AJ2" s="2">
        <v>44628</v>
      </c>
      <c r="AK2" s="146" t="s">
        <v>6617</v>
      </c>
      <c r="AL2" s="162">
        <v>44673</v>
      </c>
      <c r="AM2" s="74">
        <v>44634</v>
      </c>
      <c r="AS2"/>
      <c r="AT2" s="1"/>
    </row>
    <row r="3" spans="1:139">
      <c r="A3" s="1">
        <v>2</v>
      </c>
      <c r="B3" t="s">
        <v>37</v>
      </c>
      <c r="C3" s="2">
        <v>44566</v>
      </c>
      <c r="D3" t="s">
        <v>6547</v>
      </c>
      <c r="F3" t="s">
        <v>6344</v>
      </c>
      <c r="G3" t="s">
        <v>6345</v>
      </c>
      <c r="H3" s="6" t="s">
        <v>245</v>
      </c>
      <c r="I3" s="1" t="s">
        <v>54</v>
      </c>
      <c r="K3" s="8"/>
      <c r="L3" t="s">
        <v>6547</v>
      </c>
      <c r="M3" s="3">
        <v>44592</v>
      </c>
      <c r="N3" s="1" t="s">
        <v>35</v>
      </c>
      <c r="O3" s="1" t="s">
        <v>7925</v>
      </c>
      <c r="P3" s="14" t="s">
        <v>6346</v>
      </c>
      <c r="Q3" s="187">
        <v>125</v>
      </c>
      <c r="R3" s="1">
        <v>1</v>
      </c>
      <c r="S3" s="128">
        <v>0.21</v>
      </c>
      <c r="T3" s="128">
        <v>0</v>
      </c>
      <c r="V3" s="95">
        <f t="shared" si="0"/>
        <v>151.25</v>
      </c>
      <c r="W3" t="s">
        <v>6547</v>
      </c>
      <c r="X3" s="6" t="s">
        <v>6546</v>
      </c>
      <c r="Y3" s="2">
        <v>28814</v>
      </c>
      <c r="Z3" s="3">
        <v>44566</v>
      </c>
      <c r="AA3" s="285" t="s">
        <v>7272</v>
      </c>
      <c r="AB3" s="3">
        <v>44741</v>
      </c>
      <c r="AC3" s="80" t="s">
        <v>1339</v>
      </c>
      <c r="AE3" s="280">
        <v>44719</v>
      </c>
      <c r="AF3" t="s">
        <v>3198</v>
      </c>
      <c r="AI3" t="s">
        <v>6347</v>
      </c>
      <c r="AJ3" s="2">
        <v>44628</v>
      </c>
      <c r="AK3" s="76" t="s">
        <v>6617</v>
      </c>
      <c r="AL3"/>
      <c r="AM3" s="74">
        <v>44629</v>
      </c>
      <c r="AS3"/>
      <c r="AT3" s="1" t="s">
        <v>7938</v>
      </c>
    </row>
    <row r="4" spans="1:139">
      <c r="A4" s="1">
        <v>3</v>
      </c>
      <c r="B4" t="s">
        <v>37</v>
      </c>
      <c r="C4" s="2">
        <v>44568</v>
      </c>
      <c r="D4" s="1" t="s">
        <v>4923</v>
      </c>
      <c r="E4" s="1"/>
      <c r="F4" t="s">
        <v>4924</v>
      </c>
      <c r="G4" t="s">
        <v>4925</v>
      </c>
      <c r="H4" s="6" t="s">
        <v>221</v>
      </c>
      <c r="I4" s="1" t="s">
        <v>34</v>
      </c>
      <c r="J4" s="8">
        <v>632595852</v>
      </c>
      <c r="K4" s="8"/>
      <c r="L4" t="s">
        <v>4923</v>
      </c>
      <c r="M4" s="3">
        <v>44592</v>
      </c>
      <c r="N4" s="1" t="s">
        <v>35</v>
      </c>
      <c r="O4" s="1"/>
      <c r="P4" s="14" t="s">
        <v>4926</v>
      </c>
      <c r="Q4" s="187">
        <v>80</v>
      </c>
      <c r="R4" s="1">
        <v>1</v>
      </c>
      <c r="S4" s="90">
        <v>0.21</v>
      </c>
      <c r="T4" s="90">
        <v>0.2</v>
      </c>
      <c r="V4" s="95">
        <f t="shared" si="0"/>
        <v>77.44</v>
      </c>
      <c r="W4" t="s">
        <v>4933</v>
      </c>
      <c r="X4" s="6" t="s">
        <v>6438</v>
      </c>
      <c r="Y4" s="2">
        <v>35680</v>
      </c>
      <c r="Z4" s="2">
        <v>44568</v>
      </c>
      <c r="AA4" s="284" t="s">
        <v>7419</v>
      </c>
      <c r="AB4" s="3">
        <v>44838</v>
      </c>
      <c r="AC4" s="80" t="s">
        <v>1339</v>
      </c>
      <c r="AE4" s="162">
        <v>44711</v>
      </c>
      <c r="AF4" t="s">
        <v>3198</v>
      </c>
      <c r="AI4"/>
      <c r="AJ4" s="1"/>
      <c r="AL4"/>
      <c r="AM4" s="8"/>
      <c r="AS4"/>
      <c r="AT4" s="1" t="s">
        <v>7925</v>
      </c>
    </row>
    <row r="5" spans="1:139">
      <c r="A5" s="1">
        <v>4</v>
      </c>
      <c r="B5" t="s">
        <v>37</v>
      </c>
      <c r="C5" s="2">
        <v>44572</v>
      </c>
      <c r="D5" s="1" t="s">
        <v>5115</v>
      </c>
      <c r="E5" s="1"/>
      <c r="F5" t="s">
        <v>5116</v>
      </c>
      <c r="G5" s="61" t="s">
        <v>5117</v>
      </c>
      <c r="H5" s="6" t="s">
        <v>1257</v>
      </c>
      <c r="I5" s="1" t="s">
        <v>1266</v>
      </c>
      <c r="J5" s="8">
        <v>652280489</v>
      </c>
      <c r="K5" s="8"/>
      <c r="L5" t="s">
        <v>5115</v>
      </c>
      <c r="M5" s="3">
        <v>44592</v>
      </c>
      <c r="N5" s="1" t="s">
        <v>35</v>
      </c>
      <c r="O5" s="1"/>
      <c r="P5" s="14" t="s">
        <v>6354</v>
      </c>
      <c r="Q5" s="187">
        <v>125</v>
      </c>
      <c r="R5" s="1">
        <v>1</v>
      </c>
      <c r="S5" s="90">
        <v>0.21</v>
      </c>
      <c r="T5" s="90">
        <v>0.2</v>
      </c>
      <c r="V5" s="95">
        <f t="shared" si="0"/>
        <v>121</v>
      </c>
      <c r="W5" t="s">
        <v>6498</v>
      </c>
      <c r="X5" s="6" t="s">
        <v>6499</v>
      </c>
      <c r="Y5" s="2">
        <v>44442</v>
      </c>
      <c r="Z5" s="2">
        <v>44572</v>
      </c>
      <c r="AA5" s="286" t="s">
        <v>6928</v>
      </c>
      <c r="AB5" s="3">
        <v>44701</v>
      </c>
      <c r="AC5" s="80" t="s">
        <v>1339</v>
      </c>
      <c r="AE5" s="263">
        <v>44651</v>
      </c>
      <c r="AF5" t="s">
        <v>3198</v>
      </c>
      <c r="AI5" t="s">
        <v>6264</v>
      </c>
      <c r="AJ5" s="2">
        <v>44615</v>
      </c>
      <c r="AL5"/>
      <c r="AM5" s="74">
        <v>44616</v>
      </c>
      <c r="AS5"/>
      <c r="AT5" s="1" t="s">
        <v>7928</v>
      </c>
    </row>
    <row r="6" spans="1:139">
      <c r="A6" s="1">
        <v>5</v>
      </c>
      <c r="B6" s="61" t="s">
        <v>3526</v>
      </c>
      <c r="C6" s="2">
        <v>44573</v>
      </c>
      <c r="D6" s="1" t="s">
        <v>5982</v>
      </c>
      <c r="E6" s="1"/>
      <c r="F6" t="s">
        <v>5983</v>
      </c>
      <c r="G6" s="61" t="s">
        <v>5984</v>
      </c>
      <c r="H6" s="6" t="s">
        <v>294</v>
      </c>
      <c r="I6" s="1" t="s">
        <v>103</v>
      </c>
      <c r="J6" s="8">
        <v>649440825</v>
      </c>
      <c r="K6" s="8" t="s">
        <v>5969</v>
      </c>
      <c r="L6" t="s">
        <v>5982</v>
      </c>
      <c r="M6" s="3">
        <v>44592</v>
      </c>
      <c r="N6" s="1" t="s">
        <v>35</v>
      </c>
      <c r="O6" s="1"/>
      <c r="P6" s="14" t="s">
        <v>6358</v>
      </c>
      <c r="Q6" s="187">
        <v>100</v>
      </c>
      <c r="R6" s="1">
        <v>1</v>
      </c>
      <c r="S6" s="90">
        <v>0.21</v>
      </c>
      <c r="T6" s="90">
        <v>0</v>
      </c>
      <c r="V6" s="95">
        <f t="shared" si="0"/>
        <v>121</v>
      </c>
      <c r="W6" t="s">
        <v>6096</v>
      </c>
      <c r="X6" s="6" t="s">
        <v>6097</v>
      </c>
      <c r="Y6" s="2">
        <v>37594</v>
      </c>
      <c r="Z6" s="2">
        <v>44573</v>
      </c>
      <c r="AA6" s="284" t="s">
        <v>1326</v>
      </c>
      <c r="AF6" t="s">
        <v>3198</v>
      </c>
      <c r="AI6"/>
      <c r="AJ6" s="2"/>
      <c r="AL6"/>
      <c r="AM6" s="74"/>
      <c r="AS6"/>
      <c r="AT6" s="1" t="s">
        <v>7929</v>
      </c>
    </row>
    <row r="7" spans="1:139">
      <c r="A7" s="1">
        <v>6</v>
      </c>
      <c r="B7" t="s">
        <v>4321</v>
      </c>
      <c r="C7" s="2">
        <v>44573</v>
      </c>
      <c r="D7" s="1" t="s">
        <v>772</v>
      </c>
      <c r="E7" s="1"/>
      <c r="F7" s="14" t="s">
        <v>773</v>
      </c>
      <c r="G7" t="s">
        <v>1872</v>
      </c>
      <c r="H7" s="6" t="s">
        <v>239</v>
      </c>
      <c r="I7" s="1" t="s">
        <v>2585</v>
      </c>
      <c r="J7" s="8">
        <v>629246817</v>
      </c>
      <c r="K7" s="8"/>
      <c r="L7" t="s">
        <v>772</v>
      </c>
      <c r="M7" s="3">
        <v>44592</v>
      </c>
      <c r="N7" s="1" t="s">
        <v>35</v>
      </c>
      <c r="O7" s="1"/>
      <c r="P7" s="14" t="s">
        <v>6368</v>
      </c>
      <c r="Q7" s="92">
        <v>125</v>
      </c>
      <c r="R7" s="1">
        <v>1</v>
      </c>
      <c r="S7" s="90">
        <v>0.21</v>
      </c>
      <c r="T7" s="90">
        <v>0.2</v>
      </c>
      <c r="U7" s="1"/>
      <c r="V7" s="95">
        <f t="shared" si="0"/>
        <v>121</v>
      </c>
      <c r="W7" t="s">
        <v>6561</v>
      </c>
      <c r="X7" s="6" t="s">
        <v>6560</v>
      </c>
      <c r="Y7" s="2">
        <v>29447</v>
      </c>
      <c r="Z7" s="2">
        <v>44573</v>
      </c>
      <c r="AA7" s="284" t="s">
        <v>7024</v>
      </c>
      <c r="AB7" s="3">
        <v>44720</v>
      </c>
      <c r="AC7" s="80" t="s">
        <v>1339</v>
      </c>
      <c r="AF7" t="s">
        <v>3198</v>
      </c>
      <c r="AI7" t="s">
        <v>6361</v>
      </c>
      <c r="AJ7" s="2">
        <v>44630</v>
      </c>
      <c r="AK7" s="146" t="s">
        <v>6617</v>
      </c>
      <c r="AL7" s="162">
        <v>44678</v>
      </c>
      <c r="AM7" s="74">
        <v>44655</v>
      </c>
      <c r="AS7"/>
      <c r="AT7" s="1" t="s">
        <v>7926</v>
      </c>
    </row>
    <row r="8" spans="1:139">
      <c r="A8" s="1">
        <v>7</v>
      </c>
      <c r="B8" t="s">
        <v>3526</v>
      </c>
      <c r="C8" s="2">
        <v>44574</v>
      </c>
      <c r="D8" s="1" t="s">
        <v>6365</v>
      </c>
      <c r="E8" s="1"/>
      <c r="F8" s="61" t="s">
        <v>6366</v>
      </c>
      <c r="G8" t="s">
        <v>3231</v>
      </c>
      <c r="H8" s="6" t="s">
        <v>270</v>
      </c>
      <c r="I8" s="1" t="s">
        <v>3681</v>
      </c>
      <c r="J8" s="8">
        <v>649920354</v>
      </c>
      <c r="K8" s="302" t="s">
        <v>5908</v>
      </c>
      <c r="L8" t="s">
        <v>6365</v>
      </c>
      <c r="M8" s="3">
        <v>44592</v>
      </c>
      <c r="N8" s="1" t="s">
        <v>35</v>
      </c>
      <c r="O8" s="1"/>
      <c r="P8" s="14" t="s">
        <v>6369</v>
      </c>
      <c r="Q8" s="187">
        <v>125</v>
      </c>
      <c r="R8" s="1">
        <v>1</v>
      </c>
      <c r="S8" s="128">
        <v>0.21</v>
      </c>
      <c r="T8" s="128">
        <v>0.2</v>
      </c>
      <c r="V8" s="95">
        <f t="shared" si="0"/>
        <v>121</v>
      </c>
      <c r="W8" t="s">
        <v>6479</v>
      </c>
      <c r="X8" s="6" t="s">
        <v>6478</v>
      </c>
      <c r="Y8" s="2">
        <v>30915</v>
      </c>
      <c r="Z8" s="2">
        <v>44574</v>
      </c>
      <c r="AA8" s="284" t="s">
        <v>6731</v>
      </c>
      <c r="AB8" s="3">
        <v>44655</v>
      </c>
      <c r="AC8" s="80" t="s">
        <v>1339</v>
      </c>
      <c r="AE8" s="3"/>
      <c r="AF8" t="s">
        <v>3198</v>
      </c>
      <c r="AI8" t="s">
        <v>6584</v>
      </c>
      <c r="AJ8" s="2">
        <v>44614</v>
      </c>
      <c r="AK8" s="3">
        <v>44631</v>
      </c>
      <c r="AL8"/>
      <c r="AM8" s="74">
        <v>44635</v>
      </c>
      <c r="AS8"/>
      <c r="AT8" s="1" t="s">
        <v>7934</v>
      </c>
    </row>
    <row r="9" spans="1:139">
      <c r="A9" s="1">
        <v>8</v>
      </c>
      <c r="B9" t="s">
        <v>37</v>
      </c>
      <c r="C9" s="2">
        <v>44580</v>
      </c>
      <c r="D9" s="1" t="s">
        <v>6378</v>
      </c>
      <c r="E9" s="1"/>
      <c r="F9" s="61" t="s">
        <v>6379</v>
      </c>
      <c r="G9" s="61" t="s">
        <v>6380</v>
      </c>
      <c r="H9" s="6" t="s">
        <v>239</v>
      </c>
      <c r="I9" s="1" t="s">
        <v>2585</v>
      </c>
      <c r="J9" s="8">
        <v>642265407</v>
      </c>
      <c r="K9" s="8"/>
      <c r="L9" t="s">
        <v>6378</v>
      </c>
      <c r="M9" s="3">
        <v>44592</v>
      </c>
      <c r="N9" s="1" t="s">
        <v>35</v>
      </c>
      <c r="O9" s="1"/>
      <c r="P9" t="s">
        <v>6383</v>
      </c>
      <c r="Q9" s="187">
        <v>87.5</v>
      </c>
      <c r="R9" s="1">
        <v>1</v>
      </c>
      <c r="S9" s="128">
        <v>0.21</v>
      </c>
      <c r="T9" s="128">
        <v>0.2</v>
      </c>
      <c r="U9" s="246" t="s">
        <v>4073</v>
      </c>
      <c r="V9" s="95">
        <f t="shared" si="0"/>
        <v>84.7</v>
      </c>
      <c r="W9"/>
      <c r="X9" s="6"/>
      <c r="Y9" s="2"/>
      <c r="Z9" s="2"/>
      <c r="AA9" s="284" t="s">
        <v>1326</v>
      </c>
      <c r="AB9" s="3"/>
      <c r="AC9" s="80"/>
      <c r="AI9"/>
      <c r="AJ9" s="2"/>
      <c r="AL9"/>
      <c r="AM9" s="74"/>
      <c r="AS9"/>
      <c r="AT9" s="1" t="s">
        <v>7935</v>
      </c>
    </row>
    <row r="10" spans="1:139">
      <c r="A10" s="1">
        <v>9</v>
      </c>
      <c r="B10" t="s">
        <v>37</v>
      </c>
      <c r="C10" s="2">
        <v>44580</v>
      </c>
      <c r="D10" s="1" t="s">
        <v>6378</v>
      </c>
      <c r="E10" s="1"/>
      <c r="F10" s="61" t="s">
        <v>6379</v>
      </c>
      <c r="G10" s="61" t="s">
        <v>6380</v>
      </c>
      <c r="H10" s="6" t="s">
        <v>239</v>
      </c>
      <c r="I10" s="1" t="s">
        <v>2585</v>
      </c>
      <c r="J10" s="8">
        <v>642265407</v>
      </c>
      <c r="K10" s="8"/>
      <c r="L10" t="s">
        <v>6378</v>
      </c>
      <c r="M10" s="3">
        <v>44592</v>
      </c>
      <c r="N10" s="1" t="s">
        <v>35</v>
      </c>
      <c r="O10" s="1"/>
      <c r="P10" t="s">
        <v>6381</v>
      </c>
      <c r="Q10" s="187">
        <v>87.5</v>
      </c>
      <c r="R10" s="1">
        <v>1</v>
      </c>
      <c r="S10" s="128">
        <v>0.21</v>
      </c>
      <c r="T10" s="128">
        <v>0.2</v>
      </c>
      <c r="U10" s="246" t="s">
        <v>4073</v>
      </c>
      <c r="V10" s="95">
        <f t="shared" si="0"/>
        <v>84.7</v>
      </c>
      <c r="W10"/>
      <c r="X10" s="6"/>
      <c r="Y10" s="2"/>
      <c r="Z10" s="2"/>
      <c r="AA10" s="284" t="s">
        <v>1326</v>
      </c>
      <c r="AB10" s="3"/>
      <c r="AC10" s="80"/>
      <c r="AI10"/>
      <c r="AJ10" s="2"/>
      <c r="AL10"/>
      <c r="AM10" s="74"/>
      <c r="AS10"/>
      <c r="AT10" s="1" t="s">
        <v>7931</v>
      </c>
    </row>
    <row r="11" spans="1:139">
      <c r="A11" s="1">
        <v>10</v>
      </c>
      <c r="B11" t="s">
        <v>37</v>
      </c>
      <c r="C11" s="2">
        <v>44580</v>
      </c>
      <c r="D11" s="1" t="s">
        <v>6378</v>
      </c>
      <c r="E11" s="1"/>
      <c r="F11" s="61" t="s">
        <v>6379</v>
      </c>
      <c r="G11" s="61" t="s">
        <v>6380</v>
      </c>
      <c r="H11" s="6" t="s">
        <v>239</v>
      </c>
      <c r="I11" s="1" t="s">
        <v>2585</v>
      </c>
      <c r="J11" s="8">
        <v>642265407</v>
      </c>
      <c r="K11" s="8"/>
      <c r="L11" t="s">
        <v>6378</v>
      </c>
      <c r="M11" s="3">
        <v>44592</v>
      </c>
      <c r="N11" s="1" t="s">
        <v>35</v>
      </c>
      <c r="O11" s="1"/>
      <c r="P11" t="s">
        <v>6382</v>
      </c>
      <c r="Q11" s="187">
        <v>87.5</v>
      </c>
      <c r="R11" s="1">
        <v>1</v>
      </c>
      <c r="S11" s="128">
        <v>0.21</v>
      </c>
      <c r="T11" s="128">
        <v>0.2</v>
      </c>
      <c r="U11" s="246" t="s">
        <v>4073</v>
      </c>
      <c r="V11" s="95">
        <f t="shared" si="0"/>
        <v>84.7</v>
      </c>
      <c r="W11"/>
      <c r="X11" s="6"/>
      <c r="Y11" s="2"/>
      <c r="Z11" s="2"/>
      <c r="AA11" s="284" t="s">
        <v>1326</v>
      </c>
      <c r="AB11" s="3"/>
      <c r="AC11" s="80"/>
      <c r="AI11"/>
      <c r="AJ11" s="2"/>
      <c r="AL11"/>
      <c r="AM11" s="74"/>
      <c r="AS11"/>
      <c r="AT11" s="1" t="s">
        <v>7930</v>
      </c>
    </row>
    <row r="12" spans="1:139">
      <c r="A12" s="1">
        <v>11</v>
      </c>
      <c r="B12" s="61" t="s">
        <v>1511</v>
      </c>
      <c r="C12" s="2">
        <v>44581</v>
      </c>
      <c r="D12" s="1" t="s">
        <v>4420</v>
      </c>
      <c r="E12" s="1"/>
      <c r="F12" s="61" t="s">
        <v>4421</v>
      </c>
      <c r="G12" s="61" t="s">
        <v>4422</v>
      </c>
      <c r="H12" s="6" t="s">
        <v>250</v>
      </c>
      <c r="I12" s="1" t="s">
        <v>86</v>
      </c>
      <c r="J12" s="8" t="s">
        <v>4423</v>
      </c>
      <c r="K12" s="8"/>
      <c r="L12" t="s">
        <v>4420</v>
      </c>
      <c r="M12" s="3">
        <v>44592</v>
      </c>
      <c r="N12" s="1" t="s">
        <v>35</v>
      </c>
      <c r="O12" s="1"/>
      <c r="P12" s="14" t="s">
        <v>6384</v>
      </c>
      <c r="Q12" s="163">
        <v>75</v>
      </c>
      <c r="R12" s="1">
        <v>1</v>
      </c>
      <c r="S12" s="90">
        <v>0.21</v>
      </c>
      <c r="T12" s="90">
        <v>0</v>
      </c>
      <c r="U12" s="72"/>
      <c r="V12" s="95">
        <f t="shared" si="0"/>
        <v>90.75</v>
      </c>
      <c r="W12" t="s">
        <v>4420</v>
      </c>
      <c r="X12" s="161" t="s">
        <v>6385</v>
      </c>
      <c r="Y12" s="2">
        <v>34700</v>
      </c>
      <c r="Z12" s="2">
        <v>44581</v>
      </c>
      <c r="AA12" s="284" t="s">
        <v>6653</v>
      </c>
      <c r="AB12" s="3">
        <v>44643</v>
      </c>
      <c r="AC12" s="80" t="s">
        <v>1339</v>
      </c>
      <c r="AF12" t="s">
        <v>3198</v>
      </c>
      <c r="AJ12" s="2"/>
      <c r="AK12" s="1"/>
      <c r="AL12"/>
      <c r="AM12" s="74"/>
      <c r="AS12"/>
      <c r="AT12" s="1" t="s">
        <v>7937</v>
      </c>
    </row>
    <row r="13" spans="1:139">
      <c r="A13" s="1">
        <v>12</v>
      </c>
      <c r="B13" t="s">
        <v>52</v>
      </c>
      <c r="C13" s="2">
        <v>44581</v>
      </c>
      <c r="D13" s="1" t="s">
        <v>256</v>
      </c>
      <c r="E13" s="1"/>
      <c r="F13" s="31" t="s">
        <v>155</v>
      </c>
      <c r="G13" s="31" t="s">
        <v>138</v>
      </c>
      <c r="H13" s="33" t="s">
        <v>227</v>
      </c>
      <c r="I13" s="30" t="s">
        <v>203</v>
      </c>
      <c r="J13" s="44">
        <v>631130911</v>
      </c>
      <c r="K13" s="44" t="s">
        <v>5906</v>
      </c>
      <c r="L13" t="s">
        <v>4432</v>
      </c>
      <c r="M13" s="3">
        <v>44592</v>
      </c>
      <c r="N13" s="1" t="s">
        <v>35</v>
      </c>
      <c r="O13" s="1"/>
      <c r="P13" s="14" t="s">
        <v>6391</v>
      </c>
      <c r="Q13" s="187">
        <v>125</v>
      </c>
      <c r="R13" s="1">
        <v>1</v>
      </c>
      <c r="S13" s="90">
        <v>0.21</v>
      </c>
      <c r="T13" s="90">
        <v>0.2</v>
      </c>
      <c r="V13" s="95">
        <f t="shared" si="0"/>
        <v>121</v>
      </c>
      <c r="W13" t="s">
        <v>6541</v>
      </c>
      <c r="X13" s="6" t="s">
        <v>6540</v>
      </c>
      <c r="Y13" s="2">
        <v>33793</v>
      </c>
      <c r="Z13" s="2">
        <v>44581</v>
      </c>
      <c r="AA13" s="284" t="s">
        <v>7023</v>
      </c>
      <c r="AB13" s="3">
        <v>44720</v>
      </c>
      <c r="AC13" s="80" t="s">
        <v>1339</v>
      </c>
      <c r="AF13" t="s">
        <v>3198</v>
      </c>
      <c r="AI13" t="s">
        <v>6386</v>
      </c>
      <c r="AJ13" s="2">
        <v>44628</v>
      </c>
      <c r="AK13" s="146" t="s">
        <v>6617</v>
      </c>
      <c r="AL13" s="162">
        <v>44664</v>
      </c>
      <c r="AM13" s="74">
        <v>44634</v>
      </c>
      <c r="AS13"/>
      <c r="AT13" s="1" t="s">
        <v>7936</v>
      </c>
    </row>
    <row r="14" spans="1:139">
      <c r="A14" s="1">
        <v>13</v>
      </c>
      <c r="B14" t="s">
        <v>7822</v>
      </c>
      <c r="C14" s="2">
        <v>44581</v>
      </c>
      <c r="D14" s="1" t="s">
        <v>6387</v>
      </c>
      <c r="E14" s="1"/>
      <c r="F14" s="61" t="s">
        <v>6388</v>
      </c>
      <c r="G14" s="61" t="s">
        <v>6389</v>
      </c>
      <c r="H14" s="6" t="s">
        <v>1229</v>
      </c>
      <c r="I14" s="1" t="s">
        <v>38</v>
      </c>
      <c r="J14" s="8">
        <v>619314036</v>
      </c>
      <c r="K14" s="8" t="s">
        <v>6390</v>
      </c>
      <c r="L14" t="s">
        <v>6387</v>
      </c>
      <c r="M14" s="3">
        <v>44592</v>
      </c>
      <c r="N14" s="1" t="s">
        <v>35</v>
      </c>
      <c r="O14" s="1"/>
      <c r="P14" s="14" t="s">
        <v>6392</v>
      </c>
      <c r="Q14" s="187">
        <v>125</v>
      </c>
      <c r="R14" s="1">
        <v>1</v>
      </c>
      <c r="S14" s="128">
        <v>0.21</v>
      </c>
      <c r="T14" s="128">
        <v>0.2</v>
      </c>
      <c r="V14" s="95">
        <f t="shared" si="0"/>
        <v>121</v>
      </c>
      <c r="W14" t="s">
        <v>6387</v>
      </c>
      <c r="X14" s="6" t="s">
        <v>6539</v>
      </c>
      <c r="Y14" s="2">
        <v>31270</v>
      </c>
      <c r="Z14" s="2">
        <v>44581</v>
      </c>
      <c r="AA14" s="285" t="s">
        <v>7043</v>
      </c>
      <c r="AB14" s="3">
        <v>44725</v>
      </c>
      <c r="AC14" s="80" t="s">
        <v>1339</v>
      </c>
      <c r="AF14" t="s">
        <v>3198</v>
      </c>
      <c r="AI14" t="s">
        <v>6393</v>
      </c>
      <c r="AJ14" s="2">
        <v>44628</v>
      </c>
      <c r="AL14"/>
      <c r="AM14" s="8"/>
      <c r="AS14"/>
      <c r="AT14" s="1" t="s">
        <v>7933</v>
      </c>
    </row>
    <row r="15" spans="1:139" s="197" customFormat="1">
      <c r="A15" s="1">
        <v>14</v>
      </c>
      <c r="B15" t="s">
        <v>1242</v>
      </c>
      <c r="C15" s="2">
        <v>44582</v>
      </c>
      <c r="D15" s="1" t="s">
        <v>6394</v>
      </c>
      <c r="E15" s="1"/>
      <c r="F15" s="61" t="s">
        <v>6395</v>
      </c>
      <c r="G15" s="61" t="s">
        <v>6396</v>
      </c>
      <c r="H15" s="6" t="s">
        <v>221</v>
      </c>
      <c r="I15" s="1" t="s">
        <v>34</v>
      </c>
      <c r="J15" s="8"/>
      <c r="K15" s="8" t="s">
        <v>5905</v>
      </c>
      <c r="L15" s="31" t="s">
        <v>1250</v>
      </c>
      <c r="M15" s="3">
        <v>44592</v>
      </c>
      <c r="N15" s="1" t="s">
        <v>35</v>
      </c>
      <c r="O15" s="1"/>
      <c r="P15" s="14" t="s">
        <v>6397</v>
      </c>
      <c r="Q15" s="187">
        <v>125</v>
      </c>
      <c r="R15" s="1">
        <v>1</v>
      </c>
      <c r="S15" s="128">
        <v>0.21</v>
      </c>
      <c r="T15" s="128">
        <v>0.2</v>
      </c>
      <c r="U15"/>
      <c r="V15" s="95">
        <f t="shared" si="0"/>
        <v>121</v>
      </c>
      <c r="W15" t="s">
        <v>6543</v>
      </c>
      <c r="X15" s="6" t="s">
        <v>6542</v>
      </c>
      <c r="Y15" s="2">
        <v>36137</v>
      </c>
      <c r="Z15" s="2">
        <v>44582</v>
      </c>
      <c r="AA15" s="284" t="s">
        <v>7341</v>
      </c>
      <c r="AB15" s="3">
        <v>44823</v>
      </c>
      <c r="AC15" s="80" t="s">
        <v>1339</v>
      </c>
      <c r="AD15" t="s">
        <v>3402</v>
      </c>
      <c r="AE15" s="162">
        <v>44741</v>
      </c>
      <c r="AF15" t="s">
        <v>3198</v>
      </c>
      <c r="AG15"/>
      <c r="AH15"/>
      <c r="AI15" t="s">
        <v>6554</v>
      </c>
      <c r="AJ15" s="2">
        <v>44628</v>
      </c>
      <c r="AK15" s="146" t="s">
        <v>6617</v>
      </c>
      <c r="AL15" s="162">
        <v>44664</v>
      </c>
      <c r="AM15" s="74">
        <v>44630</v>
      </c>
      <c r="AN15"/>
      <c r="AO15"/>
      <c r="AP15"/>
      <c r="AQ15"/>
      <c r="AR15"/>
      <c r="AS15"/>
      <c r="AT15" s="1" t="s">
        <v>23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</row>
    <row r="16" spans="1:139">
      <c r="A16" s="1">
        <v>15</v>
      </c>
      <c r="B16" t="s">
        <v>3526</v>
      </c>
      <c r="C16" s="2">
        <v>44582</v>
      </c>
      <c r="D16" s="1" t="s">
        <v>6398</v>
      </c>
      <c r="E16" s="1"/>
      <c r="F16" s="61" t="s">
        <v>6399</v>
      </c>
      <c r="G16" s="61" t="s">
        <v>6400</v>
      </c>
      <c r="H16" s="6" t="s">
        <v>2654</v>
      </c>
      <c r="I16" s="1" t="s">
        <v>2359</v>
      </c>
      <c r="J16" s="8">
        <v>625180620</v>
      </c>
      <c r="K16" s="301" t="s">
        <v>6412</v>
      </c>
      <c r="L16" t="s">
        <v>6398</v>
      </c>
      <c r="M16" s="3">
        <v>44592</v>
      </c>
      <c r="N16" s="1" t="s">
        <v>35</v>
      </c>
      <c r="O16" s="1"/>
      <c r="P16" s="14" t="s">
        <v>6401</v>
      </c>
      <c r="Q16" s="187">
        <v>125</v>
      </c>
      <c r="R16" s="1">
        <v>1</v>
      </c>
      <c r="S16" s="128">
        <v>0.21</v>
      </c>
      <c r="T16" s="128">
        <v>0.2</v>
      </c>
      <c r="V16" s="95">
        <f t="shared" si="0"/>
        <v>121</v>
      </c>
      <c r="W16" t="s">
        <v>6551</v>
      </c>
      <c r="X16" s="6" t="s">
        <v>6550</v>
      </c>
      <c r="Y16" s="2">
        <v>35224</v>
      </c>
      <c r="Z16" s="2">
        <v>44582</v>
      </c>
      <c r="AA16" s="284" t="s">
        <v>7254</v>
      </c>
      <c r="AB16" s="3">
        <v>44785</v>
      </c>
      <c r="AC16" s="80" t="s">
        <v>1339</v>
      </c>
      <c r="AD16" t="s">
        <v>3402</v>
      </c>
      <c r="AE16" s="162">
        <v>44706</v>
      </c>
      <c r="AF16" t="s">
        <v>3198</v>
      </c>
      <c r="AI16" t="s">
        <v>3221</v>
      </c>
      <c r="AJ16" s="2">
        <v>44628</v>
      </c>
      <c r="AL16"/>
      <c r="AM16" s="74">
        <v>44636</v>
      </c>
      <c r="AS16"/>
      <c r="AT16" s="1"/>
    </row>
    <row r="17" spans="1:139" s="196" customFormat="1">
      <c r="A17" s="1">
        <v>16</v>
      </c>
      <c r="B17" t="s">
        <v>52</v>
      </c>
      <c r="C17" s="2">
        <v>44582</v>
      </c>
      <c r="D17" s="1" t="s">
        <v>6402</v>
      </c>
      <c r="E17" s="1"/>
      <c r="F17" s="61" t="s">
        <v>6403</v>
      </c>
      <c r="G17" s="61" t="s">
        <v>6404</v>
      </c>
      <c r="H17" s="6" t="s">
        <v>230</v>
      </c>
      <c r="I17" s="1" t="s">
        <v>6405</v>
      </c>
      <c r="J17" s="8"/>
      <c r="K17" s="8" t="s">
        <v>5906</v>
      </c>
      <c r="L17" t="s">
        <v>4432</v>
      </c>
      <c r="M17" s="3">
        <v>44592</v>
      </c>
      <c r="N17" s="1" t="s">
        <v>35</v>
      </c>
      <c r="O17" s="1"/>
      <c r="P17" s="14" t="s">
        <v>6406</v>
      </c>
      <c r="Q17" s="187">
        <v>125</v>
      </c>
      <c r="R17" s="1">
        <v>1</v>
      </c>
      <c r="S17" s="128">
        <v>0.21</v>
      </c>
      <c r="T17" s="128">
        <v>0.2</v>
      </c>
      <c r="U17"/>
      <c r="V17" s="95">
        <f t="shared" si="0"/>
        <v>121</v>
      </c>
      <c r="W17" t="s">
        <v>6555</v>
      </c>
      <c r="X17" s="6" t="s">
        <v>6552</v>
      </c>
      <c r="Y17" s="2">
        <v>37341</v>
      </c>
      <c r="Z17" s="2">
        <v>44582</v>
      </c>
      <c r="AA17" s="284" t="s">
        <v>7423</v>
      </c>
      <c r="AB17" s="3">
        <v>44860</v>
      </c>
      <c r="AC17" s="80" t="s">
        <v>1339</v>
      </c>
      <c r="AD17" t="s">
        <v>3402</v>
      </c>
      <c r="AE17" s="162">
        <v>44706</v>
      </c>
      <c r="AF17" t="s">
        <v>3198</v>
      </c>
      <c r="AG17"/>
      <c r="AH17"/>
      <c r="AI17" t="s">
        <v>6607</v>
      </c>
      <c r="AJ17" s="2">
        <v>44628</v>
      </c>
      <c r="AK17"/>
      <c r="AL17"/>
      <c r="AM17" s="74">
        <v>44648</v>
      </c>
      <c r="AN17"/>
      <c r="AO17"/>
      <c r="AP17"/>
      <c r="AQ17"/>
      <c r="AR17"/>
      <c r="AS17"/>
      <c r="AT17" s="1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</row>
    <row r="18" spans="1:139" s="197" customFormat="1">
      <c r="A18" s="1">
        <v>17</v>
      </c>
      <c r="B18" t="s">
        <v>33</v>
      </c>
      <c r="C18" s="2">
        <v>44587</v>
      </c>
      <c r="D18" s="1" t="s">
        <v>6424</v>
      </c>
      <c r="E18" s="1"/>
      <c r="F18" s="61" t="s">
        <v>6425</v>
      </c>
      <c r="G18" s="61" t="s">
        <v>6426</v>
      </c>
      <c r="H18" s="6" t="s">
        <v>227</v>
      </c>
      <c r="I18" s="1" t="s">
        <v>203</v>
      </c>
      <c r="J18" s="8"/>
      <c r="K18" t="s">
        <v>8186</v>
      </c>
      <c r="L18" t="s">
        <v>237</v>
      </c>
      <c r="M18" s="3">
        <v>44592</v>
      </c>
      <c r="N18" s="1" t="s">
        <v>35</v>
      </c>
      <c r="O18" s="1"/>
      <c r="P18" s="14" t="s">
        <v>6427</v>
      </c>
      <c r="Q18" s="187">
        <v>125</v>
      </c>
      <c r="R18" s="1">
        <v>1</v>
      </c>
      <c r="S18" s="128">
        <v>0.21</v>
      </c>
      <c r="T18" s="128">
        <v>0.2</v>
      </c>
      <c r="U18"/>
      <c r="V18" s="95">
        <f t="shared" si="0"/>
        <v>121</v>
      </c>
      <c r="W18" t="s">
        <v>6563</v>
      </c>
      <c r="X18" s="6" t="s">
        <v>6562</v>
      </c>
      <c r="Y18" s="2">
        <v>29281</v>
      </c>
      <c r="Z18" s="2">
        <v>44587</v>
      </c>
      <c r="AA18" s="284" t="s">
        <v>7038</v>
      </c>
      <c r="AB18" s="3">
        <v>44721</v>
      </c>
      <c r="AC18" s="80" t="s">
        <v>1339</v>
      </c>
      <c r="AD18"/>
      <c r="AE18"/>
      <c r="AF18" t="s">
        <v>3198</v>
      </c>
      <c r="AG18"/>
      <c r="AH18"/>
      <c r="AI18" t="s">
        <v>3108</v>
      </c>
      <c r="AJ18" s="2">
        <v>44630</v>
      </c>
      <c r="AK18" s="146" t="s">
        <v>6617</v>
      </c>
      <c r="AL18" s="162">
        <v>44678</v>
      </c>
      <c r="AM18" s="74">
        <v>44636</v>
      </c>
      <c r="AN18"/>
      <c r="AO18"/>
      <c r="AP18"/>
      <c r="AQ18"/>
      <c r="AR18"/>
      <c r="AS18"/>
      <c r="AT18" s="1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</row>
    <row r="19" spans="1:139">
      <c r="A19" s="1">
        <v>18</v>
      </c>
      <c r="B19" s="61" t="s">
        <v>3526</v>
      </c>
      <c r="C19" s="2">
        <v>44589</v>
      </c>
      <c r="D19" s="1" t="s">
        <v>210</v>
      </c>
      <c r="E19" s="1"/>
      <c r="F19" s="61" t="s">
        <v>211</v>
      </c>
      <c r="G19" s="61" t="s">
        <v>4378</v>
      </c>
      <c r="H19" s="6" t="s">
        <v>294</v>
      </c>
      <c r="I19" s="1" t="s">
        <v>103</v>
      </c>
      <c r="J19" s="8">
        <v>649440826</v>
      </c>
      <c r="K19" s="8" t="s">
        <v>6428</v>
      </c>
      <c r="L19" t="s">
        <v>210</v>
      </c>
      <c r="M19" s="3">
        <v>44592</v>
      </c>
      <c r="N19" s="1" t="s">
        <v>35</v>
      </c>
      <c r="O19" s="1"/>
      <c r="P19" s="14" t="s">
        <v>6429</v>
      </c>
      <c r="Q19" s="163">
        <v>75</v>
      </c>
      <c r="R19" s="1">
        <v>1</v>
      </c>
      <c r="S19" s="90">
        <v>0.21</v>
      </c>
      <c r="T19" s="90">
        <v>0.2</v>
      </c>
      <c r="V19" s="95">
        <f t="shared" si="0"/>
        <v>72.599999999999994</v>
      </c>
      <c r="W19" t="s">
        <v>4380</v>
      </c>
      <c r="X19" s="161" t="s">
        <v>6431</v>
      </c>
      <c r="Y19" s="2">
        <v>34901</v>
      </c>
      <c r="Z19" s="2">
        <v>44589</v>
      </c>
      <c r="AA19" s="284" t="s">
        <v>6663</v>
      </c>
      <c r="AB19" s="3">
        <v>44652</v>
      </c>
      <c r="AC19" s="80" t="s">
        <v>1339</v>
      </c>
      <c r="AF19" t="s">
        <v>3198</v>
      </c>
      <c r="AJ19" s="2"/>
      <c r="AK19" s="1"/>
      <c r="AL19"/>
      <c r="AM19" s="74"/>
      <c r="AS19"/>
      <c r="AT19" s="1"/>
    </row>
    <row r="20" spans="1:139">
      <c r="A20" s="1">
        <v>19</v>
      </c>
      <c r="B20" s="61" t="s">
        <v>3526</v>
      </c>
      <c r="C20" s="2">
        <v>44589</v>
      </c>
      <c r="D20" t="s">
        <v>1073</v>
      </c>
      <c r="F20" t="s">
        <v>81</v>
      </c>
      <c r="G20" t="s">
        <v>4446</v>
      </c>
      <c r="H20" s="6" t="s">
        <v>294</v>
      </c>
      <c r="I20" s="1" t="s">
        <v>103</v>
      </c>
      <c r="J20" s="8">
        <v>649440826</v>
      </c>
      <c r="K20" s="8" t="s">
        <v>6428</v>
      </c>
      <c r="L20" t="s">
        <v>1073</v>
      </c>
      <c r="M20" s="3">
        <v>44592</v>
      </c>
      <c r="N20" s="1" t="s">
        <v>35</v>
      </c>
      <c r="O20" s="1"/>
      <c r="P20" s="14" t="s">
        <v>6430</v>
      </c>
      <c r="Q20" s="163">
        <v>75</v>
      </c>
      <c r="R20" s="1">
        <v>1</v>
      </c>
      <c r="S20" s="90">
        <v>0.21</v>
      </c>
      <c r="T20" s="90">
        <v>0.2</v>
      </c>
      <c r="V20" s="95">
        <f t="shared" si="0"/>
        <v>72.599999999999994</v>
      </c>
      <c r="W20" t="s">
        <v>4448</v>
      </c>
      <c r="X20" s="161" t="s">
        <v>6702</v>
      </c>
      <c r="Y20" s="2">
        <v>35604</v>
      </c>
      <c r="Z20" s="2">
        <v>44589</v>
      </c>
      <c r="AA20" s="284" t="s">
        <v>6663</v>
      </c>
      <c r="AB20" s="3">
        <v>44652</v>
      </c>
      <c r="AC20" s="80" t="s">
        <v>1339</v>
      </c>
      <c r="AF20" t="s">
        <v>3198</v>
      </c>
      <c r="AJ20" s="2"/>
      <c r="AK20" s="1"/>
      <c r="AL20"/>
      <c r="AM20" s="74"/>
      <c r="AS20"/>
      <c r="AT20" s="1"/>
    </row>
    <row r="21" spans="1:139">
      <c r="A21" s="1">
        <v>20</v>
      </c>
      <c r="B21" s="61" t="s">
        <v>52</v>
      </c>
      <c r="C21" s="2">
        <v>44589</v>
      </c>
      <c r="D21" s="1" t="s">
        <v>66</v>
      </c>
      <c r="E21" s="1"/>
      <c r="F21" s="61" t="s">
        <v>65</v>
      </c>
      <c r="G21" s="61" t="s">
        <v>3666</v>
      </c>
      <c r="H21" s="6" t="s">
        <v>230</v>
      </c>
      <c r="I21" s="1" t="s">
        <v>34</v>
      </c>
      <c r="J21" s="8">
        <v>646968420</v>
      </c>
      <c r="K21" s="8" t="s">
        <v>5906</v>
      </c>
      <c r="L21" t="s">
        <v>4432</v>
      </c>
      <c r="M21" s="3">
        <v>44592</v>
      </c>
      <c r="N21" s="1" t="s">
        <v>35</v>
      </c>
      <c r="O21" s="1"/>
      <c r="P21" s="14" t="s">
        <v>6559</v>
      </c>
      <c r="Q21" s="144">
        <v>125</v>
      </c>
      <c r="R21" s="1">
        <v>1</v>
      </c>
      <c r="S21" s="90">
        <v>0.21</v>
      </c>
      <c r="T21" s="90">
        <v>0.2</v>
      </c>
      <c r="U21" s="1"/>
      <c r="V21" s="95">
        <f t="shared" si="0"/>
        <v>121</v>
      </c>
      <c r="W21" t="s">
        <v>6606</v>
      </c>
      <c r="X21" s="6" t="s">
        <v>6605</v>
      </c>
      <c r="Y21" s="2">
        <v>37214</v>
      </c>
      <c r="Z21" s="2">
        <v>44589</v>
      </c>
      <c r="AA21" s="284" t="s">
        <v>6662</v>
      </c>
      <c r="AB21" s="3">
        <v>44652</v>
      </c>
      <c r="AC21" s="80" t="s">
        <v>1339</v>
      </c>
      <c r="AF21" t="s">
        <v>3198</v>
      </c>
      <c r="AI21" t="s">
        <v>3812</v>
      </c>
      <c r="AJ21" s="2">
        <v>44636</v>
      </c>
      <c r="AK21" s="1"/>
      <c r="AL21"/>
      <c r="AM21" s="74">
        <v>44638</v>
      </c>
      <c r="AS21"/>
      <c r="AT21" s="1"/>
    </row>
    <row r="22" spans="1:139">
      <c r="A22" s="1">
        <v>21</v>
      </c>
      <c r="B22" s="61" t="s">
        <v>52</v>
      </c>
      <c r="C22" s="2">
        <v>44593</v>
      </c>
      <c r="D22" s="1" t="s">
        <v>66</v>
      </c>
      <c r="E22" s="1"/>
      <c r="F22" s="61" t="s">
        <v>65</v>
      </c>
      <c r="G22" s="61" t="s">
        <v>3666</v>
      </c>
      <c r="H22" s="6" t="s">
        <v>230</v>
      </c>
      <c r="I22" s="1" t="s">
        <v>34</v>
      </c>
      <c r="J22" s="8">
        <v>646968420</v>
      </c>
      <c r="K22" s="8" t="s">
        <v>5906</v>
      </c>
      <c r="L22" t="s">
        <v>4432</v>
      </c>
      <c r="M22" s="3">
        <v>44592</v>
      </c>
      <c r="N22" s="1" t="s">
        <v>35</v>
      </c>
      <c r="O22" s="1"/>
      <c r="P22" s="14" t="s">
        <v>6432</v>
      </c>
      <c r="Q22" s="144">
        <v>125</v>
      </c>
      <c r="R22" s="1">
        <v>1</v>
      </c>
      <c r="S22" s="90">
        <v>0.21</v>
      </c>
      <c r="T22" s="90">
        <v>0.2</v>
      </c>
      <c r="U22" s="1"/>
      <c r="V22" s="95">
        <f t="shared" si="0"/>
        <v>121</v>
      </c>
      <c r="W22" t="s">
        <v>6548</v>
      </c>
      <c r="X22" s="6" t="s">
        <v>6549</v>
      </c>
      <c r="Y22" s="2">
        <v>33970</v>
      </c>
      <c r="Z22" s="2">
        <v>44593</v>
      </c>
      <c r="AA22" s="284" t="s">
        <v>7044</v>
      </c>
      <c r="AB22" s="3">
        <v>44725</v>
      </c>
      <c r="AC22" s="80" t="s">
        <v>1339</v>
      </c>
      <c r="AF22" t="s">
        <v>3198</v>
      </c>
      <c r="AI22" t="s">
        <v>3812</v>
      </c>
      <c r="AJ22" s="2">
        <v>44628</v>
      </c>
      <c r="AK22" s="1"/>
      <c r="AL22"/>
      <c r="AM22" s="74">
        <v>44636</v>
      </c>
      <c r="AS22"/>
      <c r="AT22" s="1"/>
    </row>
    <row r="23" spans="1:139" s="196" customFormat="1">
      <c r="A23" s="1">
        <v>22</v>
      </c>
      <c r="B23" t="s">
        <v>37</v>
      </c>
      <c r="C23" s="2">
        <v>44595</v>
      </c>
      <c r="D23" s="1" t="s">
        <v>217</v>
      </c>
      <c r="E23" s="1"/>
      <c r="F23" t="s">
        <v>4778</v>
      </c>
      <c r="G23" t="s">
        <v>6433</v>
      </c>
      <c r="H23" s="6" t="s">
        <v>6434</v>
      </c>
      <c r="I23" s="1" t="s">
        <v>6435</v>
      </c>
      <c r="J23" s="8">
        <v>610191552</v>
      </c>
      <c r="K23" s="8"/>
      <c r="L23" t="s">
        <v>217</v>
      </c>
      <c r="M23" s="3">
        <v>44620</v>
      </c>
      <c r="N23" s="1" t="s">
        <v>35</v>
      </c>
      <c r="O23" s="1"/>
      <c r="P23" t="s">
        <v>6436</v>
      </c>
      <c r="Q23" s="187">
        <v>75</v>
      </c>
      <c r="R23" s="1">
        <v>1</v>
      </c>
      <c r="S23" s="128">
        <v>0.21</v>
      </c>
      <c r="T23" s="128">
        <v>0</v>
      </c>
      <c r="U23"/>
      <c r="V23" s="95">
        <f t="shared" si="0"/>
        <v>90.75</v>
      </c>
      <c r="W23" t="s">
        <v>217</v>
      </c>
      <c r="X23" s="6" t="s">
        <v>6437</v>
      </c>
      <c r="Y23" s="2">
        <v>25245</v>
      </c>
      <c r="Z23" s="2">
        <v>44595</v>
      </c>
      <c r="AA23" s="284" t="s">
        <v>6623</v>
      </c>
      <c r="AB23" s="3">
        <v>44641</v>
      </c>
      <c r="AC23" s="80" t="s">
        <v>1339</v>
      </c>
      <c r="AD23"/>
      <c r="AE23"/>
      <c r="AF23" t="s">
        <v>3198</v>
      </c>
      <c r="AG23"/>
      <c r="AH23"/>
      <c r="AI23"/>
      <c r="AJ23" s="2"/>
      <c r="AK23"/>
      <c r="AL23"/>
      <c r="AM23" s="74"/>
      <c r="AN23"/>
      <c r="AO23"/>
      <c r="AP23"/>
      <c r="AQ23"/>
      <c r="AR23"/>
      <c r="AS23"/>
      <c r="AT23" s="1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</row>
    <row r="24" spans="1:139">
      <c r="A24" s="1">
        <v>23</v>
      </c>
      <c r="B24" t="s">
        <v>52</v>
      </c>
      <c r="C24" s="2">
        <v>44596</v>
      </c>
      <c r="D24" s="1" t="s">
        <v>256</v>
      </c>
      <c r="E24" s="1"/>
      <c r="F24" s="31" t="s">
        <v>155</v>
      </c>
      <c r="G24" s="31" t="s">
        <v>138</v>
      </c>
      <c r="H24" s="33" t="s">
        <v>227</v>
      </c>
      <c r="I24" s="30" t="s">
        <v>203</v>
      </c>
      <c r="J24" s="44">
        <v>631130911</v>
      </c>
      <c r="K24" s="44" t="s">
        <v>5906</v>
      </c>
      <c r="L24" t="s">
        <v>4432</v>
      </c>
      <c r="M24" s="3">
        <v>44620</v>
      </c>
      <c r="N24" s="1" t="s">
        <v>35</v>
      </c>
      <c r="O24" s="1"/>
      <c r="P24" s="14" t="s">
        <v>6442</v>
      </c>
      <c r="Q24" s="187">
        <v>41.32</v>
      </c>
      <c r="R24" s="1">
        <v>1</v>
      </c>
      <c r="S24" s="90">
        <v>0.21</v>
      </c>
      <c r="T24" s="90">
        <v>0</v>
      </c>
      <c r="V24" s="95">
        <f t="shared" si="0"/>
        <v>49.997199999999999</v>
      </c>
      <c r="W24" t="s">
        <v>3313</v>
      </c>
      <c r="X24" s="6"/>
      <c r="Y24" s="2"/>
      <c r="Z24" s="2"/>
      <c r="AA24" s="284"/>
      <c r="AF24" t="s">
        <v>3198</v>
      </c>
      <c r="AI24"/>
      <c r="AJ24" s="2"/>
      <c r="AL24"/>
      <c r="AM24" s="74"/>
      <c r="AS24"/>
      <c r="AT24" s="1"/>
    </row>
    <row r="25" spans="1:139">
      <c r="A25" s="1">
        <v>24</v>
      </c>
      <c r="B25" t="s">
        <v>33</v>
      </c>
      <c r="C25" s="2">
        <v>44599</v>
      </c>
      <c r="D25" s="1" t="s">
        <v>5042</v>
      </c>
      <c r="E25" s="1"/>
      <c r="F25" t="s">
        <v>5043</v>
      </c>
      <c r="G25" t="s">
        <v>5044</v>
      </c>
      <c r="H25" s="6" t="s">
        <v>219</v>
      </c>
      <c r="I25" s="1" t="s">
        <v>38</v>
      </c>
      <c r="K25" t="s">
        <v>8186</v>
      </c>
      <c r="L25" t="s">
        <v>237</v>
      </c>
      <c r="M25" s="3">
        <v>44620</v>
      </c>
      <c r="N25" s="1" t="s">
        <v>35</v>
      </c>
      <c r="O25" s="1"/>
      <c r="P25" s="14" t="s">
        <v>6443</v>
      </c>
      <c r="Q25" s="187">
        <v>125</v>
      </c>
      <c r="R25" s="1">
        <v>1</v>
      </c>
      <c r="S25" s="90">
        <v>0.21</v>
      </c>
      <c r="T25" s="90">
        <v>0.2</v>
      </c>
      <c r="V25" s="95">
        <f t="shared" si="0"/>
        <v>121</v>
      </c>
      <c r="W25" t="s">
        <v>6591</v>
      </c>
      <c r="X25" s="6" t="s">
        <v>6592</v>
      </c>
      <c r="Y25" s="2">
        <v>34744</v>
      </c>
      <c r="Z25" s="2">
        <v>44599</v>
      </c>
      <c r="AA25" s="284" t="s">
        <v>7073</v>
      </c>
      <c r="AB25" s="3">
        <v>44728</v>
      </c>
      <c r="AC25" s="80" t="s">
        <v>1339</v>
      </c>
      <c r="AF25" t="s">
        <v>3198</v>
      </c>
      <c r="AI25" t="s">
        <v>3812</v>
      </c>
      <c r="AJ25" s="2">
        <v>44631</v>
      </c>
      <c r="AK25" s="146" t="s">
        <v>6617</v>
      </c>
      <c r="AL25" s="162">
        <v>44669</v>
      </c>
      <c r="AM25" s="74">
        <v>44634</v>
      </c>
      <c r="AS25"/>
      <c r="AT25" s="1"/>
    </row>
    <row r="26" spans="1:139">
      <c r="A26" s="1">
        <v>25</v>
      </c>
      <c r="B26" t="s">
        <v>3526</v>
      </c>
      <c r="C26" s="2">
        <v>44599</v>
      </c>
      <c r="D26" s="1" t="s">
        <v>4746</v>
      </c>
      <c r="E26" s="1"/>
      <c r="F26" t="s">
        <v>4747</v>
      </c>
      <c r="G26" t="s">
        <v>4748</v>
      </c>
      <c r="H26" s="6" t="s">
        <v>1062</v>
      </c>
      <c r="I26" s="1" t="s">
        <v>4749</v>
      </c>
      <c r="J26" s="295">
        <v>662263148</v>
      </c>
      <c r="K26" s="295" t="s">
        <v>5835</v>
      </c>
      <c r="L26" t="s">
        <v>4746</v>
      </c>
      <c r="M26" s="3">
        <v>44620</v>
      </c>
      <c r="N26" s="1" t="s">
        <v>35</v>
      </c>
      <c r="O26" s="1"/>
      <c r="P26" s="14" t="s">
        <v>6444</v>
      </c>
      <c r="Q26" s="187">
        <v>125</v>
      </c>
      <c r="R26" s="1">
        <v>1</v>
      </c>
      <c r="S26" s="90">
        <v>0.21</v>
      </c>
      <c r="T26" s="90">
        <v>0.2</v>
      </c>
      <c r="V26" s="95">
        <f t="shared" si="0"/>
        <v>121</v>
      </c>
      <c r="W26" t="s">
        <v>6589</v>
      </c>
      <c r="X26" s="6" t="s">
        <v>6590</v>
      </c>
      <c r="Y26" s="2">
        <v>35065</v>
      </c>
      <c r="Z26" s="2">
        <v>44599</v>
      </c>
      <c r="AA26" s="284" t="s">
        <v>7090</v>
      </c>
      <c r="AB26" s="3">
        <v>44740</v>
      </c>
      <c r="AC26" s="80" t="s">
        <v>1339</v>
      </c>
      <c r="AF26" t="s">
        <v>3198</v>
      </c>
      <c r="AI26" t="s">
        <v>3812</v>
      </c>
      <c r="AJ26" s="2">
        <v>44631</v>
      </c>
      <c r="AK26" s="146" t="s">
        <v>6617</v>
      </c>
      <c r="AL26" s="162">
        <v>44669</v>
      </c>
      <c r="AM26" s="74">
        <v>44641</v>
      </c>
      <c r="AS26"/>
      <c r="AT26" s="1"/>
    </row>
    <row r="27" spans="1:139">
      <c r="A27" s="1">
        <v>26</v>
      </c>
      <c r="B27" t="s">
        <v>423</v>
      </c>
      <c r="C27" s="2">
        <v>44599</v>
      </c>
      <c r="D27" t="s">
        <v>3217</v>
      </c>
      <c r="F27" t="s">
        <v>91</v>
      </c>
      <c r="G27" t="s">
        <v>3218</v>
      </c>
      <c r="H27" s="6" t="s">
        <v>219</v>
      </c>
      <c r="I27" s="1" t="s">
        <v>38</v>
      </c>
      <c r="J27" s="8">
        <v>629562761</v>
      </c>
      <c r="K27" s="8" t="s">
        <v>6182</v>
      </c>
      <c r="L27" t="s">
        <v>3217</v>
      </c>
      <c r="M27" s="3">
        <v>44620</v>
      </c>
      <c r="N27" s="1" t="s">
        <v>35</v>
      </c>
      <c r="O27" s="1"/>
      <c r="P27" s="14" t="s">
        <v>6445</v>
      </c>
      <c r="Q27" s="187">
        <v>125</v>
      </c>
      <c r="R27" s="1">
        <v>1</v>
      </c>
      <c r="S27" s="90">
        <v>0.21</v>
      </c>
      <c r="T27" s="90">
        <v>0.2</v>
      </c>
      <c r="V27" s="95">
        <f t="shared" si="0"/>
        <v>121</v>
      </c>
      <c r="W27" t="s">
        <v>6566</v>
      </c>
      <c r="X27" s="6" t="s">
        <v>6567</v>
      </c>
      <c r="Y27" s="2">
        <v>36602</v>
      </c>
      <c r="Z27" s="2">
        <v>44599</v>
      </c>
      <c r="AA27" s="284" t="s">
        <v>6723</v>
      </c>
      <c r="AB27" s="3">
        <v>44662</v>
      </c>
      <c r="AC27" s="80" t="s">
        <v>1339</v>
      </c>
      <c r="AF27" t="s">
        <v>3198</v>
      </c>
      <c r="AI27" t="s">
        <v>6507</v>
      </c>
      <c r="AJ27" s="2">
        <v>44637</v>
      </c>
      <c r="AK27" s="146" t="s">
        <v>6617</v>
      </c>
      <c r="AL27" s="162">
        <v>44643</v>
      </c>
      <c r="AM27" s="74">
        <v>44630</v>
      </c>
      <c r="AS27"/>
      <c r="AT27" s="1"/>
    </row>
    <row r="28" spans="1:139">
      <c r="A28" s="1">
        <v>27</v>
      </c>
      <c r="B28" s="61" t="s">
        <v>3526</v>
      </c>
      <c r="C28" s="2">
        <v>44599</v>
      </c>
      <c r="D28" s="1" t="s">
        <v>210</v>
      </c>
      <c r="E28" s="1"/>
      <c r="F28" s="61" t="s">
        <v>211</v>
      </c>
      <c r="G28" s="61" t="s">
        <v>4378</v>
      </c>
      <c r="H28" s="6" t="s">
        <v>294</v>
      </c>
      <c r="I28" t="s">
        <v>103</v>
      </c>
      <c r="J28" s="8">
        <v>637571817</v>
      </c>
      <c r="K28" s="8" t="s">
        <v>6428</v>
      </c>
      <c r="L28" t="s">
        <v>210</v>
      </c>
      <c r="M28" s="3">
        <v>44620</v>
      </c>
      <c r="N28" s="1" t="s">
        <v>35</v>
      </c>
      <c r="O28" s="1"/>
      <c r="P28" s="14" t="s">
        <v>6467</v>
      </c>
      <c r="Q28" s="163">
        <v>100</v>
      </c>
      <c r="R28" s="1">
        <v>1</v>
      </c>
      <c r="S28" s="90">
        <v>0.21</v>
      </c>
      <c r="T28" s="90">
        <v>0.2</v>
      </c>
      <c r="V28" s="95">
        <f t="shared" si="0"/>
        <v>96.8</v>
      </c>
      <c r="W28" t="s">
        <v>591</v>
      </c>
      <c r="X28" s="6" t="s">
        <v>6581</v>
      </c>
      <c r="Y28" s="2">
        <v>32139</v>
      </c>
      <c r="Z28" s="2">
        <v>44599</v>
      </c>
      <c r="AA28" s="284" t="s">
        <v>7073</v>
      </c>
      <c r="AB28" s="3">
        <v>44728</v>
      </c>
      <c r="AC28" s="80" t="s">
        <v>1339</v>
      </c>
      <c r="AF28" t="s">
        <v>3198</v>
      </c>
      <c r="AI28" t="s">
        <v>6582</v>
      </c>
      <c r="AJ28" s="2">
        <v>44631</v>
      </c>
      <c r="AK28" s="146" t="s">
        <v>7015</v>
      </c>
      <c r="AL28" s="162">
        <v>44718</v>
      </c>
      <c r="AM28" s="74">
        <v>44631</v>
      </c>
      <c r="AS28"/>
      <c r="AT28" s="1"/>
    </row>
    <row r="29" spans="1:139" s="196" customFormat="1">
      <c r="A29" s="1">
        <v>28</v>
      </c>
      <c r="B29" t="s">
        <v>6452</v>
      </c>
      <c r="C29" s="2">
        <v>44600</v>
      </c>
      <c r="D29" s="1" t="s">
        <v>6453</v>
      </c>
      <c r="E29" s="1"/>
      <c r="F29" t="s">
        <v>6454</v>
      </c>
      <c r="G29" t="s">
        <v>6455</v>
      </c>
      <c r="H29" s="6" t="s">
        <v>6456</v>
      </c>
      <c r="I29" s="1" t="s">
        <v>6457</v>
      </c>
      <c r="J29" s="8">
        <v>643582538</v>
      </c>
      <c r="K29" s="8"/>
      <c r="L29" t="s">
        <v>6453</v>
      </c>
      <c r="M29" s="3">
        <v>44620</v>
      </c>
      <c r="N29" s="1" t="s">
        <v>35</v>
      </c>
      <c r="O29" s="1"/>
      <c r="P29" t="s">
        <v>6458</v>
      </c>
      <c r="Q29" s="187">
        <v>87.5</v>
      </c>
      <c r="R29" s="1">
        <v>1</v>
      </c>
      <c r="S29" s="128">
        <v>0.21</v>
      </c>
      <c r="T29" s="128">
        <v>0</v>
      </c>
      <c r="U29"/>
      <c r="V29" s="95">
        <f t="shared" si="0"/>
        <v>105.875</v>
      </c>
      <c r="W29"/>
      <c r="X29" s="308"/>
      <c r="Y29" s="2"/>
      <c r="Z29" s="2"/>
      <c r="AA29" s="284" t="s">
        <v>1326</v>
      </c>
      <c r="AB29" s="3"/>
      <c r="AC29" s="80"/>
      <c r="AD29"/>
      <c r="AE29"/>
      <c r="AF29"/>
      <c r="AG29"/>
      <c r="AH29"/>
      <c r="AI29"/>
      <c r="AJ29" s="2"/>
      <c r="AK29"/>
      <c r="AL29"/>
      <c r="AM29" s="74"/>
      <c r="AN29"/>
      <c r="AO29"/>
      <c r="AP29"/>
      <c r="AQ29"/>
      <c r="AR29"/>
      <c r="AS29"/>
      <c r="AT29" s="1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</row>
    <row r="30" spans="1:139">
      <c r="A30" s="1">
        <v>29</v>
      </c>
      <c r="B30" t="s">
        <v>37</v>
      </c>
      <c r="C30" s="2">
        <v>44602</v>
      </c>
      <c r="D30" s="1" t="s">
        <v>4535</v>
      </c>
      <c r="E30" s="1"/>
      <c r="F30" t="s">
        <v>4530</v>
      </c>
      <c r="G30" t="s">
        <v>6069</v>
      </c>
      <c r="H30" s="6" t="s">
        <v>221</v>
      </c>
      <c r="I30" s="1" t="s">
        <v>34</v>
      </c>
      <c r="J30" s="8">
        <v>631213737</v>
      </c>
      <c r="K30" s="8"/>
      <c r="L30" t="s">
        <v>4535</v>
      </c>
      <c r="M30" s="3">
        <v>44620</v>
      </c>
      <c r="N30" s="1" t="s">
        <v>35</v>
      </c>
      <c r="O30" s="1"/>
      <c r="P30" s="14" t="s">
        <v>6465</v>
      </c>
      <c r="Q30" s="187">
        <v>75</v>
      </c>
      <c r="R30" s="1">
        <v>1</v>
      </c>
      <c r="S30" s="128">
        <v>0.21</v>
      </c>
      <c r="T30" s="128">
        <v>0</v>
      </c>
      <c r="V30" s="95">
        <f t="shared" si="0"/>
        <v>90.75</v>
      </c>
      <c r="W30" t="s">
        <v>4535</v>
      </c>
      <c r="X30" s="6" t="s">
        <v>6466</v>
      </c>
      <c r="Y30" s="2">
        <v>32616</v>
      </c>
      <c r="Z30" s="2">
        <v>44602</v>
      </c>
      <c r="AA30" s="284" t="s">
        <v>1326</v>
      </c>
      <c r="AB30" s="3"/>
      <c r="AC30" s="80"/>
      <c r="AF30" t="s">
        <v>3198</v>
      </c>
      <c r="AI30"/>
      <c r="AJ30" s="1"/>
      <c r="AL30"/>
      <c r="AM30" s="8"/>
      <c r="AS30"/>
      <c r="AT30" s="1"/>
    </row>
    <row r="31" spans="1:139">
      <c r="A31" s="1">
        <v>30</v>
      </c>
      <c r="B31" t="s">
        <v>33</v>
      </c>
      <c r="C31" s="2">
        <v>44602</v>
      </c>
      <c r="D31" s="1" t="s">
        <v>5560</v>
      </c>
      <c r="E31" s="1"/>
      <c r="F31" t="s">
        <v>5561</v>
      </c>
      <c r="G31" t="s">
        <v>5562</v>
      </c>
      <c r="H31" s="6" t="s">
        <v>236</v>
      </c>
      <c r="I31" s="1" t="s">
        <v>34</v>
      </c>
      <c r="K31" t="s">
        <v>8186</v>
      </c>
      <c r="L31" t="s">
        <v>237</v>
      </c>
      <c r="M31" s="3">
        <v>44620</v>
      </c>
      <c r="N31" s="1" t="s">
        <v>35</v>
      </c>
      <c r="O31" s="1"/>
      <c r="P31" s="14" t="s">
        <v>6468</v>
      </c>
      <c r="Q31" s="187">
        <v>125</v>
      </c>
      <c r="R31" s="1">
        <v>1</v>
      </c>
      <c r="S31" s="128">
        <v>0.21</v>
      </c>
      <c r="T31" s="128">
        <v>0.2</v>
      </c>
      <c r="V31" s="95">
        <f t="shared" si="0"/>
        <v>121</v>
      </c>
      <c r="W31" t="s">
        <v>6564</v>
      </c>
      <c r="X31" s="6" t="s">
        <v>6565</v>
      </c>
      <c r="Y31" s="2">
        <v>36435</v>
      </c>
      <c r="Z31" s="2">
        <v>44602</v>
      </c>
      <c r="AA31" s="284" t="s">
        <v>7080</v>
      </c>
      <c r="AB31" s="3">
        <v>44740</v>
      </c>
      <c r="AC31" s="80" t="s">
        <v>1339</v>
      </c>
      <c r="AF31" t="s">
        <v>3198</v>
      </c>
      <c r="AI31" t="s">
        <v>3221</v>
      </c>
      <c r="AJ31" s="2">
        <v>44630</v>
      </c>
      <c r="AK31" s="274">
        <v>44712</v>
      </c>
      <c r="AL31" s="274">
        <v>44722</v>
      </c>
      <c r="AM31" s="74">
        <v>44634</v>
      </c>
      <c r="AS31"/>
      <c r="AT31" s="1"/>
    </row>
    <row r="32" spans="1:139" ht="14.25" customHeight="1">
      <c r="A32" s="1">
        <v>31</v>
      </c>
      <c r="B32" s="61" t="s">
        <v>33</v>
      </c>
      <c r="C32" s="2">
        <v>44602</v>
      </c>
      <c r="D32" s="1" t="s">
        <v>3706</v>
      </c>
      <c r="E32" s="1"/>
      <c r="F32" s="61" t="s">
        <v>3707</v>
      </c>
      <c r="G32" s="61" t="s">
        <v>3708</v>
      </c>
      <c r="H32" s="6" t="s">
        <v>3709</v>
      </c>
      <c r="I32" s="1" t="s">
        <v>34</v>
      </c>
      <c r="J32" s="8">
        <v>627072836</v>
      </c>
      <c r="K32" t="s">
        <v>8186</v>
      </c>
      <c r="L32" t="s">
        <v>237</v>
      </c>
      <c r="M32" s="3">
        <v>44620</v>
      </c>
      <c r="N32" s="1" t="s">
        <v>35</v>
      </c>
      <c r="O32" s="1"/>
      <c r="P32" s="14" t="s">
        <v>6469</v>
      </c>
      <c r="Q32" s="187">
        <v>125</v>
      </c>
      <c r="R32" s="1">
        <v>1</v>
      </c>
      <c r="S32" s="128">
        <v>0.21</v>
      </c>
      <c r="T32" s="128">
        <v>0.2</v>
      </c>
      <c r="U32" s="1"/>
      <c r="V32" s="95">
        <f t="shared" si="0"/>
        <v>121</v>
      </c>
      <c r="W32" t="s">
        <v>6587</v>
      </c>
      <c r="X32" s="6" t="s">
        <v>6588</v>
      </c>
      <c r="Y32" s="2">
        <v>34915</v>
      </c>
      <c r="Z32" s="2">
        <v>44602</v>
      </c>
      <c r="AA32" s="285" t="s">
        <v>7413</v>
      </c>
      <c r="AB32" s="3">
        <v>44837</v>
      </c>
      <c r="AC32" s="80" t="s">
        <v>1339</v>
      </c>
      <c r="AD32" s="13" t="s">
        <v>7042</v>
      </c>
      <c r="AE32" s="293">
        <v>44754</v>
      </c>
      <c r="AF32" t="s">
        <v>3198</v>
      </c>
      <c r="AI32" t="s">
        <v>3221</v>
      </c>
      <c r="AJ32" s="2">
        <v>44631</v>
      </c>
      <c r="AK32" s="276">
        <v>44712</v>
      </c>
      <c r="AL32" s="13" t="s">
        <v>7041</v>
      </c>
      <c r="AM32" s="74">
        <v>44641</v>
      </c>
      <c r="AS32"/>
      <c r="AT32" s="1"/>
    </row>
    <row r="33" spans="1:139" s="31" customFormat="1">
      <c r="A33" s="30">
        <v>32</v>
      </c>
      <c r="B33" s="31" t="s">
        <v>37</v>
      </c>
      <c r="C33" s="2">
        <v>44602</v>
      </c>
      <c r="D33" s="31" t="s">
        <v>868</v>
      </c>
      <c r="F33" t="s">
        <v>869</v>
      </c>
      <c r="G33" s="31" t="s">
        <v>870</v>
      </c>
      <c r="H33" s="63" t="s">
        <v>219</v>
      </c>
      <c r="I33" s="30" t="s">
        <v>38</v>
      </c>
      <c r="J33" s="44" t="s">
        <v>5682</v>
      </c>
      <c r="K33" s="44"/>
      <c r="L33" s="31" t="s">
        <v>868</v>
      </c>
      <c r="M33" s="3">
        <v>44620</v>
      </c>
      <c r="N33" s="30" t="s">
        <v>35</v>
      </c>
      <c r="O33" s="1"/>
      <c r="P33" s="14" t="s">
        <v>6470</v>
      </c>
      <c r="Q33" s="187">
        <v>125</v>
      </c>
      <c r="R33" s="1">
        <v>1</v>
      </c>
      <c r="S33" s="90">
        <v>0.21</v>
      </c>
      <c r="T33" s="90">
        <v>0.2</v>
      </c>
      <c r="V33" s="95">
        <f t="shared" si="0"/>
        <v>121</v>
      </c>
      <c r="W33" t="s">
        <v>6586</v>
      </c>
      <c r="X33" s="6" t="s">
        <v>6585</v>
      </c>
      <c r="Y33" s="34">
        <v>37735</v>
      </c>
      <c r="Z33" s="2">
        <v>44602</v>
      </c>
      <c r="AA33" s="284" t="s">
        <v>7080</v>
      </c>
      <c r="AB33" s="3">
        <v>44740</v>
      </c>
      <c r="AC33" s="80" t="s">
        <v>1339</v>
      </c>
      <c r="AD33"/>
      <c r="AE33"/>
      <c r="AF33" t="s">
        <v>3198</v>
      </c>
      <c r="AI33" t="s">
        <v>3221</v>
      </c>
      <c r="AJ33" s="34">
        <v>44631</v>
      </c>
      <c r="AK33" s="274">
        <v>44712</v>
      </c>
      <c r="AL33" s="275">
        <v>44720</v>
      </c>
      <c r="AM33" s="281">
        <v>44651</v>
      </c>
      <c r="AO33"/>
      <c r="AP33"/>
      <c r="AQ33"/>
      <c r="AR33"/>
      <c r="AS33"/>
      <c r="AT33" s="1"/>
      <c r="AU33"/>
    </row>
    <row r="34" spans="1:139" s="196" customFormat="1">
      <c r="A34" s="1">
        <v>33</v>
      </c>
      <c r="B34" t="s">
        <v>3526</v>
      </c>
      <c r="C34" s="2">
        <v>44603</v>
      </c>
      <c r="D34" s="1" t="s">
        <v>6471</v>
      </c>
      <c r="E34" s="1"/>
      <c r="F34" t="s">
        <v>6472</v>
      </c>
      <c r="G34" t="s">
        <v>6473</v>
      </c>
      <c r="H34" s="6" t="s">
        <v>4604</v>
      </c>
      <c r="I34" s="1" t="s">
        <v>4605</v>
      </c>
      <c r="J34" s="8">
        <v>640146241</v>
      </c>
      <c r="K34" s="8"/>
      <c r="L34" t="s">
        <v>6471</v>
      </c>
      <c r="M34" s="3">
        <v>44620</v>
      </c>
      <c r="N34" s="30" t="s">
        <v>35</v>
      </c>
      <c r="O34" s="1"/>
      <c r="P34" t="s">
        <v>6474</v>
      </c>
      <c r="Q34" s="187">
        <v>87.5</v>
      </c>
      <c r="R34" s="1">
        <v>1</v>
      </c>
      <c r="S34" s="128">
        <v>0.21</v>
      </c>
      <c r="T34" s="128">
        <v>0.2</v>
      </c>
      <c r="U34" s="214" t="s">
        <v>4723</v>
      </c>
      <c r="V34" s="95">
        <f t="shared" ref="V34:V65" si="1">SUM(Q34-(Q34*T34))*S34+(Q34-(Q34*T34))</f>
        <v>84.7</v>
      </c>
      <c r="W34"/>
      <c r="X34" s="6"/>
      <c r="Y34" s="2"/>
      <c r="Z34" s="2"/>
      <c r="AA34" s="284"/>
      <c r="AB34" s="3"/>
      <c r="AC34" s="80"/>
      <c r="AD34"/>
      <c r="AE34" s="3"/>
      <c r="AF34" t="s">
        <v>3198</v>
      </c>
      <c r="AG34"/>
      <c r="AH34"/>
      <c r="AI34"/>
      <c r="AJ34" s="2"/>
      <c r="AK34"/>
      <c r="AL34"/>
      <c r="AM34" s="74"/>
      <c r="AN34"/>
      <c r="AO34"/>
      <c r="AP34"/>
      <c r="AQ34"/>
      <c r="AR34"/>
      <c r="AS34"/>
      <c r="AT34" s="1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</row>
    <row r="35" spans="1:139">
      <c r="A35" s="1">
        <v>34</v>
      </c>
      <c r="B35" s="61" t="s">
        <v>37</v>
      </c>
      <c r="C35" s="2">
        <v>44606</v>
      </c>
      <c r="D35" s="1" t="s">
        <v>1421</v>
      </c>
      <c r="E35" s="1"/>
      <c r="F35" s="61" t="s">
        <v>1422</v>
      </c>
      <c r="G35" t="s">
        <v>6475</v>
      </c>
      <c r="H35" s="6" t="s">
        <v>1424</v>
      </c>
      <c r="I35" s="1" t="s">
        <v>1425</v>
      </c>
      <c r="J35" s="8">
        <v>642566349</v>
      </c>
      <c r="K35" s="8"/>
      <c r="L35" t="s">
        <v>1421</v>
      </c>
      <c r="M35" s="3">
        <v>44620</v>
      </c>
      <c r="N35" s="1" t="s">
        <v>35</v>
      </c>
      <c r="O35" s="1"/>
      <c r="P35" s="14" t="s">
        <v>3570</v>
      </c>
      <c r="Q35" s="92">
        <v>75</v>
      </c>
      <c r="R35" s="1">
        <v>1</v>
      </c>
      <c r="S35" s="90">
        <v>0.21</v>
      </c>
      <c r="T35" s="128">
        <v>0</v>
      </c>
      <c r="U35" s="1"/>
      <c r="V35" s="95">
        <f t="shared" si="1"/>
        <v>90.75</v>
      </c>
      <c r="W35" t="s">
        <v>1421</v>
      </c>
      <c r="X35" s="6" t="s">
        <v>6734</v>
      </c>
      <c r="Y35" s="2">
        <v>29258</v>
      </c>
      <c r="Z35" s="2">
        <v>44606</v>
      </c>
      <c r="AA35" s="284" t="s">
        <v>6819</v>
      </c>
      <c r="AB35" s="3">
        <v>44678</v>
      </c>
      <c r="AC35" s="80" t="s">
        <v>1339</v>
      </c>
      <c r="AF35" t="s">
        <v>3198</v>
      </c>
      <c r="AJ35" s="1"/>
      <c r="AK35" s="1"/>
      <c r="AL35"/>
      <c r="AM35" s="8"/>
      <c r="AS35"/>
      <c r="AT35" s="1"/>
    </row>
    <row r="36" spans="1:139" s="196" customFormat="1">
      <c r="A36" s="1">
        <v>35</v>
      </c>
      <c r="B36" t="s">
        <v>40</v>
      </c>
      <c r="C36" s="2">
        <v>44607</v>
      </c>
      <c r="D36" s="1" t="s">
        <v>6480</v>
      </c>
      <c r="E36" s="1"/>
      <c r="F36" t="s">
        <v>6481</v>
      </c>
      <c r="G36" t="s">
        <v>6482</v>
      </c>
      <c r="H36" s="6" t="s">
        <v>227</v>
      </c>
      <c r="I36" s="1" t="s">
        <v>203</v>
      </c>
      <c r="J36" s="8"/>
      <c r="K36" s="8"/>
      <c r="L36" t="s">
        <v>6480</v>
      </c>
      <c r="M36" s="3">
        <v>44620</v>
      </c>
      <c r="N36" s="1" t="s">
        <v>35</v>
      </c>
      <c r="O36" s="1"/>
      <c r="P36" s="14" t="s">
        <v>6483</v>
      </c>
      <c r="Q36" s="187">
        <v>125</v>
      </c>
      <c r="R36" s="1">
        <v>1</v>
      </c>
      <c r="S36" s="128">
        <v>0.21</v>
      </c>
      <c r="T36" s="128">
        <v>0.2</v>
      </c>
      <c r="U36"/>
      <c r="V36" s="95">
        <f t="shared" si="1"/>
        <v>121</v>
      </c>
      <c r="W36" t="s">
        <v>6774</v>
      </c>
      <c r="X36" s="6" t="s">
        <v>6773</v>
      </c>
      <c r="Y36" s="2">
        <v>35047</v>
      </c>
      <c r="Z36" s="2">
        <v>44607</v>
      </c>
      <c r="AA36" s="284" t="s">
        <v>7439</v>
      </c>
      <c r="AB36" s="3">
        <v>44841</v>
      </c>
      <c r="AC36" s="80" t="s">
        <v>1339</v>
      </c>
      <c r="AD36" t="s">
        <v>3402</v>
      </c>
      <c r="AE36" s="162">
        <v>44761</v>
      </c>
      <c r="AF36" t="s">
        <v>3198</v>
      </c>
      <c r="AG36"/>
      <c r="AH36"/>
      <c r="AI36" t="s">
        <v>6484</v>
      </c>
      <c r="AJ36" s="2">
        <v>44663</v>
      </c>
      <c r="AK36"/>
      <c r="AL36"/>
      <c r="AM36" s="74">
        <v>44671</v>
      </c>
      <c r="AN36"/>
      <c r="AO36"/>
      <c r="AP36"/>
      <c r="AQ36"/>
      <c r="AR36"/>
      <c r="AS36"/>
      <c r="AT36" s="1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</row>
    <row r="37" spans="1:139">
      <c r="A37" s="1">
        <v>36</v>
      </c>
      <c r="B37" s="61" t="s">
        <v>1414</v>
      </c>
      <c r="C37" s="2">
        <v>44607</v>
      </c>
      <c r="D37" s="1" t="s">
        <v>176</v>
      </c>
      <c r="E37" s="1"/>
      <c r="F37" s="61" t="s">
        <v>4460</v>
      </c>
      <c r="G37" s="61" t="s">
        <v>4461</v>
      </c>
      <c r="H37" s="6" t="s">
        <v>230</v>
      </c>
      <c r="I37" t="s">
        <v>1262</v>
      </c>
      <c r="J37" s="8">
        <v>637571817</v>
      </c>
      <c r="K37" s="8"/>
      <c r="L37" t="s">
        <v>176</v>
      </c>
      <c r="M37" s="3">
        <v>44620</v>
      </c>
      <c r="N37" s="1" t="s">
        <v>35</v>
      </c>
      <c r="O37" s="1"/>
      <c r="P37" s="14" t="s">
        <v>6485</v>
      </c>
      <c r="Q37" s="163">
        <v>125</v>
      </c>
      <c r="R37" s="1">
        <v>1</v>
      </c>
      <c r="S37" s="90">
        <v>0.21</v>
      </c>
      <c r="T37" s="90">
        <v>0.2</v>
      </c>
      <c r="V37" s="95">
        <f t="shared" si="1"/>
        <v>121</v>
      </c>
      <c r="W37" t="s">
        <v>6658</v>
      </c>
      <c r="X37" s="6" t="s">
        <v>6657</v>
      </c>
      <c r="Y37" s="2">
        <v>34610</v>
      </c>
      <c r="Z37" s="2">
        <v>44607</v>
      </c>
      <c r="AA37" s="284" t="s">
        <v>7423</v>
      </c>
      <c r="AB37" s="3">
        <v>44851</v>
      </c>
      <c r="AC37" s="80" t="s">
        <v>1339</v>
      </c>
      <c r="AD37" t="s">
        <v>3402</v>
      </c>
      <c r="AE37" s="162">
        <v>44755</v>
      </c>
      <c r="AF37" t="s">
        <v>3198</v>
      </c>
      <c r="AI37" t="s">
        <v>3221</v>
      </c>
      <c r="AJ37" s="2">
        <v>44643</v>
      </c>
      <c r="AK37" s="146" t="s">
        <v>6617</v>
      </c>
      <c r="AL37" s="162">
        <v>44664</v>
      </c>
      <c r="AM37" s="74">
        <v>44648</v>
      </c>
      <c r="AS37"/>
      <c r="AT37" s="1"/>
    </row>
    <row r="38" spans="1:139">
      <c r="A38" s="1">
        <v>37</v>
      </c>
      <c r="B38" s="61" t="s">
        <v>3526</v>
      </c>
      <c r="C38" s="2">
        <v>44607</v>
      </c>
      <c r="D38" s="1" t="s">
        <v>210</v>
      </c>
      <c r="E38" s="1"/>
      <c r="F38" s="61" t="s">
        <v>211</v>
      </c>
      <c r="G38" s="61" t="s">
        <v>4378</v>
      </c>
      <c r="H38" s="6" t="s">
        <v>294</v>
      </c>
      <c r="I38" t="s">
        <v>103</v>
      </c>
      <c r="J38" s="8">
        <v>637571817</v>
      </c>
      <c r="K38" s="8" t="s">
        <v>6428</v>
      </c>
      <c r="L38" t="s">
        <v>210</v>
      </c>
      <c r="M38" s="3">
        <v>44408</v>
      </c>
      <c r="N38" s="1" t="s">
        <v>35</v>
      </c>
      <c r="O38" s="1"/>
      <c r="P38" s="14" t="s">
        <v>6493</v>
      </c>
      <c r="Q38" s="163">
        <v>41.32</v>
      </c>
      <c r="R38" s="1">
        <v>1</v>
      </c>
      <c r="S38" s="90">
        <v>0.21</v>
      </c>
      <c r="T38" s="90">
        <v>0</v>
      </c>
      <c r="V38" s="95">
        <f t="shared" si="1"/>
        <v>49.997199999999999</v>
      </c>
      <c r="W38"/>
      <c r="X38" s="6"/>
      <c r="Y38" s="2"/>
      <c r="Z38" s="2"/>
      <c r="AA38" s="284" t="s">
        <v>1326</v>
      </c>
      <c r="AB38" s="3"/>
      <c r="AC38" s="80"/>
      <c r="AF38" t="s">
        <v>3198</v>
      </c>
      <c r="AI38"/>
      <c r="AJ38" s="2"/>
      <c r="AK38" s="1"/>
      <c r="AL38"/>
      <c r="AM38" s="74"/>
      <c r="AS38"/>
      <c r="AT38" s="1"/>
    </row>
    <row r="39" spans="1:139">
      <c r="A39" s="1">
        <v>38</v>
      </c>
      <c r="B39" s="61" t="s">
        <v>3526</v>
      </c>
      <c r="C39" s="2">
        <v>44607</v>
      </c>
      <c r="D39" s="1" t="s">
        <v>210</v>
      </c>
      <c r="E39" s="1"/>
      <c r="F39" s="61" t="s">
        <v>211</v>
      </c>
      <c r="G39" s="61" t="s">
        <v>4378</v>
      </c>
      <c r="H39" s="6" t="s">
        <v>294</v>
      </c>
      <c r="I39" t="s">
        <v>103</v>
      </c>
      <c r="J39" s="8">
        <v>637571817</v>
      </c>
      <c r="K39" s="8" t="s">
        <v>6428</v>
      </c>
      <c r="L39" t="s">
        <v>210</v>
      </c>
      <c r="M39" s="3">
        <v>44408</v>
      </c>
      <c r="N39" s="1" t="s">
        <v>35</v>
      </c>
      <c r="O39" s="1"/>
      <c r="P39" s="14" t="s">
        <v>6494</v>
      </c>
      <c r="Q39" s="163">
        <v>41.32</v>
      </c>
      <c r="R39" s="1">
        <v>1</v>
      </c>
      <c r="S39" s="90">
        <v>0.21</v>
      </c>
      <c r="T39" s="90">
        <v>0</v>
      </c>
      <c r="V39" s="95">
        <f t="shared" si="1"/>
        <v>49.997199999999999</v>
      </c>
      <c r="W39"/>
      <c r="X39" s="6"/>
      <c r="Y39" s="2"/>
      <c r="Z39" s="2"/>
      <c r="AA39" s="284" t="s">
        <v>1326</v>
      </c>
      <c r="AB39" s="3"/>
      <c r="AC39" s="80"/>
      <c r="AF39" t="s">
        <v>3198</v>
      </c>
      <c r="AI39"/>
      <c r="AJ39" s="2"/>
      <c r="AK39" s="1"/>
      <c r="AL39"/>
      <c r="AM39" s="74"/>
      <c r="AS39"/>
      <c r="AT39" s="1"/>
    </row>
    <row r="40" spans="1:139">
      <c r="A40" s="1">
        <v>39</v>
      </c>
      <c r="B40" t="s">
        <v>37</v>
      </c>
      <c r="C40" s="2">
        <v>44610</v>
      </c>
      <c r="D40" s="1" t="s">
        <v>6239</v>
      </c>
      <c r="E40" s="1"/>
      <c r="F40" t="s">
        <v>6240</v>
      </c>
      <c r="G40" t="s">
        <v>6241</v>
      </c>
      <c r="H40" s="6" t="s">
        <v>239</v>
      </c>
      <c r="I40" s="1" t="s">
        <v>2585</v>
      </c>
      <c r="J40" s="8">
        <v>641643370</v>
      </c>
      <c r="K40" s="8"/>
      <c r="L40" t="s">
        <v>6239</v>
      </c>
      <c r="M40" s="3">
        <v>44620</v>
      </c>
      <c r="N40" s="1" t="s">
        <v>35</v>
      </c>
      <c r="O40" s="1"/>
      <c r="P40" t="s">
        <v>6847</v>
      </c>
      <c r="Q40" s="187">
        <v>87.5</v>
      </c>
      <c r="R40" s="1">
        <v>1</v>
      </c>
      <c r="S40" s="90">
        <v>0.21</v>
      </c>
      <c r="T40" s="90">
        <v>0</v>
      </c>
      <c r="V40" s="95">
        <f t="shared" si="1"/>
        <v>105.875</v>
      </c>
      <c r="W40"/>
      <c r="X40" s="308"/>
      <c r="Y40" s="2"/>
      <c r="Z40" s="2"/>
      <c r="AA40" s="284" t="s">
        <v>1326</v>
      </c>
      <c r="AF40" t="s">
        <v>3198</v>
      </c>
      <c r="AI40"/>
      <c r="AJ40" s="1"/>
      <c r="AL40"/>
      <c r="AM40" s="8"/>
      <c r="AS40"/>
      <c r="AT40" s="1"/>
    </row>
    <row r="41" spans="1:139">
      <c r="A41" s="1">
        <v>40</v>
      </c>
      <c r="B41" t="s">
        <v>1414</v>
      </c>
      <c r="C41" s="2">
        <v>44613</v>
      </c>
      <c r="D41" s="1" t="s">
        <v>3076</v>
      </c>
      <c r="E41" s="1"/>
      <c r="F41" t="s">
        <v>3077</v>
      </c>
      <c r="G41" t="s">
        <v>3078</v>
      </c>
      <c r="H41" s="6" t="s">
        <v>227</v>
      </c>
      <c r="I41" s="1" t="s">
        <v>203</v>
      </c>
      <c r="J41" s="8">
        <v>659251664</v>
      </c>
      <c r="K41" s="8"/>
      <c r="L41" t="s">
        <v>3076</v>
      </c>
      <c r="M41" s="3">
        <v>44620</v>
      </c>
      <c r="N41" s="1" t="s">
        <v>35</v>
      </c>
      <c r="O41" s="1"/>
      <c r="P41" s="14" t="s">
        <v>6002</v>
      </c>
      <c r="Q41" s="187">
        <v>125</v>
      </c>
      <c r="R41" s="1">
        <v>1</v>
      </c>
      <c r="S41" s="90">
        <v>0.21</v>
      </c>
      <c r="T41" s="90">
        <v>0.2</v>
      </c>
      <c r="V41" s="95">
        <f t="shared" si="1"/>
        <v>121</v>
      </c>
      <c r="W41" t="s">
        <v>6132</v>
      </c>
      <c r="X41" s="6" t="s">
        <v>6573</v>
      </c>
      <c r="Y41" s="2">
        <v>37816</v>
      </c>
      <c r="Z41" s="2">
        <v>44613</v>
      </c>
      <c r="AA41" s="288" t="s">
        <v>7202</v>
      </c>
      <c r="AB41" s="3">
        <v>44765</v>
      </c>
      <c r="AC41" s="80" t="s">
        <v>1339</v>
      </c>
      <c r="AD41" t="s">
        <v>7203</v>
      </c>
      <c r="AE41" s="269">
        <v>44692</v>
      </c>
      <c r="AF41" t="s">
        <v>3198</v>
      </c>
      <c r="AI41" t="s">
        <v>6492</v>
      </c>
      <c r="AJ41" s="2"/>
      <c r="AL41"/>
      <c r="AM41" s="74"/>
      <c r="AS41"/>
      <c r="AT41" s="1"/>
    </row>
    <row r="42" spans="1:139">
      <c r="A42" s="1">
        <v>41</v>
      </c>
      <c r="B42" t="s">
        <v>3526</v>
      </c>
      <c r="C42" s="2">
        <v>44614</v>
      </c>
      <c r="D42" s="1" t="s">
        <v>6398</v>
      </c>
      <c r="E42" s="1"/>
      <c r="F42" s="61" t="s">
        <v>6399</v>
      </c>
      <c r="G42" s="61" t="s">
        <v>6400</v>
      </c>
      <c r="H42" s="6" t="s">
        <v>2654</v>
      </c>
      <c r="I42" s="1" t="s">
        <v>2359</v>
      </c>
      <c r="J42" s="8">
        <v>625180620</v>
      </c>
      <c r="K42" s="301" t="s">
        <v>6412</v>
      </c>
      <c r="L42" t="s">
        <v>6398</v>
      </c>
      <c r="M42" s="3">
        <v>44620</v>
      </c>
      <c r="N42" s="1" t="s">
        <v>35</v>
      </c>
      <c r="O42" s="1"/>
      <c r="P42" s="14" t="s">
        <v>6495</v>
      </c>
      <c r="Q42" s="187">
        <v>125</v>
      </c>
      <c r="R42" s="1">
        <v>1</v>
      </c>
      <c r="S42" s="128">
        <v>0.21</v>
      </c>
      <c r="T42" s="128">
        <v>0.2</v>
      </c>
      <c r="V42" s="95">
        <f t="shared" si="1"/>
        <v>121</v>
      </c>
      <c r="W42" t="s">
        <v>6728</v>
      </c>
      <c r="X42" s="6" t="s">
        <v>6727</v>
      </c>
      <c r="Y42" s="2">
        <v>31080</v>
      </c>
      <c r="Z42" s="2">
        <v>44614</v>
      </c>
      <c r="AA42" s="289" t="s">
        <v>6729</v>
      </c>
      <c r="AB42" s="3">
        <v>44652</v>
      </c>
      <c r="AC42" s="80" t="s">
        <v>1339</v>
      </c>
      <c r="AD42" t="s">
        <v>6967</v>
      </c>
      <c r="AF42" t="s">
        <v>3198</v>
      </c>
      <c r="AI42" t="s">
        <v>5986</v>
      </c>
      <c r="AJ42" s="2"/>
      <c r="AL42"/>
      <c r="AM42" s="74"/>
      <c r="AS42"/>
      <c r="AT42" s="1"/>
    </row>
    <row r="43" spans="1:139">
      <c r="A43" s="1">
        <v>42</v>
      </c>
      <c r="B43" t="s">
        <v>52</v>
      </c>
      <c r="C43" s="2">
        <v>44614</v>
      </c>
      <c r="D43" s="1" t="s">
        <v>256</v>
      </c>
      <c r="E43" s="1"/>
      <c r="F43" s="31" t="s">
        <v>155</v>
      </c>
      <c r="G43" s="31" t="s">
        <v>138</v>
      </c>
      <c r="H43" s="33" t="s">
        <v>227</v>
      </c>
      <c r="I43" s="30" t="s">
        <v>203</v>
      </c>
      <c r="J43" s="44">
        <v>631130911</v>
      </c>
      <c r="K43" s="44" t="s">
        <v>5906</v>
      </c>
      <c r="L43" t="s">
        <v>4432</v>
      </c>
      <c r="M43" s="3">
        <v>44620</v>
      </c>
      <c r="N43" s="1" t="s">
        <v>35</v>
      </c>
      <c r="O43" s="1"/>
      <c r="P43" s="14" t="s">
        <v>6496</v>
      </c>
      <c r="Q43" s="187">
        <v>125</v>
      </c>
      <c r="R43" s="1">
        <v>1</v>
      </c>
      <c r="S43" s="90">
        <v>0.21</v>
      </c>
      <c r="T43" s="90">
        <v>0.2</v>
      </c>
      <c r="V43" s="95">
        <f t="shared" si="1"/>
        <v>121</v>
      </c>
      <c r="W43" t="s">
        <v>6709</v>
      </c>
      <c r="X43" s="6" t="s">
        <v>6708</v>
      </c>
      <c r="Y43" s="2">
        <v>34699</v>
      </c>
      <c r="Z43" s="2">
        <v>44614</v>
      </c>
      <c r="AA43" s="284" t="s">
        <v>7440</v>
      </c>
      <c r="AB43" s="3">
        <v>44841</v>
      </c>
      <c r="AC43" s="80" t="s">
        <v>1339</v>
      </c>
      <c r="AD43" t="s">
        <v>3402</v>
      </c>
      <c r="AE43" s="162">
        <v>44762</v>
      </c>
      <c r="AF43" t="s">
        <v>3198</v>
      </c>
      <c r="AI43" t="s">
        <v>3108</v>
      </c>
      <c r="AJ43" s="2">
        <v>44651</v>
      </c>
      <c r="AK43" s="146" t="s">
        <v>6617</v>
      </c>
      <c r="AL43" s="162">
        <v>44669</v>
      </c>
      <c r="AM43" s="74">
        <v>44670</v>
      </c>
      <c r="AS43"/>
      <c r="AT43" s="1"/>
    </row>
    <row r="44" spans="1:139">
      <c r="A44" s="1">
        <v>43</v>
      </c>
      <c r="B44" s="61" t="s">
        <v>52</v>
      </c>
      <c r="C44" s="2">
        <v>44470</v>
      </c>
      <c r="D44" s="1" t="s">
        <v>2675</v>
      </c>
      <c r="E44" s="1"/>
      <c r="F44" s="61" t="s">
        <v>2676</v>
      </c>
      <c r="G44" s="61" t="s">
        <v>4283</v>
      </c>
      <c r="H44" s="6" t="s">
        <v>219</v>
      </c>
      <c r="I44" s="1" t="s">
        <v>38</v>
      </c>
      <c r="J44" s="8">
        <v>622198513</v>
      </c>
      <c r="K44" s="8" t="s">
        <v>5906</v>
      </c>
      <c r="L44" t="s">
        <v>4432</v>
      </c>
      <c r="M44" s="3">
        <v>44620</v>
      </c>
      <c r="N44" s="1" t="s">
        <v>35</v>
      </c>
      <c r="O44" s="1"/>
      <c r="P44" s="14" t="s">
        <v>5883</v>
      </c>
      <c r="Q44" s="92">
        <v>60</v>
      </c>
      <c r="R44" s="1">
        <v>1</v>
      </c>
      <c r="S44" s="90">
        <v>0.21</v>
      </c>
      <c r="T44" s="90">
        <v>0.2</v>
      </c>
      <c r="V44" s="95">
        <f t="shared" si="1"/>
        <v>58.08</v>
      </c>
      <c r="W44" t="s">
        <v>4286</v>
      </c>
      <c r="X44" s="161" t="s">
        <v>5994</v>
      </c>
      <c r="Y44" s="2">
        <v>18072</v>
      </c>
      <c r="Z44" s="2">
        <v>44470</v>
      </c>
      <c r="AA44" s="284" t="s">
        <v>6531</v>
      </c>
      <c r="AB44" s="3">
        <v>44627</v>
      </c>
      <c r="AC44" s="80" t="s">
        <v>1339</v>
      </c>
      <c r="AF44" t="s">
        <v>3198</v>
      </c>
      <c r="AJ44" s="2"/>
      <c r="AK44" s="1"/>
      <c r="AL44"/>
      <c r="AM44" s="74"/>
      <c r="AS44"/>
      <c r="AT44" s="1"/>
    </row>
    <row r="45" spans="1:139">
      <c r="A45" s="1">
        <v>44</v>
      </c>
      <c r="B45" s="61" t="s">
        <v>52</v>
      </c>
      <c r="C45" s="2">
        <v>44470</v>
      </c>
      <c r="D45" s="1" t="s">
        <v>2675</v>
      </c>
      <c r="E45" s="1"/>
      <c r="F45" s="61" t="s">
        <v>2676</v>
      </c>
      <c r="G45" s="61" t="s">
        <v>4283</v>
      </c>
      <c r="H45" s="6" t="s">
        <v>219</v>
      </c>
      <c r="I45" s="1" t="s">
        <v>38</v>
      </c>
      <c r="J45" s="8">
        <v>622198513</v>
      </c>
      <c r="K45" s="8" t="s">
        <v>5906</v>
      </c>
      <c r="L45" t="s">
        <v>4432</v>
      </c>
      <c r="M45" s="3">
        <v>44620</v>
      </c>
      <c r="N45" s="1" t="s">
        <v>35</v>
      </c>
      <c r="O45" s="1"/>
      <c r="P45" s="14" t="s">
        <v>5884</v>
      </c>
      <c r="Q45" s="92">
        <v>60</v>
      </c>
      <c r="R45" s="1">
        <v>1</v>
      </c>
      <c r="S45" s="90">
        <v>0.21</v>
      </c>
      <c r="T45" s="90">
        <v>0.2</v>
      </c>
      <c r="V45" s="95">
        <f t="shared" si="1"/>
        <v>58.08</v>
      </c>
      <c r="W45" t="s">
        <v>4288</v>
      </c>
      <c r="X45" s="6" t="s">
        <v>5993</v>
      </c>
      <c r="Y45" s="2">
        <v>20280</v>
      </c>
      <c r="Z45" s="2">
        <v>44470</v>
      </c>
      <c r="AA45" s="284" t="s">
        <v>6531</v>
      </c>
      <c r="AB45" s="3">
        <v>44627</v>
      </c>
      <c r="AC45" s="80" t="s">
        <v>1339</v>
      </c>
      <c r="AF45" t="s">
        <v>3198</v>
      </c>
      <c r="AJ45" s="2"/>
      <c r="AK45" s="1"/>
      <c r="AL45"/>
      <c r="AM45" s="74"/>
      <c r="AS45"/>
      <c r="AT45" s="1"/>
    </row>
    <row r="46" spans="1:139">
      <c r="A46" s="1">
        <v>45</v>
      </c>
      <c r="B46" t="s">
        <v>40</v>
      </c>
      <c r="C46" s="2">
        <v>44615</v>
      </c>
      <c r="D46" s="1" t="s">
        <v>6501</v>
      </c>
      <c r="E46" s="1"/>
      <c r="F46" s="61" t="s">
        <v>6502</v>
      </c>
      <c r="G46" s="61" t="s">
        <v>6503</v>
      </c>
      <c r="H46" s="6" t="s">
        <v>6504</v>
      </c>
      <c r="I46" s="1" t="s">
        <v>6505</v>
      </c>
      <c r="K46" s="8"/>
      <c r="L46" t="s">
        <v>6501</v>
      </c>
      <c r="M46" s="3">
        <v>44620</v>
      </c>
      <c r="N46" s="1" t="s">
        <v>35</v>
      </c>
      <c r="O46" s="1"/>
      <c r="P46" s="14" t="s">
        <v>6506</v>
      </c>
      <c r="Q46" s="187">
        <v>125</v>
      </c>
      <c r="R46" s="1">
        <v>1</v>
      </c>
      <c r="S46" s="128">
        <v>0.21</v>
      </c>
      <c r="T46" s="128">
        <v>0.2</v>
      </c>
      <c r="V46" s="95">
        <f t="shared" si="1"/>
        <v>121</v>
      </c>
      <c r="W46" t="s">
        <v>6712</v>
      </c>
      <c r="X46" s="6" t="s">
        <v>6713</v>
      </c>
      <c r="Y46" s="2">
        <v>34592</v>
      </c>
      <c r="Z46" s="2">
        <v>44615</v>
      </c>
      <c r="AA46" s="284" t="s">
        <v>7159</v>
      </c>
      <c r="AB46" s="3">
        <v>44754</v>
      </c>
      <c r="AC46" s="80" t="s">
        <v>1339</v>
      </c>
      <c r="AF46" t="s">
        <v>3198</v>
      </c>
      <c r="AI46" t="s">
        <v>3108</v>
      </c>
      <c r="AJ46" s="2">
        <v>44651</v>
      </c>
      <c r="AK46" s="146" t="s">
        <v>6617</v>
      </c>
      <c r="AL46" s="162">
        <v>44673</v>
      </c>
      <c r="AM46" s="74">
        <v>44655</v>
      </c>
      <c r="AS46"/>
      <c r="AT46" s="1"/>
    </row>
    <row r="47" spans="1:139">
      <c r="A47" s="1">
        <v>46</v>
      </c>
      <c r="B47" t="s">
        <v>33</v>
      </c>
      <c r="C47" s="2">
        <v>44617</v>
      </c>
      <c r="D47" s="1" t="s">
        <v>6511</v>
      </c>
      <c r="E47" s="1"/>
      <c r="F47" s="61" t="s">
        <v>2002</v>
      </c>
      <c r="G47" s="61" t="s">
        <v>6512</v>
      </c>
      <c r="H47" s="6" t="s">
        <v>304</v>
      </c>
      <c r="I47" s="1" t="s">
        <v>68</v>
      </c>
      <c r="K47" t="s">
        <v>8186</v>
      </c>
      <c r="L47" t="s">
        <v>237</v>
      </c>
      <c r="M47" s="3">
        <v>44620</v>
      </c>
      <c r="N47" s="1" t="s">
        <v>35</v>
      </c>
      <c r="O47" s="1"/>
      <c r="P47" s="14" t="s">
        <v>6513</v>
      </c>
      <c r="Q47" s="187">
        <v>125</v>
      </c>
      <c r="R47" s="1">
        <v>1</v>
      </c>
      <c r="S47" s="128">
        <v>0.21</v>
      </c>
      <c r="T47" s="128">
        <v>0.2</v>
      </c>
      <c r="V47" s="95">
        <f t="shared" si="1"/>
        <v>121</v>
      </c>
      <c r="W47" t="s">
        <v>6706</v>
      </c>
      <c r="X47" s="6" t="s">
        <v>6705</v>
      </c>
      <c r="Y47" s="2">
        <v>33044</v>
      </c>
      <c r="Z47" s="2">
        <v>44617</v>
      </c>
      <c r="AA47" s="284" t="s">
        <v>7167</v>
      </c>
      <c r="AB47" s="3">
        <v>44761</v>
      </c>
      <c r="AC47" s="80" t="s">
        <v>1339</v>
      </c>
      <c r="AF47" t="s">
        <v>3198</v>
      </c>
      <c r="AI47" t="s">
        <v>3108</v>
      </c>
      <c r="AJ47" s="2">
        <v>44651</v>
      </c>
      <c r="AK47" s="146" t="s">
        <v>6617</v>
      </c>
      <c r="AL47" s="162">
        <v>44671</v>
      </c>
      <c r="AM47" s="74">
        <v>44651</v>
      </c>
      <c r="AS47"/>
      <c r="AT47" s="1"/>
    </row>
    <row r="48" spans="1:139" s="196" customFormat="1">
      <c r="A48" s="1">
        <v>47</v>
      </c>
      <c r="B48" t="s">
        <v>37</v>
      </c>
      <c r="C48" s="2">
        <v>44622</v>
      </c>
      <c r="D48" s="1" t="s">
        <v>4869</v>
      </c>
      <c r="E48" s="1"/>
      <c r="F48" t="s">
        <v>4617</v>
      </c>
      <c r="G48" t="s">
        <v>4618</v>
      </c>
      <c r="H48" s="6" t="s">
        <v>245</v>
      </c>
      <c r="I48" s="1" t="s">
        <v>54</v>
      </c>
      <c r="J48" s="8"/>
      <c r="K48" s="8"/>
      <c r="L48" t="s">
        <v>4869</v>
      </c>
      <c r="M48" s="3">
        <v>44651</v>
      </c>
      <c r="N48" s="1" t="s">
        <v>35</v>
      </c>
      <c r="O48" s="1"/>
      <c r="P48" s="14" t="s">
        <v>6516</v>
      </c>
      <c r="Q48" s="187">
        <v>75</v>
      </c>
      <c r="R48" s="1">
        <v>1</v>
      </c>
      <c r="S48" s="128">
        <v>0.21</v>
      </c>
      <c r="T48" s="128">
        <v>0</v>
      </c>
      <c r="U48" s="214" t="s">
        <v>4723</v>
      </c>
      <c r="V48" s="95">
        <f t="shared" si="1"/>
        <v>90.75</v>
      </c>
      <c r="W48" t="s">
        <v>4869</v>
      </c>
      <c r="X48" s="6" t="s">
        <v>6517</v>
      </c>
      <c r="Y48" s="2">
        <v>32510</v>
      </c>
      <c r="Z48" s="2">
        <v>44622</v>
      </c>
      <c r="AA48" s="284" t="s">
        <v>6862</v>
      </c>
      <c r="AB48" s="2">
        <v>44686</v>
      </c>
      <c r="AC48" s="80" t="s">
        <v>1339</v>
      </c>
      <c r="AD48"/>
      <c r="AE48"/>
      <c r="AF48" t="s">
        <v>3198</v>
      </c>
      <c r="AG48"/>
      <c r="AH48"/>
      <c r="AI48"/>
      <c r="AJ48" s="2"/>
      <c r="AK48"/>
      <c r="AL48"/>
      <c r="AM48" s="74"/>
      <c r="AN48"/>
      <c r="AO48"/>
      <c r="AP48"/>
      <c r="AQ48"/>
      <c r="AR48"/>
      <c r="AS48"/>
      <c r="AT48" s="1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</row>
    <row r="49" spans="1:139">
      <c r="A49" s="1">
        <v>48</v>
      </c>
      <c r="B49" s="61" t="s">
        <v>37</v>
      </c>
      <c r="C49" s="2">
        <v>44622</v>
      </c>
      <c r="D49" s="1" t="s">
        <v>402</v>
      </c>
      <c r="E49" s="1"/>
      <c r="F49" t="s">
        <v>403</v>
      </c>
      <c r="G49" t="s">
        <v>1256</v>
      </c>
      <c r="H49" s="6" t="s">
        <v>245</v>
      </c>
      <c r="I49" t="s">
        <v>54</v>
      </c>
      <c r="J49" s="8">
        <v>622715880</v>
      </c>
      <c r="K49" s="8"/>
      <c r="L49" t="s">
        <v>402</v>
      </c>
      <c r="M49" s="3">
        <v>44651</v>
      </c>
      <c r="N49" s="1" t="s">
        <v>35</v>
      </c>
      <c r="O49" s="1"/>
      <c r="P49" s="14" t="s">
        <v>6518</v>
      </c>
      <c r="Q49" s="92">
        <v>75</v>
      </c>
      <c r="R49" s="1">
        <v>1</v>
      </c>
      <c r="S49" s="90">
        <v>0.21</v>
      </c>
      <c r="T49" s="128">
        <v>0.2</v>
      </c>
      <c r="U49" s="1"/>
      <c r="V49" s="95">
        <f t="shared" si="1"/>
        <v>72.599999999999994</v>
      </c>
      <c r="W49" t="s">
        <v>402</v>
      </c>
      <c r="X49" s="87" t="s">
        <v>6519</v>
      </c>
      <c r="Y49" s="2">
        <v>27458</v>
      </c>
      <c r="Z49" s="2">
        <v>44622</v>
      </c>
      <c r="AA49" s="284" t="s">
        <v>6768</v>
      </c>
      <c r="AB49" s="2">
        <v>44663</v>
      </c>
      <c r="AC49" s="80" t="s">
        <v>1339</v>
      </c>
      <c r="AF49" t="s">
        <v>3198</v>
      </c>
      <c r="AJ49" s="1"/>
      <c r="AK49" s="1"/>
      <c r="AL49"/>
      <c r="AM49" s="8"/>
      <c r="AS49"/>
      <c r="AT49" s="1"/>
    </row>
    <row r="50" spans="1:139">
      <c r="A50" s="1">
        <v>49</v>
      </c>
      <c r="B50" t="s">
        <v>45</v>
      </c>
      <c r="C50" s="2">
        <v>44622</v>
      </c>
      <c r="D50" s="1" t="s">
        <v>5514</v>
      </c>
      <c r="E50" s="1"/>
      <c r="F50" t="s">
        <v>5515</v>
      </c>
      <c r="G50" s="61" t="s">
        <v>5516</v>
      </c>
      <c r="H50" s="6" t="s">
        <v>241</v>
      </c>
      <c r="I50" s="1" t="s">
        <v>60</v>
      </c>
      <c r="J50" s="295">
        <v>637308547</v>
      </c>
      <c r="K50" s="8"/>
      <c r="L50" t="s">
        <v>5514</v>
      </c>
      <c r="M50" s="3">
        <v>44651</v>
      </c>
      <c r="N50" s="1" t="s">
        <v>35</v>
      </c>
      <c r="O50" s="1"/>
      <c r="P50" s="14" t="s">
        <v>6520</v>
      </c>
      <c r="Q50" s="187">
        <v>125</v>
      </c>
      <c r="R50" s="1">
        <v>1</v>
      </c>
      <c r="S50" s="90">
        <v>0.21</v>
      </c>
      <c r="T50" s="90">
        <v>0.2</v>
      </c>
      <c r="V50" s="95">
        <f t="shared" si="1"/>
        <v>121</v>
      </c>
      <c r="W50" t="s">
        <v>6656</v>
      </c>
      <c r="X50" s="6" t="s">
        <v>6655</v>
      </c>
      <c r="Y50" s="2">
        <v>34308</v>
      </c>
      <c r="Z50" s="2">
        <v>44622</v>
      </c>
      <c r="AA50" s="285" t="s">
        <v>6882</v>
      </c>
      <c r="AB50" s="3">
        <v>44691</v>
      </c>
      <c r="AC50" s="80" t="s">
        <v>1339</v>
      </c>
      <c r="AF50" t="s">
        <v>3198</v>
      </c>
      <c r="AI50" t="s">
        <v>3221</v>
      </c>
      <c r="AJ50" s="2">
        <v>44643</v>
      </c>
      <c r="AL50"/>
      <c r="AM50" s="74">
        <v>44673</v>
      </c>
      <c r="AS50"/>
      <c r="AT50" s="1"/>
    </row>
    <row r="51" spans="1:139" s="196" customFormat="1">
      <c r="A51" s="1">
        <v>50</v>
      </c>
      <c r="B51" t="s">
        <v>37</v>
      </c>
      <c r="C51" s="2">
        <v>44622</v>
      </c>
      <c r="D51" s="1" t="s">
        <v>217</v>
      </c>
      <c r="E51" s="1"/>
      <c r="F51" t="s">
        <v>4778</v>
      </c>
      <c r="G51" t="s">
        <v>6433</v>
      </c>
      <c r="H51" s="6" t="s">
        <v>6434</v>
      </c>
      <c r="I51" s="1" t="s">
        <v>6435</v>
      </c>
      <c r="J51" s="8">
        <v>610191552</v>
      </c>
      <c r="K51" s="8"/>
      <c r="L51" t="s">
        <v>217</v>
      </c>
      <c r="M51" s="3">
        <v>44651</v>
      </c>
      <c r="N51" s="1" t="s">
        <v>35</v>
      </c>
      <c r="O51" s="1"/>
      <c r="P51" t="s">
        <v>6521</v>
      </c>
      <c r="Q51" s="187">
        <v>75</v>
      </c>
      <c r="R51" s="1">
        <v>1</v>
      </c>
      <c r="S51" s="128">
        <v>0.21</v>
      </c>
      <c r="T51" s="128">
        <v>0.2</v>
      </c>
      <c r="U51"/>
      <c r="V51" s="95">
        <f t="shared" si="1"/>
        <v>72.599999999999994</v>
      </c>
      <c r="W51" t="s">
        <v>217</v>
      </c>
      <c r="X51" s="6" t="s">
        <v>6522</v>
      </c>
      <c r="Y51" s="2">
        <v>33281</v>
      </c>
      <c r="Z51" s="2">
        <v>44622</v>
      </c>
      <c r="AA51" s="284" t="s">
        <v>7101</v>
      </c>
      <c r="AB51" s="3">
        <v>44740</v>
      </c>
      <c r="AC51" s="80" t="s">
        <v>1339</v>
      </c>
      <c r="AD51"/>
      <c r="AE51" s="274">
        <v>44691</v>
      </c>
      <c r="AF51" t="s">
        <v>3198</v>
      </c>
      <c r="AG51"/>
      <c r="AH51"/>
      <c r="AI51"/>
      <c r="AJ51" s="2"/>
      <c r="AK51"/>
      <c r="AL51"/>
      <c r="AM51" s="74"/>
      <c r="AN51"/>
      <c r="AO51"/>
      <c r="AP51"/>
      <c r="AQ51"/>
      <c r="AR51"/>
      <c r="AS51"/>
      <c r="AT51" s="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</row>
    <row r="52" spans="1:139" s="176" customFormat="1">
      <c r="A52" s="172">
        <v>51</v>
      </c>
      <c r="B52" s="176" t="s">
        <v>52</v>
      </c>
      <c r="C52" s="174">
        <v>44629</v>
      </c>
      <c r="D52" s="172" t="s">
        <v>256</v>
      </c>
      <c r="E52" s="172"/>
      <c r="F52" s="249" t="s">
        <v>155</v>
      </c>
      <c r="G52" s="249" t="s">
        <v>138</v>
      </c>
      <c r="H52" s="250" t="s">
        <v>227</v>
      </c>
      <c r="I52" s="251" t="s">
        <v>203</v>
      </c>
      <c r="J52" s="296">
        <v>631130911</v>
      </c>
      <c r="K52" s="296" t="s">
        <v>5906</v>
      </c>
      <c r="L52" s="176" t="s">
        <v>4432</v>
      </c>
      <c r="M52" s="252">
        <v>44651</v>
      </c>
      <c r="N52" s="172" t="s">
        <v>35</v>
      </c>
      <c r="O52" s="1"/>
      <c r="P52" s="177" t="s">
        <v>6523</v>
      </c>
      <c r="Q52" s="253">
        <v>41.32</v>
      </c>
      <c r="R52" s="172">
        <v>1</v>
      </c>
      <c r="S52" s="179">
        <v>0.21</v>
      </c>
      <c r="T52" s="179">
        <v>0</v>
      </c>
      <c r="V52" s="180">
        <f t="shared" si="1"/>
        <v>49.997199999999999</v>
      </c>
      <c r="W52" s="176" t="s">
        <v>85</v>
      </c>
      <c r="X52" s="175"/>
      <c r="Y52" s="174"/>
      <c r="Z52" s="174"/>
      <c r="AA52" s="284" t="s">
        <v>1326</v>
      </c>
      <c r="AF52" s="176" t="s">
        <v>3198</v>
      </c>
      <c r="AI52" s="176" t="s">
        <v>6386</v>
      </c>
      <c r="AJ52" s="174"/>
      <c r="AM52" s="282"/>
      <c r="AT52" s="172"/>
    </row>
    <row r="53" spans="1:139">
      <c r="A53" s="1">
        <v>52</v>
      </c>
      <c r="B53" s="61" t="s">
        <v>33</v>
      </c>
      <c r="C53" s="2">
        <v>44622</v>
      </c>
      <c r="D53" s="1" t="s">
        <v>2669</v>
      </c>
      <c r="E53" s="1"/>
      <c r="F53" s="61" t="s">
        <v>2670</v>
      </c>
      <c r="G53" s="61" t="s">
        <v>3850</v>
      </c>
      <c r="H53" s="6" t="s">
        <v>304</v>
      </c>
      <c r="I53" s="1" t="s">
        <v>3851</v>
      </c>
      <c r="K53" t="s">
        <v>8186</v>
      </c>
      <c r="L53" t="s">
        <v>237</v>
      </c>
      <c r="M53" s="3">
        <v>44651</v>
      </c>
      <c r="N53" s="1" t="s">
        <v>35</v>
      </c>
      <c r="O53" s="1"/>
      <c r="P53" s="14" t="s">
        <v>6524</v>
      </c>
      <c r="Q53" s="92">
        <v>125</v>
      </c>
      <c r="R53" s="1">
        <v>1</v>
      </c>
      <c r="S53" s="90">
        <v>0.21</v>
      </c>
      <c r="T53" s="128">
        <v>0.2</v>
      </c>
      <c r="U53" s="1"/>
      <c r="V53" s="95">
        <f t="shared" si="1"/>
        <v>121</v>
      </c>
      <c r="W53" t="s">
        <v>6733</v>
      </c>
      <c r="X53" s="6" t="s">
        <v>6732</v>
      </c>
      <c r="Y53" s="2">
        <v>32498</v>
      </c>
      <c r="Z53" s="2">
        <v>44622</v>
      </c>
      <c r="AA53" s="284" t="s">
        <v>7191</v>
      </c>
      <c r="AB53" s="3">
        <v>44762</v>
      </c>
      <c r="AC53" s="80" t="s">
        <v>1339</v>
      </c>
      <c r="AF53" t="s">
        <v>3198</v>
      </c>
      <c r="AI53" t="s">
        <v>3108</v>
      </c>
      <c r="AJ53" s="2">
        <v>44655</v>
      </c>
      <c r="AK53" s="2"/>
      <c r="AL53"/>
      <c r="AM53" s="74">
        <v>44658</v>
      </c>
      <c r="AS53"/>
      <c r="AT53" s="1"/>
    </row>
    <row r="54" spans="1:139">
      <c r="A54" s="1">
        <v>53</v>
      </c>
      <c r="B54" s="61" t="s">
        <v>1414</v>
      </c>
      <c r="C54" s="2">
        <v>44623</v>
      </c>
      <c r="D54" t="s">
        <v>2781</v>
      </c>
      <c r="F54" s="14" t="s">
        <v>229</v>
      </c>
      <c r="G54" t="s">
        <v>4023</v>
      </c>
      <c r="H54" s="6" t="s">
        <v>230</v>
      </c>
      <c r="I54" t="s">
        <v>1262</v>
      </c>
      <c r="J54" s="8">
        <v>637571817</v>
      </c>
      <c r="K54" s="8"/>
      <c r="L54" t="s">
        <v>2781</v>
      </c>
      <c r="M54" s="3">
        <v>44651</v>
      </c>
      <c r="N54" s="1" t="s">
        <v>35</v>
      </c>
      <c r="O54" s="1"/>
      <c r="P54" s="14" t="s">
        <v>6635</v>
      </c>
      <c r="Q54" s="163">
        <v>125</v>
      </c>
      <c r="R54" s="1">
        <v>1</v>
      </c>
      <c r="S54" s="90">
        <v>0.21</v>
      </c>
      <c r="T54" s="90">
        <v>0.2</v>
      </c>
      <c r="V54" s="95">
        <f t="shared" si="1"/>
        <v>121</v>
      </c>
      <c r="W54" t="s">
        <v>6633</v>
      </c>
      <c r="X54" s="6" t="s">
        <v>6634</v>
      </c>
      <c r="Y54" s="2">
        <v>36156</v>
      </c>
      <c r="Z54" s="2">
        <v>44623</v>
      </c>
      <c r="AA54" s="284" t="s">
        <v>7347</v>
      </c>
      <c r="AB54" s="3">
        <v>44831</v>
      </c>
      <c r="AC54" s="80" t="s">
        <v>1339</v>
      </c>
      <c r="AE54" s="274">
        <v>44741</v>
      </c>
      <c r="AF54" t="s">
        <v>3198</v>
      </c>
      <c r="AI54" t="s">
        <v>3221</v>
      </c>
      <c r="AJ54" s="2">
        <v>44641</v>
      </c>
      <c r="AK54" s="146" t="s">
        <v>6617</v>
      </c>
      <c r="AL54" s="162">
        <v>44693</v>
      </c>
      <c r="AM54" s="74">
        <v>44652</v>
      </c>
      <c r="AS54"/>
      <c r="AT54" s="1"/>
    </row>
    <row r="55" spans="1:139">
      <c r="A55" s="1">
        <v>54</v>
      </c>
      <c r="B55" s="61" t="s">
        <v>1414</v>
      </c>
      <c r="C55" s="2">
        <v>44623</v>
      </c>
      <c r="D55" s="1" t="s">
        <v>2776</v>
      </c>
      <c r="E55" s="1"/>
      <c r="F55" s="61" t="s">
        <v>4338</v>
      </c>
      <c r="G55" s="61" t="s">
        <v>4339</v>
      </c>
      <c r="H55" s="6" t="s">
        <v>221</v>
      </c>
      <c r="I55" s="1" t="s">
        <v>34</v>
      </c>
      <c r="J55" s="8">
        <v>653915166</v>
      </c>
      <c r="K55" s="8" t="s">
        <v>6525</v>
      </c>
      <c r="L55" t="s">
        <v>2776</v>
      </c>
      <c r="M55" s="3">
        <v>44651</v>
      </c>
      <c r="N55" s="1" t="s">
        <v>35</v>
      </c>
      <c r="O55" s="1"/>
      <c r="P55" s="14" t="s">
        <v>6526</v>
      </c>
      <c r="Q55" s="163">
        <v>125</v>
      </c>
      <c r="R55" s="1">
        <v>1</v>
      </c>
      <c r="S55" s="128">
        <v>0.21</v>
      </c>
      <c r="T55" s="128">
        <v>0.2</v>
      </c>
      <c r="V55" s="95">
        <f t="shared" si="1"/>
        <v>121</v>
      </c>
      <c r="W55" t="s">
        <v>6632</v>
      </c>
      <c r="X55" s="6" t="s">
        <v>6631</v>
      </c>
      <c r="Y55" s="2">
        <v>32509</v>
      </c>
      <c r="Z55" s="2">
        <v>44623</v>
      </c>
      <c r="AA55" s="284" t="s">
        <v>7264</v>
      </c>
      <c r="AB55" s="3">
        <v>44799</v>
      </c>
      <c r="AC55" s="80" t="s">
        <v>1339</v>
      </c>
      <c r="AE55" s="162">
        <v>44718</v>
      </c>
      <c r="AF55" t="s">
        <v>3198</v>
      </c>
      <c r="AI55" t="s">
        <v>6527</v>
      </c>
      <c r="AJ55" s="2">
        <v>44641</v>
      </c>
      <c r="AK55" s="146" t="s">
        <v>6617</v>
      </c>
      <c r="AL55" s="162">
        <v>44678</v>
      </c>
      <c r="AM55" s="74">
        <v>44650</v>
      </c>
      <c r="AS55"/>
      <c r="AT55" s="1"/>
    </row>
    <row r="56" spans="1:139" s="196" customFormat="1">
      <c r="A56" s="1">
        <v>55</v>
      </c>
      <c r="B56" t="s">
        <v>1414</v>
      </c>
      <c r="C56" s="2">
        <v>44624</v>
      </c>
      <c r="D56" s="1" t="s">
        <v>1407</v>
      </c>
      <c r="E56" s="1"/>
      <c r="F56" t="s">
        <v>1408</v>
      </c>
      <c r="G56" s="61" t="s">
        <v>1409</v>
      </c>
      <c r="H56" s="6" t="s">
        <v>227</v>
      </c>
      <c r="I56" s="1" t="s">
        <v>203</v>
      </c>
      <c r="J56" s="8"/>
      <c r="K56" s="8" t="s">
        <v>6528</v>
      </c>
      <c r="L56" t="s">
        <v>1407</v>
      </c>
      <c r="M56" s="3">
        <v>44651</v>
      </c>
      <c r="N56" s="1" t="s">
        <v>35</v>
      </c>
      <c r="O56" s="1"/>
      <c r="P56" s="14" t="s">
        <v>6529</v>
      </c>
      <c r="Q56" s="187">
        <v>125</v>
      </c>
      <c r="R56" s="1">
        <v>1</v>
      </c>
      <c r="S56" s="128">
        <v>0.21</v>
      </c>
      <c r="T56" s="128">
        <v>0.2</v>
      </c>
      <c r="U56"/>
      <c r="V56" s="95">
        <f t="shared" si="1"/>
        <v>121</v>
      </c>
      <c r="W56" t="s">
        <v>6710</v>
      </c>
      <c r="X56" s="6" t="s">
        <v>6711</v>
      </c>
      <c r="Y56" s="2">
        <v>34719</v>
      </c>
      <c r="Z56" s="2">
        <v>44624</v>
      </c>
      <c r="AA56" s="284" t="s">
        <v>7196</v>
      </c>
      <c r="AB56" s="3">
        <v>44763</v>
      </c>
      <c r="AC56" s="80" t="s">
        <v>1339</v>
      </c>
      <c r="AD56"/>
      <c r="AE56"/>
      <c r="AF56" t="s">
        <v>3198</v>
      </c>
      <c r="AG56"/>
      <c r="AH56"/>
      <c r="AI56" t="s">
        <v>6530</v>
      </c>
      <c r="AJ56" s="3">
        <v>44651</v>
      </c>
      <c r="AK56" s="146" t="s">
        <v>7146</v>
      </c>
      <c r="AL56" s="162">
        <v>44749</v>
      </c>
      <c r="AM56" s="74">
        <v>44664</v>
      </c>
      <c r="AN56"/>
      <c r="AO56"/>
      <c r="AP56"/>
      <c r="AQ56"/>
      <c r="AR56"/>
      <c r="AS56"/>
      <c r="AT56" s="1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</row>
    <row r="57" spans="1:139">
      <c r="A57" s="1">
        <v>56</v>
      </c>
      <c r="B57" s="61" t="s">
        <v>6452</v>
      </c>
      <c r="C57" s="2">
        <v>44628</v>
      </c>
      <c r="D57" s="1" t="s">
        <v>6534</v>
      </c>
      <c r="E57" s="1"/>
      <c r="F57" t="s">
        <v>6535</v>
      </c>
      <c r="G57" s="61" t="s">
        <v>6536</v>
      </c>
      <c r="H57" s="6" t="s">
        <v>4929</v>
      </c>
      <c r="I57" s="1" t="s">
        <v>6537</v>
      </c>
      <c r="J57" s="44">
        <v>699378832</v>
      </c>
      <c r="K57" s="44" t="s">
        <v>6538</v>
      </c>
      <c r="L57" t="s">
        <v>6534</v>
      </c>
      <c r="M57" s="3">
        <v>44651</v>
      </c>
      <c r="N57" s="1" t="s">
        <v>35</v>
      </c>
      <c r="O57" s="1"/>
      <c r="P57" s="14" t="s">
        <v>6533</v>
      </c>
      <c r="Q57" s="187">
        <v>125</v>
      </c>
      <c r="R57" s="1">
        <v>1</v>
      </c>
      <c r="S57" s="128">
        <v>0.21</v>
      </c>
      <c r="T57" s="128">
        <v>0.2</v>
      </c>
      <c r="V57" s="95">
        <f t="shared" si="1"/>
        <v>121</v>
      </c>
      <c r="W57" t="s">
        <v>6725</v>
      </c>
      <c r="X57" s="6" t="s">
        <v>6724</v>
      </c>
      <c r="Y57" s="2">
        <v>27298</v>
      </c>
      <c r="Z57" s="2">
        <v>44628</v>
      </c>
      <c r="AA57" s="284" t="s">
        <v>7197</v>
      </c>
      <c r="AB57" s="3">
        <v>44763</v>
      </c>
      <c r="AC57" s="80" t="s">
        <v>1339</v>
      </c>
      <c r="AE57" s="3"/>
      <c r="AF57" t="s">
        <v>3198</v>
      </c>
      <c r="AI57" t="s">
        <v>6776</v>
      </c>
      <c r="AJ57" s="2">
        <v>44652</v>
      </c>
      <c r="AL57"/>
      <c r="AM57" s="74">
        <v>44664</v>
      </c>
      <c r="AS57"/>
      <c r="AT57" s="1"/>
    </row>
    <row r="58" spans="1:139">
      <c r="A58" s="1">
        <v>57</v>
      </c>
      <c r="B58" s="61" t="s">
        <v>37</v>
      </c>
      <c r="C58" s="2">
        <v>44629</v>
      </c>
      <c r="D58" s="1" t="s">
        <v>1263</v>
      </c>
      <c r="E58" s="1"/>
      <c r="F58" s="61" t="s">
        <v>1264</v>
      </c>
      <c r="G58" s="61" t="s">
        <v>6556</v>
      </c>
      <c r="H58" s="6" t="s">
        <v>1257</v>
      </c>
      <c r="I58" s="1" t="s">
        <v>1266</v>
      </c>
      <c r="J58" s="8">
        <v>642939932</v>
      </c>
      <c r="K58" s="8"/>
      <c r="L58" t="s">
        <v>1263</v>
      </c>
      <c r="M58" s="3">
        <v>44651</v>
      </c>
      <c r="N58" s="1" t="s">
        <v>35</v>
      </c>
      <c r="O58" s="1"/>
      <c r="P58" t="s">
        <v>6557</v>
      </c>
      <c r="Q58" s="92">
        <v>75</v>
      </c>
      <c r="R58" s="1">
        <v>1</v>
      </c>
      <c r="S58" s="90">
        <v>0.21</v>
      </c>
      <c r="T58" s="128">
        <v>0.2</v>
      </c>
      <c r="U58" s="1"/>
      <c r="V58" s="95">
        <f t="shared" si="1"/>
        <v>72.599999999999994</v>
      </c>
      <c r="W58" t="s">
        <v>1263</v>
      </c>
      <c r="X58" s="6" t="s">
        <v>6558</v>
      </c>
      <c r="Y58" s="2">
        <v>27171</v>
      </c>
      <c r="Z58" s="2">
        <v>44629</v>
      </c>
      <c r="AA58" s="284" t="s">
        <v>6832</v>
      </c>
      <c r="AB58" s="2">
        <v>44679</v>
      </c>
      <c r="AC58" s="80" t="s">
        <v>1339</v>
      </c>
      <c r="AF58" t="s">
        <v>3198</v>
      </c>
      <c r="AJ58" s="1"/>
      <c r="AK58" s="1"/>
      <c r="AL58"/>
      <c r="AM58" s="8"/>
      <c r="AS58"/>
      <c r="AT58" s="1"/>
    </row>
    <row r="59" spans="1:139">
      <c r="A59" s="1">
        <v>58</v>
      </c>
      <c r="B59" s="61" t="s">
        <v>4203</v>
      </c>
      <c r="C59" s="2">
        <v>44630</v>
      </c>
      <c r="D59" s="1" t="s">
        <v>4208</v>
      </c>
      <c r="E59" s="1"/>
      <c r="F59" s="61" t="s">
        <v>4237</v>
      </c>
      <c r="G59" s="61" t="s">
        <v>4209</v>
      </c>
      <c r="H59" s="6" t="s">
        <v>219</v>
      </c>
      <c r="I59" s="1" t="s">
        <v>38</v>
      </c>
      <c r="J59" s="8">
        <v>637820632</v>
      </c>
      <c r="K59" s="8" t="s">
        <v>5942</v>
      </c>
      <c r="L59" t="s">
        <v>4208</v>
      </c>
      <c r="M59" s="3">
        <v>44651</v>
      </c>
      <c r="N59" s="1" t="s">
        <v>35</v>
      </c>
      <c r="O59" s="1"/>
      <c r="P59" s="14" t="s">
        <v>6568</v>
      </c>
      <c r="Q59" s="144">
        <v>75</v>
      </c>
      <c r="R59" s="1">
        <v>1</v>
      </c>
      <c r="S59" s="90">
        <v>0.21</v>
      </c>
      <c r="T59" s="90">
        <v>0.2</v>
      </c>
      <c r="U59" s="72"/>
      <c r="V59" s="95">
        <f t="shared" si="1"/>
        <v>72.599999999999994</v>
      </c>
      <c r="W59" t="s">
        <v>4236</v>
      </c>
      <c r="X59" s="161" t="s">
        <v>6569</v>
      </c>
      <c r="Y59" s="2">
        <v>31326</v>
      </c>
      <c r="Z59" s="2">
        <v>44630</v>
      </c>
      <c r="AA59" s="284" t="s">
        <v>6891</v>
      </c>
      <c r="AB59" s="2">
        <v>44694</v>
      </c>
      <c r="AC59" s="80" t="s">
        <v>1339</v>
      </c>
      <c r="AF59" t="s">
        <v>3198</v>
      </c>
      <c r="AJ59" s="2"/>
      <c r="AK59" s="1"/>
      <c r="AL59"/>
      <c r="AM59" s="74">
        <v>44125</v>
      </c>
      <c r="AS59"/>
      <c r="AT59" s="1"/>
    </row>
    <row r="60" spans="1:139">
      <c r="A60" s="1">
        <v>59</v>
      </c>
      <c r="B60" t="s">
        <v>52</v>
      </c>
      <c r="C60" s="2">
        <v>44630</v>
      </c>
      <c r="D60" s="1" t="s">
        <v>256</v>
      </c>
      <c r="E60" s="1"/>
      <c r="F60" s="31" t="s">
        <v>155</v>
      </c>
      <c r="G60" s="31" t="s">
        <v>138</v>
      </c>
      <c r="H60" s="33" t="s">
        <v>227</v>
      </c>
      <c r="I60" s="30" t="s">
        <v>203</v>
      </c>
      <c r="J60" s="44">
        <v>631130911</v>
      </c>
      <c r="K60" s="44" t="s">
        <v>5906</v>
      </c>
      <c r="L60" t="s">
        <v>4432</v>
      </c>
      <c r="M60" s="3">
        <v>44651</v>
      </c>
      <c r="N60" s="1" t="s">
        <v>35</v>
      </c>
      <c r="O60" s="1"/>
      <c r="P60" s="14" t="s">
        <v>6570</v>
      </c>
      <c r="Q60" s="187">
        <v>125</v>
      </c>
      <c r="R60" s="1">
        <v>1</v>
      </c>
      <c r="S60" s="90">
        <v>0.21</v>
      </c>
      <c r="T60" s="90">
        <v>0.2</v>
      </c>
      <c r="V60" s="95">
        <f t="shared" si="1"/>
        <v>121</v>
      </c>
      <c r="W60" t="s">
        <v>6571</v>
      </c>
      <c r="X60" s="6" t="s">
        <v>6743</v>
      </c>
      <c r="Y60" s="2">
        <v>28378</v>
      </c>
      <c r="Z60" s="2">
        <v>44630</v>
      </c>
      <c r="AA60" s="284" t="s">
        <v>7509</v>
      </c>
      <c r="AB60" s="3">
        <v>44853</v>
      </c>
      <c r="AC60" s="80" t="s">
        <v>1339</v>
      </c>
      <c r="AE60" s="162">
        <v>44775</v>
      </c>
      <c r="AF60" t="s">
        <v>3198</v>
      </c>
      <c r="AI60" t="s">
        <v>6744</v>
      </c>
      <c r="AJ60" s="2">
        <v>44657</v>
      </c>
      <c r="AL60"/>
      <c r="AM60" s="74">
        <v>44659</v>
      </c>
      <c r="AS60"/>
      <c r="AT60" s="1"/>
    </row>
    <row r="61" spans="1:139">
      <c r="A61" s="1">
        <v>60</v>
      </c>
      <c r="B61" t="s">
        <v>52</v>
      </c>
      <c r="C61" s="2">
        <v>44631</v>
      </c>
      <c r="D61" s="1" t="s">
        <v>256</v>
      </c>
      <c r="E61" s="1"/>
      <c r="F61" s="31" t="s">
        <v>155</v>
      </c>
      <c r="G61" s="31" t="s">
        <v>138</v>
      </c>
      <c r="H61" s="33" t="s">
        <v>227</v>
      </c>
      <c r="I61" s="30" t="s">
        <v>203</v>
      </c>
      <c r="J61" s="44">
        <v>631130911</v>
      </c>
      <c r="K61" s="44" t="s">
        <v>5906</v>
      </c>
      <c r="L61" t="s">
        <v>4432</v>
      </c>
      <c r="M61" s="3">
        <v>44651</v>
      </c>
      <c r="N61" s="1" t="s">
        <v>35</v>
      </c>
      <c r="O61" s="1"/>
      <c r="P61" s="14" t="s">
        <v>6572</v>
      </c>
      <c r="Q61" s="187">
        <v>125</v>
      </c>
      <c r="R61" s="1">
        <v>1</v>
      </c>
      <c r="S61" s="90">
        <v>0.21</v>
      </c>
      <c r="T61" s="90">
        <v>0.2</v>
      </c>
      <c r="V61" s="95">
        <f t="shared" si="1"/>
        <v>121</v>
      </c>
      <c r="W61" t="s">
        <v>6741</v>
      </c>
      <c r="X61" s="6" t="s">
        <v>6740</v>
      </c>
      <c r="Y61" s="2">
        <v>28378</v>
      </c>
      <c r="Z61" s="2">
        <v>44631</v>
      </c>
      <c r="AA61" s="284" t="s">
        <v>7209</v>
      </c>
      <c r="AB61" s="3">
        <v>44770</v>
      </c>
      <c r="AC61" s="80" t="s">
        <v>1339</v>
      </c>
      <c r="AF61" t="s">
        <v>3198</v>
      </c>
      <c r="AI61" t="s">
        <v>6777</v>
      </c>
      <c r="AJ61" s="2">
        <v>44657</v>
      </c>
      <c r="AK61" t="s">
        <v>7200</v>
      </c>
      <c r="AL61" s="3">
        <v>44764</v>
      </c>
      <c r="AM61" s="74">
        <v>44664</v>
      </c>
      <c r="AS61"/>
      <c r="AT61" s="1"/>
    </row>
    <row r="62" spans="1:139">
      <c r="A62" s="1">
        <v>61</v>
      </c>
      <c r="B62" s="61" t="s">
        <v>4203</v>
      </c>
      <c r="C62" s="2">
        <v>44631</v>
      </c>
      <c r="D62" s="1" t="s">
        <v>6574</v>
      </c>
      <c r="E62" s="1"/>
      <c r="F62" t="s">
        <v>6575</v>
      </c>
      <c r="G62" s="61" t="s">
        <v>6576</v>
      </c>
      <c r="H62" s="6" t="s">
        <v>4299</v>
      </c>
      <c r="I62" s="1" t="s">
        <v>38</v>
      </c>
      <c r="J62" s="8">
        <v>637820632</v>
      </c>
      <c r="K62" s="8" t="s">
        <v>5942</v>
      </c>
      <c r="L62" t="s">
        <v>6574</v>
      </c>
      <c r="M62" s="3">
        <v>44651</v>
      </c>
      <c r="N62" s="1" t="s">
        <v>35</v>
      </c>
      <c r="O62" s="1"/>
      <c r="P62" s="14" t="s">
        <v>6577</v>
      </c>
      <c r="Q62" s="187">
        <v>75</v>
      </c>
      <c r="R62" s="1">
        <v>1</v>
      </c>
      <c r="S62" s="128">
        <v>0.21</v>
      </c>
      <c r="T62" s="128">
        <v>0.2</v>
      </c>
      <c r="V62" s="95">
        <f t="shared" si="1"/>
        <v>72.599999999999994</v>
      </c>
      <c r="W62" t="s">
        <v>2221</v>
      </c>
      <c r="X62" s="6" t="s">
        <v>6578</v>
      </c>
      <c r="Y62" s="2">
        <v>35410</v>
      </c>
      <c r="Z62" s="2">
        <v>44631</v>
      </c>
      <c r="AA62" s="284" t="s">
        <v>6941</v>
      </c>
      <c r="AB62" s="2">
        <v>44700</v>
      </c>
      <c r="AC62" s="80" t="s">
        <v>1339</v>
      </c>
      <c r="AF62" t="s">
        <v>3198</v>
      </c>
      <c r="AI62"/>
      <c r="AJ62" s="2"/>
      <c r="AL62"/>
      <c r="AM62" s="74"/>
      <c r="AS62"/>
      <c r="AT62" s="1"/>
    </row>
    <row r="63" spans="1:139">
      <c r="A63" s="1">
        <v>62</v>
      </c>
      <c r="B63" s="61" t="s">
        <v>1414</v>
      </c>
      <c r="C63" s="2">
        <v>44631</v>
      </c>
      <c r="D63" s="1" t="s">
        <v>1079</v>
      </c>
      <c r="E63" s="1"/>
      <c r="F63" t="s">
        <v>41</v>
      </c>
      <c r="G63" s="61" t="s">
        <v>2115</v>
      </c>
      <c r="H63" s="1" t="s">
        <v>230</v>
      </c>
      <c r="I63" t="s">
        <v>1262</v>
      </c>
      <c r="J63" s="8">
        <v>631212115</v>
      </c>
      <c r="K63" s="8" t="s">
        <v>6306</v>
      </c>
      <c r="L63" t="s">
        <v>1079</v>
      </c>
      <c r="M63" s="3">
        <v>44651</v>
      </c>
      <c r="N63" s="1" t="s">
        <v>35</v>
      </c>
      <c r="O63" s="1"/>
      <c r="P63" s="14" t="s">
        <v>6579</v>
      </c>
      <c r="Q63" s="144">
        <v>75</v>
      </c>
      <c r="R63" s="1">
        <v>1</v>
      </c>
      <c r="S63" s="90">
        <v>0.21</v>
      </c>
      <c r="T63" s="90">
        <v>0.2</v>
      </c>
      <c r="U63" s="1"/>
      <c r="V63" s="95">
        <f t="shared" si="1"/>
        <v>72.599999999999994</v>
      </c>
      <c r="W63" t="s">
        <v>2117</v>
      </c>
      <c r="X63" s="87" t="s">
        <v>6580</v>
      </c>
      <c r="Y63" s="2">
        <v>36758</v>
      </c>
      <c r="Z63" s="2">
        <v>44631</v>
      </c>
      <c r="AA63" s="284" t="s">
        <v>6941</v>
      </c>
      <c r="AB63" s="2">
        <v>44700</v>
      </c>
      <c r="AC63" s="80" t="s">
        <v>1339</v>
      </c>
      <c r="AF63" t="s">
        <v>3198</v>
      </c>
      <c r="AJ63" s="2"/>
      <c r="AK63" s="1"/>
      <c r="AL63"/>
      <c r="AM63" s="74"/>
      <c r="AS63"/>
      <c r="AT63" s="1"/>
    </row>
    <row r="64" spans="1:139">
      <c r="A64" s="1">
        <v>63</v>
      </c>
      <c r="B64" s="61" t="s">
        <v>37</v>
      </c>
      <c r="C64" s="2">
        <v>44631</v>
      </c>
      <c r="D64" t="s">
        <v>6738</v>
      </c>
      <c r="F64" t="s">
        <v>6593</v>
      </c>
      <c r="G64" s="61" t="s">
        <v>6594</v>
      </c>
      <c r="H64" s="6" t="s">
        <v>219</v>
      </c>
      <c r="I64" s="1" t="s">
        <v>38</v>
      </c>
      <c r="J64" s="8">
        <v>632172771</v>
      </c>
      <c r="K64" s="8"/>
      <c r="L64" t="s">
        <v>6738</v>
      </c>
      <c r="M64" s="3">
        <v>44651</v>
      </c>
      <c r="N64" s="1" t="s">
        <v>35</v>
      </c>
      <c r="O64" s="1"/>
      <c r="P64" s="14" t="s">
        <v>6595</v>
      </c>
      <c r="Q64" s="187">
        <v>125</v>
      </c>
      <c r="R64" s="1">
        <v>1</v>
      </c>
      <c r="S64" s="128">
        <v>0.21</v>
      </c>
      <c r="T64" s="128">
        <v>0</v>
      </c>
      <c r="V64" s="95">
        <f t="shared" si="1"/>
        <v>151.25</v>
      </c>
      <c r="W64" t="s">
        <v>6738</v>
      </c>
      <c r="X64" s="6" t="s">
        <v>6739</v>
      </c>
      <c r="Y64" s="2">
        <v>33039</v>
      </c>
      <c r="Z64" s="2">
        <v>44631</v>
      </c>
      <c r="AA64" s="284" t="s">
        <v>7209</v>
      </c>
      <c r="AB64" s="3">
        <v>44770</v>
      </c>
      <c r="AC64" s="80" t="s">
        <v>1339</v>
      </c>
      <c r="AF64" t="s">
        <v>3198</v>
      </c>
      <c r="AI64" t="s">
        <v>6596</v>
      </c>
      <c r="AJ64" s="2">
        <v>44657</v>
      </c>
      <c r="AL64"/>
      <c r="AM64" s="74">
        <v>44669</v>
      </c>
      <c r="AS64"/>
      <c r="AT64" s="1"/>
    </row>
    <row r="65" spans="1:139">
      <c r="A65" s="1">
        <v>64</v>
      </c>
      <c r="B65" s="61" t="s">
        <v>6598</v>
      </c>
      <c r="C65" s="2">
        <v>44634</v>
      </c>
      <c r="D65" s="1" t="s">
        <v>6599</v>
      </c>
      <c r="E65" s="1"/>
      <c r="F65" s="14" t="s">
        <v>6600</v>
      </c>
      <c r="G65" s="61" t="s">
        <v>6601</v>
      </c>
      <c r="H65" s="6" t="s">
        <v>5141</v>
      </c>
      <c r="I65" s="1" t="s">
        <v>5142</v>
      </c>
      <c r="J65" s="8">
        <v>637733863</v>
      </c>
      <c r="K65" s="8"/>
      <c r="L65" t="s">
        <v>6599</v>
      </c>
      <c r="M65" s="3">
        <v>44651</v>
      </c>
      <c r="N65" s="1" t="s">
        <v>35</v>
      </c>
      <c r="O65" s="1"/>
      <c r="P65" s="14" t="s">
        <v>6602</v>
      </c>
      <c r="Q65" s="187">
        <v>125</v>
      </c>
      <c r="R65" s="1">
        <v>1</v>
      </c>
      <c r="S65" s="128">
        <v>0.21</v>
      </c>
      <c r="T65" s="128">
        <v>0.2</v>
      </c>
      <c r="V65" s="95">
        <f t="shared" si="1"/>
        <v>121</v>
      </c>
      <c r="W65" t="s">
        <v>6769</v>
      </c>
      <c r="X65" s="6" t="s">
        <v>6770</v>
      </c>
      <c r="Y65" s="2">
        <v>35132</v>
      </c>
      <c r="Z65" s="2">
        <v>44634</v>
      </c>
      <c r="AA65" s="284" t="s">
        <v>7263</v>
      </c>
      <c r="AB65" s="3">
        <v>44792</v>
      </c>
      <c r="AC65" s="80" t="s">
        <v>1339</v>
      </c>
      <c r="AD65" t="s">
        <v>6604</v>
      </c>
      <c r="AF65" t="s">
        <v>3198</v>
      </c>
      <c r="AI65" t="s">
        <v>6603</v>
      </c>
      <c r="AJ65" s="2">
        <v>44663</v>
      </c>
      <c r="AL65"/>
      <c r="AM65" s="74">
        <v>44671</v>
      </c>
      <c r="AS65"/>
      <c r="AT65" s="1"/>
    </row>
    <row r="66" spans="1:139">
      <c r="A66" s="1">
        <v>65</v>
      </c>
      <c r="B66" s="61" t="s">
        <v>4203</v>
      </c>
      <c r="C66" s="2">
        <v>44636</v>
      </c>
      <c r="D66" s="1" t="s">
        <v>4297</v>
      </c>
      <c r="E66" s="1"/>
      <c r="F66" s="160" t="s">
        <v>2218</v>
      </c>
      <c r="G66" s="160" t="s">
        <v>6301</v>
      </c>
      <c r="H66" s="166" t="s">
        <v>4299</v>
      </c>
      <c r="I66" s="164" t="s">
        <v>38</v>
      </c>
      <c r="J66" s="297">
        <v>649287284</v>
      </c>
      <c r="K66" s="297" t="s">
        <v>5942</v>
      </c>
      <c r="L66" s="81" t="s">
        <v>4297</v>
      </c>
      <c r="M66" s="3">
        <v>44651</v>
      </c>
      <c r="N66" s="1" t="s">
        <v>35</v>
      </c>
      <c r="O66" s="1"/>
      <c r="P66" s="14" t="s">
        <v>6608</v>
      </c>
      <c r="Q66" s="144">
        <v>125</v>
      </c>
      <c r="R66" s="1">
        <v>1</v>
      </c>
      <c r="S66" s="90">
        <v>0.21</v>
      </c>
      <c r="T66" s="90">
        <v>0.2</v>
      </c>
      <c r="U66" s="72"/>
      <c r="V66" s="95">
        <f t="shared" ref="V66:V97" si="2">SUM(Q66-(Q66*T66))*S66+(Q66-(Q66*T66))</f>
        <v>121</v>
      </c>
      <c r="W66" t="s">
        <v>6714</v>
      </c>
      <c r="X66" s="6" t="s">
        <v>6715</v>
      </c>
      <c r="Y66" s="2">
        <v>37741</v>
      </c>
      <c r="Z66" s="2">
        <v>44636</v>
      </c>
      <c r="AA66" s="284" t="s">
        <v>7270</v>
      </c>
      <c r="AB66" s="3">
        <v>44802</v>
      </c>
      <c r="AC66" s="80" t="s">
        <v>1339</v>
      </c>
      <c r="AE66" s="162">
        <v>44718</v>
      </c>
      <c r="AF66" t="s">
        <v>3198</v>
      </c>
      <c r="AI66" t="s">
        <v>3221</v>
      </c>
      <c r="AJ66" s="2">
        <v>44651</v>
      </c>
      <c r="AK66" s="1"/>
      <c r="AL66"/>
      <c r="AM66" s="74">
        <v>44652</v>
      </c>
      <c r="AS66"/>
      <c r="AT66" s="1"/>
    </row>
    <row r="67" spans="1:139">
      <c r="A67" s="1">
        <v>66</v>
      </c>
      <c r="B67" s="61" t="s">
        <v>37</v>
      </c>
      <c r="C67" s="2">
        <v>44636</v>
      </c>
      <c r="D67" s="2" t="s">
        <v>6609</v>
      </c>
      <c r="E67" s="2"/>
      <c r="F67" t="s">
        <v>6610</v>
      </c>
      <c r="G67" s="61" t="s">
        <v>6611</v>
      </c>
      <c r="H67" s="6" t="s">
        <v>6612</v>
      </c>
      <c r="I67" s="1" t="s">
        <v>6613</v>
      </c>
      <c r="J67" s="8">
        <v>617073486</v>
      </c>
      <c r="K67" s="8" t="s">
        <v>6296</v>
      </c>
      <c r="L67" s="3" t="s">
        <v>6609</v>
      </c>
      <c r="M67" s="3">
        <v>44651</v>
      </c>
      <c r="N67" s="1" t="s">
        <v>35</v>
      </c>
      <c r="O67" s="1"/>
      <c r="P67" t="s">
        <v>6614</v>
      </c>
      <c r="Q67" s="187">
        <v>125</v>
      </c>
      <c r="R67" s="1">
        <v>1</v>
      </c>
      <c r="S67" s="128">
        <v>0.21</v>
      </c>
      <c r="T67" s="128">
        <v>0</v>
      </c>
      <c r="V67" s="95">
        <f t="shared" si="2"/>
        <v>151.25</v>
      </c>
      <c r="W67" t="s">
        <v>126</v>
      </c>
      <c r="X67" s="6" t="s">
        <v>7020</v>
      </c>
      <c r="Y67" s="2">
        <v>34238</v>
      </c>
      <c r="Z67" s="2">
        <v>44636</v>
      </c>
      <c r="AA67" s="285"/>
      <c r="AB67" s="3"/>
      <c r="AC67" s="80"/>
      <c r="AF67" t="s">
        <v>3198</v>
      </c>
      <c r="AI67" t="s">
        <v>3221</v>
      </c>
      <c r="AJ67" s="2">
        <v>44720</v>
      </c>
      <c r="AL67"/>
      <c r="AM67" s="74">
        <v>44728</v>
      </c>
      <c r="AS67"/>
      <c r="AT67" s="1"/>
    </row>
    <row r="68" spans="1:139">
      <c r="A68" s="1">
        <v>67</v>
      </c>
      <c r="B68" s="61" t="s">
        <v>37</v>
      </c>
      <c r="C68" s="2">
        <v>44636</v>
      </c>
      <c r="D68" s="2" t="s">
        <v>6609</v>
      </c>
      <c r="E68" s="2"/>
      <c r="F68" t="s">
        <v>6610</v>
      </c>
      <c r="G68" s="61" t="s">
        <v>6611</v>
      </c>
      <c r="H68" s="6" t="s">
        <v>6612</v>
      </c>
      <c r="I68" s="1" t="s">
        <v>6613</v>
      </c>
      <c r="J68" s="8">
        <v>617073486</v>
      </c>
      <c r="K68" s="8" t="s">
        <v>6296</v>
      </c>
      <c r="L68" s="3" t="s">
        <v>6609</v>
      </c>
      <c r="M68" s="3">
        <v>44651</v>
      </c>
      <c r="N68" s="1" t="s">
        <v>35</v>
      </c>
      <c r="O68" s="1"/>
      <c r="P68" t="s">
        <v>6615</v>
      </c>
      <c r="Q68" s="187">
        <v>125</v>
      </c>
      <c r="R68" s="1">
        <v>1</v>
      </c>
      <c r="S68" s="128">
        <v>0.21</v>
      </c>
      <c r="T68" s="128">
        <v>0</v>
      </c>
      <c r="V68" s="95">
        <f t="shared" si="2"/>
        <v>151.25</v>
      </c>
      <c r="W68" t="s">
        <v>7022</v>
      </c>
      <c r="X68" s="6" t="s">
        <v>7021</v>
      </c>
      <c r="Y68" s="2">
        <v>36916</v>
      </c>
      <c r="Z68" s="2">
        <v>44636</v>
      </c>
      <c r="AA68" s="285" t="s">
        <v>7365</v>
      </c>
      <c r="AB68" s="3">
        <v>44827</v>
      </c>
      <c r="AC68" s="80" t="s">
        <v>1339</v>
      </c>
      <c r="AF68" t="s">
        <v>3198</v>
      </c>
      <c r="AI68" t="s">
        <v>3221</v>
      </c>
      <c r="AJ68" s="2">
        <v>44720</v>
      </c>
      <c r="AL68"/>
      <c r="AM68" s="74">
        <v>44728</v>
      </c>
      <c r="AS68"/>
      <c r="AT68" s="1"/>
    </row>
    <row r="69" spans="1:139">
      <c r="A69" s="1">
        <v>68</v>
      </c>
      <c r="B69" s="61" t="s">
        <v>37</v>
      </c>
      <c r="C69" s="2">
        <v>44636</v>
      </c>
      <c r="D69" s="2" t="s">
        <v>6609</v>
      </c>
      <c r="E69" s="2"/>
      <c r="F69" t="s">
        <v>6610</v>
      </c>
      <c r="G69" s="61" t="s">
        <v>6611</v>
      </c>
      <c r="H69" s="6" t="s">
        <v>6612</v>
      </c>
      <c r="I69" s="1" t="s">
        <v>6613</v>
      </c>
      <c r="J69" s="8">
        <v>617073486</v>
      </c>
      <c r="K69" s="8" t="s">
        <v>6296</v>
      </c>
      <c r="L69" s="3" t="s">
        <v>6609</v>
      </c>
      <c r="M69" s="3">
        <v>44651</v>
      </c>
      <c r="N69" s="1" t="s">
        <v>35</v>
      </c>
      <c r="O69" s="1"/>
      <c r="P69" t="s">
        <v>6616</v>
      </c>
      <c r="Q69" s="187">
        <v>125</v>
      </c>
      <c r="R69" s="1">
        <v>1</v>
      </c>
      <c r="S69" s="128">
        <v>0.21</v>
      </c>
      <c r="T69" s="128">
        <v>0</v>
      </c>
      <c r="V69" s="95">
        <f t="shared" si="2"/>
        <v>151.25</v>
      </c>
      <c r="W69" t="s">
        <v>7019</v>
      </c>
      <c r="X69" s="6" t="s">
        <v>7018</v>
      </c>
      <c r="Y69" s="2">
        <v>27883</v>
      </c>
      <c r="Z69" s="2">
        <v>44636</v>
      </c>
      <c r="AA69" s="285" t="s">
        <v>7365</v>
      </c>
      <c r="AB69" s="3">
        <v>44827</v>
      </c>
      <c r="AC69" s="80" t="s">
        <v>1339</v>
      </c>
      <c r="AF69" t="s">
        <v>3198</v>
      </c>
      <c r="AI69" t="s">
        <v>3221</v>
      </c>
      <c r="AJ69" s="2">
        <v>44720</v>
      </c>
      <c r="AL69"/>
      <c r="AM69" s="74">
        <v>44728</v>
      </c>
      <c r="AS69"/>
      <c r="AT69" s="1"/>
    </row>
    <row r="70" spans="1:139">
      <c r="A70" s="1">
        <v>69</v>
      </c>
      <c r="B70" t="s">
        <v>40</v>
      </c>
      <c r="C70" s="2">
        <v>44636</v>
      </c>
      <c r="D70" s="1" t="s">
        <v>2611</v>
      </c>
      <c r="E70" s="1"/>
      <c r="F70" s="61" t="s">
        <v>2612</v>
      </c>
      <c r="G70" s="61" t="s">
        <v>4022</v>
      </c>
      <c r="H70" s="6" t="s">
        <v>221</v>
      </c>
      <c r="I70" s="1" t="s">
        <v>34</v>
      </c>
      <c r="J70" s="8">
        <v>697501300</v>
      </c>
      <c r="K70" s="8"/>
      <c r="L70" t="s">
        <v>2611</v>
      </c>
      <c r="M70" s="3">
        <v>44651</v>
      </c>
      <c r="N70" s="1" t="s">
        <v>35</v>
      </c>
      <c r="O70" s="1"/>
      <c r="P70" s="14" t="s">
        <v>5271</v>
      </c>
      <c r="Q70" s="187">
        <v>125</v>
      </c>
      <c r="R70" s="1">
        <v>1</v>
      </c>
      <c r="S70" s="90">
        <v>0.21</v>
      </c>
      <c r="T70" s="90">
        <v>0.2</v>
      </c>
      <c r="V70" s="95">
        <f t="shared" si="2"/>
        <v>121</v>
      </c>
      <c r="W70" t="s">
        <v>4006</v>
      </c>
      <c r="X70" s="6" t="s">
        <v>6707</v>
      </c>
      <c r="Y70" s="2">
        <v>34045</v>
      </c>
      <c r="Z70" s="2">
        <v>44636</v>
      </c>
      <c r="AA70" s="285" t="s">
        <v>6883</v>
      </c>
      <c r="AB70" s="3">
        <v>44691</v>
      </c>
      <c r="AC70" s="80" t="s">
        <v>1339</v>
      </c>
      <c r="AF70" t="s">
        <v>3198</v>
      </c>
      <c r="AI70" t="s">
        <v>6726</v>
      </c>
      <c r="AJ70" s="3">
        <v>44652</v>
      </c>
      <c r="AL70"/>
      <c r="AM70" s="74">
        <v>44671</v>
      </c>
      <c r="AS70"/>
      <c r="AT70" s="1"/>
    </row>
    <row r="71" spans="1:139">
      <c r="A71" s="1">
        <v>70</v>
      </c>
      <c r="B71" s="61" t="s">
        <v>40</v>
      </c>
      <c r="C71" s="2">
        <v>44637</v>
      </c>
      <c r="D71" s="1" t="s">
        <v>3146</v>
      </c>
      <c r="E71" s="1"/>
      <c r="F71" t="s">
        <v>3145</v>
      </c>
      <c r="G71" s="61" t="s">
        <v>6618</v>
      </c>
      <c r="H71" s="6" t="s">
        <v>236</v>
      </c>
      <c r="I71" s="1" t="s">
        <v>6619</v>
      </c>
      <c r="K71" s="8"/>
      <c r="L71" t="s">
        <v>3146</v>
      </c>
      <c r="M71" s="2">
        <v>44651</v>
      </c>
      <c r="N71" s="1" t="s">
        <v>35</v>
      </c>
      <c r="O71" s="1"/>
      <c r="P71" s="14" t="s">
        <v>6620</v>
      </c>
      <c r="Q71" s="254">
        <v>125</v>
      </c>
      <c r="R71" s="1">
        <v>1</v>
      </c>
      <c r="S71" s="128">
        <v>0.21</v>
      </c>
      <c r="T71" s="128">
        <v>0.2</v>
      </c>
      <c r="V71" s="95">
        <f t="shared" si="2"/>
        <v>121</v>
      </c>
      <c r="W71" t="s">
        <v>6703</v>
      </c>
      <c r="X71" s="6" t="s">
        <v>6704</v>
      </c>
      <c r="Y71" s="2">
        <v>35433</v>
      </c>
      <c r="Z71" s="2">
        <v>44637</v>
      </c>
      <c r="AA71" s="284" t="s">
        <v>7271</v>
      </c>
      <c r="AB71" s="3">
        <v>44802</v>
      </c>
      <c r="AC71" s="80" t="s">
        <v>1339</v>
      </c>
      <c r="AE71" s="162">
        <v>44720</v>
      </c>
      <c r="AF71" t="s">
        <v>3198</v>
      </c>
      <c r="AI71" t="s">
        <v>6621</v>
      </c>
      <c r="AJ71" s="2">
        <v>44651</v>
      </c>
      <c r="AL71"/>
      <c r="AM71" s="74">
        <v>44673</v>
      </c>
      <c r="AS71"/>
      <c r="AT71" s="1"/>
    </row>
    <row r="72" spans="1:139">
      <c r="A72" s="1">
        <v>71</v>
      </c>
      <c r="B72" s="61" t="s">
        <v>37</v>
      </c>
      <c r="C72" s="2">
        <v>44638</v>
      </c>
      <c r="D72" s="1" t="s">
        <v>1345</v>
      </c>
      <c r="E72" s="1"/>
      <c r="F72" s="61" t="s">
        <v>1507</v>
      </c>
      <c r="G72" s="61" t="s">
        <v>3738</v>
      </c>
      <c r="H72" s="6" t="s">
        <v>219</v>
      </c>
      <c r="I72" s="1" t="s">
        <v>38</v>
      </c>
      <c r="J72" s="8">
        <v>666923530</v>
      </c>
      <c r="K72" s="8"/>
      <c r="L72" t="s">
        <v>1345</v>
      </c>
      <c r="M72" s="2">
        <v>44651</v>
      </c>
      <c r="N72" s="1" t="s">
        <v>35</v>
      </c>
      <c r="O72" s="1"/>
      <c r="P72" s="14" t="s">
        <v>6624</v>
      </c>
      <c r="Q72" s="92">
        <v>75</v>
      </c>
      <c r="R72" s="1">
        <v>1</v>
      </c>
      <c r="S72" s="90">
        <v>0.21</v>
      </c>
      <c r="T72" s="128">
        <v>0.2</v>
      </c>
      <c r="U72" s="1"/>
      <c r="V72" s="95">
        <f t="shared" si="2"/>
        <v>72.599999999999994</v>
      </c>
      <c r="W72" t="s">
        <v>1345</v>
      </c>
      <c r="X72" s="87" t="s">
        <v>6625</v>
      </c>
      <c r="Y72" s="2">
        <v>29402</v>
      </c>
      <c r="Z72" s="2">
        <v>44638</v>
      </c>
      <c r="AA72" s="284" t="s">
        <v>6856</v>
      </c>
      <c r="AB72" s="3">
        <v>44686</v>
      </c>
      <c r="AC72" s="80" t="s">
        <v>1339</v>
      </c>
      <c r="AF72" t="s">
        <v>3198</v>
      </c>
      <c r="AJ72" s="1"/>
      <c r="AK72" s="1"/>
      <c r="AL72"/>
      <c r="AM72" s="8"/>
      <c r="AS72"/>
      <c r="AT72" s="1"/>
    </row>
    <row r="73" spans="1:139">
      <c r="A73" s="1">
        <v>72</v>
      </c>
      <c r="B73" s="61" t="s">
        <v>1414</v>
      </c>
      <c r="C73" s="2">
        <v>44638</v>
      </c>
      <c r="D73" s="1" t="s">
        <v>3619</v>
      </c>
      <c r="E73" s="1"/>
      <c r="F73" s="61" t="s">
        <v>3620</v>
      </c>
      <c r="G73" s="61" t="s">
        <v>3621</v>
      </c>
      <c r="H73" s="6" t="s">
        <v>227</v>
      </c>
      <c r="I73" s="1" t="s">
        <v>34</v>
      </c>
      <c r="J73" s="8">
        <v>670458705</v>
      </c>
      <c r="K73" s="8"/>
      <c r="L73" t="s">
        <v>3619</v>
      </c>
      <c r="M73" s="2">
        <v>44651</v>
      </c>
      <c r="N73" s="1" t="s">
        <v>35</v>
      </c>
      <c r="O73" s="1"/>
      <c r="P73" s="14" t="s">
        <v>3623</v>
      </c>
      <c r="Q73" s="187">
        <v>125</v>
      </c>
      <c r="R73" s="1">
        <v>1</v>
      </c>
      <c r="S73" s="90">
        <v>0.21</v>
      </c>
      <c r="T73" s="90">
        <v>0.2</v>
      </c>
      <c r="V73" s="95">
        <f t="shared" si="2"/>
        <v>121</v>
      </c>
      <c r="W73" t="s">
        <v>3624</v>
      </c>
      <c r="X73" s="6" t="s">
        <v>6730</v>
      </c>
      <c r="Y73" s="2">
        <v>34934</v>
      </c>
      <c r="Z73" s="2">
        <v>44638</v>
      </c>
      <c r="AA73" s="284" t="s">
        <v>7264</v>
      </c>
      <c r="AB73" s="3">
        <v>44799</v>
      </c>
      <c r="AC73" s="80" t="s">
        <v>1339</v>
      </c>
      <c r="AE73" s="162">
        <v>44715</v>
      </c>
      <c r="AF73" t="s">
        <v>3198</v>
      </c>
      <c r="AI73" t="s">
        <v>6626</v>
      </c>
      <c r="AJ73" s="3">
        <v>44652</v>
      </c>
      <c r="AL73"/>
      <c r="AM73" s="8"/>
      <c r="AS73"/>
      <c r="AT73" s="1"/>
    </row>
    <row r="74" spans="1:139">
      <c r="A74" s="1">
        <v>73</v>
      </c>
      <c r="B74" s="61" t="s">
        <v>33</v>
      </c>
      <c r="C74" s="2">
        <v>44641</v>
      </c>
      <c r="D74" s="1" t="s">
        <v>4382</v>
      </c>
      <c r="E74" s="1"/>
      <c r="F74" s="61" t="s">
        <v>4383</v>
      </c>
      <c r="G74" s="61" t="s">
        <v>4384</v>
      </c>
      <c r="H74" s="6" t="s">
        <v>219</v>
      </c>
      <c r="I74" t="s">
        <v>38</v>
      </c>
      <c r="J74" s="8" t="s">
        <v>4385</v>
      </c>
      <c r="K74" s="8"/>
      <c r="L74" t="s">
        <v>237</v>
      </c>
      <c r="M74" s="2">
        <v>44651</v>
      </c>
      <c r="N74" s="1" t="s">
        <v>35</v>
      </c>
      <c r="O74" s="1"/>
      <c r="P74" s="14" t="s">
        <v>6627</v>
      </c>
      <c r="Q74" s="163">
        <v>75</v>
      </c>
      <c r="R74" s="1">
        <v>1</v>
      </c>
      <c r="S74" s="90">
        <v>0.21</v>
      </c>
      <c r="T74" s="90">
        <v>0.2</v>
      </c>
      <c r="V74" s="95">
        <f t="shared" si="2"/>
        <v>72.599999999999994</v>
      </c>
      <c r="W74" t="s">
        <v>4387</v>
      </c>
      <c r="X74" s="161" t="s">
        <v>6628</v>
      </c>
      <c r="Y74" s="2">
        <v>35796</v>
      </c>
      <c r="Z74" s="2">
        <v>44641</v>
      </c>
      <c r="AA74" s="284" t="s">
        <v>1326</v>
      </c>
      <c r="AF74" t="s">
        <v>3198</v>
      </c>
      <c r="AI74"/>
      <c r="AK74" s="1"/>
      <c r="AL74"/>
      <c r="AM74" s="8"/>
      <c r="AS74"/>
      <c r="AT74" s="1"/>
    </row>
    <row r="75" spans="1:139">
      <c r="A75" s="1">
        <v>74</v>
      </c>
      <c r="B75" s="61" t="s">
        <v>37</v>
      </c>
      <c r="C75" s="2">
        <v>44641</v>
      </c>
      <c r="D75" s="1" t="s">
        <v>6636</v>
      </c>
      <c r="E75" s="1"/>
      <c r="F75" s="61" t="s">
        <v>6637</v>
      </c>
      <c r="G75" s="61" t="s">
        <v>6638</v>
      </c>
      <c r="H75" s="6" t="s">
        <v>219</v>
      </c>
      <c r="I75" t="s">
        <v>38</v>
      </c>
      <c r="K75" s="8"/>
      <c r="L75" t="s">
        <v>6636</v>
      </c>
      <c r="M75" s="2">
        <v>44651</v>
      </c>
      <c r="N75" s="1" t="s">
        <v>35</v>
      </c>
      <c r="O75" s="1"/>
      <c r="P75" t="s">
        <v>6639</v>
      </c>
      <c r="Q75" s="187">
        <v>36.36</v>
      </c>
      <c r="R75" s="1">
        <v>1</v>
      </c>
      <c r="S75" s="128">
        <v>0.21</v>
      </c>
      <c r="T75" s="128">
        <v>0</v>
      </c>
      <c r="V75" s="95">
        <f t="shared" si="2"/>
        <v>43.995599999999996</v>
      </c>
      <c r="W75" t="s">
        <v>6636</v>
      </c>
      <c r="X75" s="6"/>
      <c r="Y75" s="2"/>
      <c r="Z75" s="2"/>
      <c r="AA75" s="284" t="s">
        <v>1326</v>
      </c>
      <c r="AB75" s="3"/>
      <c r="AC75" s="80"/>
      <c r="AF75" t="s">
        <v>3198</v>
      </c>
      <c r="AI75"/>
      <c r="AJ75" s="2"/>
      <c r="AL75"/>
      <c r="AM75" s="74"/>
      <c r="AS75"/>
      <c r="AT75" s="1"/>
    </row>
    <row r="76" spans="1:139">
      <c r="A76" s="1">
        <v>75</v>
      </c>
      <c r="B76" s="61" t="s">
        <v>119</v>
      </c>
      <c r="C76" s="2">
        <v>44641</v>
      </c>
      <c r="D76" s="1" t="s">
        <v>6640</v>
      </c>
      <c r="E76" s="1"/>
      <c r="F76" s="61" t="s">
        <v>6641</v>
      </c>
      <c r="G76" s="61" t="s">
        <v>6642</v>
      </c>
      <c r="H76" s="6" t="s">
        <v>239</v>
      </c>
      <c r="I76" s="1" t="s">
        <v>86</v>
      </c>
      <c r="K76" s="1" t="s">
        <v>8094</v>
      </c>
      <c r="L76" t="s">
        <v>174</v>
      </c>
      <c r="M76" s="2">
        <v>44651</v>
      </c>
      <c r="N76" s="1" t="s">
        <v>35</v>
      </c>
      <c r="O76" s="1"/>
      <c r="P76" s="14" t="s">
        <v>6643</v>
      </c>
      <c r="Q76" s="187">
        <v>125</v>
      </c>
      <c r="R76" s="1">
        <v>1</v>
      </c>
      <c r="S76" s="128">
        <v>0.21</v>
      </c>
      <c r="T76" s="128">
        <v>0.2</v>
      </c>
      <c r="V76" s="95">
        <f t="shared" si="2"/>
        <v>121</v>
      </c>
      <c r="W76" t="s">
        <v>6771</v>
      </c>
      <c r="X76" s="6" t="s">
        <v>6772</v>
      </c>
      <c r="Y76" s="2">
        <v>36940</v>
      </c>
      <c r="Z76" s="2">
        <v>44641</v>
      </c>
      <c r="AA76" s="284" t="s">
        <v>7301</v>
      </c>
      <c r="AB76" s="3">
        <v>44812</v>
      </c>
      <c r="AC76" s="80" t="s">
        <v>1339</v>
      </c>
      <c r="AE76" s="162">
        <v>44728</v>
      </c>
      <c r="AF76" t="s">
        <v>3198</v>
      </c>
      <c r="AI76" t="s">
        <v>6644</v>
      </c>
      <c r="AJ76" s="2">
        <v>44663</v>
      </c>
      <c r="AL76"/>
      <c r="AM76" s="74">
        <v>44670</v>
      </c>
      <c r="AS76"/>
      <c r="AT76" s="1"/>
    </row>
    <row r="77" spans="1:139">
      <c r="A77" s="1">
        <v>76</v>
      </c>
      <c r="B77" s="61" t="s">
        <v>111</v>
      </c>
      <c r="C77" s="2">
        <v>44642</v>
      </c>
      <c r="D77" s="1" t="s">
        <v>6645</v>
      </c>
      <c r="E77" s="1"/>
      <c r="F77" s="14" t="s">
        <v>6646</v>
      </c>
      <c r="G77" s="61" t="s">
        <v>6647</v>
      </c>
      <c r="H77" s="6" t="s">
        <v>220</v>
      </c>
      <c r="I77" s="1" t="s">
        <v>39</v>
      </c>
      <c r="K77" s="8" t="s">
        <v>6660</v>
      </c>
      <c r="L77" t="s">
        <v>6645</v>
      </c>
      <c r="M77" s="2">
        <v>44651</v>
      </c>
      <c r="N77" s="1" t="s">
        <v>35</v>
      </c>
      <c r="O77" s="1"/>
      <c r="P77" s="14" t="s">
        <v>6648</v>
      </c>
      <c r="Q77" s="187">
        <v>125</v>
      </c>
      <c r="R77" s="1">
        <v>1</v>
      </c>
      <c r="S77" s="128">
        <v>0.21</v>
      </c>
      <c r="T77" s="128">
        <v>0.2</v>
      </c>
      <c r="V77" s="95">
        <f t="shared" si="2"/>
        <v>121</v>
      </c>
      <c r="W77" t="s">
        <v>6645</v>
      </c>
      <c r="X77" s="6" t="s">
        <v>6775</v>
      </c>
      <c r="Y77" s="2">
        <v>34731</v>
      </c>
      <c r="Z77" s="2">
        <v>44642</v>
      </c>
      <c r="AA77" s="285" t="s">
        <v>7281</v>
      </c>
      <c r="AB77" s="3">
        <v>44805</v>
      </c>
      <c r="AC77" s="80" t="s">
        <v>1339</v>
      </c>
      <c r="AF77" t="s">
        <v>3198</v>
      </c>
      <c r="AI77" t="s">
        <v>3108</v>
      </c>
      <c r="AJ77" s="2"/>
      <c r="AL77"/>
      <c r="AM77" s="74"/>
      <c r="AS77"/>
      <c r="AT77" s="1"/>
    </row>
    <row r="78" spans="1:139" s="196" customFormat="1">
      <c r="A78" s="1">
        <v>77</v>
      </c>
      <c r="B78" t="s">
        <v>119</v>
      </c>
      <c r="C78" s="2">
        <v>44643</v>
      </c>
      <c r="D78" s="1" t="s">
        <v>4011</v>
      </c>
      <c r="E78" s="1"/>
      <c r="F78" s="61" t="s">
        <v>4012</v>
      </c>
      <c r="G78" s="61" t="s">
        <v>4024</v>
      </c>
      <c r="H78" s="6" t="s">
        <v>239</v>
      </c>
      <c r="I78" s="1" t="s">
        <v>86</v>
      </c>
      <c r="J78" s="8"/>
      <c r="K78" s="1" t="s">
        <v>8094</v>
      </c>
      <c r="L78" s="31" t="s">
        <v>174</v>
      </c>
      <c r="M78" s="2">
        <v>44651</v>
      </c>
      <c r="N78" s="1" t="s">
        <v>35</v>
      </c>
      <c r="O78" s="1"/>
      <c r="P78" s="14" t="s">
        <v>6649</v>
      </c>
      <c r="Q78" s="187">
        <v>75</v>
      </c>
      <c r="R78" s="1">
        <v>1</v>
      </c>
      <c r="S78" s="128">
        <v>0.21</v>
      </c>
      <c r="T78" s="128">
        <v>0.2</v>
      </c>
      <c r="U78"/>
      <c r="V78" s="95">
        <f t="shared" si="2"/>
        <v>72.599999999999994</v>
      </c>
      <c r="W78" t="s">
        <v>4894</v>
      </c>
      <c r="X78" s="6" t="s">
        <v>7017</v>
      </c>
      <c r="Y78" s="2">
        <v>28953</v>
      </c>
      <c r="Z78" s="2">
        <v>44643</v>
      </c>
      <c r="AA78" s="284" t="s">
        <v>7024</v>
      </c>
      <c r="AB78" s="3">
        <v>44720</v>
      </c>
      <c r="AC78" s="80" t="s">
        <v>1339</v>
      </c>
      <c r="AD78"/>
      <c r="AE78"/>
      <c r="AF78" t="s">
        <v>3198</v>
      </c>
      <c r="AG78"/>
      <c r="AH78"/>
      <c r="AI78"/>
      <c r="AJ78" s="2"/>
      <c r="AK78"/>
      <c r="AL78"/>
      <c r="AM78" s="74"/>
      <c r="AN78"/>
      <c r="AO78"/>
      <c r="AP78"/>
      <c r="AQ78"/>
      <c r="AR78"/>
      <c r="AS78"/>
      <c r="AT78" s="1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</row>
    <row r="79" spans="1:139">
      <c r="A79" s="1">
        <v>78</v>
      </c>
      <c r="B79" t="s">
        <v>119</v>
      </c>
      <c r="C79" s="2">
        <v>44643</v>
      </c>
      <c r="D79" s="1" t="s">
        <v>3826</v>
      </c>
      <c r="E79" s="1"/>
      <c r="F79" s="61" t="s">
        <v>3827</v>
      </c>
      <c r="G79" s="61" t="s">
        <v>3828</v>
      </c>
      <c r="H79" s="6" t="s">
        <v>250</v>
      </c>
      <c r="I79" s="1" t="s">
        <v>2585</v>
      </c>
      <c r="J79" s="8">
        <v>670341556</v>
      </c>
      <c r="K79" s="1" t="s">
        <v>8094</v>
      </c>
      <c r="L79" s="31" t="s">
        <v>174</v>
      </c>
      <c r="M79" s="2">
        <v>44651</v>
      </c>
      <c r="N79" s="1" t="s">
        <v>35</v>
      </c>
      <c r="O79" s="1"/>
      <c r="P79" s="14" t="s">
        <v>6650</v>
      </c>
      <c r="Q79" s="92">
        <v>125</v>
      </c>
      <c r="R79" s="1">
        <v>1</v>
      </c>
      <c r="S79" s="128">
        <v>0.21</v>
      </c>
      <c r="T79" s="128">
        <v>0.2</v>
      </c>
      <c r="U79" s="1"/>
      <c r="V79" s="95">
        <f t="shared" si="2"/>
        <v>121</v>
      </c>
      <c r="W79" t="s">
        <v>6787</v>
      </c>
      <c r="X79" s="6" t="s">
        <v>6786</v>
      </c>
      <c r="Y79" s="2">
        <v>27898</v>
      </c>
      <c r="Z79" s="2">
        <v>44643</v>
      </c>
      <c r="AA79" s="284" t="s">
        <v>7270</v>
      </c>
      <c r="AB79" s="3">
        <v>44803</v>
      </c>
      <c r="AC79" s="80" t="s">
        <v>1339</v>
      </c>
      <c r="AF79" t="s">
        <v>3198</v>
      </c>
      <c r="AI79" t="s">
        <v>3108</v>
      </c>
      <c r="AJ79" s="2">
        <v>44669</v>
      </c>
      <c r="AL79"/>
      <c r="AM79" s="8"/>
      <c r="AS79"/>
      <c r="AT79" s="1"/>
    </row>
    <row r="80" spans="1:139" s="196" customFormat="1">
      <c r="A80" s="1">
        <v>79</v>
      </c>
      <c r="B80" t="s">
        <v>1414</v>
      </c>
      <c r="C80" s="2">
        <v>44643</v>
      </c>
      <c r="D80" s="1" t="s">
        <v>1407</v>
      </c>
      <c r="E80" s="1"/>
      <c r="F80" t="s">
        <v>1408</v>
      </c>
      <c r="G80" s="61" t="s">
        <v>1409</v>
      </c>
      <c r="H80" s="6" t="s">
        <v>227</v>
      </c>
      <c r="I80" s="1" t="s">
        <v>203</v>
      </c>
      <c r="J80" s="8"/>
      <c r="K80" s="8"/>
      <c r="L80" t="s">
        <v>1407</v>
      </c>
      <c r="M80" s="2">
        <v>44651</v>
      </c>
      <c r="N80" s="1" t="s">
        <v>35</v>
      </c>
      <c r="O80" s="1"/>
      <c r="P80" s="14" t="s">
        <v>6651</v>
      </c>
      <c r="Q80" s="187">
        <v>75</v>
      </c>
      <c r="R80" s="1">
        <v>1</v>
      </c>
      <c r="S80" s="128">
        <v>0.21</v>
      </c>
      <c r="T80" s="128">
        <v>0.2</v>
      </c>
      <c r="U80"/>
      <c r="V80" s="95">
        <f t="shared" si="2"/>
        <v>72.599999999999994</v>
      </c>
      <c r="W80" t="s">
        <v>4888</v>
      </c>
      <c r="X80" s="6" t="s">
        <v>6652</v>
      </c>
      <c r="Y80" s="2">
        <v>33188</v>
      </c>
      <c r="Z80" s="2">
        <v>44643</v>
      </c>
      <c r="AA80" s="284" t="s">
        <v>7024</v>
      </c>
      <c r="AB80" s="3">
        <v>44720</v>
      </c>
      <c r="AC80" s="80" t="s">
        <v>1339</v>
      </c>
      <c r="AD80"/>
      <c r="AE80"/>
      <c r="AF80" t="s">
        <v>3198</v>
      </c>
      <c r="AG80"/>
      <c r="AH80"/>
      <c r="AI80"/>
      <c r="AJ80" s="2"/>
      <c r="AK80"/>
      <c r="AL80"/>
      <c r="AM80" s="74"/>
      <c r="AN80"/>
      <c r="AO80"/>
      <c r="AP80"/>
      <c r="AQ80"/>
      <c r="AR80"/>
      <c r="AS80"/>
      <c r="AT80" s="1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</row>
    <row r="81" spans="1:139">
      <c r="A81" s="1">
        <v>80</v>
      </c>
      <c r="B81" t="s">
        <v>37</v>
      </c>
      <c r="C81" s="2">
        <v>44643</v>
      </c>
      <c r="D81" s="1" t="s">
        <v>6203</v>
      </c>
      <c r="E81" s="1"/>
      <c r="F81" t="s">
        <v>6204</v>
      </c>
      <c r="G81" t="s">
        <v>6205</v>
      </c>
      <c r="H81" s="6" t="s">
        <v>250</v>
      </c>
      <c r="I81" s="1" t="s">
        <v>86</v>
      </c>
      <c r="J81" s="8">
        <v>640725354</v>
      </c>
      <c r="K81" s="8"/>
      <c r="L81" t="s">
        <v>6203</v>
      </c>
      <c r="M81" s="2">
        <v>44651</v>
      </c>
      <c r="N81" s="1" t="s">
        <v>35</v>
      </c>
      <c r="O81" s="1"/>
      <c r="P81" s="14" t="s">
        <v>6659</v>
      </c>
      <c r="Q81" s="187">
        <v>100</v>
      </c>
      <c r="R81" s="1">
        <v>1</v>
      </c>
      <c r="S81" s="90">
        <v>0.21</v>
      </c>
      <c r="T81" s="90">
        <v>0</v>
      </c>
      <c r="V81" s="95">
        <f t="shared" si="2"/>
        <v>121</v>
      </c>
      <c r="W81" t="s">
        <v>6784</v>
      </c>
      <c r="X81" s="6" t="s">
        <v>6785</v>
      </c>
      <c r="Y81" s="2">
        <v>38013</v>
      </c>
      <c r="Z81" s="2">
        <v>44643</v>
      </c>
      <c r="AA81" s="284" t="s">
        <v>7137</v>
      </c>
      <c r="AB81" s="3">
        <v>44747</v>
      </c>
      <c r="AC81" s="80" t="s">
        <v>1339</v>
      </c>
      <c r="AF81" t="s">
        <v>3198</v>
      </c>
      <c r="AI81"/>
      <c r="AJ81" s="1"/>
      <c r="AL81"/>
      <c r="AM81" s="8"/>
      <c r="AS81"/>
      <c r="AT81" s="1"/>
    </row>
    <row r="82" spans="1:139">
      <c r="A82" s="1">
        <v>81</v>
      </c>
      <c r="B82" s="61" t="s">
        <v>4203</v>
      </c>
      <c r="C82" s="2">
        <v>44645</v>
      </c>
      <c r="D82" s="1" t="s">
        <v>2604</v>
      </c>
      <c r="E82" s="1"/>
      <c r="F82" s="61" t="s">
        <v>2605</v>
      </c>
      <c r="G82" s="61" t="s">
        <v>4209</v>
      </c>
      <c r="H82" s="6" t="s">
        <v>219</v>
      </c>
      <c r="I82" s="1" t="s">
        <v>38</v>
      </c>
      <c r="J82" s="8">
        <v>637820632</v>
      </c>
      <c r="K82" s="8" t="s">
        <v>5942</v>
      </c>
      <c r="L82" t="s">
        <v>4208</v>
      </c>
      <c r="M82" s="3">
        <v>44651</v>
      </c>
      <c r="N82" s="1" t="s">
        <v>35</v>
      </c>
      <c r="O82" s="1"/>
      <c r="P82" s="14" t="s">
        <v>6664</v>
      </c>
      <c r="Q82" s="144">
        <v>125</v>
      </c>
      <c r="R82" s="1">
        <v>1</v>
      </c>
      <c r="S82" s="90">
        <v>0.21</v>
      </c>
      <c r="T82" s="90">
        <v>0.2</v>
      </c>
      <c r="U82" s="72"/>
      <c r="V82" s="95">
        <f t="shared" si="2"/>
        <v>121</v>
      </c>
      <c r="W82" t="s">
        <v>6810</v>
      </c>
      <c r="X82" s="6" t="s">
        <v>6811</v>
      </c>
      <c r="Y82" s="2">
        <v>29103</v>
      </c>
      <c r="Z82" s="2">
        <v>44645</v>
      </c>
      <c r="AA82" s="284" t="s">
        <v>7280</v>
      </c>
      <c r="AB82" s="3">
        <v>44803</v>
      </c>
      <c r="AC82" s="80" t="s">
        <v>1339</v>
      </c>
      <c r="AF82" t="s">
        <v>3198</v>
      </c>
      <c r="AI82" t="s">
        <v>6665</v>
      </c>
      <c r="AJ82" s="2">
        <v>44676</v>
      </c>
      <c r="AK82" s="1"/>
      <c r="AL82"/>
      <c r="AM82" s="74"/>
      <c r="AS82"/>
      <c r="AT82" s="1"/>
    </row>
    <row r="83" spans="1:139">
      <c r="A83" s="1">
        <v>82</v>
      </c>
      <c r="B83" t="s">
        <v>52</v>
      </c>
      <c r="C83" s="2">
        <v>44645</v>
      </c>
      <c r="D83" s="30" t="s">
        <v>458</v>
      </c>
      <c r="E83" s="30"/>
      <c r="F83" t="s">
        <v>84</v>
      </c>
      <c r="G83" s="103" t="s">
        <v>138</v>
      </c>
      <c r="H83" s="30" t="s">
        <v>227</v>
      </c>
      <c r="I83" s="31" t="s">
        <v>203</v>
      </c>
      <c r="J83" s="44" t="s">
        <v>5906</v>
      </c>
      <c r="K83" s="44" t="s">
        <v>5906</v>
      </c>
      <c r="L83" t="s">
        <v>4432</v>
      </c>
      <c r="M83" s="3">
        <v>44651</v>
      </c>
      <c r="N83" s="1" t="s">
        <v>35</v>
      </c>
      <c r="O83" s="1"/>
      <c r="P83" s="14" t="s">
        <v>6666</v>
      </c>
      <c r="Q83" s="187">
        <v>125</v>
      </c>
      <c r="R83" s="1">
        <v>1</v>
      </c>
      <c r="S83" s="90">
        <v>0.21</v>
      </c>
      <c r="T83" s="90">
        <v>0.2</v>
      </c>
      <c r="V83" s="95">
        <f t="shared" si="2"/>
        <v>121</v>
      </c>
      <c r="W83" t="s">
        <v>6805</v>
      </c>
      <c r="X83" s="6" t="s">
        <v>6804</v>
      </c>
      <c r="Y83" s="2">
        <v>30316</v>
      </c>
      <c r="Z83" s="2">
        <v>44645</v>
      </c>
      <c r="AA83" s="287" t="s">
        <v>7281</v>
      </c>
      <c r="AB83" s="3">
        <v>44805</v>
      </c>
      <c r="AC83" s="80" t="s">
        <v>1339</v>
      </c>
      <c r="AF83" t="s">
        <v>3198</v>
      </c>
      <c r="AI83" t="s">
        <v>6667</v>
      </c>
      <c r="AJ83" s="2">
        <v>44676</v>
      </c>
      <c r="AK83" s="146" t="s">
        <v>4799</v>
      </c>
      <c r="AL83" s="3">
        <v>44686</v>
      </c>
      <c r="AM83" s="74">
        <v>44679</v>
      </c>
      <c r="AS83"/>
      <c r="AT83" s="1"/>
    </row>
    <row r="84" spans="1:139">
      <c r="A84" s="1">
        <v>83</v>
      </c>
      <c r="B84" t="s">
        <v>40</v>
      </c>
      <c r="C84" s="2">
        <v>44645</v>
      </c>
      <c r="D84" s="1" t="s">
        <v>6668</v>
      </c>
      <c r="E84" s="1"/>
      <c r="F84" t="s">
        <v>6669</v>
      </c>
      <c r="G84" s="61" t="s">
        <v>5781</v>
      </c>
      <c r="H84" s="6" t="s">
        <v>227</v>
      </c>
      <c r="I84" s="1" t="s">
        <v>203</v>
      </c>
      <c r="J84" s="295">
        <v>661226886</v>
      </c>
      <c r="K84" s="303" t="s">
        <v>6678</v>
      </c>
      <c r="L84" t="s">
        <v>6668</v>
      </c>
      <c r="M84" s="3">
        <v>44651</v>
      </c>
      <c r="N84" s="1" t="s">
        <v>35</v>
      </c>
      <c r="O84" s="1"/>
      <c r="P84" s="14" t="s">
        <v>6670</v>
      </c>
      <c r="Q84" s="92">
        <v>125</v>
      </c>
      <c r="R84" s="1">
        <v>1</v>
      </c>
      <c r="S84" s="128">
        <v>0.21</v>
      </c>
      <c r="T84" s="128">
        <v>0.2</v>
      </c>
      <c r="U84" s="1"/>
      <c r="V84" s="95">
        <f t="shared" si="2"/>
        <v>121</v>
      </c>
      <c r="W84" t="s">
        <v>6808</v>
      </c>
      <c r="X84" s="6" t="s">
        <v>6809</v>
      </c>
      <c r="Y84" s="2" t="s">
        <v>3376</v>
      </c>
      <c r="Z84" s="2">
        <v>44645</v>
      </c>
      <c r="AA84" s="284" t="s">
        <v>7285</v>
      </c>
      <c r="AB84" s="3">
        <v>44805</v>
      </c>
      <c r="AC84" s="80" t="s">
        <v>1339</v>
      </c>
      <c r="AF84" t="s">
        <v>3198</v>
      </c>
      <c r="AG84" t="s">
        <v>6671</v>
      </c>
      <c r="AI84" t="s">
        <v>3108</v>
      </c>
      <c r="AJ84" s="2">
        <v>44676</v>
      </c>
      <c r="AL84"/>
      <c r="AM84" s="74">
        <v>44680</v>
      </c>
      <c r="AS84"/>
      <c r="AT84" s="1"/>
    </row>
    <row r="85" spans="1:139">
      <c r="A85" s="1">
        <v>84</v>
      </c>
      <c r="B85" t="s">
        <v>45</v>
      </c>
      <c r="C85" s="2">
        <v>44645</v>
      </c>
      <c r="D85" s="1" t="s">
        <v>6673</v>
      </c>
      <c r="E85" s="1"/>
      <c r="F85" t="s">
        <v>6674</v>
      </c>
      <c r="G85" s="61" t="s">
        <v>6675</v>
      </c>
      <c r="H85" s="6" t="s">
        <v>221</v>
      </c>
      <c r="I85" s="1" t="s">
        <v>34</v>
      </c>
      <c r="J85" s="8">
        <v>695563127</v>
      </c>
      <c r="K85" s="304" t="s">
        <v>6681</v>
      </c>
      <c r="L85" t="s">
        <v>6673</v>
      </c>
      <c r="M85" s="3">
        <v>44651</v>
      </c>
      <c r="N85" s="1" t="s">
        <v>35</v>
      </c>
      <c r="O85" s="1"/>
      <c r="P85" s="14" t="s">
        <v>6676</v>
      </c>
      <c r="Q85" s="92">
        <v>125</v>
      </c>
      <c r="R85" s="1">
        <v>1</v>
      </c>
      <c r="S85" s="128">
        <v>0.21</v>
      </c>
      <c r="T85" s="128">
        <v>0.2</v>
      </c>
      <c r="U85" s="1"/>
      <c r="V85" s="95">
        <f t="shared" si="2"/>
        <v>121</v>
      </c>
      <c r="W85" t="s">
        <v>7040</v>
      </c>
      <c r="X85" s="6" t="s">
        <v>7039</v>
      </c>
      <c r="Y85" s="2">
        <v>33756</v>
      </c>
      <c r="Z85" s="2">
        <v>44645</v>
      </c>
      <c r="AA85" s="284" t="s">
        <v>7301</v>
      </c>
      <c r="AB85" s="3">
        <v>44810</v>
      </c>
      <c r="AC85" s="80" t="s">
        <v>1339</v>
      </c>
      <c r="AD85" s="61" t="s">
        <v>6672</v>
      </c>
      <c r="AF85" t="s">
        <v>3198</v>
      </c>
      <c r="AI85" t="s">
        <v>6677</v>
      </c>
      <c r="AJ85" s="2">
        <v>44721</v>
      </c>
      <c r="AL85"/>
      <c r="AM85" s="74">
        <v>44726</v>
      </c>
      <c r="AS85"/>
      <c r="AT85" s="1"/>
    </row>
    <row r="86" spans="1:139">
      <c r="A86" s="1">
        <v>85</v>
      </c>
      <c r="B86" t="s">
        <v>3526</v>
      </c>
      <c r="C86" s="2">
        <v>44648</v>
      </c>
      <c r="D86" s="1" t="s">
        <v>2046</v>
      </c>
      <c r="E86" s="1"/>
      <c r="F86" t="s">
        <v>2047</v>
      </c>
      <c r="G86" t="s">
        <v>4810</v>
      </c>
      <c r="H86" s="6" t="s">
        <v>294</v>
      </c>
      <c r="I86" s="1" t="s">
        <v>4811</v>
      </c>
      <c r="J86" s="8" t="s">
        <v>6682</v>
      </c>
      <c r="K86" s="304" t="s">
        <v>6683</v>
      </c>
      <c r="L86" t="s">
        <v>2046</v>
      </c>
      <c r="M86" s="3">
        <v>44651</v>
      </c>
      <c r="N86" s="1" t="s">
        <v>35</v>
      </c>
      <c r="O86" s="1"/>
      <c r="P86" s="14" t="s">
        <v>6679</v>
      </c>
      <c r="Q86" s="187">
        <v>75</v>
      </c>
      <c r="R86" s="1">
        <v>1</v>
      </c>
      <c r="S86" s="90">
        <v>0.21</v>
      </c>
      <c r="T86" s="90">
        <v>0.2</v>
      </c>
      <c r="V86" s="95">
        <f t="shared" si="2"/>
        <v>72.599999999999994</v>
      </c>
      <c r="W86" t="s">
        <v>5065</v>
      </c>
      <c r="X86" s="6" t="s">
        <v>6680</v>
      </c>
      <c r="Y86" s="2">
        <v>34066</v>
      </c>
      <c r="Z86" s="2">
        <v>44648</v>
      </c>
      <c r="AA86" s="284" t="s">
        <v>7023</v>
      </c>
      <c r="AB86" s="3">
        <v>44720</v>
      </c>
      <c r="AC86" s="80" t="s">
        <v>1339</v>
      </c>
      <c r="AF86" t="s">
        <v>3198</v>
      </c>
      <c r="AI86"/>
      <c r="AJ86" s="2"/>
      <c r="AL86"/>
      <c r="AM86" s="74"/>
      <c r="AS86"/>
      <c r="AT86" s="1"/>
    </row>
    <row r="87" spans="1:139">
      <c r="A87" s="1">
        <v>86</v>
      </c>
      <c r="B87" s="61" t="s">
        <v>6684</v>
      </c>
      <c r="C87" s="2">
        <v>44648</v>
      </c>
      <c r="D87" t="s">
        <v>6685</v>
      </c>
      <c r="F87" t="s">
        <v>6686</v>
      </c>
      <c r="G87" t="s">
        <v>6687</v>
      </c>
      <c r="H87" s="6" t="s">
        <v>2579</v>
      </c>
      <c r="I87" t="s">
        <v>2580</v>
      </c>
      <c r="K87" s="8" t="s">
        <v>5968</v>
      </c>
      <c r="L87" t="s">
        <v>6685</v>
      </c>
      <c r="M87" s="3">
        <v>44651</v>
      </c>
      <c r="N87" s="1" t="s">
        <v>35</v>
      </c>
      <c r="O87" s="1"/>
      <c r="P87" s="14" t="s">
        <v>6688</v>
      </c>
      <c r="Q87" s="163">
        <v>75</v>
      </c>
      <c r="R87" s="1">
        <v>1</v>
      </c>
      <c r="S87" s="90">
        <v>0.21</v>
      </c>
      <c r="T87" s="90">
        <v>0.2</v>
      </c>
      <c r="V87" s="95">
        <f t="shared" si="2"/>
        <v>72.599999999999994</v>
      </c>
      <c r="W87" t="s">
        <v>4502</v>
      </c>
      <c r="X87" s="161" t="s">
        <v>6689</v>
      </c>
      <c r="Y87" s="2">
        <v>31471</v>
      </c>
      <c r="Z87" s="2">
        <v>44648</v>
      </c>
      <c r="AA87" s="284" t="s">
        <v>7023</v>
      </c>
      <c r="AB87" s="3">
        <v>44720</v>
      </c>
      <c r="AC87" s="80" t="s">
        <v>1339</v>
      </c>
      <c r="AF87" t="s">
        <v>3198</v>
      </c>
      <c r="AJ87" s="2"/>
      <c r="AK87" s="1"/>
      <c r="AL87"/>
      <c r="AM87" s="74"/>
      <c r="AS87"/>
      <c r="AT87" s="1"/>
    </row>
    <row r="88" spans="1:139">
      <c r="A88" s="1">
        <v>87</v>
      </c>
      <c r="B88" t="s">
        <v>52</v>
      </c>
      <c r="C88" s="2">
        <v>44650</v>
      </c>
      <c r="D88" s="30" t="s">
        <v>458</v>
      </c>
      <c r="E88" s="30"/>
      <c r="F88" t="s">
        <v>84</v>
      </c>
      <c r="G88" s="103" t="s">
        <v>138</v>
      </c>
      <c r="H88" s="30" t="s">
        <v>227</v>
      </c>
      <c r="I88" s="31" t="s">
        <v>203</v>
      </c>
      <c r="J88" s="44" t="s">
        <v>5906</v>
      </c>
      <c r="K88" s="44" t="s">
        <v>5906</v>
      </c>
      <c r="L88" t="s">
        <v>4432</v>
      </c>
      <c r="M88" s="3">
        <v>44651</v>
      </c>
      <c r="N88" s="1" t="s">
        <v>35</v>
      </c>
      <c r="O88" s="1"/>
      <c r="P88" s="14" t="s">
        <v>6690</v>
      </c>
      <c r="Q88" s="187">
        <v>125</v>
      </c>
      <c r="R88" s="1">
        <v>1</v>
      </c>
      <c r="S88" s="90">
        <v>0.21</v>
      </c>
      <c r="T88" s="90">
        <v>0.2</v>
      </c>
      <c r="V88" s="95">
        <f t="shared" si="2"/>
        <v>121</v>
      </c>
      <c r="W88" t="s">
        <v>6812</v>
      </c>
      <c r="X88" s="6" t="s">
        <v>6813</v>
      </c>
      <c r="Y88" s="2">
        <v>35064</v>
      </c>
      <c r="Z88" s="2">
        <v>44650</v>
      </c>
      <c r="AA88" s="285" t="s">
        <v>7273</v>
      </c>
      <c r="AB88" s="3">
        <v>44803</v>
      </c>
      <c r="AC88" s="80" t="s">
        <v>1339</v>
      </c>
      <c r="AE88" s="293">
        <v>44833</v>
      </c>
      <c r="AF88" t="s">
        <v>3198</v>
      </c>
      <c r="AG88" t="s">
        <v>6691</v>
      </c>
      <c r="AI88" t="s">
        <v>3108</v>
      </c>
      <c r="AJ88" s="2">
        <v>44676</v>
      </c>
      <c r="AL88"/>
      <c r="AM88" s="74"/>
      <c r="AS88"/>
      <c r="AT88" s="1"/>
    </row>
    <row r="89" spans="1:139">
      <c r="A89" s="1">
        <v>88</v>
      </c>
      <c r="B89" t="s">
        <v>40</v>
      </c>
      <c r="C89" s="2">
        <v>44650</v>
      </c>
      <c r="D89" s="1" t="s">
        <v>6692</v>
      </c>
      <c r="E89" s="1"/>
      <c r="F89" t="s">
        <v>6693</v>
      </c>
      <c r="G89" s="61" t="s">
        <v>6694</v>
      </c>
      <c r="H89" s="6" t="s">
        <v>221</v>
      </c>
      <c r="I89" s="1" t="s">
        <v>34</v>
      </c>
      <c r="J89" s="295">
        <v>670295176</v>
      </c>
      <c r="K89" s="8" t="s">
        <v>6797</v>
      </c>
      <c r="L89" t="s">
        <v>6692</v>
      </c>
      <c r="M89" s="3">
        <v>44651</v>
      </c>
      <c r="N89" s="1" t="s">
        <v>35</v>
      </c>
      <c r="O89" s="1"/>
      <c r="P89" s="14" t="s">
        <v>6695</v>
      </c>
      <c r="Q89" s="92">
        <v>125</v>
      </c>
      <c r="R89" s="1">
        <v>1</v>
      </c>
      <c r="S89" s="128">
        <v>0.21</v>
      </c>
      <c r="T89" s="128">
        <v>0.2</v>
      </c>
      <c r="U89" s="1"/>
      <c r="V89" s="95">
        <f t="shared" si="2"/>
        <v>121</v>
      </c>
      <c r="W89" t="s">
        <v>6781</v>
      </c>
      <c r="X89" s="6" t="s">
        <v>6782</v>
      </c>
      <c r="Y89" s="2">
        <v>29948</v>
      </c>
      <c r="Z89" s="2">
        <v>44650</v>
      </c>
      <c r="AA89" s="284" t="s">
        <v>7300</v>
      </c>
      <c r="AB89" s="3">
        <v>44812</v>
      </c>
      <c r="AC89" s="80" t="s">
        <v>1339</v>
      </c>
      <c r="AE89" s="162">
        <v>44727</v>
      </c>
      <c r="AF89" t="s">
        <v>3198</v>
      </c>
      <c r="AI89" t="s">
        <v>6696</v>
      </c>
      <c r="AJ89" s="2">
        <v>44669</v>
      </c>
      <c r="AL89"/>
      <c r="AM89" s="74">
        <v>44687</v>
      </c>
      <c r="AS89"/>
      <c r="AT89" s="1"/>
    </row>
    <row r="90" spans="1:139">
      <c r="A90" s="1">
        <v>89</v>
      </c>
      <c r="B90" t="s">
        <v>1414</v>
      </c>
      <c r="C90" s="2">
        <v>44650</v>
      </c>
      <c r="D90" s="1" t="s">
        <v>176</v>
      </c>
      <c r="E90" s="1"/>
      <c r="F90" s="61" t="s">
        <v>4460</v>
      </c>
      <c r="G90" s="61" t="s">
        <v>4461</v>
      </c>
      <c r="H90" s="6" t="s">
        <v>230</v>
      </c>
      <c r="I90" t="s">
        <v>1262</v>
      </c>
      <c r="J90" s="8">
        <v>637571817</v>
      </c>
      <c r="K90" s="8"/>
      <c r="L90" t="s">
        <v>176</v>
      </c>
      <c r="M90" s="3">
        <v>44651</v>
      </c>
      <c r="N90" s="1" t="s">
        <v>35</v>
      </c>
      <c r="O90" s="1"/>
      <c r="P90" s="14" t="s">
        <v>6697</v>
      </c>
      <c r="Q90" s="163">
        <v>125</v>
      </c>
      <c r="R90" s="1">
        <v>1</v>
      </c>
      <c r="S90" s="90">
        <v>0.21</v>
      </c>
      <c r="T90" s="90">
        <v>0.2</v>
      </c>
      <c r="V90" s="95">
        <f t="shared" si="2"/>
        <v>121</v>
      </c>
      <c r="W90" t="s">
        <v>6842</v>
      </c>
      <c r="X90" s="6" t="s">
        <v>6814</v>
      </c>
      <c r="Y90" s="2">
        <v>34578</v>
      </c>
      <c r="Z90" s="2">
        <v>44650</v>
      </c>
      <c r="AA90" s="284" t="s">
        <v>7300</v>
      </c>
      <c r="AB90" s="3">
        <v>44810</v>
      </c>
      <c r="AC90" s="80" t="s">
        <v>1339</v>
      </c>
      <c r="AF90" t="s">
        <v>3198</v>
      </c>
      <c r="AI90" t="s">
        <v>6696</v>
      </c>
      <c r="AJ90" s="2">
        <v>44676</v>
      </c>
      <c r="AK90" s="1"/>
      <c r="AL90"/>
      <c r="AM90" s="74">
        <v>44690</v>
      </c>
      <c r="AS90"/>
      <c r="AT90" s="1"/>
    </row>
    <row r="91" spans="1:139" s="197" customFormat="1">
      <c r="A91" s="1">
        <v>90</v>
      </c>
      <c r="B91" t="s">
        <v>1242</v>
      </c>
      <c r="C91" s="2">
        <v>44650</v>
      </c>
      <c r="D91" s="1" t="s">
        <v>4643</v>
      </c>
      <c r="E91" s="1"/>
      <c r="F91" t="s">
        <v>4644</v>
      </c>
      <c r="G91" t="s">
        <v>4645</v>
      </c>
      <c r="H91" s="6" t="s">
        <v>221</v>
      </c>
      <c r="I91" s="1" t="s">
        <v>34</v>
      </c>
      <c r="J91" s="8"/>
      <c r="K91" s="8"/>
      <c r="L91" s="31" t="s">
        <v>1250</v>
      </c>
      <c r="M91" s="3">
        <v>44651</v>
      </c>
      <c r="N91" s="1" t="s">
        <v>35</v>
      </c>
      <c r="O91" s="1"/>
      <c r="P91" s="14" t="s">
        <v>4646</v>
      </c>
      <c r="Q91" s="187">
        <v>125</v>
      </c>
      <c r="R91" s="1">
        <v>1</v>
      </c>
      <c r="S91" s="128">
        <v>0.21</v>
      </c>
      <c r="T91" s="128">
        <v>0.2</v>
      </c>
      <c r="U91"/>
      <c r="V91" s="95">
        <f t="shared" si="2"/>
        <v>121</v>
      </c>
      <c r="W91" t="s">
        <v>4899</v>
      </c>
      <c r="X91" s="6" t="s">
        <v>6783</v>
      </c>
      <c r="Y91" s="2">
        <v>36128</v>
      </c>
      <c r="Z91" s="2">
        <v>44650</v>
      </c>
      <c r="AA91" s="284" t="s">
        <v>7300</v>
      </c>
      <c r="AB91" s="3">
        <v>44812</v>
      </c>
      <c r="AC91" s="80" t="s">
        <v>1339</v>
      </c>
      <c r="AD91"/>
      <c r="AE91" s="162">
        <v>44727</v>
      </c>
      <c r="AF91" t="s">
        <v>3198</v>
      </c>
      <c r="AG91"/>
      <c r="AH91"/>
      <c r="AI91" t="s">
        <v>3221</v>
      </c>
      <c r="AJ91" s="2">
        <v>44669</v>
      </c>
      <c r="AK91"/>
      <c r="AL91"/>
      <c r="AM91" s="74">
        <v>44669</v>
      </c>
      <c r="AN91"/>
      <c r="AO91"/>
      <c r="AP91"/>
      <c r="AQ91"/>
      <c r="AR91"/>
      <c r="AS91"/>
      <c r="AT91" s="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</row>
    <row r="92" spans="1:139">
      <c r="A92" s="1">
        <v>91</v>
      </c>
      <c r="B92" t="s">
        <v>119</v>
      </c>
      <c r="C92" s="2">
        <v>44650</v>
      </c>
      <c r="D92" s="1" t="s">
        <v>6698</v>
      </c>
      <c r="E92" s="1"/>
      <c r="F92" t="s">
        <v>6699</v>
      </c>
      <c r="G92" s="61" t="s">
        <v>6700</v>
      </c>
      <c r="H92" s="6" t="s">
        <v>226</v>
      </c>
      <c r="I92" s="1" t="s">
        <v>86</v>
      </c>
      <c r="J92" s="44"/>
      <c r="K92" s="1" t="s">
        <v>8094</v>
      </c>
      <c r="L92" s="31" t="s">
        <v>174</v>
      </c>
      <c r="M92" s="3">
        <v>44651</v>
      </c>
      <c r="N92" s="1" t="s">
        <v>35</v>
      </c>
      <c r="O92" s="1"/>
      <c r="P92" s="14" t="s">
        <v>6701</v>
      </c>
      <c r="Q92" s="92">
        <v>125</v>
      </c>
      <c r="R92" s="1">
        <v>1</v>
      </c>
      <c r="S92" s="128">
        <v>0.21</v>
      </c>
      <c r="T92" s="128">
        <v>0.2</v>
      </c>
      <c r="U92" s="1"/>
      <c r="V92" s="95">
        <f t="shared" si="2"/>
        <v>121</v>
      </c>
      <c r="W92" t="s">
        <v>6779</v>
      </c>
      <c r="X92" s="6" t="s">
        <v>6780</v>
      </c>
      <c r="Y92" s="2">
        <v>37190</v>
      </c>
      <c r="Z92" s="2">
        <v>44650</v>
      </c>
      <c r="AA92" s="284" t="s">
        <v>7301</v>
      </c>
      <c r="AB92" s="3">
        <v>44812</v>
      </c>
      <c r="AC92" s="80" t="s">
        <v>1339</v>
      </c>
      <c r="AE92" s="162">
        <v>44728</v>
      </c>
      <c r="AF92" t="s">
        <v>3198</v>
      </c>
      <c r="AI92" t="s">
        <v>3221</v>
      </c>
      <c r="AJ92" s="2">
        <v>44669</v>
      </c>
      <c r="AL92"/>
      <c r="AM92" s="74">
        <v>44687</v>
      </c>
      <c r="AS92"/>
      <c r="AT92" s="1"/>
    </row>
    <row r="93" spans="1:139">
      <c r="A93" s="1">
        <v>92</v>
      </c>
      <c r="B93" t="s">
        <v>37</v>
      </c>
      <c r="C93" s="2">
        <v>44651</v>
      </c>
      <c r="D93" s="1" t="s">
        <v>6718</v>
      </c>
      <c r="E93" s="1"/>
      <c r="F93" t="s">
        <v>6719</v>
      </c>
      <c r="G93" s="61" t="s">
        <v>6720</v>
      </c>
      <c r="H93" s="6" t="s">
        <v>1229</v>
      </c>
      <c r="I93" s="1" t="s">
        <v>6721</v>
      </c>
      <c r="J93" s="44"/>
      <c r="K93" s="44"/>
      <c r="L93" t="s">
        <v>6718</v>
      </c>
      <c r="M93" s="3">
        <v>44651</v>
      </c>
      <c r="N93" s="1" t="s">
        <v>35</v>
      </c>
      <c r="O93" s="1"/>
      <c r="P93" t="s">
        <v>6722</v>
      </c>
      <c r="Q93" s="92">
        <v>125</v>
      </c>
      <c r="R93" s="1">
        <v>1</v>
      </c>
      <c r="S93" s="128">
        <v>0.21</v>
      </c>
      <c r="T93" s="128">
        <v>0</v>
      </c>
      <c r="U93" s="1"/>
      <c r="V93" s="95">
        <f t="shared" si="2"/>
        <v>151.25</v>
      </c>
      <c r="W93" t="s">
        <v>6790</v>
      </c>
      <c r="X93" s="6" t="s">
        <v>6742</v>
      </c>
      <c r="Y93" s="2">
        <v>38532</v>
      </c>
      <c r="Z93" s="2">
        <v>44651</v>
      </c>
      <c r="AA93" s="285" t="s">
        <v>6888</v>
      </c>
      <c r="AB93" s="3">
        <v>44692</v>
      </c>
      <c r="AC93" s="80" t="s">
        <v>1339</v>
      </c>
      <c r="AD93" t="s">
        <v>7181</v>
      </c>
      <c r="AF93" t="s">
        <v>3198</v>
      </c>
      <c r="AI93"/>
      <c r="AJ93" s="1"/>
      <c r="AL93"/>
      <c r="AM93" s="8"/>
      <c r="AS93"/>
      <c r="AT93" s="1"/>
    </row>
    <row r="94" spans="1:139">
      <c r="A94" s="1">
        <v>93</v>
      </c>
      <c r="B94" s="61" t="s">
        <v>33</v>
      </c>
      <c r="C94" s="2">
        <v>44657</v>
      </c>
      <c r="D94" s="1" t="s">
        <v>3247</v>
      </c>
      <c r="E94" s="1"/>
      <c r="F94" t="s">
        <v>3240</v>
      </c>
      <c r="G94" t="s">
        <v>3242</v>
      </c>
      <c r="H94" s="6" t="s">
        <v>304</v>
      </c>
      <c r="I94" t="s">
        <v>38</v>
      </c>
      <c r="J94" s="8">
        <v>646181264</v>
      </c>
      <c r="K94" s="8"/>
      <c r="L94" t="s">
        <v>237</v>
      </c>
      <c r="M94" s="3">
        <v>44681</v>
      </c>
      <c r="N94" s="1" t="s">
        <v>35</v>
      </c>
      <c r="O94" s="1"/>
      <c r="P94" s="14" t="s">
        <v>6735</v>
      </c>
      <c r="Q94" s="187">
        <v>125</v>
      </c>
      <c r="R94" s="1">
        <v>1</v>
      </c>
      <c r="S94" s="90">
        <v>0.21</v>
      </c>
      <c r="T94" s="90">
        <v>0.2</v>
      </c>
      <c r="V94" s="95">
        <f t="shared" si="2"/>
        <v>121</v>
      </c>
      <c r="W94" t="s">
        <v>6788</v>
      </c>
      <c r="X94" s="6" t="s">
        <v>6789</v>
      </c>
      <c r="Y94" s="2">
        <v>36375</v>
      </c>
      <c r="Z94" s="2">
        <v>44657</v>
      </c>
      <c r="AA94" s="284" t="s">
        <v>7353</v>
      </c>
      <c r="AB94" s="3">
        <v>44831</v>
      </c>
      <c r="AC94" s="80" t="s">
        <v>1339</v>
      </c>
      <c r="AD94" t="s">
        <v>6977</v>
      </c>
      <c r="AE94" s="162">
        <v>44741</v>
      </c>
      <c r="AF94" t="s">
        <v>3198</v>
      </c>
      <c r="AI94" t="s">
        <v>6737</v>
      </c>
      <c r="AJ94" s="2">
        <v>44669</v>
      </c>
      <c r="AL94"/>
      <c r="AM94" s="74">
        <v>44671</v>
      </c>
      <c r="AS94"/>
      <c r="AT94" s="1"/>
    </row>
    <row r="95" spans="1:139">
      <c r="A95" s="1">
        <v>94</v>
      </c>
      <c r="B95" s="61" t="s">
        <v>33</v>
      </c>
      <c r="C95" s="2">
        <v>44657</v>
      </c>
      <c r="D95" s="1" t="s">
        <v>3247</v>
      </c>
      <c r="E95" s="1"/>
      <c r="F95" t="s">
        <v>3240</v>
      </c>
      <c r="G95" t="s">
        <v>3242</v>
      </c>
      <c r="H95" s="6" t="s">
        <v>304</v>
      </c>
      <c r="I95" t="s">
        <v>38</v>
      </c>
      <c r="J95" s="8">
        <v>646181264</v>
      </c>
      <c r="K95" s="8"/>
      <c r="L95" t="s">
        <v>237</v>
      </c>
      <c r="M95" s="3">
        <v>44681</v>
      </c>
      <c r="N95" s="1" t="s">
        <v>35</v>
      </c>
      <c r="O95" s="1"/>
      <c r="P95" s="14" t="s">
        <v>6736</v>
      </c>
      <c r="Q95" s="187">
        <v>125</v>
      </c>
      <c r="R95" s="1">
        <v>1</v>
      </c>
      <c r="S95" s="90">
        <v>0.21</v>
      </c>
      <c r="T95" s="90">
        <v>0.2</v>
      </c>
      <c r="V95" s="95">
        <f t="shared" si="2"/>
        <v>121</v>
      </c>
      <c r="W95" t="s">
        <v>6815</v>
      </c>
      <c r="X95" s="6" t="s">
        <v>6816</v>
      </c>
      <c r="Y95" s="2">
        <v>36161</v>
      </c>
      <c r="Z95" s="2">
        <v>44657</v>
      </c>
      <c r="AA95" s="284" t="s">
        <v>7392</v>
      </c>
      <c r="AB95" s="3">
        <v>44831</v>
      </c>
      <c r="AC95" s="80" t="s">
        <v>1339</v>
      </c>
      <c r="AD95" t="s">
        <v>6977</v>
      </c>
      <c r="AE95" s="162">
        <v>44741</v>
      </c>
      <c r="AF95" t="s">
        <v>3198</v>
      </c>
      <c r="AI95" t="s">
        <v>3221</v>
      </c>
      <c r="AJ95" s="2">
        <v>44676</v>
      </c>
      <c r="AL95"/>
      <c r="AM95" s="74">
        <v>44678</v>
      </c>
      <c r="AS95"/>
      <c r="AT95" s="1"/>
    </row>
    <row r="96" spans="1:139">
      <c r="A96" s="1">
        <v>95</v>
      </c>
      <c r="B96" t="s">
        <v>119</v>
      </c>
      <c r="C96" s="2">
        <v>44658</v>
      </c>
      <c r="D96" s="1" t="s">
        <v>6745</v>
      </c>
      <c r="E96" s="1"/>
      <c r="F96" t="s">
        <v>6746</v>
      </c>
      <c r="G96" s="61" t="s">
        <v>6747</v>
      </c>
      <c r="H96" s="6" t="s">
        <v>226</v>
      </c>
      <c r="I96" s="1" t="s">
        <v>86</v>
      </c>
      <c r="J96" s="44"/>
      <c r="K96" s="1" t="s">
        <v>8094</v>
      </c>
      <c r="L96" s="31" t="s">
        <v>174</v>
      </c>
      <c r="M96" s="3">
        <v>44681</v>
      </c>
      <c r="N96" s="1" t="s">
        <v>35</v>
      </c>
      <c r="O96" s="1"/>
      <c r="P96" s="14" t="s">
        <v>6748</v>
      </c>
      <c r="Q96" s="92">
        <v>125</v>
      </c>
      <c r="R96" s="1">
        <v>1</v>
      </c>
      <c r="S96" s="128">
        <v>0.21</v>
      </c>
      <c r="T96" s="128">
        <v>0.2</v>
      </c>
      <c r="U96" s="1"/>
      <c r="V96" s="95">
        <f t="shared" si="2"/>
        <v>121</v>
      </c>
      <c r="W96" t="s">
        <v>6806</v>
      </c>
      <c r="X96" s="6" t="s">
        <v>6807</v>
      </c>
      <c r="Y96" s="2">
        <v>37063</v>
      </c>
      <c r="Z96" s="2">
        <v>44658</v>
      </c>
      <c r="AA96" s="284" t="s">
        <v>7301</v>
      </c>
      <c r="AB96" s="3">
        <v>44812</v>
      </c>
      <c r="AC96" s="80" t="s">
        <v>1339</v>
      </c>
      <c r="AD96" t="s">
        <v>6977</v>
      </c>
      <c r="AE96" s="162">
        <v>44728</v>
      </c>
      <c r="AF96" t="s">
        <v>3198</v>
      </c>
      <c r="AI96" t="s">
        <v>3221</v>
      </c>
      <c r="AJ96" s="2">
        <v>44676</v>
      </c>
      <c r="AL96"/>
      <c r="AM96" s="74">
        <v>44687</v>
      </c>
      <c r="AS96"/>
      <c r="AT96" s="1"/>
    </row>
    <row r="97" spans="1:258">
      <c r="A97" s="1">
        <v>96</v>
      </c>
      <c r="B97" s="61" t="s">
        <v>1414</v>
      </c>
      <c r="C97" s="2">
        <v>44658</v>
      </c>
      <c r="D97" s="1" t="s">
        <v>1079</v>
      </c>
      <c r="E97" s="1"/>
      <c r="F97" t="s">
        <v>41</v>
      </c>
      <c r="G97" s="61" t="s">
        <v>2115</v>
      </c>
      <c r="H97" s="1" t="s">
        <v>230</v>
      </c>
      <c r="I97" t="s">
        <v>1262</v>
      </c>
      <c r="J97" s="8">
        <v>631212115</v>
      </c>
      <c r="K97" s="8" t="s">
        <v>6306</v>
      </c>
      <c r="L97" t="s">
        <v>1079</v>
      </c>
      <c r="M97" s="3">
        <v>44681</v>
      </c>
      <c r="N97" s="1" t="s">
        <v>35</v>
      </c>
      <c r="O97" s="1"/>
      <c r="P97" s="14" t="s">
        <v>6749</v>
      </c>
      <c r="Q97" s="144">
        <v>100</v>
      </c>
      <c r="R97" s="1">
        <v>1</v>
      </c>
      <c r="S97" s="90">
        <v>0.21</v>
      </c>
      <c r="T97" s="90">
        <v>0.2</v>
      </c>
      <c r="U97" s="1"/>
      <c r="V97" s="95">
        <f t="shared" si="2"/>
        <v>96.8</v>
      </c>
      <c r="W97" t="s">
        <v>6827</v>
      </c>
      <c r="X97" s="6" t="s">
        <v>6828</v>
      </c>
      <c r="Y97" s="2">
        <v>35976</v>
      </c>
      <c r="Z97" s="2">
        <v>44658</v>
      </c>
      <c r="AA97" s="284" t="s">
        <v>7504</v>
      </c>
      <c r="AB97" s="3">
        <v>44753</v>
      </c>
      <c r="AC97" s="80" t="s">
        <v>1339</v>
      </c>
      <c r="AF97" t="s">
        <v>3198</v>
      </c>
      <c r="AI97" s="1" t="s">
        <v>6750</v>
      </c>
      <c r="AJ97" s="2">
        <v>44678</v>
      </c>
      <c r="AK97" s="1"/>
      <c r="AL97"/>
      <c r="AM97" s="74">
        <v>44678</v>
      </c>
      <c r="AS97"/>
      <c r="AT97" s="1"/>
    </row>
    <row r="98" spans="1:258">
      <c r="A98" s="264">
        <v>97</v>
      </c>
      <c r="B98" s="265" t="s">
        <v>37</v>
      </c>
      <c r="C98" s="266">
        <v>44659</v>
      </c>
      <c r="D98" s="264" t="s">
        <v>6751</v>
      </c>
      <c r="E98" s="264"/>
      <c r="F98" s="267" t="s">
        <v>6752</v>
      </c>
      <c r="G98" s="265" t="s">
        <v>6753</v>
      </c>
      <c r="H98" s="268" t="s">
        <v>221</v>
      </c>
      <c r="I98" s="267" t="s">
        <v>34</v>
      </c>
      <c r="J98" s="298" t="s">
        <v>6754</v>
      </c>
      <c r="K98" s="298" t="s">
        <v>6755</v>
      </c>
      <c r="L98" s="267" t="s">
        <v>6751</v>
      </c>
      <c r="M98" s="269">
        <v>44681</v>
      </c>
      <c r="N98" s="264" t="s">
        <v>35</v>
      </c>
      <c r="O98" s="1"/>
      <c r="P98" s="270" t="s">
        <v>6756</v>
      </c>
      <c r="Q98" s="271">
        <v>125</v>
      </c>
      <c r="R98" s="264">
        <v>1</v>
      </c>
      <c r="S98" s="272">
        <v>0.21</v>
      </c>
      <c r="T98" s="272">
        <v>0.2</v>
      </c>
      <c r="U98" s="264"/>
      <c r="V98" s="273">
        <f t="shared" ref="V98:V111" si="3">SUM(Q98-(Q98*T98))*S98+(Q98-(Q98*T98))</f>
        <v>121</v>
      </c>
      <c r="W98" s="267" t="s">
        <v>6825</v>
      </c>
      <c r="X98" s="268" t="s">
        <v>6826</v>
      </c>
      <c r="Y98" s="266">
        <v>35655</v>
      </c>
      <c r="Z98" s="266">
        <v>44659</v>
      </c>
      <c r="AA98" s="290" t="s">
        <v>6996</v>
      </c>
      <c r="AB98" s="267"/>
      <c r="AC98" s="267"/>
      <c r="AD98" s="267"/>
      <c r="AE98" s="267"/>
      <c r="AF98" s="267" t="s">
        <v>3198</v>
      </c>
      <c r="AG98" s="267"/>
      <c r="AH98" s="267"/>
      <c r="AI98" s="264" t="s">
        <v>6757</v>
      </c>
      <c r="AJ98" s="266">
        <v>44678</v>
      </c>
      <c r="AK98" s="264"/>
      <c r="AL98" s="267"/>
      <c r="AM98" s="283">
        <v>44678</v>
      </c>
      <c r="AS98"/>
      <c r="AT98" s="1"/>
    </row>
    <row r="99" spans="1:258">
      <c r="A99" s="1">
        <v>98</v>
      </c>
      <c r="B99" t="s">
        <v>3526</v>
      </c>
      <c r="C99" s="2">
        <v>44662</v>
      </c>
      <c r="D99" s="1" t="s">
        <v>6215</v>
      </c>
      <c r="E99" s="1"/>
      <c r="F99" t="s">
        <v>6216</v>
      </c>
      <c r="G99" t="s">
        <v>6217</v>
      </c>
      <c r="H99" s="6" t="s">
        <v>242</v>
      </c>
      <c r="I99" s="1" t="s">
        <v>86</v>
      </c>
      <c r="J99" s="8">
        <v>647672066</v>
      </c>
      <c r="K99" s="8"/>
      <c r="L99" t="s">
        <v>6215</v>
      </c>
      <c r="M99" s="3">
        <v>44681</v>
      </c>
      <c r="N99" s="1" t="s">
        <v>35</v>
      </c>
      <c r="O99" s="1"/>
      <c r="P99" s="14" t="s">
        <v>6760</v>
      </c>
      <c r="Q99" s="187">
        <v>125</v>
      </c>
      <c r="R99" s="1">
        <v>1</v>
      </c>
      <c r="S99" s="90">
        <v>0.21</v>
      </c>
      <c r="T99" s="90">
        <v>0.2</v>
      </c>
      <c r="V99" s="95">
        <f t="shared" si="3"/>
        <v>121</v>
      </c>
      <c r="W99" t="s">
        <v>6869</v>
      </c>
      <c r="X99" s="6" t="s">
        <v>6870</v>
      </c>
      <c r="Y99" s="2">
        <v>29681</v>
      </c>
      <c r="Z99" s="2">
        <v>44662</v>
      </c>
      <c r="AA99" s="284" t="s">
        <v>6940</v>
      </c>
      <c r="AB99" s="3">
        <v>44700</v>
      </c>
      <c r="AC99" s="80" t="s">
        <v>1339</v>
      </c>
      <c r="AF99" t="s">
        <v>3198</v>
      </c>
      <c r="AI99" t="s">
        <v>3108</v>
      </c>
      <c r="AJ99" s="2"/>
      <c r="AL99"/>
      <c r="AM99" s="74"/>
      <c r="AS99"/>
      <c r="AT99" s="1"/>
    </row>
    <row r="100" spans="1:258">
      <c r="A100" s="1">
        <v>99</v>
      </c>
      <c r="B100" t="s">
        <v>3526</v>
      </c>
      <c r="C100" s="2">
        <v>44662</v>
      </c>
      <c r="D100" s="1" t="s">
        <v>6761</v>
      </c>
      <c r="E100" s="1"/>
      <c r="F100" t="s">
        <v>6762</v>
      </c>
      <c r="G100" s="61" t="s">
        <v>6763</v>
      </c>
      <c r="H100" s="6" t="s">
        <v>226</v>
      </c>
      <c r="I100" s="1" t="s">
        <v>86</v>
      </c>
      <c r="J100" s="8">
        <v>674413212</v>
      </c>
      <c r="K100" s="8"/>
      <c r="L100" t="s">
        <v>6761</v>
      </c>
      <c r="M100" s="3">
        <v>44681</v>
      </c>
      <c r="N100" s="1" t="s">
        <v>35</v>
      </c>
      <c r="O100" s="1"/>
      <c r="P100" s="14" t="s">
        <v>6764</v>
      </c>
      <c r="Q100" s="187">
        <v>41.32</v>
      </c>
      <c r="R100" s="1">
        <v>1</v>
      </c>
      <c r="S100" s="90">
        <v>0.21</v>
      </c>
      <c r="T100" s="90">
        <v>0</v>
      </c>
      <c r="V100" s="95">
        <f t="shared" si="3"/>
        <v>49.997199999999999</v>
      </c>
      <c r="W100" t="s">
        <v>6761</v>
      </c>
      <c r="X100" s="6" t="s">
        <v>6765</v>
      </c>
      <c r="Y100" s="2">
        <v>27030</v>
      </c>
      <c r="Z100" s="2">
        <v>44662</v>
      </c>
      <c r="AA100" s="284" t="s">
        <v>7048</v>
      </c>
      <c r="AB100" s="3">
        <v>44725</v>
      </c>
      <c r="AC100" s="80" t="s">
        <v>1339</v>
      </c>
      <c r="AF100" t="s">
        <v>3198</v>
      </c>
      <c r="AI100" t="s">
        <v>6766</v>
      </c>
      <c r="AJ100" s="2"/>
      <c r="AL100"/>
      <c r="AM100" s="74">
        <v>44671</v>
      </c>
      <c r="AS100"/>
      <c r="AT100" s="1"/>
    </row>
    <row r="101" spans="1:258">
      <c r="A101" s="1">
        <v>100</v>
      </c>
      <c r="B101" t="s">
        <v>52</v>
      </c>
      <c r="C101" s="2">
        <v>44670</v>
      </c>
      <c r="D101" s="1" t="s">
        <v>256</v>
      </c>
      <c r="E101" s="1"/>
      <c r="F101" s="31" t="s">
        <v>155</v>
      </c>
      <c r="G101" s="31" t="s">
        <v>138</v>
      </c>
      <c r="H101" s="33" t="s">
        <v>227</v>
      </c>
      <c r="I101" s="30" t="s">
        <v>203</v>
      </c>
      <c r="J101" s="44">
        <v>631130911</v>
      </c>
      <c r="K101" s="44" t="s">
        <v>5906</v>
      </c>
      <c r="L101" t="s">
        <v>4432</v>
      </c>
      <c r="M101" s="3">
        <v>44681</v>
      </c>
      <c r="N101" s="1" t="s">
        <v>35</v>
      </c>
      <c r="O101" s="1"/>
      <c r="P101" s="14" t="s">
        <v>7198</v>
      </c>
      <c r="Q101" s="187">
        <v>125</v>
      </c>
      <c r="R101" s="1">
        <v>1</v>
      </c>
      <c r="S101" s="90">
        <v>0.21</v>
      </c>
      <c r="T101" s="90">
        <v>0.2</v>
      </c>
      <c r="V101" s="95">
        <f t="shared" si="3"/>
        <v>121</v>
      </c>
      <c r="W101" t="s">
        <v>6855</v>
      </c>
      <c r="X101" s="6" t="s">
        <v>6859</v>
      </c>
      <c r="Y101" s="2">
        <v>35064</v>
      </c>
      <c r="Z101" s="2">
        <v>44670</v>
      </c>
      <c r="AA101" s="284" t="s">
        <v>7319</v>
      </c>
      <c r="AB101" s="3">
        <v>44810</v>
      </c>
      <c r="AC101" s="80" t="s">
        <v>1339</v>
      </c>
      <c r="AF101" t="s">
        <v>3198</v>
      </c>
      <c r="AI101" t="s">
        <v>3108</v>
      </c>
      <c r="AJ101" s="2">
        <v>44686</v>
      </c>
      <c r="AK101" t="s">
        <v>7199</v>
      </c>
      <c r="AL101" s="3">
        <v>44764</v>
      </c>
      <c r="AM101" s="74">
        <v>44692</v>
      </c>
      <c r="AS101"/>
      <c r="AT101" s="1"/>
    </row>
    <row r="102" spans="1:258">
      <c r="A102" s="1">
        <v>101</v>
      </c>
      <c r="B102" t="s">
        <v>37</v>
      </c>
      <c r="C102" s="2">
        <v>44670</v>
      </c>
      <c r="D102" s="1" t="s">
        <v>6791</v>
      </c>
      <c r="E102" s="1"/>
      <c r="F102" t="s">
        <v>78</v>
      </c>
      <c r="G102" s="61" t="s">
        <v>6792</v>
      </c>
      <c r="H102" s="6" t="s">
        <v>238</v>
      </c>
      <c r="I102" s="1" t="s">
        <v>48</v>
      </c>
      <c r="J102" s="8">
        <v>602104429</v>
      </c>
      <c r="K102" s="44"/>
      <c r="L102" t="s">
        <v>6791</v>
      </c>
      <c r="M102" s="3">
        <v>44681</v>
      </c>
      <c r="N102" s="1" t="s">
        <v>35</v>
      </c>
      <c r="O102" s="1"/>
      <c r="P102" s="14" t="s">
        <v>6793</v>
      </c>
      <c r="Q102" s="187">
        <v>41.32</v>
      </c>
      <c r="R102" s="1">
        <v>1</v>
      </c>
      <c r="S102" s="90">
        <v>0.21</v>
      </c>
      <c r="T102" s="90">
        <v>0</v>
      </c>
      <c r="V102" s="95">
        <f t="shared" si="3"/>
        <v>49.997199999999999</v>
      </c>
      <c r="W102" t="s">
        <v>6791</v>
      </c>
      <c r="X102" s="6" t="s">
        <v>6794</v>
      </c>
      <c r="Y102" s="2">
        <v>29833</v>
      </c>
      <c r="Z102" s="2">
        <v>44670</v>
      </c>
      <c r="AA102" s="284" t="s">
        <v>7025</v>
      </c>
      <c r="AB102" s="3">
        <v>44720</v>
      </c>
      <c r="AC102" s="80" t="s">
        <v>1339</v>
      </c>
      <c r="AF102" t="s">
        <v>3198</v>
      </c>
      <c r="AI102"/>
      <c r="AJ102" s="2"/>
      <c r="AL102"/>
      <c r="AM102" s="74"/>
      <c r="AS102"/>
      <c r="AT102" s="1"/>
    </row>
    <row r="103" spans="1:258">
      <c r="A103" s="1">
        <v>102</v>
      </c>
      <c r="B103" t="s">
        <v>37</v>
      </c>
      <c r="C103" s="2">
        <v>44670</v>
      </c>
      <c r="D103" s="1" t="s">
        <v>4714</v>
      </c>
      <c r="E103" s="1"/>
      <c r="F103" t="s">
        <v>4673</v>
      </c>
      <c r="G103" t="s">
        <v>4674</v>
      </c>
      <c r="H103" s="6" t="s">
        <v>219</v>
      </c>
      <c r="I103" s="1" t="s">
        <v>38</v>
      </c>
      <c r="K103" s="8"/>
      <c r="L103" t="s">
        <v>4714</v>
      </c>
      <c r="M103" s="3">
        <v>44681</v>
      </c>
      <c r="N103" s="1" t="s">
        <v>35</v>
      </c>
      <c r="O103" s="1"/>
      <c r="P103" t="s">
        <v>6717</v>
      </c>
      <c r="Q103" s="187">
        <v>60</v>
      </c>
      <c r="R103" s="1">
        <v>1</v>
      </c>
      <c r="S103" s="90">
        <v>0.21</v>
      </c>
      <c r="T103" s="90">
        <v>0</v>
      </c>
      <c r="V103" s="95">
        <f t="shared" si="3"/>
        <v>72.599999999999994</v>
      </c>
      <c r="W103" t="s">
        <v>1191</v>
      </c>
      <c r="X103" s="6" t="s">
        <v>6936</v>
      </c>
      <c r="Y103" s="2">
        <v>40274</v>
      </c>
      <c r="Z103" s="2">
        <v>44670</v>
      </c>
      <c r="AA103" s="284" t="s">
        <v>7232</v>
      </c>
      <c r="AB103" s="3">
        <v>44781</v>
      </c>
      <c r="AC103" s="80" t="s">
        <v>1339</v>
      </c>
      <c r="AE103" s="162">
        <v>44729</v>
      </c>
      <c r="AF103" t="s">
        <v>3198</v>
      </c>
      <c r="AI103" t="s">
        <v>4001</v>
      </c>
      <c r="AJ103" s="1"/>
      <c r="AL103"/>
      <c r="AM103" s="8"/>
      <c r="AS103"/>
      <c r="AT103" s="1"/>
    </row>
    <row r="104" spans="1:258">
      <c r="A104" s="1">
        <v>103</v>
      </c>
      <c r="B104" t="s">
        <v>37</v>
      </c>
      <c r="C104" s="2">
        <v>44670</v>
      </c>
      <c r="D104" s="1" t="s">
        <v>4714</v>
      </c>
      <c r="E104" s="1"/>
      <c r="F104" t="s">
        <v>4673</v>
      </c>
      <c r="G104" t="s">
        <v>4674</v>
      </c>
      <c r="H104" s="6" t="s">
        <v>219</v>
      </c>
      <c r="I104" s="1" t="s">
        <v>38</v>
      </c>
      <c r="K104" s="8"/>
      <c r="L104" t="s">
        <v>4714</v>
      </c>
      <c r="M104" s="3">
        <v>44681</v>
      </c>
      <c r="N104" s="1" t="s">
        <v>35</v>
      </c>
      <c r="O104" s="1"/>
      <c r="P104" t="s">
        <v>6716</v>
      </c>
      <c r="Q104" s="92">
        <v>60</v>
      </c>
      <c r="R104" s="1">
        <v>1</v>
      </c>
      <c r="S104" s="128">
        <v>0.21</v>
      </c>
      <c r="T104" s="128">
        <v>0</v>
      </c>
      <c r="U104" s="1"/>
      <c r="V104" s="95">
        <f t="shared" si="3"/>
        <v>72.599999999999994</v>
      </c>
      <c r="W104" t="s">
        <v>1189</v>
      </c>
      <c r="X104" s="6" t="s">
        <v>6937</v>
      </c>
      <c r="Y104" s="2">
        <v>39760</v>
      </c>
      <c r="Z104" s="2">
        <v>44670</v>
      </c>
      <c r="AA104" s="284" t="s">
        <v>7232</v>
      </c>
      <c r="AB104" s="3">
        <v>44781</v>
      </c>
      <c r="AC104" s="80" t="s">
        <v>1339</v>
      </c>
      <c r="AE104" s="162">
        <v>44729</v>
      </c>
      <c r="AF104" t="s">
        <v>3198</v>
      </c>
      <c r="AI104" t="s">
        <v>4001</v>
      </c>
      <c r="AJ104" s="1"/>
      <c r="AL104"/>
      <c r="AM104" s="8"/>
      <c r="AS104"/>
      <c r="AT104" s="1"/>
    </row>
    <row r="105" spans="1:258">
      <c r="A105" s="1">
        <v>104</v>
      </c>
      <c r="B105" t="s">
        <v>119</v>
      </c>
      <c r="C105" s="2">
        <v>44671</v>
      </c>
      <c r="D105" s="1" t="s">
        <v>4389</v>
      </c>
      <c r="E105" s="1"/>
      <c r="F105" t="s">
        <v>2349</v>
      </c>
      <c r="G105" t="s">
        <v>2350</v>
      </c>
      <c r="H105" s="6" t="s">
        <v>242</v>
      </c>
      <c r="I105" s="1" t="s">
        <v>86</v>
      </c>
      <c r="J105" s="44"/>
      <c r="K105" s="1" t="s">
        <v>8094</v>
      </c>
      <c r="L105" s="31" t="s">
        <v>174</v>
      </c>
      <c r="M105" s="3">
        <v>44681</v>
      </c>
      <c r="N105" s="1" t="s">
        <v>35</v>
      </c>
      <c r="O105" s="1"/>
      <c r="P105" s="14" t="s">
        <v>6796</v>
      </c>
      <c r="Q105" s="92">
        <v>125</v>
      </c>
      <c r="R105" s="1">
        <v>1</v>
      </c>
      <c r="S105" s="128">
        <v>0.21</v>
      </c>
      <c r="T105" s="128">
        <v>0.2</v>
      </c>
      <c r="U105" s="1"/>
      <c r="V105" s="95">
        <f t="shared" si="3"/>
        <v>121</v>
      </c>
      <c r="W105" t="s">
        <v>6860</v>
      </c>
      <c r="X105" s="6" t="s">
        <v>6861</v>
      </c>
      <c r="Y105" s="2">
        <v>34116</v>
      </c>
      <c r="Z105" s="2">
        <v>44671</v>
      </c>
      <c r="AA105" s="284" t="s">
        <v>7302</v>
      </c>
      <c r="AB105" s="3">
        <v>44810</v>
      </c>
      <c r="AC105" s="80" t="s">
        <v>1339</v>
      </c>
      <c r="AF105" t="s">
        <v>3198</v>
      </c>
      <c r="AI105" t="s">
        <v>3108</v>
      </c>
      <c r="AJ105" s="2">
        <v>44686</v>
      </c>
      <c r="AL105"/>
      <c r="AM105" s="74">
        <v>44692</v>
      </c>
      <c r="AS105"/>
      <c r="AT105" s="1"/>
    </row>
    <row r="106" spans="1:258">
      <c r="A106" s="1">
        <v>105</v>
      </c>
      <c r="B106" t="s">
        <v>37</v>
      </c>
      <c r="C106" s="2">
        <v>44672</v>
      </c>
      <c r="D106" t="s">
        <v>6892</v>
      </c>
      <c r="F106" t="s">
        <v>6798</v>
      </c>
      <c r="G106" t="s">
        <v>6799</v>
      </c>
      <c r="H106" s="6" t="s">
        <v>2451</v>
      </c>
      <c r="I106" s="1" t="s">
        <v>3681</v>
      </c>
      <c r="J106" s="44">
        <v>642742518</v>
      </c>
      <c r="K106" s="44"/>
      <c r="L106" t="s">
        <v>6892</v>
      </c>
      <c r="M106" s="3">
        <v>44681</v>
      </c>
      <c r="N106" s="1" t="s">
        <v>35</v>
      </c>
      <c r="O106" s="1"/>
      <c r="P106" s="14" t="s">
        <v>6800</v>
      </c>
      <c r="Q106" s="92">
        <v>125</v>
      </c>
      <c r="R106" s="1">
        <v>1</v>
      </c>
      <c r="S106" s="128">
        <v>0.21</v>
      </c>
      <c r="T106" s="128">
        <v>0</v>
      </c>
      <c r="U106" s="1"/>
      <c r="V106" s="95">
        <f t="shared" si="3"/>
        <v>151.25</v>
      </c>
      <c r="W106" t="s">
        <v>6892</v>
      </c>
      <c r="X106" s="6" t="s">
        <v>6893</v>
      </c>
      <c r="Y106" s="2">
        <v>34449</v>
      </c>
      <c r="Z106" s="2">
        <v>44672</v>
      </c>
      <c r="AA106" s="284" t="s">
        <v>7301</v>
      </c>
      <c r="AB106" s="3">
        <v>44810</v>
      </c>
      <c r="AC106" s="80" t="s">
        <v>1339</v>
      </c>
      <c r="AF106" t="s">
        <v>3198</v>
      </c>
      <c r="AI106" t="s">
        <v>3812</v>
      </c>
      <c r="AJ106" s="2">
        <v>44693</v>
      </c>
      <c r="AL106"/>
      <c r="AM106" s="74">
        <v>44715</v>
      </c>
      <c r="AS106"/>
      <c r="AT106" s="1"/>
    </row>
    <row r="107" spans="1:258">
      <c r="A107" s="1">
        <v>106</v>
      </c>
      <c r="B107" t="s">
        <v>37</v>
      </c>
      <c r="C107" s="2">
        <v>44676</v>
      </c>
      <c r="D107" t="s">
        <v>5183</v>
      </c>
      <c r="F107" t="s">
        <v>5006</v>
      </c>
      <c r="G107" t="s">
        <v>5007</v>
      </c>
      <c r="H107" s="6" t="s">
        <v>294</v>
      </c>
      <c r="I107" s="1" t="s">
        <v>1266</v>
      </c>
      <c r="J107" s="8">
        <v>643277521</v>
      </c>
      <c r="K107" s="8"/>
      <c r="L107" t="s">
        <v>5183</v>
      </c>
      <c r="M107" s="3">
        <v>44681</v>
      </c>
      <c r="N107" s="1" t="s">
        <v>35</v>
      </c>
      <c r="O107" s="1"/>
      <c r="P107" s="14" t="s">
        <v>6801</v>
      </c>
      <c r="Q107" s="187">
        <v>75</v>
      </c>
      <c r="R107" s="1">
        <v>1</v>
      </c>
      <c r="S107" s="90">
        <v>0.21</v>
      </c>
      <c r="T107" s="90">
        <v>0.2</v>
      </c>
      <c r="V107" s="95">
        <f t="shared" si="3"/>
        <v>72.599999999999994</v>
      </c>
      <c r="W107" t="s">
        <v>5183</v>
      </c>
      <c r="X107" s="6" t="s">
        <v>6802</v>
      </c>
      <c r="Y107" s="2">
        <v>31049</v>
      </c>
      <c r="Z107" s="2">
        <v>44676</v>
      </c>
      <c r="AA107" s="284" t="s">
        <v>7100</v>
      </c>
      <c r="AB107" s="3">
        <v>44740</v>
      </c>
      <c r="AC107" s="80" t="s">
        <v>1339</v>
      </c>
      <c r="AF107" t="s">
        <v>3198</v>
      </c>
      <c r="AI107"/>
      <c r="AJ107" s="2"/>
      <c r="AL107"/>
      <c r="AM107" s="74"/>
      <c r="AS107"/>
      <c r="AT107" s="1"/>
    </row>
    <row r="108" spans="1:258">
      <c r="A108" s="1">
        <v>107</v>
      </c>
      <c r="B108" t="s">
        <v>40</v>
      </c>
      <c r="C108" s="2">
        <v>44676</v>
      </c>
      <c r="D108" s="1" t="s">
        <v>6015</v>
      </c>
      <c r="E108" s="1"/>
      <c r="F108" t="s">
        <v>6016</v>
      </c>
      <c r="G108" t="s">
        <v>6017</v>
      </c>
      <c r="H108" s="6" t="s">
        <v>221</v>
      </c>
      <c r="I108" s="1" t="s">
        <v>34</v>
      </c>
      <c r="K108" s="8"/>
      <c r="L108" t="s">
        <v>6015</v>
      </c>
      <c r="M108" s="3">
        <v>44681</v>
      </c>
      <c r="N108" s="1" t="s">
        <v>35</v>
      </c>
      <c r="O108" s="1"/>
      <c r="P108" s="14" t="s">
        <v>6803</v>
      </c>
      <c r="Q108" s="187">
        <v>125</v>
      </c>
      <c r="R108" s="1">
        <v>1</v>
      </c>
      <c r="S108" s="90">
        <v>0.21</v>
      </c>
      <c r="T108" s="90">
        <v>0.2</v>
      </c>
      <c r="V108" s="95">
        <f t="shared" si="3"/>
        <v>121</v>
      </c>
      <c r="W108" t="s">
        <v>6823</v>
      </c>
      <c r="X108" s="6" t="s">
        <v>6822</v>
      </c>
      <c r="Y108" s="2">
        <v>29221</v>
      </c>
      <c r="Z108" s="2">
        <v>44676</v>
      </c>
      <c r="AA108" s="284" t="s">
        <v>6891</v>
      </c>
      <c r="AB108" s="3">
        <v>44693</v>
      </c>
      <c r="AC108" s="80" t="s">
        <v>1339</v>
      </c>
      <c r="AF108" t="s">
        <v>3198</v>
      </c>
      <c r="AI108" t="s">
        <v>3108</v>
      </c>
      <c r="AJ108" s="2">
        <v>44678</v>
      </c>
      <c r="AL108"/>
      <c r="AM108" s="74">
        <v>44680</v>
      </c>
      <c r="AS108"/>
      <c r="AT108" s="1"/>
    </row>
    <row r="109" spans="1:258">
      <c r="A109" s="1">
        <v>108</v>
      </c>
      <c r="B109" t="s">
        <v>37</v>
      </c>
      <c r="C109" s="2">
        <v>44678</v>
      </c>
      <c r="D109" s="1" t="s">
        <v>5115</v>
      </c>
      <c r="E109" s="1"/>
      <c r="F109" t="s">
        <v>5116</v>
      </c>
      <c r="G109" s="61" t="s">
        <v>5117</v>
      </c>
      <c r="H109" s="6" t="s">
        <v>1257</v>
      </c>
      <c r="I109" s="1" t="s">
        <v>1266</v>
      </c>
      <c r="J109" s="8">
        <v>652280489</v>
      </c>
      <c r="K109" s="8"/>
      <c r="L109" t="s">
        <v>5115</v>
      </c>
      <c r="M109" s="3">
        <v>44681</v>
      </c>
      <c r="N109" s="1" t="s">
        <v>35</v>
      </c>
      <c r="O109" s="1"/>
      <c r="P109" s="14" t="s">
        <v>6817</v>
      </c>
      <c r="Q109" s="187">
        <v>75</v>
      </c>
      <c r="R109" s="1">
        <v>1</v>
      </c>
      <c r="S109" s="90">
        <v>0.21</v>
      </c>
      <c r="T109" s="90">
        <v>0.2</v>
      </c>
      <c r="V109" s="95">
        <f t="shared" si="3"/>
        <v>72.599999999999994</v>
      </c>
      <c r="W109" t="s">
        <v>5115</v>
      </c>
      <c r="X109" s="6" t="s">
        <v>6818</v>
      </c>
      <c r="Y109" s="2">
        <v>30681</v>
      </c>
      <c r="Z109" s="2">
        <v>44678</v>
      </c>
      <c r="AA109" s="284" t="s">
        <v>7080</v>
      </c>
      <c r="AB109" s="3">
        <v>44728</v>
      </c>
      <c r="AC109" s="80" t="s">
        <v>1339</v>
      </c>
      <c r="AF109" t="s">
        <v>3198</v>
      </c>
      <c r="AI109"/>
      <c r="AJ109" s="2"/>
      <c r="AL109"/>
      <c r="AM109" s="74"/>
      <c r="AS109"/>
      <c r="AT109" s="1"/>
    </row>
    <row r="110" spans="1:258">
      <c r="A110" s="1">
        <v>109</v>
      </c>
      <c r="B110" t="s">
        <v>40</v>
      </c>
      <c r="C110" s="2">
        <v>44678</v>
      </c>
      <c r="D110" s="1" t="s">
        <v>2176</v>
      </c>
      <c r="E110" s="1"/>
      <c r="F110" t="s">
        <v>2177</v>
      </c>
      <c r="G110" t="s">
        <v>4671</v>
      </c>
      <c r="H110" s="6" t="s">
        <v>221</v>
      </c>
      <c r="I110" s="1" t="s">
        <v>34</v>
      </c>
      <c r="K110" s="8"/>
      <c r="L110" t="s">
        <v>2176</v>
      </c>
      <c r="M110" s="3">
        <v>44681</v>
      </c>
      <c r="N110" s="1" t="s">
        <v>35</v>
      </c>
      <c r="O110" s="1"/>
      <c r="P110" s="14" t="s">
        <v>6820</v>
      </c>
      <c r="Q110" s="187">
        <v>75</v>
      </c>
      <c r="R110" s="1">
        <v>1</v>
      </c>
      <c r="S110" s="128">
        <v>0.21</v>
      </c>
      <c r="T110" s="128">
        <v>0.2</v>
      </c>
      <c r="V110" s="95">
        <f t="shared" si="3"/>
        <v>72.599999999999994</v>
      </c>
      <c r="W110" t="s">
        <v>4796</v>
      </c>
      <c r="X110" s="6" t="s">
        <v>6821</v>
      </c>
      <c r="Y110" s="2">
        <v>34384</v>
      </c>
      <c r="Z110" s="2">
        <v>44678</v>
      </c>
      <c r="AA110" s="284" t="s">
        <v>7138</v>
      </c>
      <c r="AB110" s="3">
        <v>44747</v>
      </c>
      <c r="AC110" s="80" t="s">
        <v>1339</v>
      </c>
      <c r="AF110" t="s">
        <v>3198</v>
      </c>
      <c r="AI110"/>
      <c r="AJ110" s="2"/>
      <c r="AL110"/>
      <c r="AM110" s="74"/>
      <c r="AS110"/>
      <c r="AT110" s="1"/>
      <c r="EJ110" s="196"/>
      <c r="EK110" s="196"/>
      <c r="EL110" s="196"/>
      <c r="EM110" s="196"/>
      <c r="EN110" s="196"/>
      <c r="EO110" s="196"/>
      <c r="EP110" s="196"/>
      <c r="EQ110" s="196"/>
      <c r="ER110" s="196"/>
      <c r="ES110" s="196"/>
      <c r="ET110" s="196"/>
      <c r="EU110" s="196"/>
      <c r="EV110" s="196"/>
      <c r="EW110" s="196"/>
      <c r="EX110" s="196"/>
      <c r="EY110" s="196"/>
      <c r="EZ110" s="196"/>
      <c r="FA110" s="196"/>
      <c r="FB110" s="196"/>
      <c r="FC110" s="196"/>
      <c r="FD110" s="196"/>
      <c r="FE110" s="196"/>
      <c r="FF110" s="196"/>
      <c r="FG110" s="196"/>
      <c r="FH110" s="196"/>
      <c r="FI110" s="196"/>
      <c r="FJ110" s="196"/>
      <c r="FK110" s="196"/>
      <c r="FL110" s="196"/>
      <c r="FM110" s="196"/>
      <c r="FN110" s="196"/>
      <c r="FO110" s="196"/>
      <c r="FP110" s="196"/>
      <c r="FQ110" s="196"/>
      <c r="FR110" s="196"/>
      <c r="FS110" s="196"/>
      <c r="FT110" s="196"/>
      <c r="FU110" s="196"/>
      <c r="FV110" s="196"/>
      <c r="FW110" s="196"/>
      <c r="FX110" s="196"/>
      <c r="FY110" s="196"/>
      <c r="FZ110" s="196"/>
      <c r="GA110" s="196"/>
      <c r="GB110" s="196"/>
      <c r="GC110" s="196"/>
      <c r="GD110" s="196"/>
      <c r="GE110" s="196"/>
      <c r="GF110" s="196"/>
      <c r="GG110" s="196"/>
      <c r="GH110" s="196"/>
      <c r="GI110" s="196"/>
      <c r="GJ110" s="196"/>
      <c r="GK110" s="196"/>
      <c r="GL110" s="196"/>
      <c r="GM110" s="196"/>
      <c r="GN110" s="196"/>
      <c r="GO110" s="196"/>
      <c r="GP110" s="196"/>
      <c r="GQ110" s="196"/>
      <c r="GR110" s="196"/>
      <c r="GS110" s="196"/>
      <c r="GT110" s="196"/>
      <c r="GU110" s="196"/>
      <c r="GV110" s="196"/>
      <c r="GW110" s="196"/>
      <c r="GX110" s="196"/>
      <c r="GY110" s="196"/>
      <c r="GZ110" s="196"/>
      <c r="HA110" s="196"/>
      <c r="HB110" s="196"/>
      <c r="HC110" s="196"/>
      <c r="HD110" s="196"/>
      <c r="HE110" s="196"/>
      <c r="HF110" s="196"/>
      <c r="HG110" s="196"/>
      <c r="HH110" s="196"/>
      <c r="HI110" s="196"/>
      <c r="HJ110" s="196"/>
      <c r="HK110" s="196"/>
      <c r="HL110" s="196"/>
      <c r="HM110" s="196"/>
      <c r="HN110" s="196"/>
      <c r="HO110" s="196"/>
      <c r="HP110" s="196"/>
      <c r="HQ110" s="196"/>
      <c r="HR110" s="196"/>
      <c r="HS110" s="196"/>
      <c r="HT110" s="196"/>
      <c r="HU110" s="196"/>
      <c r="HV110" s="196"/>
      <c r="HW110" s="196"/>
      <c r="HX110" s="196"/>
      <c r="HY110" s="196"/>
      <c r="HZ110" s="196"/>
      <c r="IA110" s="196"/>
      <c r="IB110" s="196"/>
      <c r="IC110" s="196"/>
      <c r="ID110" s="196"/>
      <c r="IE110" s="196"/>
      <c r="IF110" s="196"/>
      <c r="IG110" s="196"/>
      <c r="IH110" s="196"/>
      <c r="II110" s="196"/>
      <c r="IJ110" s="196"/>
      <c r="IK110" s="196"/>
      <c r="IL110" s="196"/>
      <c r="IM110" s="196"/>
      <c r="IN110" s="196"/>
      <c r="IO110" s="196"/>
      <c r="IP110" s="196"/>
      <c r="IQ110" s="196"/>
      <c r="IR110" s="196"/>
      <c r="IS110" s="196"/>
      <c r="IT110" s="196"/>
      <c r="IU110" s="196"/>
      <c r="IV110" s="196"/>
      <c r="IW110" s="196"/>
      <c r="IX110" s="196"/>
    </row>
    <row r="111" spans="1:258">
      <c r="A111" s="1">
        <v>110</v>
      </c>
      <c r="B111" s="61" t="s">
        <v>33</v>
      </c>
      <c r="C111" s="2">
        <v>44678</v>
      </c>
      <c r="D111" s="1" t="s">
        <v>4477</v>
      </c>
      <c r="E111" s="1"/>
      <c r="F111" s="61" t="s">
        <v>4478</v>
      </c>
      <c r="G111" s="61" t="s">
        <v>4479</v>
      </c>
      <c r="H111" s="6" t="s">
        <v>304</v>
      </c>
      <c r="I111" t="s">
        <v>4480</v>
      </c>
      <c r="K111" t="s">
        <v>8186</v>
      </c>
      <c r="L111" t="s">
        <v>237</v>
      </c>
      <c r="M111" s="3">
        <v>44681</v>
      </c>
      <c r="N111" s="1" t="s">
        <v>35</v>
      </c>
      <c r="O111" s="1"/>
      <c r="P111" s="14" t="s">
        <v>6831</v>
      </c>
      <c r="Q111" s="163">
        <v>125</v>
      </c>
      <c r="R111" s="1">
        <v>1</v>
      </c>
      <c r="S111" s="90">
        <v>0.21</v>
      </c>
      <c r="T111" s="90">
        <v>0.2</v>
      </c>
      <c r="V111" s="95">
        <f t="shared" si="3"/>
        <v>121</v>
      </c>
      <c r="W111" t="s">
        <v>6894</v>
      </c>
      <c r="X111" s="6" t="s">
        <v>6895</v>
      </c>
      <c r="Y111" s="2">
        <v>32436</v>
      </c>
      <c r="Z111" s="2">
        <v>44678</v>
      </c>
      <c r="AA111" s="284" t="s">
        <v>7347</v>
      </c>
      <c r="AB111" s="3">
        <v>44824</v>
      </c>
      <c r="AC111" s="80" t="s">
        <v>1339</v>
      </c>
      <c r="AF111" t="s">
        <v>3198</v>
      </c>
      <c r="AI111" t="s">
        <v>6901</v>
      </c>
      <c r="AJ111" s="2">
        <v>44693</v>
      </c>
      <c r="AK111" s="1"/>
      <c r="AL111"/>
      <c r="AM111" s="74">
        <v>44699</v>
      </c>
      <c r="AS111"/>
      <c r="AT111" s="1"/>
    </row>
    <row r="112" spans="1:258">
      <c r="A112" s="149">
        <v>111</v>
      </c>
      <c r="B112" s="153" t="s">
        <v>340</v>
      </c>
      <c r="C112" s="151">
        <v>44678</v>
      </c>
      <c r="D112" s="149"/>
      <c r="E112" s="149"/>
      <c r="F112" s="153" t="s">
        <v>6829</v>
      </c>
      <c r="G112" s="256"/>
      <c r="H112" s="257"/>
      <c r="I112" s="258"/>
      <c r="J112" s="299"/>
      <c r="K112" t="s">
        <v>8186</v>
      </c>
      <c r="L112" s="153"/>
      <c r="M112" s="154"/>
      <c r="N112" s="149"/>
      <c r="O112" s="1"/>
      <c r="P112" s="153" t="s">
        <v>6830</v>
      </c>
      <c r="Q112" s="222">
        <v>0</v>
      </c>
      <c r="R112" s="149">
        <v>0</v>
      </c>
      <c r="S112" s="223">
        <v>0</v>
      </c>
      <c r="T112" s="223">
        <v>0</v>
      </c>
      <c r="U112" s="149"/>
      <c r="V112" s="157">
        <v>0</v>
      </c>
      <c r="W112" s="153" t="s">
        <v>6933</v>
      </c>
      <c r="X112" s="152" t="s">
        <v>6934</v>
      </c>
      <c r="Y112" s="151">
        <v>40155</v>
      </c>
      <c r="Z112" s="151">
        <v>44678</v>
      </c>
      <c r="AA112" s="284" t="s">
        <v>7602</v>
      </c>
      <c r="AB112" s="3">
        <v>44872</v>
      </c>
      <c r="AC112" s="80" t="s">
        <v>1339</v>
      </c>
      <c r="AE112" s="162">
        <v>44781</v>
      </c>
      <c r="AF112" t="s">
        <v>3198</v>
      </c>
      <c r="AI112" t="s">
        <v>7067</v>
      </c>
      <c r="AJ112" s="2">
        <v>44727</v>
      </c>
      <c r="AK112" s="76" t="s">
        <v>7160</v>
      </c>
      <c r="AL112" s="182">
        <v>44755</v>
      </c>
      <c r="AM112" s="74">
        <v>44727</v>
      </c>
      <c r="AS112"/>
      <c r="AT112" s="1"/>
    </row>
    <row r="113" spans="1:46">
      <c r="A113" s="1">
        <v>112</v>
      </c>
      <c r="B113" t="s">
        <v>4321</v>
      </c>
      <c r="C113" s="2">
        <v>44679</v>
      </c>
      <c r="D113" s="1" t="s">
        <v>4731</v>
      </c>
      <c r="E113" s="1"/>
      <c r="F113" s="14" t="s">
        <v>4732</v>
      </c>
      <c r="G113" t="s">
        <v>4733</v>
      </c>
      <c r="H113" s="6" t="s">
        <v>250</v>
      </c>
      <c r="I113" s="1" t="s">
        <v>3338</v>
      </c>
      <c r="J113" s="295">
        <v>678011818</v>
      </c>
      <c r="L113" t="s">
        <v>4731</v>
      </c>
      <c r="M113" s="3">
        <v>44681</v>
      </c>
      <c r="N113" s="1" t="s">
        <v>35</v>
      </c>
      <c r="O113" s="1"/>
      <c r="P113" s="14" t="s">
        <v>6833</v>
      </c>
      <c r="Q113" s="92">
        <v>125</v>
      </c>
      <c r="R113" s="1">
        <v>1</v>
      </c>
      <c r="S113" s="90">
        <v>0.21</v>
      </c>
      <c r="T113" s="90">
        <v>0.2</v>
      </c>
      <c r="U113" s="259" t="s">
        <v>4957</v>
      </c>
      <c r="V113" s="95">
        <f t="shared" ref="V113:V159" si="4">SUM(Q113-(Q113*T113))*S113+(Q113-(Q113*T113))</f>
        <v>121</v>
      </c>
      <c r="W113" t="s">
        <v>6896</v>
      </c>
      <c r="X113" s="6" t="s">
        <v>6897</v>
      </c>
      <c r="Y113" s="2">
        <v>30776</v>
      </c>
      <c r="Z113" s="2">
        <v>44679</v>
      </c>
      <c r="AA113" s="284" t="s">
        <v>7421</v>
      </c>
      <c r="AB113" s="3">
        <v>44838</v>
      </c>
      <c r="AC113" s="80" t="s">
        <v>1339</v>
      </c>
      <c r="AF113" t="s">
        <v>3198</v>
      </c>
      <c r="AI113" s="14" t="s">
        <v>6834</v>
      </c>
      <c r="AJ113" s="2">
        <v>44693</v>
      </c>
      <c r="AL113"/>
      <c r="AM113" s="74">
        <v>44705</v>
      </c>
      <c r="AS113"/>
      <c r="AT113" s="1"/>
    </row>
    <row r="114" spans="1:46">
      <c r="A114" s="1">
        <v>113</v>
      </c>
      <c r="B114" t="s">
        <v>33</v>
      </c>
      <c r="C114" s="2">
        <v>44679</v>
      </c>
      <c r="D114" t="s">
        <v>2810</v>
      </c>
      <c r="F114" s="14" t="s">
        <v>2811</v>
      </c>
      <c r="G114" t="s">
        <v>2812</v>
      </c>
      <c r="H114" s="6" t="s">
        <v>219</v>
      </c>
      <c r="I114" t="s">
        <v>38</v>
      </c>
      <c r="J114" s="8">
        <v>645798309</v>
      </c>
      <c r="K114" t="s">
        <v>8186</v>
      </c>
      <c r="L114" t="s">
        <v>237</v>
      </c>
      <c r="M114" s="3">
        <v>44681</v>
      </c>
      <c r="N114" s="1" t="s">
        <v>35</v>
      </c>
      <c r="O114" s="1"/>
      <c r="P114" s="14" t="s">
        <v>6835</v>
      </c>
      <c r="Q114" s="92">
        <v>125</v>
      </c>
      <c r="R114" s="1">
        <v>1</v>
      </c>
      <c r="S114" s="128">
        <v>0.21</v>
      </c>
      <c r="T114" s="128">
        <v>0.2</v>
      </c>
      <c r="U114" s="1"/>
      <c r="V114" s="95">
        <f t="shared" si="4"/>
        <v>121</v>
      </c>
      <c r="W114" t="s">
        <v>6898</v>
      </c>
      <c r="X114" s="6" t="s">
        <v>6899</v>
      </c>
      <c r="Y114" s="2">
        <v>35144</v>
      </c>
      <c r="Z114" s="2">
        <v>44679</v>
      </c>
      <c r="AA114" s="284" t="s">
        <v>7421</v>
      </c>
      <c r="AB114" s="3">
        <v>44838</v>
      </c>
      <c r="AC114" s="80" t="s">
        <v>1339</v>
      </c>
      <c r="AF114" t="s">
        <v>3198</v>
      </c>
      <c r="AI114" t="s">
        <v>3108</v>
      </c>
      <c r="AJ114" s="2">
        <v>44693</v>
      </c>
      <c r="AL114"/>
      <c r="AM114" s="74">
        <v>44697</v>
      </c>
      <c r="AS114"/>
      <c r="AT114" s="1"/>
    </row>
    <row r="115" spans="1:46">
      <c r="A115" s="1">
        <v>114</v>
      </c>
      <c r="B115" t="s">
        <v>37</v>
      </c>
      <c r="C115" s="2">
        <v>44680</v>
      </c>
      <c r="D115" s="1" t="s">
        <v>1847</v>
      </c>
      <c r="E115" s="1"/>
      <c r="F115" t="s">
        <v>6836</v>
      </c>
      <c r="G115" t="s">
        <v>6837</v>
      </c>
      <c r="H115" s="6" t="s">
        <v>6838</v>
      </c>
      <c r="I115" s="1" t="s">
        <v>6839</v>
      </c>
      <c r="J115" s="44">
        <v>642320693</v>
      </c>
      <c r="K115" t="s">
        <v>8186</v>
      </c>
      <c r="L115" t="s">
        <v>1847</v>
      </c>
      <c r="M115" s="3">
        <v>44681</v>
      </c>
      <c r="N115" s="1" t="s">
        <v>35</v>
      </c>
      <c r="O115" s="1"/>
      <c r="P115" s="14" t="s">
        <v>6840</v>
      </c>
      <c r="Q115" s="92">
        <v>75</v>
      </c>
      <c r="R115" s="1">
        <v>1</v>
      </c>
      <c r="S115" s="128">
        <v>0.21</v>
      </c>
      <c r="T115" s="128">
        <v>0.2</v>
      </c>
      <c r="U115" s="1"/>
      <c r="V115" s="95">
        <f t="shared" si="4"/>
        <v>72.599999999999994</v>
      </c>
      <c r="W115" t="s">
        <v>1847</v>
      </c>
      <c r="X115" s="6" t="s">
        <v>6841</v>
      </c>
      <c r="Y115" s="2">
        <v>27961</v>
      </c>
      <c r="Z115" s="2">
        <v>44680</v>
      </c>
      <c r="AA115" s="284" t="s">
        <v>7140</v>
      </c>
      <c r="AB115" s="3">
        <v>44747</v>
      </c>
      <c r="AC115" s="80" t="s">
        <v>1339</v>
      </c>
      <c r="AF115" t="s">
        <v>3198</v>
      </c>
      <c r="AI115"/>
      <c r="AJ115" s="1"/>
      <c r="AL115"/>
      <c r="AM115" s="8"/>
      <c r="AS115"/>
      <c r="AT115" s="1"/>
    </row>
    <row r="116" spans="1:46">
      <c r="A116" s="1">
        <v>115</v>
      </c>
      <c r="B116" t="s">
        <v>3526</v>
      </c>
      <c r="C116" s="2">
        <v>44680</v>
      </c>
      <c r="D116" s="1" t="s">
        <v>4883</v>
      </c>
      <c r="E116" s="1"/>
      <c r="F116" t="s">
        <v>4882</v>
      </c>
      <c r="G116" t="s">
        <v>4884</v>
      </c>
      <c r="H116" s="6" t="s">
        <v>294</v>
      </c>
      <c r="I116" s="1" t="s">
        <v>103</v>
      </c>
      <c r="J116" s="8">
        <v>617581737</v>
      </c>
      <c r="K116" t="s">
        <v>8186</v>
      </c>
      <c r="L116" t="s">
        <v>4883</v>
      </c>
      <c r="M116" s="3">
        <v>44681</v>
      </c>
      <c r="N116" s="1" t="s">
        <v>35</v>
      </c>
      <c r="O116" s="1"/>
      <c r="P116" s="14" t="s">
        <v>6880</v>
      </c>
      <c r="Q116" s="187">
        <v>75</v>
      </c>
      <c r="R116" s="1">
        <v>1</v>
      </c>
      <c r="S116" s="90">
        <v>0.21</v>
      </c>
      <c r="T116" s="90">
        <v>0.2</v>
      </c>
      <c r="V116" s="95">
        <f t="shared" si="4"/>
        <v>72.599999999999994</v>
      </c>
      <c r="W116" t="s">
        <v>5090</v>
      </c>
      <c r="X116" s="6" t="s">
        <v>6843</v>
      </c>
      <c r="Y116" s="2">
        <v>33329</v>
      </c>
      <c r="Z116" s="2">
        <v>44680</v>
      </c>
      <c r="AA116" s="284" t="s">
        <v>7139</v>
      </c>
      <c r="AB116" s="3">
        <v>44747</v>
      </c>
      <c r="AC116" s="80" t="s">
        <v>1339</v>
      </c>
      <c r="AF116" t="s">
        <v>3198</v>
      </c>
      <c r="AI116"/>
      <c r="AJ116" s="2"/>
      <c r="AL116"/>
      <c r="AM116" s="74"/>
      <c r="AS116"/>
      <c r="AT116" s="1"/>
    </row>
    <row r="117" spans="1:46">
      <c r="A117" s="1">
        <v>116</v>
      </c>
      <c r="B117" t="s">
        <v>40</v>
      </c>
      <c r="C117" s="2">
        <v>44680</v>
      </c>
      <c r="D117" t="s">
        <v>3260</v>
      </c>
      <c r="F117" t="s">
        <v>3262</v>
      </c>
      <c r="G117" t="s">
        <v>3264</v>
      </c>
      <c r="H117" s="6" t="s">
        <v>227</v>
      </c>
      <c r="I117" t="s">
        <v>203</v>
      </c>
      <c r="J117" s="8">
        <v>661226886</v>
      </c>
      <c r="K117" s="8"/>
      <c r="L117" t="s">
        <v>3260</v>
      </c>
      <c r="M117" s="3">
        <v>44681</v>
      </c>
      <c r="N117" s="1" t="s">
        <v>35</v>
      </c>
      <c r="O117" s="1"/>
      <c r="P117" s="14" t="s">
        <v>6844</v>
      </c>
      <c r="Q117" s="92">
        <v>125</v>
      </c>
      <c r="R117" s="1">
        <v>1</v>
      </c>
      <c r="S117" s="128">
        <v>0.21</v>
      </c>
      <c r="T117" s="128">
        <v>0.2</v>
      </c>
      <c r="U117" s="1"/>
      <c r="V117" s="95">
        <f t="shared" si="4"/>
        <v>121</v>
      </c>
      <c r="W117" t="s">
        <v>6903</v>
      </c>
      <c r="X117" s="6" t="s">
        <v>6904</v>
      </c>
      <c r="Y117" s="2" t="s">
        <v>6845</v>
      </c>
      <c r="Z117" s="2">
        <v>44680</v>
      </c>
      <c r="AA117" s="284" t="s">
        <v>7321</v>
      </c>
      <c r="AB117" s="3">
        <v>44817</v>
      </c>
      <c r="AC117" s="80" t="s">
        <v>1339</v>
      </c>
      <c r="AF117" t="s">
        <v>3198</v>
      </c>
      <c r="AI117" t="s">
        <v>3108</v>
      </c>
      <c r="AJ117" s="2">
        <v>44693</v>
      </c>
      <c r="AL117"/>
      <c r="AM117" s="74">
        <v>44704</v>
      </c>
      <c r="AS117"/>
      <c r="AT117" s="1"/>
    </row>
    <row r="118" spans="1:46">
      <c r="A118" s="1">
        <v>117</v>
      </c>
      <c r="B118" t="s">
        <v>3526</v>
      </c>
      <c r="C118" s="2">
        <v>44684</v>
      </c>
      <c r="D118" t="s">
        <v>6984</v>
      </c>
      <c r="F118" t="s">
        <v>6846</v>
      </c>
      <c r="G118" t="s">
        <v>6983</v>
      </c>
      <c r="H118" s="6" t="s">
        <v>294</v>
      </c>
      <c r="I118" s="1" t="s">
        <v>103</v>
      </c>
      <c r="J118" s="8">
        <v>649440809</v>
      </c>
      <c r="K118" s="8"/>
      <c r="L118" t="s">
        <v>6984</v>
      </c>
      <c r="M118" s="3">
        <v>44712</v>
      </c>
      <c r="N118" s="1" t="s">
        <v>35</v>
      </c>
      <c r="O118" s="1"/>
      <c r="P118" t="s">
        <v>6848</v>
      </c>
      <c r="Q118" s="92">
        <v>87.5</v>
      </c>
      <c r="R118" s="1">
        <v>1</v>
      </c>
      <c r="S118" s="128">
        <v>0.21</v>
      </c>
      <c r="T118" s="128">
        <v>0.2</v>
      </c>
      <c r="U118" s="1"/>
      <c r="V118" s="95">
        <f t="shared" si="4"/>
        <v>84.7</v>
      </c>
      <c r="W118" s="3" t="s">
        <v>6849</v>
      </c>
      <c r="X118" s="6"/>
      <c r="Y118" s="2"/>
      <c r="Z118" s="2">
        <v>44684</v>
      </c>
      <c r="AA118" s="284"/>
      <c r="AB118" s="3"/>
      <c r="AC118" s="80"/>
      <c r="AF118" t="s">
        <v>3198</v>
      </c>
      <c r="AI118"/>
      <c r="AJ118" s="1"/>
      <c r="AL118"/>
      <c r="AM118" s="8"/>
      <c r="AS118"/>
      <c r="AT118" s="1"/>
    </row>
    <row r="119" spans="1:46">
      <c r="A119" s="1">
        <v>118</v>
      </c>
      <c r="B119" t="s">
        <v>37</v>
      </c>
      <c r="C119" s="2">
        <v>44684</v>
      </c>
      <c r="D119" t="s">
        <v>6850</v>
      </c>
      <c r="F119" t="s">
        <v>6851</v>
      </c>
      <c r="G119" t="s">
        <v>6852</v>
      </c>
      <c r="H119" s="6" t="s">
        <v>219</v>
      </c>
      <c r="I119" t="s">
        <v>38</v>
      </c>
      <c r="J119" s="8">
        <v>678142379</v>
      </c>
      <c r="K119" s="8"/>
      <c r="L119" t="s">
        <v>6850</v>
      </c>
      <c r="M119" s="3">
        <v>44712</v>
      </c>
      <c r="N119" s="1" t="s">
        <v>35</v>
      </c>
      <c r="O119" s="1"/>
      <c r="P119" s="14" t="s">
        <v>6853</v>
      </c>
      <c r="Q119" s="92">
        <v>125</v>
      </c>
      <c r="R119" s="1">
        <v>1</v>
      </c>
      <c r="S119" s="128">
        <v>0.21</v>
      </c>
      <c r="T119" s="128">
        <v>0</v>
      </c>
      <c r="U119" s="1"/>
      <c r="V119" s="95">
        <f t="shared" si="4"/>
        <v>151.25</v>
      </c>
      <c r="W119" t="s">
        <v>6850</v>
      </c>
      <c r="X119" s="6" t="s">
        <v>6902</v>
      </c>
      <c r="Y119" s="2">
        <v>35315</v>
      </c>
      <c r="Z119" s="2">
        <v>44684</v>
      </c>
      <c r="AA119" s="284" t="s">
        <v>7419</v>
      </c>
      <c r="AB119" s="3">
        <v>44845</v>
      </c>
      <c r="AC119" s="80" t="s">
        <v>1339</v>
      </c>
      <c r="AD119" t="s">
        <v>7458</v>
      </c>
      <c r="AF119" t="s">
        <v>3198</v>
      </c>
      <c r="AI119" t="s">
        <v>3108</v>
      </c>
      <c r="AJ119" s="2">
        <v>44693</v>
      </c>
      <c r="AL119"/>
      <c r="AM119" s="74">
        <v>44693</v>
      </c>
      <c r="AS119"/>
      <c r="AT119" s="1"/>
    </row>
    <row r="120" spans="1:46">
      <c r="A120" s="149">
        <v>117</v>
      </c>
      <c r="B120" s="153" t="s">
        <v>4715</v>
      </c>
      <c r="C120" s="2">
        <v>44685</v>
      </c>
      <c r="D120" s="149" t="s">
        <v>4716</v>
      </c>
      <c r="E120" s="149"/>
      <c r="F120" s="153" t="s">
        <v>4717</v>
      </c>
      <c r="G120" s="153" t="s">
        <v>4718</v>
      </c>
      <c r="H120" s="152" t="s">
        <v>227</v>
      </c>
      <c r="I120" s="149" t="s">
        <v>4719</v>
      </c>
      <c r="J120" s="300"/>
      <c r="K120" s="300"/>
      <c r="L120" s="153" t="s">
        <v>4716</v>
      </c>
      <c r="M120" s="3">
        <v>44712</v>
      </c>
      <c r="N120" s="149" t="s">
        <v>35</v>
      </c>
      <c r="O120" s="1"/>
      <c r="P120" s="191" t="s">
        <v>4720</v>
      </c>
      <c r="Q120" s="92">
        <v>125</v>
      </c>
      <c r="R120" s="149">
        <v>1</v>
      </c>
      <c r="S120" s="156">
        <v>0.21</v>
      </c>
      <c r="T120" s="156">
        <v>0.2</v>
      </c>
      <c r="U120" s="153"/>
      <c r="V120" s="157">
        <f t="shared" si="4"/>
        <v>121</v>
      </c>
      <c r="W120" s="153" t="s">
        <v>4879</v>
      </c>
      <c r="X120" s="152" t="s">
        <v>6969</v>
      </c>
      <c r="Y120" s="151">
        <v>31100</v>
      </c>
      <c r="Z120" s="151">
        <v>44685</v>
      </c>
      <c r="AA120" s="284" t="s">
        <v>7038</v>
      </c>
      <c r="AB120" s="3">
        <v>44725</v>
      </c>
      <c r="AC120" s="80" t="s">
        <v>1339</v>
      </c>
      <c r="AD120" s="153"/>
      <c r="AE120" s="153"/>
      <c r="AF120" s="153" t="s">
        <v>3198</v>
      </c>
      <c r="AG120" s="153"/>
      <c r="AH120" s="153"/>
      <c r="AI120" t="s">
        <v>3221</v>
      </c>
      <c r="AJ120" s="2">
        <v>44700</v>
      </c>
      <c r="AL120"/>
      <c r="AM120" s="74">
        <v>44711</v>
      </c>
      <c r="AS120"/>
      <c r="AT120" s="1"/>
    </row>
    <row r="121" spans="1:46">
      <c r="A121" s="149">
        <v>118</v>
      </c>
      <c r="B121" s="153" t="s">
        <v>4715</v>
      </c>
      <c r="C121" s="2">
        <v>44685</v>
      </c>
      <c r="D121" s="149" t="s">
        <v>4716</v>
      </c>
      <c r="E121" s="149"/>
      <c r="F121" s="153" t="s">
        <v>4717</v>
      </c>
      <c r="G121" s="153" t="s">
        <v>4718</v>
      </c>
      <c r="H121" s="152" t="s">
        <v>227</v>
      </c>
      <c r="I121" s="149" t="s">
        <v>4719</v>
      </c>
      <c r="J121" s="300"/>
      <c r="K121" s="300"/>
      <c r="L121" s="153" t="s">
        <v>4716</v>
      </c>
      <c r="M121" s="3">
        <v>44712</v>
      </c>
      <c r="N121" s="149" t="s">
        <v>35</v>
      </c>
      <c r="O121" s="1"/>
      <c r="P121" s="191" t="s">
        <v>4721</v>
      </c>
      <c r="Q121" s="92">
        <v>125</v>
      </c>
      <c r="R121" s="149">
        <v>1</v>
      </c>
      <c r="S121" s="156">
        <v>0.21</v>
      </c>
      <c r="T121" s="156">
        <v>0.2</v>
      </c>
      <c r="U121" s="153"/>
      <c r="V121" s="157">
        <f t="shared" si="4"/>
        <v>121</v>
      </c>
      <c r="W121" s="153" t="s">
        <v>4878</v>
      </c>
      <c r="X121" s="152" t="s">
        <v>6935</v>
      </c>
      <c r="Y121" s="151">
        <v>30543</v>
      </c>
      <c r="Z121" s="151">
        <v>44685</v>
      </c>
      <c r="AA121" s="284" t="s">
        <v>7038</v>
      </c>
      <c r="AB121" s="3">
        <v>44725</v>
      </c>
      <c r="AC121" s="80" t="s">
        <v>1339</v>
      </c>
      <c r="AD121" s="153"/>
      <c r="AE121" s="153"/>
      <c r="AF121" s="153" t="s">
        <v>3198</v>
      </c>
      <c r="AG121" s="153"/>
      <c r="AH121" s="153"/>
      <c r="AI121" t="s">
        <v>3221</v>
      </c>
      <c r="AJ121" s="2">
        <v>44700</v>
      </c>
      <c r="AL121"/>
      <c r="AM121" s="74">
        <v>44711</v>
      </c>
      <c r="AS121"/>
      <c r="AT121" s="1"/>
    </row>
    <row r="122" spans="1:46">
      <c r="A122" s="1">
        <v>119</v>
      </c>
      <c r="B122" t="s">
        <v>4321</v>
      </c>
      <c r="C122" s="2">
        <v>44685</v>
      </c>
      <c r="D122" s="1" t="s">
        <v>5380</v>
      </c>
      <c r="E122" s="1"/>
      <c r="F122" s="61" t="s">
        <v>3800</v>
      </c>
      <c r="G122" s="61" t="s">
        <v>3801</v>
      </c>
      <c r="H122" s="6" t="s">
        <v>2654</v>
      </c>
      <c r="I122" s="1" t="s">
        <v>2359</v>
      </c>
      <c r="J122" s="8">
        <v>627436272</v>
      </c>
      <c r="K122" s="8"/>
      <c r="L122" t="s">
        <v>3965</v>
      </c>
      <c r="M122" s="3">
        <v>44712</v>
      </c>
      <c r="N122" s="1" t="s">
        <v>35</v>
      </c>
      <c r="O122" s="1"/>
      <c r="P122" s="14" t="s">
        <v>6854</v>
      </c>
      <c r="Q122" s="187">
        <v>125</v>
      </c>
      <c r="R122" s="1">
        <v>1</v>
      </c>
      <c r="S122" s="90">
        <v>0.21</v>
      </c>
      <c r="T122" s="90">
        <v>0.2</v>
      </c>
      <c r="V122" s="95">
        <f t="shared" si="4"/>
        <v>121</v>
      </c>
      <c r="W122" t="s">
        <v>6905</v>
      </c>
      <c r="X122" s="6" t="s">
        <v>6906</v>
      </c>
      <c r="Y122" s="2">
        <v>32935</v>
      </c>
      <c r="Z122" s="2">
        <v>44685</v>
      </c>
      <c r="AA122" s="284" t="s">
        <v>7321</v>
      </c>
      <c r="AB122" s="3">
        <v>44817</v>
      </c>
      <c r="AC122" s="80" t="s">
        <v>1339</v>
      </c>
      <c r="AF122" t="s">
        <v>3198</v>
      </c>
      <c r="AI122" t="s">
        <v>3108</v>
      </c>
      <c r="AJ122" s="2">
        <v>44693</v>
      </c>
      <c r="AL122"/>
      <c r="AM122" s="74">
        <v>44706</v>
      </c>
      <c r="AS122"/>
      <c r="AT122" s="1"/>
    </row>
    <row r="123" spans="1:46">
      <c r="A123" s="1">
        <v>120</v>
      </c>
      <c r="B123" t="s">
        <v>37</v>
      </c>
      <c r="C123" s="2">
        <v>44686</v>
      </c>
      <c r="D123" s="1" t="s">
        <v>6863</v>
      </c>
      <c r="E123" s="1"/>
      <c r="F123" t="s">
        <v>6864</v>
      </c>
      <c r="G123" t="s">
        <v>6865</v>
      </c>
      <c r="H123" s="6" t="s">
        <v>294</v>
      </c>
      <c r="I123" s="1" t="s">
        <v>6866</v>
      </c>
      <c r="J123" s="44">
        <v>602874530</v>
      </c>
      <c r="K123" s="44"/>
      <c r="L123" t="s">
        <v>6863</v>
      </c>
      <c r="M123" s="3">
        <v>44712</v>
      </c>
      <c r="N123" s="1" t="s">
        <v>35</v>
      </c>
      <c r="O123" s="1"/>
      <c r="P123" s="14" t="s">
        <v>6867</v>
      </c>
      <c r="Q123" s="187">
        <v>100</v>
      </c>
      <c r="R123" s="1">
        <v>1</v>
      </c>
      <c r="S123" s="128">
        <v>0.21</v>
      </c>
      <c r="T123" s="128">
        <v>0</v>
      </c>
      <c r="V123" s="95">
        <f t="shared" si="4"/>
        <v>121</v>
      </c>
      <c r="W123" t="s">
        <v>6863</v>
      </c>
      <c r="X123" s="6" t="s">
        <v>6970</v>
      </c>
      <c r="Y123" s="2">
        <v>30864</v>
      </c>
      <c r="Z123" s="2">
        <v>44686</v>
      </c>
      <c r="AA123" s="284" t="s">
        <v>7195</v>
      </c>
      <c r="AB123" s="3">
        <v>44763</v>
      </c>
      <c r="AC123" s="80" t="s">
        <v>1339</v>
      </c>
      <c r="AF123" t="s">
        <v>3198</v>
      </c>
      <c r="AI123" t="s">
        <v>6868</v>
      </c>
      <c r="AJ123" s="2">
        <v>44713</v>
      </c>
      <c r="AL123"/>
      <c r="AM123" s="74">
        <v>44713</v>
      </c>
      <c r="AS123"/>
      <c r="AT123" s="1"/>
    </row>
    <row r="124" spans="1:46" ht="14.25" customHeight="1">
      <c r="A124" s="1">
        <v>121</v>
      </c>
      <c r="B124" t="s">
        <v>37</v>
      </c>
      <c r="C124" s="2">
        <v>44687</v>
      </c>
      <c r="D124" t="s">
        <v>265</v>
      </c>
      <c r="F124" t="s">
        <v>266</v>
      </c>
      <c r="G124" t="s">
        <v>5077</v>
      </c>
      <c r="H124" s="6" t="s">
        <v>238</v>
      </c>
      <c r="I124" s="1" t="s">
        <v>48</v>
      </c>
      <c r="J124" s="8">
        <v>657588849</v>
      </c>
      <c r="K124" s="8"/>
      <c r="L124" t="s">
        <v>265</v>
      </c>
      <c r="M124" s="3">
        <v>44712</v>
      </c>
      <c r="N124" s="1" t="s">
        <v>35</v>
      </c>
      <c r="O124" s="1"/>
      <c r="P124" s="14" t="s">
        <v>5587</v>
      </c>
      <c r="Q124" s="187">
        <v>100</v>
      </c>
      <c r="R124" s="1">
        <v>1</v>
      </c>
      <c r="S124" s="90">
        <v>0.21</v>
      </c>
      <c r="T124" s="90">
        <v>0.2</v>
      </c>
      <c r="V124" s="95">
        <f t="shared" si="4"/>
        <v>96.8</v>
      </c>
      <c r="W124" t="s">
        <v>5721</v>
      </c>
      <c r="X124" s="6" t="s">
        <v>6930</v>
      </c>
      <c r="Y124" s="2">
        <v>41991</v>
      </c>
      <c r="Z124" s="2">
        <v>44687</v>
      </c>
      <c r="AA124" s="284" t="s">
        <v>7420</v>
      </c>
      <c r="AB124" s="3">
        <v>44838</v>
      </c>
      <c r="AC124" s="80" t="s">
        <v>1339</v>
      </c>
      <c r="AE124" s="162">
        <v>44753</v>
      </c>
      <c r="AF124" t="s">
        <v>3198</v>
      </c>
      <c r="AI124"/>
      <c r="AJ124" s="2"/>
      <c r="AL124"/>
      <c r="AM124" s="74"/>
      <c r="AS124"/>
      <c r="AT124" s="1"/>
    </row>
    <row r="125" spans="1:46" ht="14.25" customHeight="1">
      <c r="A125" s="1">
        <v>122</v>
      </c>
      <c r="B125" t="s">
        <v>37</v>
      </c>
      <c r="C125" s="2">
        <v>44687</v>
      </c>
      <c r="D125" t="s">
        <v>265</v>
      </c>
      <c r="F125" t="s">
        <v>266</v>
      </c>
      <c r="G125" t="s">
        <v>5077</v>
      </c>
      <c r="H125" s="6" t="s">
        <v>238</v>
      </c>
      <c r="I125" s="1" t="s">
        <v>48</v>
      </c>
      <c r="J125" s="8">
        <v>657588849</v>
      </c>
      <c r="K125" s="8"/>
      <c r="L125" t="s">
        <v>265</v>
      </c>
      <c r="M125" s="3">
        <v>44712</v>
      </c>
      <c r="N125" s="1" t="s">
        <v>35</v>
      </c>
      <c r="O125" s="1"/>
      <c r="P125" s="14" t="s">
        <v>5588</v>
      </c>
      <c r="Q125" s="187">
        <v>100</v>
      </c>
      <c r="R125" s="1">
        <v>1</v>
      </c>
      <c r="S125" s="90">
        <v>0.21</v>
      </c>
      <c r="T125" s="90">
        <v>0.2</v>
      </c>
      <c r="V125" s="95">
        <f t="shared" si="4"/>
        <v>96.8</v>
      </c>
      <c r="W125" t="s">
        <v>5719</v>
      </c>
      <c r="X125" s="6" t="s">
        <v>6929</v>
      </c>
      <c r="Y125" s="2">
        <v>40681</v>
      </c>
      <c r="Z125" s="2">
        <v>44687</v>
      </c>
      <c r="AA125" s="284" t="s">
        <v>7420</v>
      </c>
      <c r="AB125" s="3">
        <v>44838</v>
      </c>
      <c r="AC125" s="80" t="s">
        <v>1339</v>
      </c>
      <c r="AE125" s="162">
        <v>44753</v>
      </c>
      <c r="AF125" t="s">
        <v>3198</v>
      </c>
      <c r="AI125"/>
      <c r="AJ125" s="2"/>
      <c r="AL125"/>
      <c r="AM125" s="74"/>
      <c r="AS125"/>
      <c r="AT125" s="1"/>
    </row>
    <row r="126" spans="1:46">
      <c r="A126" s="1">
        <v>123</v>
      </c>
      <c r="B126" t="s">
        <v>37</v>
      </c>
      <c r="C126" s="2">
        <v>44687</v>
      </c>
      <c r="D126" t="s">
        <v>265</v>
      </c>
      <c r="F126" t="s">
        <v>266</v>
      </c>
      <c r="G126" t="s">
        <v>5077</v>
      </c>
      <c r="H126" s="6" t="s">
        <v>238</v>
      </c>
      <c r="I126" s="1" t="s">
        <v>48</v>
      </c>
      <c r="J126" s="8">
        <v>657588849</v>
      </c>
      <c r="K126" s="8"/>
      <c r="L126" t="s">
        <v>265</v>
      </c>
      <c r="M126" s="3">
        <v>44712</v>
      </c>
      <c r="N126" s="1" t="s">
        <v>35</v>
      </c>
      <c r="O126" s="1"/>
      <c r="P126" s="14" t="s">
        <v>6871</v>
      </c>
      <c r="Q126" s="187">
        <v>75</v>
      </c>
      <c r="R126" s="1">
        <v>1</v>
      </c>
      <c r="S126" s="90">
        <v>0.21</v>
      </c>
      <c r="T126" s="90">
        <v>0.2</v>
      </c>
      <c r="V126" s="95">
        <f t="shared" si="4"/>
        <v>72.599999999999994</v>
      </c>
      <c r="W126" t="s">
        <v>601</v>
      </c>
      <c r="X126" s="6" t="s">
        <v>6872</v>
      </c>
      <c r="Y126" s="2">
        <v>29590</v>
      </c>
      <c r="Z126" s="2">
        <v>44687</v>
      </c>
      <c r="AA126" s="284" t="s">
        <v>7232</v>
      </c>
      <c r="AB126" s="3">
        <v>44781</v>
      </c>
      <c r="AC126" s="80" t="s">
        <v>1339</v>
      </c>
      <c r="AD126" t="s">
        <v>7045</v>
      </c>
      <c r="AE126" s="162">
        <v>44728</v>
      </c>
      <c r="AF126" t="s">
        <v>3198</v>
      </c>
      <c r="AI126"/>
      <c r="AJ126" s="2"/>
      <c r="AL126"/>
      <c r="AM126" s="74"/>
      <c r="AS126"/>
      <c r="AT126" s="1"/>
    </row>
    <row r="127" spans="1:46">
      <c r="A127" s="1">
        <v>124</v>
      </c>
      <c r="B127" t="s">
        <v>6873</v>
      </c>
      <c r="C127" s="2">
        <v>44687</v>
      </c>
      <c r="D127" t="s">
        <v>6874</v>
      </c>
      <c r="F127" t="s">
        <v>6875</v>
      </c>
      <c r="G127" t="s">
        <v>6876</v>
      </c>
      <c r="H127" s="6" t="s">
        <v>219</v>
      </c>
      <c r="I127" s="1" t="s">
        <v>38</v>
      </c>
      <c r="J127" s="8">
        <v>622029130</v>
      </c>
      <c r="K127" s="8"/>
      <c r="L127" t="s">
        <v>6874</v>
      </c>
      <c r="M127" s="3">
        <v>44712</v>
      </c>
      <c r="N127" s="1" t="s">
        <v>35</v>
      </c>
      <c r="O127" s="1"/>
      <c r="P127" s="14" t="s">
        <v>6877</v>
      </c>
      <c r="Q127" s="187">
        <v>100</v>
      </c>
      <c r="R127" s="1">
        <v>1</v>
      </c>
      <c r="S127" s="128">
        <v>0.21</v>
      </c>
      <c r="T127" s="128">
        <v>0</v>
      </c>
      <c r="V127" s="95">
        <f t="shared" si="4"/>
        <v>121</v>
      </c>
      <c r="W127" t="s">
        <v>6878</v>
      </c>
      <c r="X127" s="6" t="s">
        <v>6879</v>
      </c>
      <c r="Y127" s="2">
        <v>30432</v>
      </c>
      <c r="Z127" s="2">
        <v>44490</v>
      </c>
      <c r="AA127" s="285" t="s">
        <v>7412</v>
      </c>
      <c r="AB127" s="3">
        <v>44837</v>
      </c>
      <c r="AC127" s="80" t="s">
        <v>1339</v>
      </c>
      <c r="AE127" s="3"/>
      <c r="AF127" t="s">
        <v>3198</v>
      </c>
      <c r="AI127"/>
      <c r="AJ127" s="1"/>
      <c r="AL127"/>
      <c r="AM127" s="8"/>
      <c r="AS127"/>
      <c r="AT127" s="1"/>
    </row>
    <row r="128" spans="1:46">
      <c r="A128" s="1">
        <v>125</v>
      </c>
      <c r="B128" s="61" t="s">
        <v>33</v>
      </c>
      <c r="C128" s="2">
        <v>44690</v>
      </c>
      <c r="D128" s="1" t="s">
        <v>3247</v>
      </c>
      <c r="E128" s="1"/>
      <c r="F128" t="s">
        <v>3240</v>
      </c>
      <c r="G128" t="s">
        <v>3242</v>
      </c>
      <c r="H128" s="6" t="s">
        <v>304</v>
      </c>
      <c r="I128" t="s">
        <v>38</v>
      </c>
      <c r="J128" s="8">
        <v>646181264</v>
      </c>
      <c r="K128" t="s">
        <v>8186</v>
      </c>
      <c r="L128" t="s">
        <v>237</v>
      </c>
      <c r="M128" s="3">
        <v>44712</v>
      </c>
      <c r="N128" s="1" t="s">
        <v>35</v>
      </c>
      <c r="O128" s="1"/>
      <c r="P128" s="14" t="s">
        <v>6881</v>
      </c>
      <c r="Q128" s="187">
        <v>125</v>
      </c>
      <c r="R128" s="1">
        <v>1</v>
      </c>
      <c r="S128" s="90">
        <v>0.21</v>
      </c>
      <c r="T128" s="90">
        <v>0.2</v>
      </c>
      <c r="V128" s="95">
        <f t="shared" si="4"/>
        <v>121</v>
      </c>
      <c r="W128" t="s">
        <v>6931</v>
      </c>
      <c r="X128" s="6" t="s">
        <v>6932</v>
      </c>
      <c r="Y128" s="2">
        <v>26512</v>
      </c>
      <c r="Z128" s="2">
        <v>44690</v>
      </c>
      <c r="AA128" s="284" t="s">
        <v>7342</v>
      </c>
      <c r="AB128" s="3">
        <v>44823</v>
      </c>
      <c r="AC128" s="80" t="s">
        <v>1339</v>
      </c>
      <c r="AF128" t="s">
        <v>3198</v>
      </c>
      <c r="AI128" t="s">
        <v>4620</v>
      </c>
      <c r="AJ128" s="2">
        <v>44700</v>
      </c>
      <c r="AL128"/>
      <c r="AM128" s="74">
        <v>44704</v>
      </c>
      <c r="AS128"/>
      <c r="AT128" s="1"/>
    </row>
    <row r="129" spans="1:46">
      <c r="A129" s="1">
        <v>126</v>
      </c>
      <c r="B129" t="s">
        <v>4321</v>
      </c>
      <c r="C129" s="2">
        <v>44692</v>
      </c>
      <c r="D129" s="1" t="s">
        <v>4198</v>
      </c>
      <c r="E129" s="1"/>
      <c r="F129" s="61" t="s">
        <v>4200</v>
      </c>
      <c r="G129" s="61" t="s">
        <v>4199</v>
      </c>
      <c r="H129" s="6" t="s">
        <v>239</v>
      </c>
      <c r="I129" s="1" t="s">
        <v>86</v>
      </c>
      <c r="J129" s="8">
        <v>693745341</v>
      </c>
      <c r="K129" t="s">
        <v>8186</v>
      </c>
      <c r="L129" t="s">
        <v>4198</v>
      </c>
      <c r="M129" s="3">
        <v>44712</v>
      </c>
      <c r="N129" s="1" t="s">
        <v>35</v>
      </c>
      <c r="O129" s="1"/>
      <c r="P129" s="14" t="s">
        <v>4508</v>
      </c>
      <c r="Q129" s="144">
        <v>100</v>
      </c>
      <c r="R129" s="1">
        <v>1</v>
      </c>
      <c r="S129" s="90">
        <v>0.21</v>
      </c>
      <c r="T129" s="90">
        <v>0.2</v>
      </c>
      <c r="U129" s="72"/>
      <c r="V129" s="95">
        <f t="shared" si="4"/>
        <v>96.8</v>
      </c>
      <c r="W129" t="s">
        <v>4509</v>
      </c>
      <c r="X129" s="6" t="s">
        <v>7029</v>
      </c>
      <c r="Y129" s="2">
        <v>35431</v>
      </c>
      <c r="Z129" s="2">
        <v>44692</v>
      </c>
      <c r="AA129" s="284" t="s">
        <v>7423</v>
      </c>
      <c r="AB129" s="3">
        <v>44847</v>
      </c>
      <c r="AC129" s="80" t="s">
        <v>1339</v>
      </c>
      <c r="AE129" s="162">
        <v>44755</v>
      </c>
      <c r="AF129" t="s">
        <v>3198</v>
      </c>
      <c r="AJ129" s="2"/>
      <c r="AK129" s="1"/>
      <c r="AL129"/>
      <c r="AM129" s="74"/>
      <c r="AS129"/>
      <c r="AT129" s="1"/>
    </row>
    <row r="130" spans="1:46">
      <c r="A130" s="1">
        <v>127</v>
      </c>
      <c r="B130" t="s">
        <v>37</v>
      </c>
      <c r="C130" s="2">
        <v>44692</v>
      </c>
      <c r="D130" t="s">
        <v>6938</v>
      </c>
      <c r="F130" t="s">
        <v>6884</v>
      </c>
      <c r="G130" t="s">
        <v>6885</v>
      </c>
      <c r="H130" s="6" t="s">
        <v>238</v>
      </c>
      <c r="I130" s="1" t="s">
        <v>48</v>
      </c>
      <c r="J130" s="295">
        <v>631835353</v>
      </c>
      <c r="K130" t="s">
        <v>8186</v>
      </c>
      <c r="L130" t="s">
        <v>6938</v>
      </c>
      <c r="M130" s="3">
        <v>44712</v>
      </c>
      <c r="N130" s="1" t="s">
        <v>35</v>
      </c>
      <c r="O130" s="1"/>
      <c r="P130" s="14" t="s">
        <v>6886</v>
      </c>
      <c r="Q130" s="187">
        <v>125</v>
      </c>
      <c r="R130" s="1">
        <v>1</v>
      </c>
      <c r="S130" s="128">
        <v>0.21</v>
      </c>
      <c r="T130" s="128">
        <v>0</v>
      </c>
      <c r="V130" s="95">
        <f t="shared" si="4"/>
        <v>151.25</v>
      </c>
      <c r="W130" t="s">
        <v>6938</v>
      </c>
      <c r="X130" s="6" t="s">
        <v>6939</v>
      </c>
      <c r="Y130" s="2">
        <v>34764</v>
      </c>
      <c r="Z130" s="2">
        <v>44692</v>
      </c>
      <c r="AA130" s="284" t="s">
        <v>7341</v>
      </c>
      <c r="AB130" s="3">
        <v>44823</v>
      </c>
      <c r="AC130" s="80" t="s">
        <v>1339</v>
      </c>
      <c r="AF130" t="s">
        <v>3198</v>
      </c>
      <c r="AI130" t="s">
        <v>3108</v>
      </c>
      <c r="AJ130" s="2">
        <v>44700</v>
      </c>
      <c r="AL130"/>
      <c r="AM130" s="74">
        <v>44701</v>
      </c>
      <c r="AS130"/>
      <c r="AT130" s="1"/>
    </row>
    <row r="131" spans="1:46">
      <c r="A131" s="1">
        <v>128</v>
      </c>
      <c r="B131" s="61" t="s">
        <v>33</v>
      </c>
      <c r="C131" s="2">
        <v>44692</v>
      </c>
      <c r="D131" s="1" t="s">
        <v>3030</v>
      </c>
      <c r="E131" s="1"/>
      <c r="F131" t="s">
        <v>3031</v>
      </c>
      <c r="G131" t="s">
        <v>6907</v>
      </c>
      <c r="H131" s="6" t="s">
        <v>304</v>
      </c>
      <c r="I131" s="1" t="s">
        <v>34</v>
      </c>
      <c r="K131" t="s">
        <v>8186</v>
      </c>
      <c r="L131" t="s">
        <v>237</v>
      </c>
      <c r="M131" s="3">
        <v>44712</v>
      </c>
      <c r="N131" s="1" t="s">
        <v>35</v>
      </c>
      <c r="O131" s="1"/>
      <c r="P131" s="14" t="s">
        <v>6442</v>
      </c>
      <c r="Q131" s="187">
        <v>41.32</v>
      </c>
      <c r="R131" s="1">
        <v>1</v>
      </c>
      <c r="S131" s="128">
        <v>0.21</v>
      </c>
      <c r="T131" s="128">
        <v>0</v>
      </c>
      <c r="V131" s="95">
        <f t="shared" si="4"/>
        <v>49.997199999999999</v>
      </c>
      <c r="W131" t="s">
        <v>6887</v>
      </c>
      <c r="X131" s="6"/>
      <c r="Y131" s="2">
        <v>32142</v>
      </c>
      <c r="Z131" s="2">
        <v>44692</v>
      </c>
      <c r="AA131" s="284" t="s">
        <v>1326</v>
      </c>
      <c r="AB131" s="3"/>
      <c r="AC131" s="80"/>
      <c r="AF131" t="s">
        <v>3198</v>
      </c>
      <c r="AI131"/>
      <c r="AJ131" s="2"/>
      <c r="AL131"/>
      <c r="AM131" s="74"/>
      <c r="AS131"/>
      <c r="AT131" s="1"/>
    </row>
    <row r="132" spans="1:46">
      <c r="A132" s="1">
        <v>129</v>
      </c>
      <c r="B132" s="61" t="s">
        <v>80</v>
      </c>
      <c r="C132" s="2">
        <v>44693</v>
      </c>
      <c r="D132" s="1" t="s">
        <v>2429</v>
      </c>
      <c r="E132" s="1"/>
      <c r="F132" s="61" t="s">
        <v>2430</v>
      </c>
      <c r="G132" s="61" t="s">
        <v>3816</v>
      </c>
      <c r="H132" s="6" t="s">
        <v>2432</v>
      </c>
      <c r="I132" s="1" t="s">
        <v>144</v>
      </c>
      <c r="J132" s="8">
        <v>950524255</v>
      </c>
      <c r="K132" s="8"/>
      <c r="L132" t="s">
        <v>2429</v>
      </c>
      <c r="M132" s="3">
        <v>44712</v>
      </c>
      <c r="N132" s="1" t="s">
        <v>35</v>
      </c>
      <c r="O132" s="1"/>
      <c r="P132" s="14" t="s">
        <v>3817</v>
      </c>
      <c r="Q132" s="187">
        <v>75</v>
      </c>
      <c r="R132" s="1">
        <v>1</v>
      </c>
      <c r="S132" s="128">
        <v>0.21</v>
      </c>
      <c r="T132" s="128">
        <v>0.2</v>
      </c>
      <c r="U132" s="260" t="s">
        <v>4723</v>
      </c>
      <c r="V132" s="95">
        <f t="shared" si="4"/>
        <v>72.599999999999994</v>
      </c>
      <c r="W132" t="s">
        <v>2435</v>
      </c>
      <c r="X132" s="6" t="s">
        <v>6889</v>
      </c>
      <c r="Y132" s="2">
        <v>32142</v>
      </c>
      <c r="Z132" s="2">
        <v>44693</v>
      </c>
      <c r="AA132" s="284" t="s">
        <v>7167</v>
      </c>
      <c r="AB132" s="3">
        <v>44756</v>
      </c>
      <c r="AC132" s="80" t="s">
        <v>1339</v>
      </c>
      <c r="AE132" s="3"/>
      <c r="AF132" t="s">
        <v>3198</v>
      </c>
      <c r="AI132"/>
      <c r="AJ132" s="2"/>
      <c r="AL132"/>
      <c r="AM132" s="74"/>
      <c r="AS132"/>
      <c r="AT132" s="1"/>
    </row>
    <row r="133" spans="1:46">
      <c r="A133" s="1">
        <v>130</v>
      </c>
      <c r="B133" t="s">
        <v>119</v>
      </c>
      <c r="C133" s="2">
        <v>44694</v>
      </c>
      <c r="D133" s="1" t="s">
        <v>494</v>
      </c>
      <c r="E133" s="1"/>
      <c r="F133" t="s">
        <v>495</v>
      </c>
      <c r="G133" s="61" t="s">
        <v>5059</v>
      </c>
      <c r="H133" s="6" t="s">
        <v>242</v>
      </c>
      <c r="I133" s="1" t="s">
        <v>86</v>
      </c>
      <c r="K133" s="1" t="s">
        <v>8094</v>
      </c>
      <c r="L133" t="s">
        <v>174</v>
      </c>
      <c r="M133" s="3">
        <v>44712</v>
      </c>
      <c r="N133" s="1" t="s">
        <v>35</v>
      </c>
      <c r="O133" s="1"/>
      <c r="P133" s="14" t="s">
        <v>6908</v>
      </c>
      <c r="Q133" s="187">
        <v>75</v>
      </c>
      <c r="R133" s="1">
        <v>1</v>
      </c>
      <c r="S133" s="128">
        <v>0.21</v>
      </c>
      <c r="T133" s="128">
        <v>0.2</v>
      </c>
      <c r="V133" s="95">
        <f t="shared" si="4"/>
        <v>72.599999999999994</v>
      </c>
      <c r="W133" t="s">
        <v>5235</v>
      </c>
      <c r="X133" s="6" t="s">
        <v>6909</v>
      </c>
      <c r="Y133" s="2">
        <v>31165</v>
      </c>
      <c r="Z133" s="2">
        <v>44694</v>
      </c>
      <c r="AA133" s="284" t="s">
        <v>7167</v>
      </c>
      <c r="AB133" s="3">
        <v>44761</v>
      </c>
      <c r="AC133" s="80" t="s">
        <v>1339</v>
      </c>
      <c r="AF133" t="s">
        <v>3198</v>
      </c>
      <c r="AI133"/>
      <c r="AJ133" s="2"/>
      <c r="AL133"/>
      <c r="AM133" s="74"/>
      <c r="AS133"/>
      <c r="AT133" s="1"/>
    </row>
    <row r="134" spans="1:46">
      <c r="A134" s="1">
        <v>131</v>
      </c>
      <c r="B134" t="s">
        <v>1242</v>
      </c>
      <c r="C134" s="2">
        <v>44694</v>
      </c>
      <c r="D134" s="1" t="s">
        <v>6151</v>
      </c>
      <c r="E134" s="1"/>
      <c r="F134" t="s">
        <v>1096</v>
      </c>
      <c r="G134" t="s">
        <v>1097</v>
      </c>
      <c r="H134" s="6" t="s">
        <v>227</v>
      </c>
      <c r="I134" s="1" t="s">
        <v>203</v>
      </c>
      <c r="K134" s="8" t="s">
        <v>5905</v>
      </c>
      <c r="L134" s="31" t="s">
        <v>1250</v>
      </c>
      <c r="M134" s="3">
        <v>44712</v>
      </c>
      <c r="N134" s="1" t="s">
        <v>35</v>
      </c>
      <c r="O134" s="1"/>
      <c r="P134" s="14" t="s">
        <v>6199</v>
      </c>
      <c r="Q134" s="187">
        <v>125</v>
      </c>
      <c r="R134" s="1">
        <v>1</v>
      </c>
      <c r="S134" s="90">
        <v>0.21</v>
      </c>
      <c r="T134" s="90">
        <v>0.2</v>
      </c>
      <c r="V134" s="95">
        <f t="shared" si="4"/>
        <v>121</v>
      </c>
      <c r="W134" t="s">
        <v>6339</v>
      </c>
      <c r="X134" s="6" t="s">
        <v>7028</v>
      </c>
      <c r="Y134" s="2">
        <v>33994</v>
      </c>
      <c r="Z134" s="2">
        <v>44694</v>
      </c>
      <c r="AA134" s="284" t="s">
        <v>7392</v>
      </c>
      <c r="AB134" s="3">
        <v>44831</v>
      </c>
      <c r="AC134" s="80" t="s">
        <v>1339</v>
      </c>
      <c r="AD134" t="s">
        <v>1359</v>
      </c>
      <c r="AE134" s="274">
        <v>44741</v>
      </c>
      <c r="AF134" t="s">
        <v>3198</v>
      </c>
      <c r="AI134" t="s">
        <v>6927</v>
      </c>
      <c r="AJ134" s="2">
        <v>44721</v>
      </c>
      <c r="AK134" s="146" t="s">
        <v>6617</v>
      </c>
      <c r="AL134" s="162">
        <v>44727</v>
      </c>
      <c r="AM134" s="74">
        <v>44721</v>
      </c>
      <c r="AS134"/>
      <c r="AT134" s="1"/>
    </row>
    <row r="135" spans="1:46">
      <c r="A135" s="1">
        <v>132</v>
      </c>
      <c r="B135" t="s">
        <v>37</v>
      </c>
      <c r="C135" s="2">
        <v>44694</v>
      </c>
      <c r="D135" t="s">
        <v>6965</v>
      </c>
      <c r="F135" t="s">
        <v>6910</v>
      </c>
      <c r="G135" t="s">
        <v>6911</v>
      </c>
      <c r="H135" s="6" t="s">
        <v>220</v>
      </c>
      <c r="I135" s="1" t="s">
        <v>39</v>
      </c>
      <c r="J135" s="8">
        <v>632700926</v>
      </c>
      <c r="K135" s="8"/>
      <c r="L135" t="s">
        <v>6965</v>
      </c>
      <c r="M135" s="3">
        <v>44712</v>
      </c>
      <c r="N135" s="1" t="s">
        <v>35</v>
      </c>
      <c r="O135" s="1"/>
      <c r="P135" s="14" t="s">
        <v>6912</v>
      </c>
      <c r="Q135" s="187">
        <v>125</v>
      </c>
      <c r="R135" s="1">
        <v>1</v>
      </c>
      <c r="S135" s="128">
        <v>0.21</v>
      </c>
      <c r="T135" s="128">
        <v>0</v>
      </c>
      <c r="V135" s="95">
        <f t="shared" si="4"/>
        <v>151.25</v>
      </c>
      <c r="W135" t="s">
        <v>6965</v>
      </c>
      <c r="X135" s="6" t="s">
        <v>6966</v>
      </c>
      <c r="Y135" s="2">
        <v>34362</v>
      </c>
      <c r="Z135" s="2">
        <v>44694</v>
      </c>
      <c r="AA135" s="284" t="s">
        <v>7392</v>
      </c>
      <c r="AB135" s="3">
        <v>44831</v>
      </c>
      <c r="AC135" s="76" t="s">
        <v>7050</v>
      </c>
      <c r="AF135" t="s">
        <v>3198</v>
      </c>
      <c r="AI135" t="s">
        <v>3108</v>
      </c>
      <c r="AJ135" s="2">
        <v>44707</v>
      </c>
      <c r="AL135"/>
      <c r="AM135" s="74">
        <v>44711</v>
      </c>
      <c r="AS135"/>
      <c r="AT135" s="1"/>
    </row>
    <row r="136" spans="1:46">
      <c r="A136" s="1">
        <v>133</v>
      </c>
      <c r="B136" t="s">
        <v>45</v>
      </c>
      <c r="C136" s="2">
        <v>44697</v>
      </c>
      <c r="D136" s="1" t="s">
        <v>991</v>
      </c>
      <c r="E136" s="1"/>
      <c r="F136" t="s">
        <v>992</v>
      </c>
      <c r="G136" t="s">
        <v>5028</v>
      </c>
      <c r="H136" s="6" t="s">
        <v>241</v>
      </c>
      <c r="I136" s="1" t="s">
        <v>60</v>
      </c>
      <c r="J136" s="295">
        <v>628473991</v>
      </c>
      <c r="K136" s="8"/>
      <c r="L136" t="s">
        <v>991</v>
      </c>
      <c r="M136" s="3">
        <v>44712</v>
      </c>
      <c r="N136" s="1" t="s">
        <v>35</v>
      </c>
      <c r="O136" s="1"/>
      <c r="P136" s="14" t="s">
        <v>6913</v>
      </c>
      <c r="Q136" s="187">
        <v>75</v>
      </c>
      <c r="R136" s="1">
        <v>1</v>
      </c>
      <c r="S136" s="90">
        <v>0.21</v>
      </c>
      <c r="T136" s="90">
        <v>0.2</v>
      </c>
      <c r="V136" s="95">
        <f t="shared" si="4"/>
        <v>72.599999999999994</v>
      </c>
      <c r="W136" t="s">
        <v>5170</v>
      </c>
      <c r="X136" s="6" t="s">
        <v>6914</v>
      </c>
      <c r="Y136" s="2">
        <v>32143</v>
      </c>
      <c r="Z136" s="2">
        <v>44697</v>
      </c>
      <c r="AA136" s="284" t="s">
        <v>7194</v>
      </c>
      <c r="AB136" s="3">
        <v>44761</v>
      </c>
      <c r="AC136" s="80" t="s">
        <v>1339</v>
      </c>
      <c r="AF136" t="s">
        <v>3198</v>
      </c>
      <c r="AI136"/>
      <c r="AJ136" s="2"/>
      <c r="AL136"/>
      <c r="AM136" s="74"/>
      <c r="AS136"/>
      <c r="AT136" s="1"/>
    </row>
    <row r="137" spans="1:46">
      <c r="A137" s="1">
        <v>134</v>
      </c>
      <c r="B137" t="s">
        <v>1242</v>
      </c>
      <c r="C137" s="2">
        <v>44697</v>
      </c>
      <c r="D137" s="61" t="s">
        <v>1243</v>
      </c>
      <c r="E137" s="61"/>
      <c r="F137" t="s">
        <v>1244</v>
      </c>
      <c r="G137" t="s">
        <v>1245</v>
      </c>
      <c r="H137" s="6" t="s">
        <v>227</v>
      </c>
      <c r="I137" t="s">
        <v>34</v>
      </c>
      <c r="J137" s="8">
        <v>632341539</v>
      </c>
      <c r="K137" s="8" t="s">
        <v>5905</v>
      </c>
      <c r="L137" s="31" t="s">
        <v>1250</v>
      </c>
      <c r="M137" s="3">
        <v>44712</v>
      </c>
      <c r="N137" s="1" t="s">
        <v>35</v>
      </c>
      <c r="O137" s="1"/>
      <c r="P137" s="14" t="s">
        <v>6915</v>
      </c>
      <c r="Q137" s="187">
        <v>125</v>
      </c>
      <c r="R137" s="1">
        <v>1</v>
      </c>
      <c r="S137" s="58">
        <v>0.21</v>
      </c>
      <c r="T137" s="90">
        <v>0.2</v>
      </c>
      <c r="V137" s="95">
        <f t="shared" si="4"/>
        <v>121</v>
      </c>
      <c r="W137" t="s">
        <v>6972</v>
      </c>
      <c r="X137" s="6" t="s">
        <v>6971</v>
      </c>
      <c r="Y137" s="3">
        <v>28432</v>
      </c>
      <c r="Z137" s="2">
        <v>44697</v>
      </c>
      <c r="AA137" s="284" t="s">
        <v>7347</v>
      </c>
      <c r="AB137" s="64">
        <v>44825</v>
      </c>
      <c r="AC137" s="80" t="s">
        <v>1339</v>
      </c>
      <c r="AD137" s="61"/>
      <c r="AF137" t="s">
        <v>3198</v>
      </c>
      <c r="AH137" s="3"/>
      <c r="AI137" t="s">
        <v>3108</v>
      </c>
      <c r="AJ137" s="3">
        <v>44711</v>
      </c>
      <c r="AL137" s="3"/>
      <c r="AM137" s="74">
        <v>44720</v>
      </c>
      <c r="AS137"/>
      <c r="AT137" s="1"/>
    </row>
    <row r="138" spans="1:46">
      <c r="A138" s="1">
        <v>135</v>
      </c>
      <c r="B138" t="s">
        <v>37</v>
      </c>
      <c r="C138" s="2">
        <v>44697</v>
      </c>
      <c r="D138" s="1" t="s">
        <v>6978</v>
      </c>
      <c r="E138" s="1"/>
      <c r="F138" t="s">
        <v>6916</v>
      </c>
      <c r="G138" s="61" t="s">
        <v>6917</v>
      </c>
      <c r="H138" s="6" t="s">
        <v>2451</v>
      </c>
      <c r="I138" s="1" t="s">
        <v>3681</v>
      </c>
      <c r="J138" s="8">
        <v>632370645</v>
      </c>
      <c r="K138" s="8"/>
      <c r="L138" t="s">
        <v>6978</v>
      </c>
      <c r="M138" s="3">
        <v>44712</v>
      </c>
      <c r="N138" s="1" t="s">
        <v>35</v>
      </c>
      <c r="O138" s="1"/>
      <c r="P138" s="14" t="s">
        <v>6918</v>
      </c>
      <c r="Q138" s="187">
        <v>125</v>
      </c>
      <c r="R138" s="1">
        <v>1</v>
      </c>
      <c r="S138" s="128">
        <v>0.21</v>
      </c>
      <c r="T138" s="128">
        <v>0</v>
      </c>
      <c r="V138" s="95">
        <f t="shared" si="4"/>
        <v>151.25</v>
      </c>
      <c r="W138" t="s">
        <v>6978</v>
      </c>
      <c r="X138" s="6" t="s">
        <v>6979</v>
      </c>
      <c r="Y138" s="2">
        <v>29610</v>
      </c>
      <c r="Z138" s="2">
        <v>44697</v>
      </c>
      <c r="AA138" s="284" t="s">
        <v>7353</v>
      </c>
      <c r="AB138" s="64">
        <v>44825</v>
      </c>
      <c r="AC138" s="80" t="s">
        <v>1339</v>
      </c>
      <c r="AD138" s="61" t="s">
        <v>7050</v>
      </c>
      <c r="AF138" t="s">
        <v>3198</v>
      </c>
      <c r="AI138" t="s">
        <v>6919</v>
      </c>
      <c r="AJ138" s="2">
        <v>44712</v>
      </c>
      <c r="AL138"/>
      <c r="AM138" s="74">
        <v>44713</v>
      </c>
      <c r="AS138"/>
      <c r="AT138" s="1"/>
    </row>
    <row r="139" spans="1:46">
      <c r="A139" s="1">
        <v>136</v>
      </c>
      <c r="B139" t="s">
        <v>37</v>
      </c>
      <c r="C139" s="2">
        <v>44698</v>
      </c>
      <c r="D139" s="1" t="s">
        <v>5685</v>
      </c>
      <c r="E139" s="1"/>
      <c r="F139" t="s">
        <v>5686</v>
      </c>
      <c r="G139" t="s">
        <v>5687</v>
      </c>
      <c r="H139" s="6" t="s">
        <v>1257</v>
      </c>
      <c r="I139" s="1" t="s">
        <v>1266</v>
      </c>
      <c r="J139" s="8">
        <v>6400563650</v>
      </c>
      <c r="K139" s="8"/>
      <c r="L139" t="s">
        <v>5685</v>
      </c>
      <c r="M139" s="3">
        <v>44712</v>
      </c>
      <c r="N139" s="1" t="s">
        <v>35</v>
      </c>
      <c r="O139" s="1"/>
      <c r="P139" s="14" t="s">
        <v>5688</v>
      </c>
      <c r="Q139" s="187">
        <v>100</v>
      </c>
      <c r="R139" s="1">
        <v>1</v>
      </c>
      <c r="S139" s="90">
        <v>0.21</v>
      </c>
      <c r="T139" s="90">
        <v>0.2</v>
      </c>
      <c r="V139" s="95">
        <f t="shared" si="4"/>
        <v>96.8</v>
      </c>
      <c r="W139" t="s">
        <v>5807</v>
      </c>
      <c r="X139" s="6" t="s">
        <v>6995</v>
      </c>
      <c r="Y139" s="2">
        <v>30929</v>
      </c>
      <c r="Z139" s="2">
        <v>44698</v>
      </c>
      <c r="AA139" s="284" t="s">
        <v>7196</v>
      </c>
      <c r="AB139" s="3">
        <v>44764</v>
      </c>
      <c r="AC139" s="80" t="s">
        <v>1339</v>
      </c>
      <c r="AF139" t="s">
        <v>3198</v>
      </c>
      <c r="AI139" t="s">
        <v>6920</v>
      </c>
      <c r="AJ139" s="2">
        <v>44714</v>
      </c>
      <c r="AL139"/>
      <c r="AM139" s="74">
        <v>44714</v>
      </c>
      <c r="AS139"/>
      <c r="AT139" s="1"/>
    </row>
    <row r="140" spans="1:46">
      <c r="A140" s="1">
        <v>137</v>
      </c>
      <c r="B140" t="s">
        <v>37</v>
      </c>
      <c r="C140" s="2">
        <v>44698</v>
      </c>
      <c r="D140" s="1" t="s">
        <v>5685</v>
      </c>
      <c r="E140" s="1"/>
      <c r="F140" t="s">
        <v>5686</v>
      </c>
      <c r="G140" t="s">
        <v>5687</v>
      </c>
      <c r="H140" s="6" t="s">
        <v>1257</v>
      </c>
      <c r="I140" s="1" t="s">
        <v>1266</v>
      </c>
      <c r="J140" s="8">
        <v>6400563650</v>
      </c>
      <c r="K140" s="8"/>
      <c r="L140" t="s">
        <v>5685</v>
      </c>
      <c r="M140" s="3">
        <v>44712</v>
      </c>
      <c r="N140" s="1" t="s">
        <v>35</v>
      </c>
      <c r="O140" s="1"/>
      <c r="P140" s="14" t="s">
        <v>5690</v>
      </c>
      <c r="Q140" s="187">
        <v>100</v>
      </c>
      <c r="R140" s="1">
        <v>1</v>
      </c>
      <c r="S140" s="90">
        <v>0.21</v>
      </c>
      <c r="T140" s="90">
        <v>0.2</v>
      </c>
      <c r="V140" s="95">
        <f t="shared" si="4"/>
        <v>96.8</v>
      </c>
      <c r="W140" t="s">
        <v>5814</v>
      </c>
      <c r="X140" s="6" t="s">
        <v>6994</v>
      </c>
      <c r="Y140" s="2">
        <v>38311</v>
      </c>
      <c r="Z140" s="2">
        <v>44698</v>
      </c>
      <c r="AA140" s="284" t="s">
        <v>7196</v>
      </c>
      <c r="AB140" s="3">
        <v>44764</v>
      </c>
      <c r="AC140" s="80" t="s">
        <v>1339</v>
      </c>
      <c r="AF140" t="s">
        <v>3198</v>
      </c>
      <c r="AI140" t="s">
        <v>6921</v>
      </c>
      <c r="AJ140" s="2">
        <v>44718</v>
      </c>
      <c r="AL140"/>
      <c r="AM140" s="281">
        <v>44718</v>
      </c>
      <c r="AS140"/>
      <c r="AT140" s="1"/>
    </row>
    <row r="141" spans="1:46">
      <c r="A141" s="1">
        <v>138</v>
      </c>
      <c r="B141" t="s">
        <v>37</v>
      </c>
      <c r="C141" s="2">
        <v>44698</v>
      </c>
      <c r="D141" s="1" t="s">
        <v>5685</v>
      </c>
      <c r="E141" s="1"/>
      <c r="F141" t="s">
        <v>5686</v>
      </c>
      <c r="G141" t="s">
        <v>5687</v>
      </c>
      <c r="H141" s="6" t="s">
        <v>1257</v>
      </c>
      <c r="I141" s="1" t="s">
        <v>1266</v>
      </c>
      <c r="J141" s="8">
        <v>6400563650</v>
      </c>
      <c r="K141" s="8"/>
      <c r="L141" t="s">
        <v>5685</v>
      </c>
      <c r="M141" s="3">
        <v>44712</v>
      </c>
      <c r="N141" s="1" t="s">
        <v>35</v>
      </c>
      <c r="O141" s="1"/>
      <c r="P141" s="14" t="s">
        <v>5813</v>
      </c>
      <c r="Q141" s="187">
        <v>100</v>
      </c>
      <c r="R141" s="1">
        <v>1</v>
      </c>
      <c r="S141" s="90">
        <v>0.21</v>
      </c>
      <c r="T141" s="90">
        <v>0.2</v>
      </c>
      <c r="V141" s="95">
        <f t="shared" si="4"/>
        <v>96.8</v>
      </c>
      <c r="W141" t="s">
        <v>5811</v>
      </c>
      <c r="X141" s="6" t="s">
        <v>6993</v>
      </c>
      <c r="Y141" s="2">
        <v>43012</v>
      </c>
      <c r="Z141" s="2">
        <v>44698</v>
      </c>
      <c r="AA141" s="284" t="s">
        <v>7196</v>
      </c>
      <c r="AB141" s="3">
        <v>44764</v>
      </c>
      <c r="AC141" s="80" t="s">
        <v>1339</v>
      </c>
      <c r="AF141" t="s">
        <v>3198</v>
      </c>
      <c r="AI141"/>
      <c r="AJ141" s="2"/>
      <c r="AL141"/>
      <c r="AM141" s="281"/>
      <c r="AS141"/>
      <c r="AT141" s="1"/>
    </row>
    <row r="142" spans="1:46">
      <c r="A142" s="1">
        <v>139</v>
      </c>
      <c r="B142" t="s">
        <v>37</v>
      </c>
      <c r="C142" s="2">
        <v>44698</v>
      </c>
      <c r="D142" s="1" t="s">
        <v>6922</v>
      </c>
      <c r="E142" s="1"/>
      <c r="F142" t="s">
        <v>6923</v>
      </c>
      <c r="G142" t="s">
        <v>6924</v>
      </c>
      <c r="H142" s="6" t="s">
        <v>1062</v>
      </c>
      <c r="I142" s="1" t="s">
        <v>4749</v>
      </c>
      <c r="J142" s="8">
        <v>622035547</v>
      </c>
      <c r="K142" s="8"/>
      <c r="L142" t="s">
        <v>6922</v>
      </c>
      <c r="M142" s="3">
        <v>44712</v>
      </c>
      <c r="N142" s="1" t="s">
        <v>35</v>
      </c>
      <c r="O142" s="1"/>
      <c r="P142" s="14" t="s">
        <v>6925</v>
      </c>
      <c r="Q142" s="187">
        <v>100</v>
      </c>
      <c r="R142" s="1">
        <v>1</v>
      </c>
      <c r="S142" s="128">
        <v>0.21</v>
      </c>
      <c r="T142" s="128">
        <v>0</v>
      </c>
      <c r="V142" s="95">
        <f t="shared" si="4"/>
        <v>121</v>
      </c>
      <c r="W142" t="s">
        <v>6922</v>
      </c>
      <c r="X142" s="6" t="s">
        <v>6926</v>
      </c>
      <c r="Y142" s="2">
        <v>32837</v>
      </c>
      <c r="Z142" s="2">
        <v>44698</v>
      </c>
      <c r="AA142" s="284" t="s">
        <v>7302</v>
      </c>
      <c r="AB142" s="3">
        <v>44810</v>
      </c>
      <c r="AC142" s="80" t="s">
        <v>1339</v>
      </c>
      <c r="AF142" t="s">
        <v>3198</v>
      </c>
      <c r="AI142"/>
      <c r="AJ142" s="2"/>
      <c r="AL142"/>
      <c r="AM142" s="74"/>
      <c r="AS142"/>
      <c r="AT142" s="1"/>
    </row>
    <row r="143" spans="1:46">
      <c r="A143" s="1">
        <v>140</v>
      </c>
      <c r="B143" s="61" t="s">
        <v>33</v>
      </c>
      <c r="C143" s="2">
        <v>44700</v>
      </c>
      <c r="D143" s="1" t="s">
        <v>6985</v>
      </c>
      <c r="E143" s="1"/>
      <c r="F143" t="s">
        <v>6942</v>
      </c>
      <c r="G143" t="s">
        <v>6943</v>
      </c>
      <c r="H143" s="6" t="s">
        <v>304</v>
      </c>
      <c r="I143" s="1" t="s">
        <v>34</v>
      </c>
      <c r="K143" t="s">
        <v>8186</v>
      </c>
      <c r="L143" t="s">
        <v>237</v>
      </c>
      <c r="M143" s="3">
        <v>44712</v>
      </c>
      <c r="N143" s="1" t="s">
        <v>35</v>
      </c>
      <c r="O143" s="1"/>
      <c r="P143" s="14" t="s">
        <v>6944</v>
      </c>
      <c r="Q143" s="187">
        <v>100</v>
      </c>
      <c r="R143" s="1">
        <v>1</v>
      </c>
      <c r="S143" s="128">
        <v>0.21</v>
      </c>
      <c r="T143" s="128">
        <v>0.2</v>
      </c>
      <c r="V143" s="95">
        <f t="shared" si="4"/>
        <v>96.8</v>
      </c>
      <c r="W143" t="s">
        <v>6988</v>
      </c>
      <c r="X143" s="6" t="s">
        <v>6989</v>
      </c>
      <c r="Y143" s="2">
        <v>36054</v>
      </c>
      <c r="Z143" s="2">
        <v>44700</v>
      </c>
      <c r="AA143" s="284" t="s">
        <v>7393</v>
      </c>
      <c r="AB143" s="3">
        <v>44831</v>
      </c>
      <c r="AC143" s="80" t="s">
        <v>1339</v>
      </c>
      <c r="AF143" t="s">
        <v>3198</v>
      </c>
      <c r="AI143" t="s">
        <v>3108</v>
      </c>
      <c r="AJ143" s="2">
        <v>44714</v>
      </c>
      <c r="AK143" s="146" t="s">
        <v>6617</v>
      </c>
      <c r="AL143" s="162">
        <v>44742</v>
      </c>
      <c r="AM143" s="74">
        <v>44715</v>
      </c>
      <c r="AS143"/>
      <c r="AT143" s="1"/>
    </row>
    <row r="144" spans="1:46">
      <c r="A144" s="1">
        <v>141</v>
      </c>
      <c r="B144" t="s">
        <v>33</v>
      </c>
      <c r="C144" s="2">
        <v>44701</v>
      </c>
      <c r="D144" s="1" t="s">
        <v>4537</v>
      </c>
      <c r="E144" s="1"/>
      <c r="F144" s="61" t="s">
        <v>4540</v>
      </c>
      <c r="G144" s="61" t="s">
        <v>4538</v>
      </c>
      <c r="H144" s="6" t="s">
        <v>220</v>
      </c>
      <c r="I144" s="1" t="s">
        <v>34</v>
      </c>
      <c r="K144" t="s">
        <v>8186</v>
      </c>
      <c r="L144" s="31" t="s">
        <v>237</v>
      </c>
      <c r="M144" s="3">
        <v>44712</v>
      </c>
      <c r="N144" s="1" t="s">
        <v>35</v>
      </c>
      <c r="O144" s="1"/>
      <c r="P144" s="14" t="s">
        <v>6946</v>
      </c>
      <c r="Q144" s="187">
        <v>75</v>
      </c>
      <c r="R144" s="1">
        <v>1</v>
      </c>
      <c r="S144" s="90">
        <v>0.21</v>
      </c>
      <c r="T144" s="90">
        <v>0.2</v>
      </c>
      <c r="V144" s="95">
        <f t="shared" si="4"/>
        <v>72.599999999999994</v>
      </c>
      <c r="W144" t="s">
        <v>5240</v>
      </c>
      <c r="X144" s="6" t="s">
        <v>6947</v>
      </c>
      <c r="Y144" s="2">
        <v>30751</v>
      </c>
      <c r="Z144" s="2">
        <v>44701</v>
      </c>
      <c r="AA144" s="284" t="s">
        <v>7201</v>
      </c>
      <c r="AB144" s="3">
        <v>44768</v>
      </c>
      <c r="AC144" s="80" t="s">
        <v>1339</v>
      </c>
      <c r="AF144" t="s">
        <v>3198</v>
      </c>
      <c r="AI144"/>
      <c r="AJ144" s="2"/>
      <c r="AL144"/>
      <c r="AM144" s="74"/>
      <c r="AS144"/>
      <c r="AT144" s="1"/>
    </row>
    <row r="145" spans="1:139">
      <c r="A145" s="1">
        <v>142</v>
      </c>
      <c r="B145" t="s">
        <v>40</v>
      </c>
      <c r="C145" s="2">
        <v>44701</v>
      </c>
      <c r="D145" s="1" t="s">
        <v>5779</v>
      </c>
      <c r="E145" s="1"/>
      <c r="F145" s="61" t="s">
        <v>6948</v>
      </c>
      <c r="G145" s="61" t="s">
        <v>5781</v>
      </c>
      <c r="H145" s="6" t="s">
        <v>227</v>
      </c>
      <c r="I145" s="1" t="s">
        <v>4719</v>
      </c>
      <c r="J145" s="295">
        <v>661226886</v>
      </c>
      <c r="K145" s="303" t="s">
        <v>6678</v>
      </c>
      <c r="L145" t="s">
        <v>5779</v>
      </c>
      <c r="M145" s="3">
        <v>44712</v>
      </c>
      <c r="N145" s="1" t="s">
        <v>35</v>
      </c>
      <c r="O145" s="1"/>
      <c r="P145" s="14" t="s">
        <v>6949</v>
      </c>
      <c r="Q145" s="187">
        <v>100</v>
      </c>
      <c r="R145" s="1">
        <v>1</v>
      </c>
      <c r="S145" s="128">
        <v>0.21</v>
      </c>
      <c r="T145" s="128">
        <v>0.2</v>
      </c>
      <c r="V145" s="95">
        <f t="shared" si="4"/>
        <v>96.8</v>
      </c>
      <c r="W145" t="s">
        <v>6990</v>
      </c>
      <c r="X145" s="6" t="s">
        <v>6991</v>
      </c>
      <c r="Y145" s="2">
        <v>26665</v>
      </c>
      <c r="Z145" s="2">
        <v>44701</v>
      </c>
      <c r="AA145" s="284" t="s">
        <v>7703</v>
      </c>
      <c r="AB145" s="3">
        <v>44890</v>
      </c>
      <c r="AC145" s="80" t="s">
        <v>1339</v>
      </c>
      <c r="AE145" s="162">
        <v>44834</v>
      </c>
      <c r="AF145" t="s">
        <v>3198</v>
      </c>
      <c r="AI145" t="s">
        <v>3108</v>
      </c>
      <c r="AJ145" s="2">
        <v>44714</v>
      </c>
      <c r="AL145"/>
      <c r="AM145" s="74">
        <v>44722</v>
      </c>
      <c r="AS145"/>
      <c r="AT145" s="1"/>
    </row>
    <row r="146" spans="1:139">
      <c r="A146" s="1">
        <v>143</v>
      </c>
      <c r="B146" t="s">
        <v>423</v>
      </c>
      <c r="C146" s="2">
        <v>44701</v>
      </c>
      <c r="D146" t="s">
        <v>3217</v>
      </c>
      <c r="F146" t="s">
        <v>91</v>
      </c>
      <c r="G146" t="s">
        <v>3218</v>
      </c>
      <c r="H146" s="6" t="s">
        <v>219</v>
      </c>
      <c r="I146" s="1" t="s">
        <v>38</v>
      </c>
      <c r="J146" s="8">
        <v>629562761</v>
      </c>
      <c r="K146" s="8" t="s">
        <v>6182</v>
      </c>
      <c r="L146" t="s">
        <v>3217</v>
      </c>
      <c r="M146" s="3">
        <v>44712</v>
      </c>
      <c r="N146" s="1" t="s">
        <v>35</v>
      </c>
      <c r="O146" s="1"/>
      <c r="P146" s="14" t="s">
        <v>6950</v>
      </c>
      <c r="Q146" s="187">
        <v>125</v>
      </c>
      <c r="R146" s="1">
        <v>1</v>
      </c>
      <c r="S146" s="90">
        <v>0.21</v>
      </c>
      <c r="T146" s="90">
        <v>0.2</v>
      </c>
      <c r="V146" s="95">
        <f t="shared" si="4"/>
        <v>121</v>
      </c>
      <c r="W146" t="s">
        <v>6986</v>
      </c>
      <c r="X146" s="6" t="s">
        <v>6987</v>
      </c>
      <c r="Y146" s="2">
        <v>34506</v>
      </c>
      <c r="Z146" s="2">
        <v>44701</v>
      </c>
      <c r="AA146" s="284" t="s">
        <v>7744</v>
      </c>
      <c r="AB146" s="3">
        <v>44897</v>
      </c>
      <c r="AC146" s="80" t="s">
        <v>1339</v>
      </c>
      <c r="AE146" s="162">
        <v>44847</v>
      </c>
      <c r="AF146" t="s">
        <v>3198</v>
      </c>
      <c r="AI146" t="s">
        <v>3108</v>
      </c>
      <c r="AJ146" s="2">
        <v>44714</v>
      </c>
      <c r="AL146"/>
      <c r="AM146" s="74">
        <v>44719</v>
      </c>
      <c r="AS146"/>
      <c r="AT146" s="1"/>
    </row>
    <row r="147" spans="1:139">
      <c r="A147" s="1">
        <v>144</v>
      </c>
      <c r="B147" t="s">
        <v>37</v>
      </c>
      <c r="C147" s="2">
        <v>44704</v>
      </c>
      <c r="D147" s="1" t="s">
        <v>6951</v>
      </c>
      <c r="E147" s="1"/>
      <c r="F147" t="s">
        <v>6952</v>
      </c>
      <c r="G147" s="61" t="s">
        <v>6953</v>
      </c>
      <c r="H147" s="6" t="s">
        <v>219</v>
      </c>
      <c r="I147" s="1" t="s">
        <v>38</v>
      </c>
      <c r="J147" s="8">
        <v>627942830</v>
      </c>
      <c r="K147" s="8"/>
      <c r="L147" t="s">
        <v>6951</v>
      </c>
      <c r="M147" s="3">
        <v>44712</v>
      </c>
      <c r="N147" s="1" t="s">
        <v>35</v>
      </c>
      <c r="O147" s="1"/>
      <c r="P147" s="14" t="s">
        <v>6954</v>
      </c>
      <c r="Q147" s="187">
        <v>125</v>
      </c>
      <c r="R147" s="1">
        <v>1</v>
      </c>
      <c r="S147" s="128">
        <v>0.21</v>
      </c>
      <c r="T147" s="128">
        <v>0</v>
      </c>
      <c r="V147" s="95">
        <f t="shared" si="4"/>
        <v>151.25</v>
      </c>
      <c r="W147" t="s">
        <v>6951</v>
      </c>
      <c r="X147" s="6" t="s">
        <v>6992</v>
      </c>
      <c r="Y147" s="2">
        <v>35227</v>
      </c>
      <c r="Z147" s="2">
        <v>44704</v>
      </c>
      <c r="AA147" s="284" t="s">
        <v>7744</v>
      </c>
      <c r="AB147" s="3">
        <v>44897</v>
      </c>
      <c r="AC147" s="80" t="s">
        <v>1339</v>
      </c>
      <c r="AE147" s="162">
        <v>44852</v>
      </c>
      <c r="AF147" t="s">
        <v>3198</v>
      </c>
      <c r="AI147" t="s">
        <v>3108</v>
      </c>
      <c r="AJ147" s="2">
        <v>44714</v>
      </c>
      <c r="AL147"/>
      <c r="AM147" s="74">
        <v>44715</v>
      </c>
      <c r="AS147"/>
      <c r="AT147" s="1"/>
    </row>
    <row r="148" spans="1:139">
      <c r="A148" s="1">
        <v>145</v>
      </c>
      <c r="B148" s="61" t="s">
        <v>3526</v>
      </c>
      <c r="C148" s="2">
        <v>44706</v>
      </c>
      <c r="D148" s="1" t="s">
        <v>3671</v>
      </c>
      <c r="E148" s="1"/>
      <c r="F148" s="61" t="s">
        <v>3672</v>
      </c>
      <c r="G148" s="61" t="s">
        <v>3673</v>
      </c>
      <c r="H148" s="6" t="s">
        <v>2654</v>
      </c>
      <c r="I148" s="1" t="s">
        <v>2359</v>
      </c>
      <c r="J148" s="8">
        <v>616469595</v>
      </c>
      <c r="K148" s="8" t="s">
        <v>6956</v>
      </c>
      <c r="L148" t="s">
        <v>3671</v>
      </c>
      <c r="M148" s="3">
        <v>44712</v>
      </c>
      <c r="N148" s="1" t="s">
        <v>35</v>
      </c>
      <c r="O148" s="1"/>
      <c r="P148" s="14" t="s">
        <v>6955</v>
      </c>
      <c r="Q148" s="92">
        <v>125</v>
      </c>
      <c r="R148" s="1">
        <v>1</v>
      </c>
      <c r="S148" s="90">
        <v>0.21</v>
      </c>
      <c r="T148" s="128">
        <v>0.2</v>
      </c>
      <c r="U148" s="1"/>
      <c r="V148" s="95">
        <f t="shared" si="4"/>
        <v>121</v>
      </c>
      <c r="W148" t="s">
        <v>7026</v>
      </c>
      <c r="X148" s="6" t="s">
        <v>7027</v>
      </c>
      <c r="Y148" s="2">
        <v>31838</v>
      </c>
      <c r="Z148" s="2">
        <v>44706</v>
      </c>
      <c r="AA148" s="284" t="s">
        <v>7750</v>
      </c>
      <c r="AB148" s="3">
        <v>44897</v>
      </c>
      <c r="AC148" s="80" t="s">
        <v>1339</v>
      </c>
      <c r="AE148" s="162">
        <v>44847</v>
      </c>
      <c r="AF148" t="s">
        <v>3198</v>
      </c>
      <c r="AI148" t="s">
        <v>3108</v>
      </c>
      <c r="AJ148" s="2">
        <v>44721</v>
      </c>
      <c r="AK148" s="2"/>
      <c r="AL148"/>
      <c r="AM148" s="74">
        <v>44721</v>
      </c>
      <c r="AS148"/>
      <c r="AT148" s="1"/>
    </row>
    <row r="149" spans="1:139">
      <c r="A149" s="1">
        <v>146</v>
      </c>
      <c r="B149" t="s">
        <v>6294</v>
      </c>
      <c r="C149" s="2">
        <v>44719</v>
      </c>
      <c r="D149" t="s">
        <v>124</v>
      </c>
      <c r="F149" t="s">
        <v>6349</v>
      </c>
      <c r="G149" s="61" t="s">
        <v>6348</v>
      </c>
      <c r="H149" s="1">
        <v>41850</v>
      </c>
      <c r="I149" s="1" t="s">
        <v>6295</v>
      </c>
      <c r="J149" s="8">
        <v>617073484</v>
      </c>
      <c r="K149" s="8" t="s">
        <v>6296</v>
      </c>
      <c r="L149" t="s">
        <v>124</v>
      </c>
      <c r="M149" s="3">
        <v>44712</v>
      </c>
      <c r="N149" s="1" t="s">
        <v>35</v>
      </c>
      <c r="O149" s="1"/>
      <c r="P149" s="14" t="s">
        <v>6957</v>
      </c>
      <c r="Q149" s="187">
        <v>100</v>
      </c>
      <c r="R149" s="1">
        <v>1</v>
      </c>
      <c r="S149" s="90">
        <v>0.21</v>
      </c>
      <c r="T149" s="90">
        <v>0</v>
      </c>
      <c r="V149" s="95">
        <f t="shared" si="4"/>
        <v>121</v>
      </c>
      <c r="W149" t="s">
        <v>124</v>
      </c>
      <c r="X149" s="6" t="s">
        <v>6448</v>
      </c>
      <c r="Y149" s="2">
        <v>29275</v>
      </c>
      <c r="Z149" s="2">
        <v>44550</v>
      </c>
      <c r="AA149" s="61"/>
      <c r="AB149" s="3"/>
      <c r="AC149" s="80"/>
      <c r="AF149" t="s">
        <v>3198</v>
      </c>
      <c r="AI149"/>
      <c r="AJ149" s="2"/>
      <c r="AL149"/>
      <c r="AM149" s="74"/>
      <c r="AS149"/>
      <c r="AT149" s="1"/>
    </row>
    <row r="150" spans="1:139">
      <c r="A150" s="1">
        <v>147</v>
      </c>
      <c r="B150" t="s">
        <v>6294</v>
      </c>
      <c r="C150" s="2">
        <v>44706</v>
      </c>
      <c r="D150" s="1" t="s">
        <v>6446</v>
      </c>
      <c r="E150" s="1"/>
      <c r="F150" t="s">
        <v>6350</v>
      </c>
      <c r="G150" s="61" t="s">
        <v>6348</v>
      </c>
      <c r="H150" s="1">
        <v>41850</v>
      </c>
      <c r="I150" s="1" t="s">
        <v>6295</v>
      </c>
      <c r="J150" s="8">
        <v>617073484</v>
      </c>
      <c r="K150" s="8" t="s">
        <v>6296</v>
      </c>
      <c r="L150" t="s">
        <v>125</v>
      </c>
      <c r="M150" s="3">
        <v>44712</v>
      </c>
      <c r="N150" s="1" t="s">
        <v>35</v>
      </c>
      <c r="O150" s="1"/>
      <c r="P150" s="14" t="s">
        <v>6958</v>
      </c>
      <c r="Q150" s="187">
        <v>100</v>
      </c>
      <c r="R150" s="1">
        <v>1</v>
      </c>
      <c r="S150" s="90">
        <v>0.21</v>
      </c>
      <c r="T150" s="90">
        <v>0</v>
      </c>
      <c r="V150" s="95">
        <f t="shared" si="4"/>
        <v>121</v>
      </c>
      <c r="W150" t="s">
        <v>125</v>
      </c>
      <c r="X150" s="6" t="s">
        <v>6447</v>
      </c>
      <c r="Y150" s="2">
        <v>30430</v>
      </c>
      <c r="Z150" s="2">
        <v>44550</v>
      </c>
      <c r="AA150" s="61"/>
      <c r="AB150" s="3"/>
      <c r="AC150" s="80"/>
      <c r="AF150" t="s">
        <v>3198</v>
      </c>
      <c r="AI150"/>
      <c r="AJ150" s="2"/>
      <c r="AL150"/>
      <c r="AM150" s="74"/>
      <c r="AS150"/>
      <c r="AT150" s="1"/>
    </row>
    <row r="151" spans="1:139">
      <c r="A151" s="1">
        <v>148</v>
      </c>
      <c r="B151" t="s">
        <v>6294</v>
      </c>
      <c r="C151" s="2">
        <v>44706</v>
      </c>
      <c r="D151" s="1" t="s">
        <v>6449</v>
      </c>
      <c r="E151" s="1"/>
      <c r="F151" t="s">
        <v>6351</v>
      </c>
      <c r="G151" s="61" t="s">
        <v>6348</v>
      </c>
      <c r="H151" s="1">
        <v>41850</v>
      </c>
      <c r="I151" s="1" t="s">
        <v>6295</v>
      </c>
      <c r="J151" s="8">
        <v>617073484</v>
      </c>
      <c r="K151" s="8" t="s">
        <v>6296</v>
      </c>
      <c r="L151" t="s">
        <v>283</v>
      </c>
      <c r="M151" s="3">
        <v>44712</v>
      </c>
      <c r="N151" s="1" t="s">
        <v>35</v>
      </c>
      <c r="O151" s="1"/>
      <c r="P151" s="14" t="s">
        <v>6959</v>
      </c>
      <c r="Q151" s="187">
        <v>100</v>
      </c>
      <c r="R151" s="1">
        <v>1</v>
      </c>
      <c r="S151" s="90">
        <v>0.21</v>
      </c>
      <c r="T151" s="90">
        <v>0</v>
      </c>
      <c r="V151" s="95">
        <f t="shared" si="4"/>
        <v>121</v>
      </c>
      <c r="W151" t="s">
        <v>283</v>
      </c>
      <c r="X151" s="6" t="s">
        <v>6451</v>
      </c>
      <c r="Y151" s="2">
        <v>32155</v>
      </c>
      <c r="Z151" s="2">
        <v>44550</v>
      </c>
      <c r="AA151" s="61"/>
      <c r="AB151" s="3"/>
      <c r="AC151" s="80"/>
      <c r="AF151" t="s">
        <v>3198</v>
      </c>
      <c r="AI151"/>
      <c r="AJ151" s="2"/>
      <c r="AL151"/>
      <c r="AM151" s="74"/>
      <c r="AS151"/>
      <c r="AT151" s="1"/>
    </row>
    <row r="152" spans="1:139">
      <c r="A152" s="1">
        <v>149</v>
      </c>
      <c r="B152" t="s">
        <v>6294</v>
      </c>
      <c r="C152" s="2">
        <v>44706</v>
      </c>
      <c r="D152" s="1" t="s">
        <v>193</v>
      </c>
      <c r="E152" s="1"/>
      <c r="F152" t="s">
        <v>6352</v>
      </c>
      <c r="G152" s="61" t="s">
        <v>6348</v>
      </c>
      <c r="H152" s="1">
        <v>41850</v>
      </c>
      <c r="I152" s="1" t="s">
        <v>6295</v>
      </c>
      <c r="J152" s="8">
        <v>617073484</v>
      </c>
      <c r="K152" s="8" t="s">
        <v>6296</v>
      </c>
      <c r="L152" t="s">
        <v>193</v>
      </c>
      <c r="M152" s="3">
        <v>44712</v>
      </c>
      <c r="N152" s="1" t="s">
        <v>35</v>
      </c>
      <c r="O152" s="1"/>
      <c r="P152" s="14" t="s">
        <v>6960</v>
      </c>
      <c r="Q152" s="187">
        <v>100</v>
      </c>
      <c r="R152" s="1">
        <v>1</v>
      </c>
      <c r="S152" s="90">
        <v>0.21</v>
      </c>
      <c r="T152" s="90">
        <v>0</v>
      </c>
      <c r="V152" s="95">
        <f t="shared" si="4"/>
        <v>121</v>
      </c>
      <c r="W152" t="s">
        <v>193</v>
      </c>
      <c r="X152" s="6" t="s">
        <v>6450</v>
      </c>
      <c r="Y152" s="2">
        <v>33635</v>
      </c>
      <c r="Z152" s="2">
        <v>44550</v>
      </c>
      <c r="AA152" s="61"/>
      <c r="AF152" t="s">
        <v>3198</v>
      </c>
      <c r="AI152"/>
      <c r="AJ152" s="2"/>
      <c r="AL152"/>
      <c r="AM152" s="74"/>
      <c r="AS152"/>
      <c r="AT152" s="1"/>
    </row>
    <row r="153" spans="1:139">
      <c r="A153" s="1">
        <v>150</v>
      </c>
      <c r="B153" s="61" t="s">
        <v>4321</v>
      </c>
      <c r="C153" s="2">
        <v>44707</v>
      </c>
      <c r="D153" s="1" t="s">
        <v>6961</v>
      </c>
      <c r="E153" s="1"/>
      <c r="F153" t="s">
        <v>6962</v>
      </c>
      <c r="G153" s="61" t="s">
        <v>6982</v>
      </c>
      <c r="H153" s="6" t="s">
        <v>226</v>
      </c>
      <c r="I153" s="1" t="s">
        <v>3118</v>
      </c>
      <c r="K153" s="8" t="s">
        <v>5991</v>
      </c>
      <c r="L153" t="s">
        <v>6961</v>
      </c>
      <c r="M153" s="3">
        <v>44712</v>
      </c>
      <c r="N153" s="1" t="s">
        <v>35</v>
      </c>
      <c r="O153" s="1"/>
      <c r="P153" s="14" t="s">
        <v>6963</v>
      </c>
      <c r="Q153" s="187">
        <v>41.32</v>
      </c>
      <c r="R153" s="1">
        <v>1</v>
      </c>
      <c r="S153" s="128">
        <v>0.21</v>
      </c>
      <c r="T153" s="128">
        <v>0</v>
      </c>
      <c r="V153" s="95">
        <f t="shared" si="4"/>
        <v>49.997199999999999</v>
      </c>
      <c r="W153" t="s">
        <v>6964</v>
      </c>
      <c r="X153" s="220"/>
      <c r="Y153" s="2"/>
      <c r="Z153" s="2"/>
      <c r="AA153" s="61"/>
      <c r="AB153" s="3"/>
      <c r="AC153" s="80"/>
      <c r="AF153" t="s">
        <v>3198</v>
      </c>
      <c r="AI153"/>
      <c r="AJ153" s="1"/>
      <c r="AL153"/>
      <c r="AM153" s="8"/>
      <c r="AS153"/>
      <c r="AT153" s="1"/>
    </row>
    <row r="154" spans="1:139">
      <c r="A154" s="1">
        <v>151</v>
      </c>
      <c r="B154" t="s">
        <v>119</v>
      </c>
      <c r="C154" s="2">
        <v>44708</v>
      </c>
      <c r="D154" s="1" t="s">
        <v>5406</v>
      </c>
      <c r="E154" s="1"/>
      <c r="F154" t="s">
        <v>5407</v>
      </c>
      <c r="G154" s="61" t="s">
        <v>5408</v>
      </c>
      <c r="H154" s="6" t="s">
        <v>226</v>
      </c>
      <c r="I154" s="1" t="s">
        <v>3118</v>
      </c>
      <c r="K154" s="1" t="s">
        <v>8094</v>
      </c>
      <c r="L154" t="s">
        <v>174</v>
      </c>
      <c r="M154" s="3">
        <v>44712</v>
      </c>
      <c r="N154" s="1" t="s">
        <v>35</v>
      </c>
      <c r="O154" s="1"/>
      <c r="P154" s="14" t="s">
        <v>6968</v>
      </c>
      <c r="Q154" s="187">
        <v>125</v>
      </c>
      <c r="R154" s="1">
        <v>1</v>
      </c>
      <c r="S154" s="90">
        <v>0.21</v>
      </c>
      <c r="T154" s="90">
        <v>0.2</v>
      </c>
      <c r="V154" s="95">
        <f t="shared" si="4"/>
        <v>121</v>
      </c>
      <c r="W154" t="s">
        <v>7046</v>
      </c>
      <c r="X154" s="6" t="s">
        <v>7047</v>
      </c>
      <c r="Y154" s="2">
        <v>36869</v>
      </c>
      <c r="Z154" s="2">
        <v>44708</v>
      </c>
      <c r="AA154" s="284" t="s">
        <v>7125</v>
      </c>
      <c r="AB154" s="3">
        <v>44742</v>
      </c>
      <c r="AC154" s="80" t="s">
        <v>1339</v>
      </c>
      <c r="AF154" t="s">
        <v>3198</v>
      </c>
      <c r="AI154" t="s">
        <v>3221</v>
      </c>
      <c r="AJ154" s="2">
        <v>44725</v>
      </c>
      <c r="AL154"/>
      <c r="AM154" s="74">
        <v>44729</v>
      </c>
      <c r="AS154"/>
      <c r="AT154" s="1"/>
    </row>
    <row r="155" spans="1:139">
      <c r="A155" s="1">
        <v>152</v>
      </c>
      <c r="B155" t="s">
        <v>33</v>
      </c>
      <c r="C155" s="2">
        <v>44712</v>
      </c>
      <c r="D155" s="1" t="s">
        <v>6973</v>
      </c>
      <c r="E155" s="1"/>
      <c r="F155" t="s">
        <v>6974</v>
      </c>
      <c r="G155" s="61" t="s">
        <v>6975</v>
      </c>
      <c r="H155" s="6" t="s">
        <v>219</v>
      </c>
      <c r="I155" s="1" t="s">
        <v>38</v>
      </c>
      <c r="K155" t="s">
        <v>8186</v>
      </c>
      <c r="L155" s="31" t="s">
        <v>237</v>
      </c>
      <c r="M155" s="3">
        <v>44712</v>
      </c>
      <c r="N155" s="1" t="s">
        <v>35</v>
      </c>
      <c r="O155" s="1"/>
      <c r="P155" s="14" t="s">
        <v>6976</v>
      </c>
      <c r="Q155" s="187">
        <v>125</v>
      </c>
      <c r="R155" s="1">
        <v>1</v>
      </c>
      <c r="S155" s="128">
        <v>0.21</v>
      </c>
      <c r="T155" s="128">
        <v>0.2</v>
      </c>
      <c r="V155" s="95">
        <f t="shared" si="4"/>
        <v>121</v>
      </c>
      <c r="W155" t="s">
        <v>7031</v>
      </c>
      <c r="X155" s="6" t="s">
        <v>7030</v>
      </c>
      <c r="Y155" s="2">
        <v>32873</v>
      </c>
      <c r="Z155" s="2">
        <v>44712</v>
      </c>
      <c r="AA155" s="284" t="s">
        <v>7422</v>
      </c>
      <c r="AB155" s="3">
        <v>44838</v>
      </c>
      <c r="AC155" s="80" t="s">
        <v>1339</v>
      </c>
      <c r="AF155" t="s">
        <v>3198</v>
      </c>
      <c r="AI155" t="s">
        <v>3108</v>
      </c>
      <c r="AJ155" s="2">
        <v>44721</v>
      </c>
      <c r="AL155"/>
      <c r="AM155" s="74">
        <v>44722</v>
      </c>
      <c r="AS155"/>
      <c r="AT155" s="1"/>
    </row>
    <row r="156" spans="1:139">
      <c r="A156" s="1">
        <v>153</v>
      </c>
      <c r="B156" s="61" t="s">
        <v>33</v>
      </c>
      <c r="C156" s="2">
        <v>44712</v>
      </c>
      <c r="D156" s="1" t="s">
        <v>3030</v>
      </c>
      <c r="E156" s="1"/>
      <c r="F156" t="s">
        <v>3031</v>
      </c>
      <c r="G156" t="s">
        <v>6907</v>
      </c>
      <c r="H156" s="6" t="s">
        <v>304</v>
      </c>
      <c r="I156" s="1" t="s">
        <v>34</v>
      </c>
      <c r="K156" t="s">
        <v>8186</v>
      </c>
      <c r="L156" t="s">
        <v>237</v>
      </c>
      <c r="M156" s="3">
        <v>44712</v>
      </c>
      <c r="N156" s="1" t="s">
        <v>35</v>
      </c>
      <c r="O156" s="1"/>
      <c r="P156" s="14" t="s">
        <v>6980</v>
      </c>
      <c r="Q156" s="187">
        <v>125</v>
      </c>
      <c r="R156" s="1">
        <v>1</v>
      </c>
      <c r="S156" s="128">
        <v>0.21</v>
      </c>
      <c r="T156" s="128">
        <v>0.2</v>
      </c>
      <c r="V156" s="95">
        <f t="shared" si="4"/>
        <v>121</v>
      </c>
      <c r="W156" t="s">
        <v>7032</v>
      </c>
      <c r="X156" s="6" t="s">
        <v>7033</v>
      </c>
      <c r="Y156" s="2">
        <v>33762</v>
      </c>
      <c r="Z156" s="2">
        <v>44712</v>
      </c>
      <c r="AA156" s="284" t="s">
        <v>7419</v>
      </c>
      <c r="AB156" s="3">
        <v>44838</v>
      </c>
      <c r="AC156" s="80" t="s">
        <v>1339</v>
      </c>
      <c r="AF156" t="s">
        <v>3198</v>
      </c>
      <c r="AI156" t="s">
        <v>3108</v>
      </c>
      <c r="AJ156" s="2">
        <v>44721</v>
      </c>
      <c r="AL156"/>
      <c r="AM156" s="74">
        <v>44726</v>
      </c>
      <c r="AS156"/>
      <c r="AT156" s="1"/>
    </row>
    <row r="157" spans="1:139">
      <c r="A157" s="1">
        <v>154</v>
      </c>
      <c r="B157" t="s">
        <v>33</v>
      </c>
      <c r="C157" s="2">
        <v>44712</v>
      </c>
      <c r="D157" s="1" t="s">
        <v>3327</v>
      </c>
      <c r="E157" s="1"/>
      <c r="F157" t="s">
        <v>3328</v>
      </c>
      <c r="G157" t="s">
        <v>3329</v>
      </c>
      <c r="H157" s="6" t="s">
        <v>304</v>
      </c>
      <c r="I157" s="1" t="s">
        <v>68</v>
      </c>
      <c r="K157" t="s">
        <v>8186</v>
      </c>
      <c r="L157" s="31" t="s">
        <v>237</v>
      </c>
      <c r="M157" s="3">
        <v>44712</v>
      </c>
      <c r="N157" s="1" t="s">
        <v>35</v>
      </c>
      <c r="O157" s="1"/>
      <c r="P157" s="14" t="s">
        <v>6981</v>
      </c>
      <c r="Q157" s="187">
        <v>125</v>
      </c>
      <c r="R157" s="1">
        <v>1</v>
      </c>
      <c r="S157" s="90">
        <v>0.21</v>
      </c>
      <c r="T157" s="90">
        <v>0.2</v>
      </c>
      <c r="V157" s="95">
        <f t="shared" si="4"/>
        <v>121</v>
      </c>
      <c r="W157" t="s">
        <v>7034</v>
      </c>
      <c r="X157" s="6" t="s">
        <v>7035</v>
      </c>
      <c r="Y157" s="2">
        <v>27394</v>
      </c>
      <c r="Z157" s="2">
        <v>44712</v>
      </c>
      <c r="AA157" s="284" t="s">
        <v>7438</v>
      </c>
      <c r="AB157" s="3">
        <v>44841</v>
      </c>
      <c r="AC157" s="80" t="s">
        <v>1339</v>
      </c>
      <c r="AF157" t="s">
        <v>3198</v>
      </c>
      <c r="AI157" t="s">
        <v>3108</v>
      </c>
      <c r="AJ157" s="2">
        <v>44721</v>
      </c>
      <c r="AL157"/>
      <c r="AM157" s="74">
        <v>44726</v>
      </c>
      <c r="AS157"/>
      <c r="AT157" s="1"/>
    </row>
    <row r="158" spans="1:139" s="196" customFormat="1">
      <c r="A158" s="1">
        <v>155</v>
      </c>
      <c r="B158" t="s">
        <v>45</v>
      </c>
      <c r="C158" s="2">
        <v>44718</v>
      </c>
      <c r="D158" s="1" t="s">
        <v>4660</v>
      </c>
      <c r="E158" s="1"/>
      <c r="F158" t="s">
        <v>4661</v>
      </c>
      <c r="G158" t="s">
        <v>4662</v>
      </c>
      <c r="H158" s="6" t="s">
        <v>220</v>
      </c>
      <c r="I158" s="1" t="s">
        <v>34</v>
      </c>
      <c r="J158" s="8"/>
      <c r="K158" s="8" t="s">
        <v>6999</v>
      </c>
      <c r="L158" t="s">
        <v>4660</v>
      </c>
      <c r="M158" s="3">
        <v>44742</v>
      </c>
      <c r="N158" s="1" t="s">
        <v>35</v>
      </c>
      <c r="O158" s="1"/>
      <c r="P158" s="14" t="s">
        <v>6997</v>
      </c>
      <c r="Q158" s="187">
        <v>75</v>
      </c>
      <c r="R158" s="1">
        <v>1</v>
      </c>
      <c r="S158" s="128">
        <v>0.21</v>
      </c>
      <c r="T158" s="128">
        <v>0.2</v>
      </c>
      <c r="U158"/>
      <c r="V158" s="95">
        <f t="shared" si="4"/>
        <v>72.599999999999994</v>
      </c>
      <c r="W158" t="s">
        <v>4845</v>
      </c>
      <c r="X158" s="6" t="s">
        <v>6998</v>
      </c>
      <c r="Y158" s="2">
        <v>33703</v>
      </c>
      <c r="Z158" s="2">
        <v>44718</v>
      </c>
      <c r="AA158" s="284" t="s">
        <v>7283</v>
      </c>
      <c r="AB158" s="3">
        <v>44805</v>
      </c>
      <c r="AC158" s="80" t="s">
        <v>1339</v>
      </c>
      <c r="AD158"/>
      <c r="AE158"/>
      <c r="AF158" t="s">
        <v>3198</v>
      </c>
      <c r="AG158"/>
      <c r="AH158"/>
      <c r="AI158"/>
      <c r="AJ158"/>
      <c r="AK158"/>
      <c r="AL158"/>
      <c r="AM158" s="8"/>
      <c r="AN158"/>
      <c r="AO158"/>
      <c r="AP158"/>
      <c r="AQ158"/>
      <c r="AR158"/>
      <c r="AS158"/>
      <c r="AT158" s="1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</row>
    <row r="159" spans="1:139">
      <c r="A159" s="1">
        <v>156</v>
      </c>
      <c r="B159" t="s">
        <v>119</v>
      </c>
      <c r="C159" s="2">
        <v>44718</v>
      </c>
      <c r="D159" s="1" t="s">
        <v>494</v>
      </c>
      <c r="E159" s="1"/>
      <c r="F159" t="s">
        <v>495</v>
      </c>
      <c r="G159" s="61" t="s">
        <v>5059</v>
      </c>
      <c r="H159" s="6" t="s">
        <v>242</v>
      </c>
      <c r="I159" s="1" t="s">
        <v>86</v>
      </c>
      <c r="K159" s="8"/>
      <c r="L159" t="s">
        <v>174</v>
      </c>
      <c r="M159" s="3">
        <v>44742</v>
      </c>
      <c r="N159" s="1" t="s">
        <v>35</v>
      </c>
      <c r="O159" s="1"/>
      <c r="P159" s="14" t="s">
        <v>7000</v>
      </c>
      <c r="Q159" s="187">
        <v>75</v>
      </c>
      <c r="R159" s="1">
        <v>1</v>
      </c>
      <c r="S159" s="128">
        <v>0.21</v>
      </c>
      <c r="T159" s="128">
        <v>0.2</v>
      </c>
      <c r="V159" s="95">
        <f t="shared" si="4"/>
        <v>72.599999999999994</v>
      </c>
      <c r="W159" t="s">
        <v>5232</v>
      </c>
      <c r="X159" s="6" t="s">
        <v>7001</v>
      </c>
      <c r="Y159" s="2">
        <v>32509</v>
      </c>
      <c r="Z159" s="2">
        <v>44718</v>
      </c>
      <c r="AA159" s="284" t="s">
        <v>7253</v>
      </c>
      <c r="AB159" s="2">
        <v>44785</v>
      </c>
      <c r="AC159" s="80" t="s">
        <v>1339</v>
      </c>
      <c r="AF159" t="s">
        <v>3198</v>
      </c>
      <c r="AI159"/>
      <c r="AJ159" s="2"/>
      <c r="AL159"/>
      <c r="AM159" s="74"/>
      <c r="AS159"/>
      <c r="AT159" s="1"/>
    </row>
    <row r="160" spans="1:139">
      <c r="A160" s="1">
        <v>157</v>
      </c>
      <c r="B160" t="s">
        <v>4715</v>
      </c>
      <c r="C160" s="2">
        <v>44687</v>
      </c>
      <c r="D160" s="1" t="s">
        <v>4716</v>
      </c>
      <c r="E160" s="1"/>
      <c r="F160" t="s">
        <v>5191</v>
      </c>
      <c r="G160" s="61" t="s">
        <v>5192</v>
      </c>
      <c r="H160" s="6" t="s">
        <v>236</v>
      </c>
      <c r="I160" s="1" t="s">
        <v>34</v>
      </c>
      <c r="K160" s="8" t="s">
        <v>7002</v>
      </c>
      <c r="L160" t="s">
        <v>4716</v>
      </c>
      <c r="M160" s="3">
        <v>44742</v>
      </c>
      <c r="N160" s="1" t="s">
        <v>35</v>
      </c>
      <c r="O160" s="1"/>
      <c r="P160" s="14" t="s">
        <v>7003</v>
      </c>
      <c r="Q160" s="187">
        <v>100</v>
      </c>
      <c r="R160" s="1">
        <v>1</v>
      </c>
      <c r="S160" s="128">
        <v>0.21</v>
      </c>
      <c r="T160" s="128">
        <v>0</v>
      </c>
      <c r="U160" s="209"/>
      <c r="V160" s="95">
        <f t="shared" ref="V160:V169" si="5">SUM(Q160-(Q160*T160))*S160+(Q160-(Q160*T160))+U160</f>
        <v>121</v>
      </c>
      <c r="W160" s="342" t="s">
        <v>5209</v>
      </c>
      <c r="Y160" s="210">
        <v>31754</v>
      </c>
      <c r="Z160" s="2">
        <v>44687</v>
      </c>
      <c r="AA160" s="284" t="s">
        <v>3317</v>
      </c>
      <c r="AB160" s="3">
        <v>44712</v>
      </c>
      <c r="AC160" s="80" t="s">
        <v>1339</v>
      </c>
      <c r="AF160" t="s">
        <v>3198</v>
      </c>
      <c r="AI160"/>
      <c r="AJ160" s="1"/>
      <c r="AL160"/>
      <c r="AM160" s="8"/>
      <c r="AS160"/>
      <c r="AT160" s="1"/>
    </row>
    <row r="161" spans="1:46">
      <c r="A161" s="1">
        <v>158</v>
      </c>
      <c r="B161" t="s">
        <v>4715</v>
      </c>
      <c r="C161" s="2">
        <v>44687</v>
      </c>
      <c r="D161" s="1" t="s">
        <v>4716</v>
      </c>
      <c r="E161" s="1"/>
      <c r="F161" t="s">
        <v>5191</v>
      </c>
      <c r="G161" s="61" t="s">
        <v>5192</v>
      </c>
      <c r="H161" s="6" t="s">
        <v>236</v>
      </c>
      <c r="I161" s="1" t="s">
        <v>34</v>
      </c>
      <c r="K161" s="8" t="s">
        <v>7002</v>
      </c>
      <c r="L161" t="s">
        <v>4716</v>
      </c>
      <c r="M161" s="3">
        <v>44742</v>
      </c>
      <c r="N161" s="1" t="s">
        <v>35</v>
      </c>
      <c r="O161" s="1"/>
      <c r="P161" s="14" t="s">
        <v>7004</v>
      </c>
      <c r="Q161" s="187">
        <v>100</v>
      </c>
      <c r="R161" s="1">
        <v>1</v>
      </c>
      <c r="S161" s="128">
        <v>0.21</v>
      </c>
      <c r="T161" s="128">
        <v>0</v>
      </c>
      <c r="U161" s="209"/>
      <c r="V161" s="95">
        <f t="shared" si="5"/>
        <v>121</v>
      </c>
      <c r="W161" s="343" t="s">
        <v>5210</v>
      </c>
      <c r="Y161" s="210">
        <v>28240</v>
      </c>
      <c r="Z161" s="2">
        <v>44687</v>
      </c>
      <c r="AA161" s="284" t="s">
        <v>3317</v>
      </c>
      <c r="AB161" s="3">
        <v>44712</v>
      </c>
      <c r="AC161" s="80" t="s">
        <v>1339</v>
      </c>
      <c r="AF161" t="s">
        <v>3198</v>
      </c>
      <c r="AI161"/>
      <c r="AJ161" s="1"/>
      <c r="AL161"/>
      <c r="AM161" s="8"/>
      <c r="AS161"/>
      <c r="AT161" s="1"/>
    </row>
    <row r="162" spans="1:46">
      <c r="A162" s="1">
        <v>159</v>
      </c>
      <c r="B162" t="s">
        <v>4715</v>
      </c>
      <c r="C162" s="2">
        <v>44687</v>
      </c>
      <c r="D162" s="1" t="s">
        <v>4716</v>
      </c>
      <c r="E162" s="1"/>
      <c r="F162" t="s">
        <v>5191</v>
      </c>
      <c r="G162" s="61" t="s">
        <v>5192</v>
      </c>
      <c r="H162" s="6" t="s">
        <v>236</v>
      </c>
      <c r="I162" s="1" t="s">
        <v>34</v>
      </c>
      <c r="K162" s="8" t="s">
        <v>7002</v>
      </c>
      <c r="L162" t="s">
        <v>4716</v>
      </c>
      <c r="M162" s="3">
        <v>44742</v>
      </c>
      <c r="N162" s="1" t="s">
        <v>35</v>
      </c>
      <c r="O162" s="1"/>
      <c r="P162" s="14" t="s">
        <v>7005</v>
      </c>
      <c r="Q162" s="187">
        <v>100</v>
      </c>
      <c r="R162" s="1">
        <v>1</v>
      </c>
      <c r="S162" s="128">
        <v>0.21</v>
      </c>
      <c r="T162" s="128">
        <v>0</v>
      </c>
      <c r="U162" s="209"/>
      <c r="V162" s="95">
        <f t="shared" si="5"/>
        <v>121</v>
      </c>
      <c r="W162" s="343" t="s">
        <v>5203</v>
      </c>
      <c r="Y162" s="210">
        <v>27001</v>
      </c>
      <c r="Z162" s="2">
        <v>44687</v>
      </c>
      <c r="AA162" s="284" t="s">
        <v>3317</v>
      </c>
      <c r="AB162" s="3">
        <v>44712</v>
      </c>
      <c r="AC162" s="80" t="s">
        <v>1339</v>
      </c>
      <c r="AF162" t="s">
        <v>3198</v>
      </c>
      <c r="AI162"/>
      <c r="AJ162" s="1"/>
      <c r="AL162"/>
      <c r="AM162" s="8"/>
      <c r="AS162"/>
      <c r="AT162" s="1"/>
    </row>
    <row r="163" spans="1:46">
      <c r="A163" s="1">
        <v>160</v>
      </c>
      <c r="B163" t="s">
        <v>4715</v>
      </c>
      <c r="C163" s="2">
        <v>44687</v>
      </c>
      <c r="D163" s="1" t="s">
        <v>4716</v>
      </c>
      <c r="E163" s="1"/>
      <c r="F163" t="s">
        <v>5191</v>
      </c>
      <c r="G163" s="61" t="s">
        <v>5192</v>
      </c>
      <c r="H163" s="6" t="s">
        <v>236</v>
      </c>
      <c r="I163" s="1" t="s">
        <v>34</v>
      </c>
      <c r="K163" s="8" t="s">
        <v>7002</v>
      </c>
      <c r="L163" t="s">
        <v>4716</v>
      </c>
      <c r="M163" s="3">
        <v>44742</v>
      </c>
      <c r="N163" s="1" t="s">
        <v>35</v>
      </c>
      <c r="O163" s="1"/>
      <c r="P163" s="14" t="s">
        <v>7006</v>
      </c>
      <c r="Q163" s="187">
        <v>100</v>
      </c>
      <c r="R163" s="1">
        <v>1</v>
      </c>
      <c r="S163" s="128">
        <v>0.21</v>
      </c>
      <c r="T163" s="128">
        <v>0</v>
      </c>
      <c r="U163" s="209"/>
      <c r="V163" s="95">
        <f t="shared" si="5"/>
        <v>121</v>
      </c>
      <c r="W163" s="343" t="s">
        <v>5204</v>
      </c>
      <c r="Y163" s="211">
        <v>27030</v>
      </c>
      <c r="Z163" s="2">
        <v>44687</v>
      </c>
      <c r="AA163" s="284" t="s">
        <v>3317</v>
      </c>
      <c r="AB163" s="3">
        <v>44712</v>
      </c>
      <c r="AC163" s="80" t="s">
        <v>1339</v>
      </c>
      <c r="AF163" t="s">
        <v>3198</v>
      </c>
      <c r="AI163"/>
      <c r="AJ163" s="1"/>
      <c r="AL163"/>
      <c r="AM163" s="8"/>
      <c r="AS163"/>
      <c r="AT163" s="1"/>
    </row>
    <row r="164" spans="1:46">
      <c r="A164" s="1">
        <v>161</v>
      </c>
      <c r="B164" t="s">
        <v>4715</v>
      </c>
      <c r="C164" s="2">
        <v>44687</v>
      </c>
      <c r="D164" s="1" t="s">
        <v>4716</v>
      </c>
      <c r="E164" s="1"/>
      <c r="F164" t="s">
        <v>5191</v>
      </c>
      <c r="G164" s="61" t="s">
        <v>5192</v>
      </c>
      <c r="H164" s="6" t="s">
        <v>236</v>
      </c>
      <c r="I164" s="1" t="s">
        <v>34</v>
      </c>
      <c r="K164" s="8" t="s">
        <v>7002</v>
      </c>
      <c r="L164" t="s">
        <v>4716</v>
      </c>
      <c r="M164" s="3">
        <v>44742</v>
      </c>
      <c r="N164" s="1" t="s">
        <v>35</v>
      </c>
      <c r="O164" s="1"/>
      <c r="P164" s="14" t="s">
        <v>7007</v>
      </c>
      <c r="Q164" s="187">
        <v>100</v>
      </c>
      <c r="R164" s="1">
        <v>1</v>
      </c>
      <c r="S164" s="128">
        <v>0.21</v>
      </c>
      <c r="T164" s="128">
        <v>0</v>
      </c>
      <c r="U164" s="209"/>
      <c r="V164" s="95">
        <f t="shared" si="5"/>
        <v>121</v>
      </c>
      <c r="W164" s="343" t="s">
        <v>5205</v>
      </c>
      <c r="Y164" s="211">
        <v>29952</v>
      </c>
      <c r="Z164" s="2">
        <v>44687</v>
      </c>
      <c r="AA164" s="284" t="s">
        <v>3317</v>
      </c>
      <c r="AB164" s="3">
        <v>44712</v>
      </c>
      <c r="AC164" s="80" t="s">
        <v>1339</v>
      </c>
      <c r="AF164" t="s">
        <v>3198</v>
      </c>
      <c r="AI164"/>
      <c r="AJ164" s="1"/>
      <c r="AL164"/>
      <c r="AM164" s="8"/>
      <c r="AS164"/>
      <c r="AT164" s="1"/>
    </row>
    <row r="165" spans="1:46">
      <c r="A165" s="1">
        <v>162</v>
      </c>
      <c r="B165" t="s">
        <v>4715</v>
      </c>
      <c r="C165" s="2">
        <v>44687</v>
      </c>
      <c r="D165" s="1" t="s">
        <v>4716</v>
      </c>
      <c r="E165" s="1"/>
      <c r="F165" t="s">
        <v>5191</v>
      </c>
      <c r="G165" s="61" t="s">
        <v>5192</v>
      </c>
      <c r="H165" s="6" t="s">
        <v>236</v>
      </c>
      <c r="I165" s="1" t="s">
        <v>34</v>
      </c>
      <c r="K165" s="8" t="s">
        <v>7002</v>
      </c>
      <c r="L165" t="s">
        <v>4716</v>
      </c>
      <c r="M165" s="3">
        <v>44742</v>
      </c>
      <c r="N165" s="1" t="s">
        <v>35</v>
      </c>
      <c r="O165" s="1"/>
      <c r="P165" s="14" t="s">
        <v>7008</v>
      </c>
      <c r="Q165" s="187">
        <v>100</v>
      </c>
      <c r="R165" s="1">
        <v>1</v>
      </c>
      <c r="S165" s="128">
        <v>0.21</v>
      </c>
      <c r="T165" s="128">
        <v>0</v>
      </c>
      <c r="U165" s="209"/>
      <c r="V165" s="95">
        <f t="shared" si="5"/>
        <v>121</v>
      </c>
      <c r="W165" s="343" t="s">
        <v>5206</v>
      </c>
      <c r="Y165" s="211">
        <v>27030</v>
      </c>
      <c r="Z165" s="2">
        <v>44687</v>
      </c>
      <c r="AA165" s="284" t="s">
        <v>3317</v>
      </c>
      <c r="AB165" s="3">
        <v>44712</v>
      </c>
      <c r="AC165" s="80" t="s">
        <v>1339</v>
      </c>
      <c r="AF165" t="s">
        <v>3198</v>
      </c>
      <c r="AI165"/>
      <c r="AJ165" s="1"/>
      <c r="AL165"/>
      <c r="AM165" s="8"/>
      <c r="AS165"/>
      <c r="AT165" s="1"/>
    </row>
    <row r="166" spans="1:46">
      <c r="A166" s="1">
        <v>163</v>
      </c>
      <c r="B166" t="s">
        <v>4715</v>
      </c>
      <c r="C166" s="2">
        <v>44687</v>
      </c>
      <c r="D166" s="1" t="s">
        <v>4716</v>
      </c>
      <c r="E166" s="1"/>
      <c r="F166" t="s">
        <v>5191</v>
      </c>
      <c r="G166" s="61" t="s">
        <v>5192</v>
      </c>
      <c r="H166" s="6" t="s">
        <v>236</v>
      </c>
      <c r="I166" s="1" t="s">
        <v>34</v>
      </c>
      <c r="K166" s="8" t="s">
        <v>7002</v>
      </c>
      <c r="L166" t="s">
        <v>4716</v>
      </c>
      <c r="M166" s="3">
        <v>44742</v>
      </c>
      <c r="N166" s="1" t="s">
        <v>35</v>
      </c>
      <c r="O166" s="1"/>
      <c r="P166" s="14" t="s">
        <v>7009</v>
      </c>
      <c r="Q166" s="187">
        <v>100</v>
      </c>
      <c r="R166" s="1">
        <v>1</v>
      </c>
      <c r="S166" s="128">
        <v>0.21</v>
      </c>
      <c r="T166" s="128">
        <v>0</v>
      </c>
      <c r="U166" s="209"/>
      <c r="V166" s="95">
        <f t="shared" si="5"/>
        <v>121</v>
      </c>
      <c r="W166" s="343" t="s">
        <v>5207</v>
      </c>
      <c r="Y166" s="211">
        <v>29689</v>
      </c>
      <c r="Z166" s="2">
        <v>44687</v>
      </c>
      <c r="AA166" s="284" t="s">
        <v>3317</v>
      </c>
      <c r="AB166" s="3">
        <v>44712</v>
      </c>
      <c r="AC166" s="80" t="s">
        <v>1339</v>
      </c>
      <c r="AF166" t="s">
        <v>3198</v>
      </c>
      <c r="AI166"/>
      <c r="AJ166" s="1"/>
      <c r="AL166"/>
      <c r="AM166" s="8"/>
      <c r="AS166"/>
      <c r="AT166" s="1"/>
    </row>
    <row r="167" spans="1:46">
      <c r="A167" s="1">
        <v>164</v>
      </c>
      <c r="B167" t="s">
        <v>4715</v>
      </c>
      <c r="C167" s="2">
        <v>44687</v>
      </c>
      <c r="D167" s="1" t="s">
        <v>4716</v>
      </c>
      <c r="E167" s="1"/>
      <c r="F167" t="s">
        <v>5191</v>
      </c>
      <c r="G167" s="61" t="s">
        <v>5192</v>
      </c>
      <c r="H167" s="6" t="s">
        <v>236</v>
      </c>
      <c r="I167" s="1" t="s">
        <v>34</v>
      </c>
      <c r="K167" s="8" t="s">
        <v>7002</v>
      </c>
      <c r="L167" t="s">
        <v>4716</v>
      </c>
      <c r="M167" s="3">
        <v>44742</v>
      </c>
      <c r="N167" s="1" t="s">
        <v>35</v>
      </c>
      <c r="O167" s="1"/>
      <c r="P167" s="14" t="s">
        <v>7010</v>
      </c>
      <c r="Q167" s="187">
        <v>100</v>
      </c>
      <c r="R167" s="1">
        <v>1</v>
      </c>
      <c r="S167" s="128">
        <v>0.21</v>
      </c>
      <c r="T167" s="128">
        <v>0</v>
      </c>
      <c r="U167" s="209"/>
      <c r="V167" s="95">
        <f t="shared" si="5"/>
        <v>121</v>
      </c>
      <c r="W167" s="343" t="s">
        <v>5208</v>
      </c>
      <c r="Y167" s="211">
        <v>31140</v>
      </c>
      <c r="Z167" s="2">
        <v>44687</v>
      </c>
      <c r="AA167" s="284" t="s">
        <v>3317</v>
      </c>
      <c r="AB167" s="3">
        <v>44712</v>
      </c>
      <c r="AC167" s="80" t="s">
        <v>1339</v>
      </c>
      <c r="AF167" t="s">
        <v>3198</v>
      </c>
      <c r="AI167"/>
      <c r="AJ167" s="1"/>
      <c r="AL167"/>
      <c r="AM167" s="8"/>
      <c r="AS167"/>
      <c r="AT167" s="1"/>
    </row>
    <row r="168" spans="1:46">
      <c r="A168" s="1">
        <v>165</v>
      </c>
      <c r="B168" t="s">
        <v>4715</v>
      </c>
      <c r="C168" s="2">
        <v>44687</v>
      </c>
      <c r="D168" s="1" t="s">
        <v>4716</v>
      </c>
      <c r="E168" s="1"/>
      <c r="F168" t="s">
        <v>5191</v>
      </c>
      <c r="G168" s="61" t="s">
        <v>5192</v>
      </c>
      <c r="H168" s="6" t="s">
        <v>236</v>
      </c>
      <c r="I168" s="1" t="s">
        <v>34</v>
      </c>
      <c r="K168" s="8" t="s">
        <v>7002</v>
      </c>
      <c r="L168" t="s">
        <v>4716</v>
      </c>
      <c r="M168" s="3">
        <v>44742</v>
      </c>
      <c r="N168" s="1" t="s">
        <v>35</v>
      </c>
      <c r="O168" s="1"/>
      <c r="P168" s="14" t="s">
        <v>7011</v>
      </c>
      <c r="Q168" s="187">
        <v>100</v>
      </c>
      <c r="R168" s="1">
        <v>1</v>
      </c>
      <c r="S168" s="128">
        <v>0.21</v>
      </c>
      <c r="T168" s="128">
        <v>0</v>
      </c>
      <c r="U168" s="209"/>
      <c r="V168" s="95">
        <f t="shared" si="5"/>
        <v>121</v>
      </c>
      <c r="W168" s="343" t="s">
        <v>7013</v>
      </c>
      <c r="Y168" s="210">
        <v>29888</v>
      </c>
      <c r="Z168" s="2">
        <v>44687</v>
      </c>
      <c r="AA168" s="284" t="s">
        <v>3317</v>
      </c>
      <c r="AB168" s="3">
        <v>44712</v>
      </c>
      <c r="AC168" s="80" t="s">
        <v>1339</v>
      </c>
      <c r="AF168" t="s">
        <v>3198</v>
      </c>
      <c r="AI168"/>
      <c r="AJ168" s="1"/>
      <c r="AL168"/>
      <c r="AM168" s="8"/>
      <c r="AS168"/>
      <c r="AT168" s="1"/>
    </row>
    <row r="169" spans="1:46">
      <c r="A169" s="1">
        <v>166</v>
      </c>
      <c r="B169" t="s">
        <v>4715</v>
      </c>
      <c r="C169" s="2">
        <v>44687</v>
      </c>
      <c r="D169" s="1" t="s">
        <v>4716</v>
      </c>
      <c r="E169" s="1"/>
      <c r="F169" t="s">
        <v>5191</v>
      </c>
      <c r="G169" s="61" t="s">
        <v>5192</v>
      </c>
      <c r="H169" s="6" t="s">
        <v>236</v>
      </c>
      <c r="I169" s="1" t="s">
        <v>34</v>
      </c>
      <c r="K169" s="8" t="s">
        <v>7002</v>
      </c>
      <c r="L169" t="s">
        <v>4716</v>
      </c>
      <c r="M169" s="3">
        <v>44742</v>
      </c>
      <c r="N169" s="1" t="s">
        <v>35</v>
      </c>
      <c r="O169" s="1"/>
      <c r="P169" s="14" t="s">
        <v>7012</v>
      </c>
      <c r="Q169" s="187">
        <v>100</v>
      </c>
      <c r="R169" s="1">
        <v>1</v>
      </c>
      <c r="S169" s="128">
        <v>0.21</v>
      </c>
      <c r="T169" s="128">
        <v>0</v>
      </c>
      <c r="U169" s="209"/>
      <c r="V169" s="95">
        <f t="shared" si="5"/>
        <v>121</v>
      </c>
      <c r="W169" s="343" t="s">
        <v>7014</v>
      </c>
      <c r="Y169" s="210">
        <v>27038</v>
      </c>
      <c r="Z169" s="2">
        <v>44687</v>
      </c>
      <c r="AA169" s="284" t="s">
        <v>3317</v>
      </c>
      <c r="AB169" s="3">
        <v>44712</v>
      </c>
      <c r="AC169" s="80" t="s">
        <v>1339</v>
      </c>
      <c r="AF169" t="s">
        <v>3198</v>
      </c>
      <c r="AI169"/>
      <c r="AJ169" s="1"/>
      <c r="AL169"/>
      <c r="AM169" s="8"/>
      <c r="AS169"/>
      <c r="AT169" s="1"/>
    </row>
    <row r="170" spans="1:46">
      <c r="A170" s="1">
        <v>167</v>
      </c>
      <c r="B170" t="s">
        <v>4321</v>
      </c>
      <c r="C170" s="2">
        <v>44718</v>
      </c>
      <c r="D170" s="1" t="s">
        <v>6961</v>
      </c>
      <c r="E170" s="1"/>
      <c r="F170" t="s">
        <v>6962</v>
      </c>
      <c r="G170" s="61" t="s">
        <v>6982</v>
      </c>
      <c r="H170" s="6" t="s">
        <v>226</v>
      </c>
      <c r="I170" s="1" t="s">
        <v>3118</v>
      </c>
      <c r="K170" s="8" t="s">
        <v>5991</v>
      </c>
      <c r="L170" t="s">
        <v>6961</v>
      </c>
      <c r="M170" s="3">
        <v>44742</v>
      </c>
      <c r="N170" s="1" t="s">
        <v>35</v>
      </c>
      <c r="O170" s="1"/>
      <c r="P170" s="14" t="s">
        <v>7097</v>
      </c>
      <c r="Q170" s="187">
        <v>125</v>
      </c>
      <c r="R170" s="1">
        <v>1</v>
      </c>
      <c r="S170" s="128">
        <v>0.21</v>
      </c>
      <c r="T170" s="128">
        <v>0.2</v>
      </c>
      <c r="V170" s="95">
        <f t="shared" ref="V170:V201" si="6">SUM(Q170-(Q170*T170))*S170+(Q170-(Q170*T170))</f>
        <v>121</v>
      </c>
      <c r="W170" t="s">
        <v>7096</v>
      </c>
      <c r="X170" s="6" t="s">
        <v>7095</v>
      </c>
      <c r="Y170" s="2">
        <v>34515</v>
      </c>
      <c r="Z170" s="2">
        <v>44718</v>
      </c>
      <c r="AA170" s="285" t="s">
        <v>7562</v>
      </c>
      <c r="AB170" s="3">
        <v>44860</v>
      </c>
      <c r="AC170" s="80" t="s">
        <v>1339</v>
      </c>
      <c r="AD170" t="s">
        <v>7563</v>
      </c>
      <c r="AE170" s="309">
        <v>44799</v>
      </c>
      <c r="AF170" t="s">
        <v>3198</v>
      </c>
      <c r="AI170" t="s">
        <v>3221</v>
      </c>
      <c r="AJ170" s="1"/>
      <c r="AL170"/>
      <c r="AM170" s="8"/>
      <c r="AS170"/>
      <c r="AT170" s="1"/>
    </row>
    <row r="171" spans="1:46">
      <c r="A171" s="1">
        <v>168</v>
      </c>
      <c r="B171" t="s">
        <v>3526</v>
      </c>
      <c r="C171" s="2">
        <v>44719</v>
      </c>
      <c r="D171" s="1" t="s">
        <v>2733</v>
      </c>
      <c r="E171" s="1"/>
      <c r="F171" t="s">
        <v>2734</v>
      </c>
      <c r="G171" s="61" t="s">
        <v>5885</v>
      </c>
      <c r="H171" s="6" t="s">
        <v>294</v>
      </c>
      <c r="I171" s="1" t="s">
        <v>103</v>
      </c>
      <c r="J171" s="295">
        <v>667652994</v>
      </c>
      <c r="K171" s="304" t="s">
        <v>5887</v>
      </c>
      <c r="L171" t="s">
        <v>2733</v>
      </c>
      <c r="M171" s="3">
        <v>44742</v>
      </c>
      <c r="N171" s="1" t="s">
        <v>35</v>
      </c>
      <c r="O171" s="1"/>
      <c r="P171" s="14" t="s">
        <v>5886</v>
      </c>
      <c r="Q171" s="187">
        <v>125</v>
      </c>
      <c r="R171" s="1">
        <v>1</v>
      </c>
      <c r="S171" s="90">
        <v>0.21</v>
      </c>
      <c r="T171" s="90">
        <v>0.2</v>
      </c>
      <c r="V171" s="95">
        <f t="shared" si="6"/>
        <v>121</v>
      </c>
      <c r="W171" t="s">
        <v>5959</v>
      </c>
      <c r="X171" s="6" t="s">
        <v>7072</v>
      </c>
      <c r="Y171" s="2">
        <v>32239</v>
      </c>
      <c r="Z171" s="2">
        <v>44719</v>
      </c>
      <c r="AA171" s="284" t="s">
        <v>7510</v>
      </c>
      <c r="AB171" s="3">
        <v>44861</v>
      </c>
      <c r="AC171" s="80" t="s">
        <v>1339</v>
      </c>
      <c r="AE171" s="162">
        <v>44778</v>
      </c>
      <c r="AF171" t="s">
        <v>3198</v>
      </c>
      <c r="AI171" t="s">
        <v>3221</v>
      </c>
      <c r="AJ171" s="2">
        <v>44729</v>
      </c>
      <c r="AK171" s="76" t="s">
        <v>7089</v>
      </c>
      <c r="AL171"/>
      <c r="AM171" s="74">
        <v>44749</v>
      </c>
      <c r="AS171"/>
      <c r="AT171" s="1"/>
    </row>
    <row r="172" spans="1:46" ht="14.25" customHeight="1">
      <c r="A172" s="1">
        <v>169</v>
      </c>
      <c r="B172" t="s">
        <v>1414</v>
      </c>
      <c r="C172" s="2">
        <v>44719</v>
      </c>
      <c r="D172" s="1" t="s">
        <v>2963</v>
      </c>
      <c r="E172" s="1"/>
      <c r="F172" s="14" t="s">
        <v>2964</v>
      </c>
      <c r="G172" t="s">
        <v>2115</v>
      </c>
      <c r="H172" s="6" t="s">
        <v>230</v>
      </c>
      <c r="I172" s="1" t="s">
        <v>1262</v>
      </c>
      <c r="J172" s="8">
        <v>661982041</v>
      </c>
      <c r="K172" s="8" t="s">
        <v>6192</v>
      </c>
      <c r="L172" t="s">
        <v>2963</v>
      </c>
      <c r="M172" s="3">
        <v>44742</v>
      </c>
      <c r="N172" s="1" t="s">
        <v>35</v>
      </c>
      <c r="O172" s="1"/>
      <c r="P172" s="14" t="s">
        <v>6184</v>
      </c>
      <c r="Q172" s="187">
        <v>125</v>
      </c>
      <c r="R172" s="1">
        <v>1</v>
      </c>
      <c r="S172" s="90">
        <v>0.21</v>
      </c>
      <c r="T172" s="90">
        <v>0.2</v>
      </c>
      <c r="V172" s="95">
        <f t="shared" si="6"/>
        <v>121</v>
      </c>
      <c r="W172" t="s">
        <v>6282</v>
      </c>
      <c r="X172" s="6" t="s">
        <v>7091</v>
      </c>
      <c r="Y172" s="2">
        <v>37457</v>
      </c>
      <c r="Z172" s="2">
        <v>44719</v>
      </c>
      <c r="AA172" s="284" t="s">
        <v>7182</v>
      </c>
      <c r="AB172" s="3">
        <v>44762</v>
      </c>
      <c r="AC172" s="80" t="s">
        <v>1339</v>
      </c>
      <c r="AF172" t="s">
        <v>3198</v>
      </c>
      <c r="AI172" t="s">
        <v>7016</v>
      </c>
      <c r="AJ172" s="3">
        <v>44740</v>
      </c>
      <c r="AL172"/>
      <c r="AM172" s="74">
        <v>44747</v>
      </c>
      <c r="AS172"/>
      <c r="AT172" s="1"/>
    </row>
    <row r="173" spans="1:46">
      <c r="A173" s="1">
        <v>170</v>
      </c>
      <c r="B173" t="s">
        <v>7036</v>
      </c>
      <c r="C173" s="2">
        <v>44721</v>
      </c>
      <c r="D173" s="1" t="s">
        <v>6375</v>
      </c>
      <c r="E173" s="1"/>
      <c r="F173" t="s">
        <v>6376</v>
      </c>
      <c r="G173" s="61" t="s">
        <v>6377</v>
      </c>
      <c r="H173" s="6" t="s">
        <v>294</v>
      </c>
      <c r="I173" s="1" t="s">
        <v>103</v>
      </c>
      <c r="J173" s="8">
        <v>660744167</v>
      </c>
      <c r="K173" s="8" t="s">
        <v>6332</v>
      </c>
      <c r="L173" t="s">
        <v>6375</v>
      </c>
      <c r="M173" s="3">
        <v>44742</v>
      </c>
      <c r="N173" s="1" t="s">
        <v>35</v>
      </c>
      <c r="O173" s="1"/>
      <c r="P173" s="14" t="s">
        <v>7037</v>
      </c>
      <c r="Q173" s="187">
        <v>125</v>
      </c>
      <c r="R173" s="1">
        <v>1</v>
      </c>
      <c r="S173" s="128">
        <v>0.21</v>
      </c>
      <c r="T173" s="128">
        <v>0.2</v>
      </c>
      <c r="U173" s="209"/>
      <c r="V173" s="95">
        <f t="shared" si="6"/>
        <v>121</v>
      </c>
      <c r="W173" s="343" t="s">
        <v>7093</v>
      </c>
      <c r="X173" s="6" t="s">
        <v>7094</v>
      </c>
      <c r="Y173" s="211">
        <v>36937</v>
      </c>
      <c r="Z173" s="2">
        <v>44721</v>
      </c>
      <c r="AA173" s="284" t="s">
        <v>7459</v>
      </c>
      <c r="AB173" s="3">
        <v>44845</v>
      </c>
      <c r="AC173" s="80" t="s">
        <v>1339</v>
      </c>
      <c r="AF173" t="s">
        <v>3198</v>
      </c>
      <c r="AI173" t="s">
        <v>3108</v>
      </c>
      <c r="AJ173" s="3">
        <v>44740</v>
      </c>
      <c r="AL173"/>
      <c r="AM173" s="74">
        <v>44742</v>
      </c>
      <c r="AS173"/>
      <c r="AT173" s="1"/>
    </row>
    <row r="174" spans="1:46">
      <c r="A174" s="1">
        <v>171</v>
      </c>
      <c r="B174" t="s">
        <v>111</v>
      </c>
      <c r="C174" s="2">
        <v>44721</v>
      </c>
      <c r="D174" s="1" t="s">
        <v>462</v>
      </c>
      <c r="E174" s="1"/>
      <c r="F174" t="s">
        <v>463</v>
      </c>
      <c r="G174" t="s">
        <v>4657</v>
      </c>
      <c r="H174" s="6" t="s">
        <v>221</v>
      </c>
      <c r="I174" s="1" t="s">
        <v>34</v>
      </c>
      <c r="J174" s="8">
        <v>605914210</v>
      </c>
      <c r="K174" s="8"/>
      <c r="L174" t="s">
        <v>462</v>
      </c>
      <c r="M174" s="3">
        <v>44742</v>
      </c>
      <c r="N174" s="1" t="s">
        <v>35</v>
      </c>
      <c r="O174" s="1"/>
      <c r="P174" s="14" t="s">
        <v>4658</v>
      </c>
      <c r="Q174" s="187">
        <v>125</v>
      </c>
      <c r="R174" s="1">
        <v>1</v>
      </c>
      <c r="S174" s="128">
        <v>0.21</v>
      </c>
      <c r="T174" s="128">
        <v>0.2</v>
      </c>
      <c r="V174" s="95">
        <f t="shared" si="6"/>
        <v>121</v>
      </c>
      <c r="W174" t="s">
        <v>4875</v>
      </c>
      <c r="X174" s="6" t="s">
        <v>7092</v>
      </c>
      <c r="Y174" s="2">
        <v>30218</v>
      </c>
      <c r="Z174" s="2">
        <v>44721</v>
      </c>
      <c r="AA174" s="284" t="s">
        <v>7459</v>
      </c>
      <c r="AB174" s="3">
        <v>44845</v>
      </c>
      <c r="AC174" s="80" t="s">
        <v>1339</v>
      </c>
      <c r="AD174" s="1"/>
      <c r="AF174" t="s">
        <v>3198</v>
      </c>
      <c r="AI174" t="s">
        <v>3108</v>
      </c>
      <c r="AJ174" s="2">
        <v>44789</v>
      </c>
      <c r="AL174"/>
      <c r="AM174" s="74">
        <v>44789</v>
      </c>
      <c r="AS174"/>
      <c r="AT174" s="1"/>
    </row>
    <row r="175" spans="1:46">
      <c r="A175" s="1">
        <v>172</v>
      </c>
      <c r="B175" t="s">
        <v>37</v>
      </c>
      <c r="C175" s="2">
        <v>44725</v>
      </c>
      <c r="D175" s="1" t="s">
        <v>5115</v>
      </c>
      <c r="E175" s="1"/>
      <c r="F175" t="s">
        <v>5116</v>
      </c>
      <c r="G175" s="61" t="s">
        <v>5117</v>
      </c>
      <c r="H175" s="6" t="s">
        <v>1257</v>
      </c>
      <c r="I175" s="1" t="s">
        <v>1266</v>
      </c>
      <c r="J175" s="8">
        <v>652280489</v>
      </c>
      <c r="K175" s="8"/>
      <c r="L175" t="s">
        <v>5115</v>
      </c>
      <c r="M175" s="3">
        <v>44742</v>
      </c>
      <c r="N175" s="1" t="s">
        <v>35</v>
      </c>
      <c r="O175" s="1"/>
      <c r="P175" s="14" t="s">
        <v>6354</v>
      </c>
      <c r="Q175" s="187">
        <v>125</v>
      </c>
      <c r="R175" s="1">
        <v>1</v>
      </c>
      <c r="S175" s="90">
        <v>0.21</v>
      </c>
      <c r="T175" s="90">
        <v>0.2</v>
      </c>
      <c r="V175" s="95">
        <f t="shared" si="6"/>
        <v>121</v>
      </c>
      <c r="W175" t="s">
        <v>6498</v>
      </c>
      <c r="X175" s="6" t="s">
        <v>7099</v>
      </c>
      <c r="Y175" s="2">
        <v>44442</v>
      </c>
      <c r="Z175" s="2">
        <v>44725</v>
      </c>
      <c r="AA175" s="284" t="s">
        <v>7354</v>
      </c>
      <c r="AB175" s="3">
        <v>44825</v>
      </c>
      <c r="AC175" s="80" t="s">
        <v>1339</v>
      </c>
      <c r="AF175" t="s">
        <v>3198</v>
      </c>
      <c r="AI175" t="s">
        <v>7049</v>
      </c>
      <c r="AJ175" s="2">
        <v>44739</v>
      </c>
      <c r="AL175"/>
      <c r="AM175" s="74">
        <v>44741</v>
      </c>
      <c r="AS175"/>
      <c r="AT175" s="1"/>
    </row>
    <row r="176" spans="1:46">
      <c r="A176" s="1">
        <v>173</v>
      </c>
      <c r="B176" t="s">
        <v>37</v>
      </c>
      <c r="C176" s="2">
        <v>44726</v>
      </c>
      <c r="D176" t="s">
        <v>7111</v>
      </c>
      <c r="F176" t="s">
        <v>7051</v>
      </c>
      <c r="G176" s="61" t="s">
        <v>7052</v>
      </c>
      <c r="H176" s="6" t="s">
        <v>219</v>
      </c>
      <c r="I176" s="1" t="s">
        <v>38</v>
      </c>
      <c r="J176" s="8">
        <v>631458682</v>
      </c>
      <c r="K176" s="8"/>
      <c r="L176" t="s">
        <v>7111</v>
      </c>
      <c r="M176" s="3">
        <v>44742</v>
      </c>
      <c r="N176" s="1" t="s">
        <v>35</v>
      </c>
      <c r="O176" s="1"/>
      <c r="P176" s="14" t="s">
        <v>7053</v>
      </c>
      <c r="Q176" s="187">
        <v>125</v>
      </c>
      <c r="R176" s="1">
        <v>1</v>
      </c>
      <c r="S176" s="128">
        <v>0.21</v>
      </c>
      <c r="T176" s="128">
        <v>0</v>
      </c>
      <c r="V176" s="95">
        <f t="shared" si="6"/>
        <v>151.25</v>
      </c>
      <c r="W176" t="s">
        <v>7111</v>
      </c>
      <c r="X176" s="6" t="s">
        <v>7112</v>
      </c>
      <c r="Y176" s="2">
        <v>35796</v>
      </c>
      <c r="Z176" s="2">
        <v>44726</v>
      </c>
      <c r="AA176" s="284" t="s">
        <v>7423</v>
      </c>
      <c r="AB176" s="3">
        <v>44838</v>
      </c>
      <c r="AC176" s="80" t="s">
        <v>1339</v>
      </c>
      <c r="AF176" t="s">
        <v>3198</v>
      </c>
      <c r="AI176" t="s">
        <v>3108</v>
      </c>
      <c r="AJ176" s="2">
        <v>44741</v>
      </c>
      <c r="AL176"/>
      <c r="AM176" s="74">
        <v>44834</v>
      </c>
      <c r="AS176"/>
      <c r="AT176" s="1"/>
    </row>
    <row r="177" spans="1:46">
      <c r="A177" s="1">
        <v>174</v>
      </c>
      <c r="B177" s="61" t="s">
        <v>37</v>
      </c>
      <c r="C177" s="2">
        <v>44726</v>
      </c>
      <c r="D177" s="1" t="s">
        <v>7054</v>
      </c>
      <c r="E177" s="1"/>
      <c r="F177" t="s">
        <v>7055</v>
      </c>
      <c r="G177" s="61" t="s">
        <v>7056</v>
      </c>
      <c r="H177" s="6" t="s">
        <v>221</v>
      </c>
      <c r="I177" s="1" t="s">
        <v>34</v>
      </c>
      <c r="J177" s="8">
        <v>632885957</v>
      </c>
      <c r="K177" s="8"/>
      <c r="L177" t="s">
        <v>7054</v>
      </c>
      <c r="M177" s="3">
        <v>44742</v>
      </c>
      <c r="N177" s="1" t="s">
        <v>35</v>
      </c>
      <c r="O177" s="1"/>
      <c r="P177" s="14" t="s">
        <v>7057</v>
      </c>
      <c r="Q177" s="187">
        <v>125</v>
      </c>
      <c r="R177" s="1">
        <v>1</v>
      </c>
      <c r="S177" s="128">
        <v>0.21</v>
      </c>
      <c r="T177" s="128">
        <v>0</v>
      </c>
      <c r="V177" s="95">
        <f t="shared" si="6"/>
        <v>151.25</v>
      </c>
      <c r="W177" t="s">
        <v>7133</v>
      </c>
      <c r="X177" s="6" t="s">
        <v>7134</v>
      </c>
      <c r="Y177" s="2">
        <v>38416</v>
      </c>
      <c r="Z177" s="2">
        <v>44726</v>
      </c>
      <c r="AA177" s="285" t="s">
        <v>7296</v>
      </c>
      <c r="AB177" s="3">
        <v>44809</v>
      </c>
      <c r="AC177" s="80" t="s">
        <v>1339</v>
      </c>
      <c r="AF177" t="s">
        <v>3198</v>
      </c>
      <c r="AI177" t="s">
        <v>5757</v>
      </c>
      <c r="AJ177" s="2">
        <v>44747</v>
      </c>
      <c r="AK177" s="76" t="s">
        <v>7145</v>
      </c>
      <c r="AL177"/>
      <c r="AM177" s="74">
        <v>44749</v>
      </c>
      <c r="AS177"/>
      <c r="AT177" s="1"/>
    </row>
    <row r="178" spans="1:46">
      <c r="A178" s="1">
        <v>175</v>
      </c>
      <c r="B178" t="s">
        <v>33</v>
      </c>
      <c r="C178" s="2">
        <v>44726</v>
      </c>
      <c r="D178" s="1" t="s">
        <v>3327</v>
      </c>
      <c r="E178" s="1"/>
      <c r="F178" t="s">
        <v>3328</v>
      </c>
      <c r="G178" t="s">
        <v>3329</v>
      </c>
      <c r="H178" s="6" t="s">
        <v>304</v>
      </c>
      <c r="I178" s="1" t="s">
        <v>68</v>
      </c>
      <c r="K178" t="s">
        <v>8186</v>
      </c>
      <c r="L178" s="31" t="s">
        <v>237</v>
      </c>
      <c r="M178" s="3">
        <v>44742</v>
      </c>
      <c r="N178" s="1" t="s">
        <v>35</v>
      </c>
      <c r="O178" s="1"/>
      <c r="P178" s="14" t="s">
        <v>7058</v>
      </c>
      <c r="Q178" s="187">
        <v>125</v>
      </c>
      <c r="R178" s="1">
        <v>1</v>
      </c>
      <c r="S178" s="90">
        <v>0.21</v>
      </c>
      <c r="T178" s="90">
        <v>0.2</v>
      </c>
      <c r="V178" s="95">
        <f t="shared" si="6"/>
        <v>121</v>
      </c>
      <c r="W178" t="s">
        <v>7113</v>
      </c>
      <c r="X178" s="6" t="s">
        <v>7114</v>
      </c>
      <c r="Y178" s="2">
        <v>32840</v>
      </c>
      <c r="Z178" s="2">
        <v>44726</v>
      </c>
      <c r="AA178" s="284" t="s">
        <v>7423</v>
      </c>
      <c r="AB178" s="3" t="s">
        <v>7426</v>
      </c>
      <c r="AC178" s="80" t="s">
        <v>1339</v>
      </c>
      <c r="AF178" t="s">
        <v>3198</v>
      </c>
      <c r="AI178" t="s">
        <v>3108</v>
      </c>
      <c r="AJ178" s="2">
        <v>44741</v>
      </c>
      <c r="AL178"/>
      <c r="AM178" s="74">
        <v>44753</v>
      </c>
      <c r="AS178"/>
      <c r="AT178" s="1"/>
    </row>
    <row r="179" spans="1:46">
      <c r="A179" s="1">
        <v>176</v>
      </c>
      <c r="B179" t="s">
        <v>423</v>
      </c>
      <c r="C179" s="2">
        <v>44726</v>
      </c>
      <c r="D179" t="s">
        <v>3217</v>
      </c>
      <c r="F179" t="s">
        <v>91</v>
      </c>
      <c r="G179" t="s">
        <v>3218</v>
      </c>
      <c r="H179" s="6" t="s">
        <v>219</v>
      </c>
      <c r="I179" s="1" t="s">
        <v>38</v>
      </c>
      <c r="J179" s="8">
        <v>629562761</v>
      </c>
      <c r="K179" s="8" t="s">
        <v>6182</v>
      </c>
      <c r="L179" t="s">
        <v>3217</v>
      </c>
      <c r="M179" s="3">
        <v>44742</v>
      </c>
      <c r="N179" s="1" t="s">
        <v>35</v>
      </c>
      <c r="O179" s="1"/>
      <c r="P179" s="14" t="s">
        <v>7059</v>
      </c>
      <c r="Q179" s="187">
        <v>125</v>
      </c>
      <c r="R179" s="1">
        <v>1</v>
      </c>
      <c r="S179" s="90">
        <v>0.21</v>
      </c>
      <c r="T179" s="90">
        <v>0.2</v>
      </c>
      <c r="V179" s="95">
        <f t="shared" si="6"/>
        <v>121</v>
      </c>
      <c r="W179" t="s">
        <v>7060</v>
      </c>
      <c r="X179" s="6" t="s">
        <v>7135</v>
      </c>
      <c r="Y179" s="2">
        <v>33001</v>
      </c>
      <c r="Z179" s="2">
        <v>44726</v>
      </c>
      <c r="AA179" s="285" t="s">
        <v>7671</v>
      </c>
      <c r="AB179" s="3">
        <v>44886</v>
      </c>
      <c r="AC179" s="80" t="s">
        <v>1339</v>
      </c>
      <c r="AE179" s="292">
        <v>44830</v>
      </c>
      <c r="AF179" t="s">
        <v>3198</v>
      </c>
      <c r="AI179"/>
      <c r="AJ179" s="2"/>
      <c r="AL179"/>
      <c r="AM179" s="74"/>
      <c r="AS179"/>
      <c r="AT179" s="1"/>
    </row>
    <row r="180" spans="1:46">
      <c r="A180" s="1">
        <v>177</v>
      </c>
      <c r="B180" t="s">
        <v>6873</v>
      </c>
      <c r="C180" s="2">
        <v>44726</v>
      </c>
      <c r="D180" t="s">
        <v>6874</v>
      </c>
      <c r="F180" t="s">
        <v>6875</v>
      </c>
      <c r="G180" t="s">
        <v>6876</v>
      </c>
      <c r="H180" s="6" t="s">
        <v>219</v>
      </c>
      <c r="I180" s="1" t="s">
        <v>38</v>
      </c>
      <c r="J180" s="8">
        <v>622029130</v>
      </c>
      <c r="K180" s="8"/>
      <c r="L180" t="s">
        <v>6874</v>
      </c>
      <c r="M180" s="3">
        <v>44742</v>
      </c>
      <c r="N180" s="1" t="s">
        <v>35</v>
      </c>
      <c r="O180" s="1"/>
      <c r="P180" s="14" t="s">
        <v>7079</v>
      </c>
      <c r="Q180" s="187">
        <v>100</v>
      </c>
      <c r="R180" s="1">
        <v>1</v>
      </c>
      <c r="S180" s="128">
        <v>0.21</v>
      </c>
      <c r="T180" s="128">
        <v>0.2</v>
      </c>
      <c r="V180" s="95">
        <f t="shared" si="6"/>
        <v>96.8</v>
      </c>
      <c r="W180" t="s">
        <v>7064</v>
      </c>
      <c r="X180" s="6" t="s">
        <v>7061</v>
      </c>
      <c r="Y180" s="2">
        <v>20808</v>
      </c>
      <c r="Z180" s="2">
        <v>44726</v>
      </c>
      <c r="AA180" s="285" t="s">
        <v>7286</v>
      </c>
      <c r="AB180" s="3">
        <v>44805</v>
      </c>
      <c r="AC180" s="80" t="s">
        <v>1339</v>
      </c>
      <c r="AE180" s="3"/>
      <c r="AF180" t="s">
        <v>3198</v>
      </c>
      <c r="AI180"/>
      <c r="AJ180" s="1"/>
      <c r="AL180"/>
      <c r="AM180" s="8"/>
      <c r="AS180"/>
      <c r="AT180" s="1"/>
    </row>
    <row r="181" spans="1:46">
      <c r="A181" s="1">
        <v>178</v>
      </c>
      <c r="B181" t="s">
        <v>6873</v>
      </c>
      <c r="C181" s="2">
        <v>44726</v>
      </c>
      <c r="D181" t="s">
        <v>6874</v>
      </c>
      <c r="F181" t="s">
        <v>6875</v>
      </c>
      <c r="G181" t="s">
        <v>6876</v>
      </c>
      <c r="H181" s="6" t="s">
        <v>219</v>
      </c>
      <c r="I181" s="1" t="s">
        <v>38</v>
      </c>
      <c r="J181" s="8">
        <v>622029130</v>
      </c>
      <c r="K181" s="8"/>
      <c r="L181" t="s">
        <v>6874</v>
      </c>
      <c r="M181" s="3">
        <v>44742</v>
      </c>
      <c r="N181" s="1" t="s">
        <v>35</v>
      </c>
      <c r="O181" s="1"/>
      <c r="P181" s="14" t="s">
        <v>7078</v>
      </c>
      <c r="Q181" s="187">
        <v>100</v>
      </c>
      <c r="R181" s="1">
        <v>1</v>
      </c>
      <c r="S181" s="128">
        <v>0.21</v>
      </c>
      <c r="T181" s="128">
        <v>0.2</v>
      </c>
      <c r="V181" s="95">
        <f t="shared" si="6"/>
        <v>96.8</v>
      </c>
      <c r="W181" t="s">
        <v>7063</v>
      </c>
      <c r="X181" s="6" t="s">
        <v>7062</v>
      </c>
      <c r="Y181" s="2">
        <v>37112</v>
      </c>
      <c r="Z181" s="2">
        <v>44726</v>
      </c>
      <c r="AA181" s="287" t="s">
        <v>8272</v>
      </c>
      <c r="AB181" s="3">
        <v>45012</v>
      </c>
      <c r="AC181" s="80" t="s">
        <v>1339</v>
      </c>
      <c r="AF181" t="s">
        <v>3198</v>
      </c>
      <c r="AI181"/>
      <c r="AJ181" s="1"/>
      <c r="AL181"/>
      <c r="AM181" s="8"/>
      <c r="AS181"/>
      <c r="AT181" s="1"/>
    </row>
    <row r="182" spans="1:46" ht="14.25" customHeight="1">
      <c r="A182" s="1">
        <v>179</v>
      </c>
      <c r="B182" s="61" t="s">
        <v>6684</v>
      </c>
      <c r="C182" s="2">
        <v>44727</v>
      </c>
      <c r="D182" t="s">
        <v>6685</v>
      </c>
      <c r="F182" t="s">
        <v>6686</v>
      </c>
      <c r="G182" t="s">
        <v>6687</v>
      </c>
      <c r="H182" s="6" t="s">
        <v>2579</v>
      </c>
      <c r="I182" t="s">
        <v>2580</v>
      </c>
      <c r="K182" s="8" t="s">
        <v>5968</v>
      </c>
      <c r="L182" t="s">
        <v>6685</v>
      </c>
      <c r="M182" s="3">
        <v>44742</v>
      </c>
      <c r="N182" s="1" t="s">
        <v>35</v>
      </c>
      <c r="O182" s="1"/>
      <c r="P182" s="14" t="s">
        <v>7065</v>
      </c>
      <c r="Q182" s="163">
        <v>75</v>
      </c>
      <c r="R182" s="1">
        <v>1</v>
      </c>
      <c r="S182" s="90">
        <v>0.21</v>
      </c>
      <c r="T182" s="90">
        <v>0.2</v>
      </c>
      <c r="V182" s="95">
        <f t="shared" si="6"/>
        <v>72.599999999999994</v>
      </c>
      <c r="W182" t="s">
        <v>5300</v>
      </c>
      <c r="X182" s="161" t="s">
        <v>7066</v>
      </c>
      <c r="Y182" s="2">
        <v>33338</v>
      </c>
      <c r="Z182" s="2">
        <v>44727</v>
      </c>
      <c r="AA182" s="284" t="s">
        <v>7262</v>
      </c>
      <c r="AB182" s="3">
        <v>44792</v>
      </c>
      <c r="AC182" s="80" t="s">
        <v>1339</v>
      </c>
      <c r="AF182" t="s">
        <v>3198</v>
      </c>
      <c r="AJ182" s="2"/>
      <c r="AK182" s="1"/>
      <c r="AL182"/>
      <c r="AM182" s="74"/>
      <c r="AS182"/>
      <c r="AT182" s="1"/>
    </row>
    <row r="183" spans="1:46">
      <c r="A183" s="1">
        <v>180</v>
      </c>
      <c r="B183" s="61" t="s">
        <v>6684</v>
      </c>
      <c r="C183" s="2">
        <v>44727</v>
      </c>
      <c r="D183" s="1" t="s">
        <v>2582</v>
      </c>
      <c r="E183" s="1"/>
      <c r="F183" s="61" t="s">
        <v>3992</v>
      </c>
      <c r="G183" s="61" t="s">
        <v>4025</v>
      </c>
      <c r="H183" s="6" t="s">
        <v>2579</v>
      </c>
      <c r="I183" s="1" t="s">
        <v>2580</v>
      </c>
      <c r="J183" s="8">
        <v>632709399</v>
      </c>
      <c r="K183" s="8"/>
      <c r="L183" t="s">
        <v>2582</v>
      </c>
      <c r="M183" s="3">
        <v>44742</v>
      </c>
      <c r="N183" s="1" t="s">
        <v>35</v>
      </c>
      <c r="O183" s="1"/>
      <c r="P183" s="14" t="s">
        <v>3784</v>
      </c>
      <c r="Q183" s="92">
        <v>75</v>
      </c>
      <c r="R183" s="1">
        <v>1</v>
      </c>
      <c r="S183" s="90">
        <v>0.21</v>
      </c>
      <c r="T183" s="90">
        <v>0.2</v>
      </c>
      <c r="U183" s="1"/>
      <c r="V183" s="95">
        <f t="shared" si="6"/>
        <v>72.599999999999994</v>
      </c>
      <c r="W183" t="s">
        <v>2582</v>
      </c>
      <c r="X183" s="6" t="s">
        <v>7098</v>
      </c>
      <c r="Y183" s="2">
        <v>30682</v>
      </c>
      <c r="Z183" s="2">
        <v>44727</v>
      </c>
      <c r="AA183" s="284" t="s">
        <v>7284</v>
      </c>
      <c r="AB183" s="3">
        <v>44805</v>
      </c>
      <c r="AC183" s="80" t="s">
        <v>1339</v>
      </c>
      <c r="AF183" t="s">
        <v>3198</v>
      </c>
      <c r="AJ183" s="1"/>
      <c r="AK183" s="1"/>
      <c r="AL183"/>
      <c r="AM183" s="8"/>
      <c r="AS183"/>
      <c r="AT183" s="1"/>
    </row>
    <row r="184" spans="1:46">
      <c r="A184" s="1">
        <v>181</v>
      </c>
      <c r="B184" s="61" t="s">
        <v>6684</v>
      </c>
      <c r="C184" s="2">
        <v>44727</v>
      </c>
      <c r="D184" s="1" t="s">
        <v>2582</v>
      </c>
      <c r="E184" s="1"/>
      <c r="F184" s="61" t="s">
        <v>3992</v>
      </c>
      <c r="G184" s="61" t="s">
        <v>4025</v>
      </c>
      <c r="H184" s="6" t="s">
        <v>2579</v>
      </c>
      <c r="I184" s="1" t="s">
        <v>2580</v>
      </c>
      <c r="J184" s="8">
        <v>632709399</v>
      </c>
      <c r="K184" s="8"/>
      <c r="L184" t="s">
        <v>2582</v>
      </c>
      <c r="M184" s="3">
        <v>44742</v>
      </c>
      <c r="N184" s="1" t="s">
        <v>35</v>
      </c>
      <c r="O184" s="1"/>
      <c r="P184" s="14" t="s">
        <v>7068</v>
      </c>
      <c r="Q184" s="92">
        <v>75</v>
      </c>
      <c r="R184" s="1">
        <v>1</v>
      </c>
      <c r="S184" s="90">
        <v>0.21</v>
      </c>
      <c r="T184" s="90">
        <v>0.2</v>
      </c>
      <c r="U184" s="1"/>
      <c r="V184" s="95">
        <f t="shared" si="6"/>
        <v>72.599999999999994</v>
      </c>
      <c r="W184" t="s">
        <v>3994</v>
      </c>
      <c r="X184" s="6" t="s">
        <v>7136</v>
      </c>
      <c r="Y184" s="2">
        <v>38215</v>
      </c>
      <c r="Z184" s="2">
        <v>44727</v>
      </c>
      <c r="AA184" s="284" t="s">
        <v>7750</v>
      </c>
      <c r="AB184" s="3">
        <v>44897</v>
      </c>
      <c r="AC184" s="80" t="s">
        <v>1339</v>
      </c>
      <c r="AD184" t="s">
        <v>7295</v>
      </c>
      <c r="AE184" s="162">
        <v>44830</v>
      </c>
      <c r="AF184" t="s">
        <v>3198</v>
      </c>
      <c r="AJ184" s="1"/>
      <c r="AK184" s="1"/>
      <c r="AL184"/>
      <c r="AM184" s="8"/>
      <c r="AS184"/>
      <c r="AT184" s="1"/>
    </row>
    <row r="185" spans="1:46">
      <c r="A185" s="1">
        <v>182</v>
      </c>
      <c r="B185" t="s">
        <v>52</v>
      </c>
      <c r="C185" s="2">
        <v>44727</v>
      </c>
      <c r="D185" s="1" t="s">
        <v>62</v>
      </c>
      <c r="E185" s="1"/>
      <c r="F185" s="61" t="s">
        <v>63</v>
      </c>
      <c r="G185" s="61" t="s">
        <v>214</v>
      </c>
      <c r="H185" s="6" t="s">
        <v>219</v>
      </c>
      <c r="I185" s="1" t="s">
        <v>38</v>
      </c>
      <c r="J185" s="8">
        <v>607281764</v>
      </c>
      <c r="K185" s="8"/>
      <c r="L185" t="s">
        <v>4432</v>
      </c>
      <c r="M185" s="3">
        <v>44742</v>
      </c>
      <c r="N185" s="1" t="s">
        <v>35</v>
      </c>
      <c r="O185" s="1"/>
      <c r="P185" s="14" t="s">
        <v>7069</v>
      </c>
      <c r="Q185" s="187">
        <v>125</v>
      </c>
      <c r="R185" s="1">
        <v>1</v>
      </c>
      <c r="S185" s="90">
        <v>0.21</v>
      </c>
      <c r="T185" s="90">
        <v>0.2</v>
      </c>
      <c r="V185" s="95">
        <f t="shared" si="6"/>
        <v>121</v>
      </c>
      <c r="W185" t="s">
        <v>7117</v>
      </c>
      <c r="X185" s="6" t="s">
        <v>7118</v>
      </c>
      <c r="Y185" s="2">
        <v>35935</v>
      </c>
      <c r="Z185" s="2">
        <v>44727</v>
      </c>
      <c r="AA185" s="284" t="s">
        <v>7194</v>
      </c>
      <c r="AB185" s="3">
        <v>44763</v>
      </c>
      <c r="AC185" s="80" t="s">
        <v>1339</v>
      </c>
      <c r="AF185" t="s">
        <v>3198</v>
      </c>
      <c r="AI185" t="s">
        <v>3221</v>
      </c>
      <c r="AJ185" s="2">
        <v>44741</v>
      </c>
      <c r="AL185"/>
      <c r="AM185" s="74">
        <v>44747</v>
      </c>
      <c r="AS185"/>
      <c r="AT185" s="1"/>
    </row>
    <row r="186" spans="1:46">
      <c r="A186" s="1">
        <v>183</v>
      </c>
      <c r="B186" t="s">
        <v>33</v>
      </c>
      <c r="C186" s="2">
        <v>44728</v>
      </c>
      <c r="D186" s="1" t="s">
        <v>5295</v>
      </c>
      <c r="E186" s="1"/>
      <c r="F186" t="s">
        <v>5296</v>
      </c>
      <c r="G186" s="61" t="s">
        <v>4384</v>
      </c>
      <c r="H186" s="6" t="s">
        <v>219</v>
      </c>
      <c r="I186" s="1" t="s">
        <v>38</v>
      </c>
      <c r="K186" t="s">
        <v>8186</v>
      </c>
      <c r="L186" s="31" t="s">
        <v>237</v>
      </c>
      <c r="M186" s="3">
        <v>44742</v>
      </c>
      <c r="N186" s="1" t="s">
        <v>35</v>
      </c>
      <c r="O186" s="1"/>
      <c r="P186" s="14" t="s">
        <v>7070</v>
      </c>
      <c r="Q186" s="187">
        <v>75</v>
      </c>
      <c r="R186" s="1">
        <v>1</v>
      </c>
      <c r="S186" s="90">
        <v>0.21</v>
      </c>
      <c r="T186" s="90">
        <v>0.2</v>
      </c>
      <c r="V186" s="95">
        <f t="shared" si="6"/>
        <v>72.599999999999994</v>
      </c>
      <c r="W186" t="s">
        <v>5360</v>
      </c>
      <c r="X186" s="6" t="s">
        <v>7071</v>
      </c>
      <c r="Y186" s="2">
        <v>33087</v>
      </c>
      <c r="Z186" s="2">
        <v>44728</v>
      </c>
      <c r="AA186" s="284" t="s">
        <v>7262</v>
      </c>
      <c r="AB186" s="3">
        <v>44792</v>
      </c>
      <c r="AC186" s="80" t="s">
        <v>1339</v>
      </c>
      <c r="AF186" t="s">
        <v>3198</v>
      </c>
      <c r="AI186"/>
      <c r="AJ186" s="2"/>
      <c r="AL186"/>
      <c r="AM186" s="74"/>
      <c r="AS186"/>
      <c r="AT186" s="1"/>
    </row>
    <row r="187" spans="1:46">
      <c r="A187" s="1">
        <v>184</v>
      </c>
      <c r="B187" s="61" t="s">
        <v>40</v>
      </c>
      <c r="C187" s="2">
        <v>44728</v>
      </c>
      <c r="D187" s="1" t="s">
        <v>1306</v>
      </c>
      <c r="E187" s="1"/>
      <c r="F187" s="61" t="s">
        <v>1307</v>
      </c>
      <c r="G187" s="61" t="s">
        <v>4960</v>
      </c>
      <c r="H187" s="6" t="s">
        <v>221</v>
      </c>
      <c r="I187" s="1" t="s">
        <v>34</v>
      </c>
      <c r="K187" s="8"/>
      <c r="L187" t="s">
        <v>1306</v>
      </c>
      <c r="M187" s="3">
        <v>44742</v>
      </c>
      <c r="N187" s="1" t="s">
        <v>35</v>
      </c>
      <c r="O187" s="1"/>
      <c r="P187" s="14" t="s">
        <v>7074</v>
      </c>
      <c r="Q187" s="187">
        <v>125</v>
      </c>
      <c r="R187" s="1">
        <v>1</v>
      </c>
      <c r="S187" s="128">
        <v>0.21</v>
      </c>
      <c r="T187" s="128">
        <v>0.2</v>
      </c>
      <c r="V187" s="95">
        <f t="shared" si="6"/>
        <v>121</v>
      </c>
      <c r="W187" t="s">
        <v>7115</v>
      </c>
      <c r="X187" s="6" t="s">
        <v>7116</v>
      </c>
      <c r="Y187" s="2">
        <v>35065</v>
      </c>
      <c r="Z187" s="2">
        <v>44728</v>
      </c>
      <c r="AA187" s="284" t="s">
        <v>7320</v>
      </c>
      <c r="AB187" s="3">
        <v>44812</v>
      </c>
      <c r="AC187" s="80" t="s">
        <v>1339</v>
      </c>
      <c r="AF187" t="s">
        <v>3198</v>
      </c>
      <c r="AI187" t="s">
        <v>3221</v>
      </c>
      <c r="AJ187" s="2">
        <v>44741</v>
      </c>
      <c r="AL187"/>
      <c r="AM187" s="74">
        <v>44747</v>
      </c>
      <c r="AS187"/>
      <c r="AT187" s="1"/>
    </row>
    <row r="188" spans="1:46">
      <c r="A188" s="1">
        <v>185</v>
      </c>
      <c r="B188" s="61" t="s">
        <v>52</v>
      </c>
      <c r="C188" s="2">
        <v>44728</v>
      </c>
      <c r="D188" s="1" t="s">
        <v>7075</v>
      </c>
      <c r="E188" s="1"/>
      <c r="F188" s="61" t="s">
        <v>7076</v>
      </c>
      <c r="G188" s="61" t="s">
        <v>7077</v>
      </c>
      <c r="H188" s="6" t="s">
        <v>227</v>
      </c>
      <c r="I188" s="1" t="s">
        <v>34</v>
      </c>
      <c r="J188" s="44">
        <v>631130911</v>
      </c>
      <c r="K188" s="44" t="s">
        <v>5906</v>
      </c>
      <c r="L188" t="s">
        <v>4432</v>
      </c>
      <c r="M188" s="3">
        <v>44742</v>
      </c>
      <c r="N188" s="1" t="s">
        <v>35</v>
      </c>
      <c r="O188" s="1"/>
      <c r="P188" s="14" t="s">
        <v>1080</v>
      </c>
      <c r="Q188" s="187">
        <v>125</v>
      </c>
      <c r="R188" s="1">
        <v>1</v>
      </c>
      <c r="S188" s="128">
        <v>0.21</v>
      </c>
      <c r="T188" s="128">
        <v>0.2</v>
      </c>
      <c r="V188" s="95">
        <f t="shared" si="6"/>
        <v>121</v>
      </c>
      <c r="W188" t="s">
        <v>7119</v>
      </c>
      <c r="X188" s="6" t="s">
        <v>7120</v>
      </c>
      <c r="Y188" s="2">
        <v>36526</v>
      </c>
      <c r="Z188" s="2">
        <v>44728</v>
      </c>
      <c r="AA188" s="284" t="s">
        <v>7510</v>
      </c>
      <c r="AB188" s="3">
        <v>44855</v>
      </c>
      <c r="AC188" s="80" t="s">
        <v>1339</v>
      </c>
      <c r="AF188" t="s">
        <v>3198</v>
      </c>
      <c r="AI188" t="s">
        <v>3108</v>
      </c>
      <c r="AJ188" s="2">
        <v>44741</v>
      </c>
      <c r="AL188"/>
      <c r="AM188" s="74">
        <v>44764</v>
      </c>
      <c r="AS188"/>
      <c r="AT188" s="1"/>
    </row>
    <row r="189" spans="1:46">
      <c r="A189" s="1">
        <v>186</v>
      </c>
      <c r="B189" t="s">
        <v>33</v>
      </c>
      <c r="C189" s="2">
        <v>44729</v>
      </c>
      <c r="D189" s="1" t="s">
        <v>2669</v>
      </c>
      <c r="E189" s="1"/>
      <c r="F189" s="61" t="s">
        <v>2670</v>
      </c>
      <c r="G189" s="61" t="s">
        <v>3850</v>
      </c>
      <c r="H189" s="6" t="s">
        <v>304</v>
      </c>
      <c r="I189" s="1" t="s">
        <v>3851</v>
      </c>
      <c r="J189" s="8" t="s">
        <v>5048</v>
      </c>
      <c r="K189" t="s">
        <v>8186</v>
      </c>
      <c r="L189" s="31" t="s">
        <v>237</v>
      </c>
      <c r="M189" s="3">
        <v>44742</v>
      </c>
      <c r="N189" s="1" t="s">
        <v>35</v>
      </c>
      <c r="O189" s="1"/>
      <c r="P189" s="14" t="s">
        <v>7081</v>
      </c>
      <c r="Q189" s="187">
        <v>75</v>
      </c>
      <c r="R189" s="1">
        <v>1</v>
      </c>
      <c r="S189" s="90">
        <v>0.21</v>
      </c>
      <c r="T189" s="90">
        <v>0.2</v>
      </c>
      <c r="V189" s="95">
        <f t="shared" si="6"/>
        <v>72.599999999999994</v>
      </c>
      <c r="W189" t="s">
        <v>5181</v>
      </c>
      <c r="X189" s="6" t="s">
        <v>7082</v>
      </c>
      <c r="Y189" s="2">
        <v>27713</v>
      </c>
      <c r="Z189" s="2">
        <v>44729</v>
      </c>
      <c r="AA189" s="284" t="s">
        <v>7262</v>
      </c>
      <c r="AB189" s="3">
        <v>44792</v>
      </c>
      <c r="AC189" s="80" t="s">
        <v>1339</v>
      </c>
      <c r="AF189" t="s">
        <v>3198</v>
      </c>
      <c r="AI189"/>
      <c r="AJ189" s="2"/>
      <c r="AL189"/>
      <c r="AM189" s="74"/>
      <c r="AS189"/>
      <c r="AT189" s="1"/>
    </row>
    <row r="190" spans="1:46">
      <c r="A190" s="1">
        <v>187</v>
      </c>
      <c r="B190" t="s">
        <v>119</v>
      </c>
      <c r="C190" s="2">
        <v>44729</v>
      </c>
      <c r="D190" s="1" t="s">
        <v>3826</v>
      </c>
      <c r="E190" s="1"/>
      <c r="F190" s="61" t="s">
        <v>3827</v>
      </c>
      <c r="G190" s="61" t="s">
        <v>3828</v>
      </c>
      <c r="H190" s="6" t="s">
        <v>250</v>
      </c>
      <c r="I190" s="1" t="s">
        <v>2585</v>
      </c>
      <c r="J190" s="8">
        <v>670341556</v>
      </c>
      <c r="K190" s="1" t="s">
        <v>8094</v>
      </c>
      <c r="L190" s="31" t="s">
        <v>174</v>
      </c>
      <c r="M190" s="3">
        <v>44742</v>
      </c>
      <c r="N190" s="1" t="s">
        <v>35</v>
      </c>
      <c r="O190" s="1"/>
      <c r="P190" s="14" t="s">
        <v>7083</v>
      </c>
      <c r="Q190" s="92">
        <v>125</v>
      </c>
      <c r="R190" s="1">
        <v>1</v>
      </c>
      <c r="S190" s="128">
        <v>0.21</v>
      </c>
      <c r="T190" s="128">
        <v>0.2</v>
      </c>
      <c r="U190" s="1"/>
      <c r="V190" s="95">
        <f t="shared" si="6"/>
        <v>121</v>
      </c>
      <c r="W190" t="s">
        <v>7131</v>
      </c>
      <c r="X190" s="6" t="s">
        <v>7132</v>
      </c>
      <c r="Y190" s="2">
        <v>35886</v>
      </c>
      <c r="Z190" s="2">
        <v>44729</v>
      </c>
      <c r="AA190" s="285" t="s">
        <v>7603</v>
      </c>
      <c r="AB190" s="3">
        <v>44852</v>
      </c>
      <c r="AC190" s="80" t="s">
        <v>1339</v>
      </c>
      <c r="AF190" t="s">
        <v>3198</v>
      </c>
      <c r="AI190" t="s">
        <v>3108</v>
      </c>
      <c r="AJ190" s="2">
        <v>44747</v>
      </c>
      <c r="AL190"/>
      <c r="AM190" s="74">
        <v>44762</v>
      </c>
      <c r="AS190"/>
      <c r="AT190" s="1"/>
    </row>
    <row r="191" spans="1:46">
      <c r="A191" s="1">
        <v>188</v>
      </c>
      <c r="B191" t="s">
        <v>37</v>
      </c>
      <c r="C191" s="2">
        <v>44739</v>
      </c>
      <c r="D191" t="s">
        <v>6323</v>
      </c>
      <c r="F191" t="s">
        <v>6227</v>
      </c>
      <c r="G191" t="s">
        <v>6228</v>
      </c>
      <c r="H191" s="6" t="s">
        <v>219</v>
      </c>
      <c r="I191" s="1" t="s">
        <v>38</v>
      </c>
      <c r="J191" s="8">
        <v>641203364</v>
      </c>
      <c r="K191" s="8"/>
      <c r="L191" t="s">
        <v>6323</v>
      </c>
      <c r="M191" s="3">
        <v>44742</v>
      </c>
      <c r="N191" s="1" t="s">
        <v>35</v>
      </c>
      <c r="O191" s="1"/>
      <c r="P191" s="14" t="s">
        <v>7085</v>
      </c>
      <c r="Q191" s="187">
        <v>24.79</v>
      </c>
      <c r="R191" s="1">
        <v>1</v>
      </c>
      <c r="S191" s="90">
        <v>0.21</v>
      </c>
      <c r="T191" s="90">
        <v>0</v>
      </c>
      <c r="V191" s="95">
        <f t="shared" si="6"/>
        <v>29.995899999999999</v>
      </c>
      <c r="W191" t="s">
        <v>6323</v>
      </c>
      <c r="X191" s="6"/>
      <c r="Y191" s="2"/>
      <c r="Z191" s="2">
        <v>44739</v>
      </c>
      <c r="AA191" s="284"/>
      <c r="AF191" t="s">
        <v>3198</v>
      </c>
      <c r="AI191"/>
      <c r="AJ191" s="2"/>
      <c r="AL191"/>
      <c r="AM191" s="74"/>
      <c r="AS191"/>
      <c r="AT191" s="1"/>
    </row>
    <row r="192" spans="1:46">
      <c r="A192" s="1">
        <v>189</v>
      </c>
      <c r="B192" t="s">
        <v>37</v>
      </c>
      <c r="C192" s="2">
        <v>44740</v>
      </c>
      <c r="D192" s="1" t="s">
        <v>7086</v>
      </c>
      <c r="E192" s="1"/>
      <c r="F192" s="61" t="s">
        <v>7087</v>
      </c>
      <c r="G192" s="61" t="s">
        <v>7088</v>
      </c>
      <c r="H192" s="6" t="s">
        <v>219</v>
      </c>
      <c r="I192" s="1" t="s">
        <v>38</v>
      </c>
      <c r="K192" s="8"/>
      <c r="L192" t="s">
        <v>7086</v>
      </c>
      <c r="M192" s="3">
        <v>44742</v>
      </c>
      <c r="N192" s="1" t="s">
        <v>35</v>
      </c>
      <c r="O192" s="1"/>
      <c r="P192" s="14" t="s">
        <v>7102</v>
      </c>
      <c r="Q192" s="187">
        <v>100</v>
      </c>
      <c r="R192" s="1">
        <v>1</v>
      </c>
      <c r="S192" s="128">
        <v>0.21</v>
      </c>
      <c r="T192" s="128">
        <v>0</v>
      </c>
      <c r="V192" s="95">
        <f t="shared" si="6"/>
        <v>121</v>
      </c>
      <c r="W192" t="s">
        <v>7086</v>
      </c>
      <c r="X192" s="6" t="s">
        <v>7103</v>
      </c>
      <c r="Y192" s="2">
        <v>32549</v>
      </c>
      <c r="Z192" s="2">
        <v>44740</v>
      </c>
      <c r="AA192" s="61"/>
      <c r="AB192" s="3"/>
      <c r="AC192" s="184"/>
      <c r="AF192" t="s">
        <v>3198</v>
      </c>
      <c r="AI192"/>
      <c r="AJ192" s="2"/>
      <c r="AL192"/>
      <c r="AM192" s="74"/>
      <c r="AS192"/>
      <c r="AT192" s="1"/>
    </row>
    <row r="193" spans="1:46">
      <c r="A193" s="1">
        <v>190</v>
      </c>
      <c r="B193" t="s">
        <v>3526</v>
      </c>
      <c r="C193" s="2">
        <v>44740</v>
      </c>
      <c r="D193" s="1" t="s">
        <v>5461</v>
      </c>
      <c r="E193" s="1"/>
      <c r="F193" s="61" t="s">
        <v>7104</v>
      </c>
      <c r="G193" s="61" t="s">
        <v>7105</v>
      </c>
      <c r="H193" s="6" t="s">
        <v>2451</v>
      </c>
      <c r="I193" s="1" t="s">
        <v>49</v>
      </c>
      <c r="J193" s="8">
        <v>641017043</v>
      </c>
      <c r="K193" s="8"/>
      <c r="L193" t="s">
        <v>5461</v>
      </c>
      <c r="M193" s="3">
        <v>44742</v>
      </c>
      <c r="N193" s="1" t="s">
        <v>35</v>
      </c>
      <c r="O193" s="1"/>
      <c r="P193" s="14" t="s">
        <v>7106</v>
      </c>
      <c r="Q193" s="187">
        <v>75</v>
      </c>
      <c r="R193" s="1">
        <v>1</v>
      </c>
      <c r="S193" s="128">
        <v>0.21</v>
      </c>
      <c r="T193" s="128">
        <v>0.2</v>
      </c>
      <c r="U193" s="277" t="s">
        <v>4723</v>
      </c>
      <c r="V193" s="95">
        <f t="shared" si="6"/>
        <v>72.599999999999994</v>
      </c>
      <c r="W193" t="s">
        <v>5461</v>
      </c>
      <c r="X193" s="6" t="s">
        <v>7107</v>
      </c>
      <c r="Y193" s="2">
        <v>34122</v>
      </c>
      <c r="Z193" s="2">
        <v>44740</v>
      </c>
      <c r="AA193" s="284" t="s">
        <v>7264</v>
      </c>
      <c r="AB193" s="3">
        <v>44792</v>
      </c>
      <c r="AC193" s="80" t="s">
        <v>1339</v>
      </c>
      <c r="AF193" t="s">
        <v>3198</v>
      </c>
      <c r="AI193"/>
      <c r="AJ193" s="2"/>
      <c r="AL193"/>
      <c r="AM193" s="74"/>
      <c r="AS193"/>
      <c r="AT193" s="1"/>
    </row>
    <row r="194" spans="1:46">
      <c r="A194" s="1">
        <v>191</v>
      </c>
      <c r="B194" t="s">
        <v>37</v>
      </c>
      <c r="C194" s="2">
        <v>44740</v>
      </c>
      <c r="D194" t="s">
        <v>5392</v>
      </c>
      <c r="F194" t="s">
        <v>5317</v>
      </c>
      <c r="G194" s="61" t="s">
        <v>5318</v>
      </c>
      <c r="H194" s="6" t="s">
        <v>219</v>
      </c>
      <c r="I194" s="1" t="s">
        <v>38</v>
      </c>
      <c r="J194" s="8">
        <v>631351153</v>
      </c>
      <c r="K194" s="8"/>
      <c r="L194" t="s">
        <v>5392</v>
      </c>
      <c r="M194" s="3">
        <v>44742</v>
      </c>
      <c r="N194" s="1" t="s">
        <v>35</v>
      </c>
      <c r="O194" s="1"/>
      <c r="P194" s="14" t="s">
        <v>7108</v>
      </c>
      <c r="Q194" s="187">
        <v>75</v>
      </c>
      <c r="R194" s="1">
        <v>1</v>
      </c>
      <c r="S194" s="90">
        <v>0.21</v>
      </c>
      <c r="T194" s="90">
        <v>0</v>
      </c>
      <c r="V194" s="95">
        <f t="shared" si="6"/>
        <v>90.75</v>
      </c>
      <c r="W194" t="s">
        <v>5392</v>
      </c>
      <c r="X194" s="6" t="s">
        <v>7147</v>
      </c>
      <c r="Y194" s="2">
        <v>35925</v>
      </c>
      <c r="Z194" s="2">
        <v>44740</v>
      </c>
      <c r="AA194" s="284" t="s">
        <v>7263</v>
      </c>
      <c r="AB194" s="3">
        <v>44792</v>
      </c>
      <c r="AC194" s="80" t="s">
        <v>1339</v>
      </c>
      <c r="AF194" t="s">
        <v>3198</v>
      </c>
      <c r="AI194"/>
      <c r="AJ194" s="2"/>
      <c r="AL194"/>
      <c r="AM194" s="74"/>
      <c r="AS194"/>
      <c r="AT194" s="1"/>
    </row>
    <row r="195" spans="1:46">
      <c r="A195" s="1">
        <v>192</v>
      </c>
      <c r="B195" t="s">
        <v>33</v>
      </c>
      <c r="C195" s="2">
        <v>44740</v>
      </c>
      <c r="D195" s="1" t="s">
        <v>5051</v>
      </c>
      <c r="E195" s="1"/>
      <c r="F195" t="s">
        <v>5052</v>
      </c>
      <c r="G195" s="61" t="s">
        <v>5053</v>
      </c>
      <c r="H195" s="6" t="s">
        <v>304</v>
      </c>
      <c r="I195" s="1" t="s">
        <v>4480</v>
      </c>
      <c r="K195" s="8"/>
      <c r="L195" s="31" t="s">
        <v>237</v>
      </c>
      <c r="M195" s="3">
        <v>44742</v>
      </c>
      <c r="N195" s="1" t="s">
        <v>35</v>
      </c>
      <c r="O195" s="1"/>
      <c r="P195" s="14" t="s">
        <v>7109</v>
      </c>
      <c r="Q195" s="187">
        <v>75</v>
      </c>
      <c r="R195" s="1">
        <v>1</v>
      </c>
      <c r="S195" s="90">
        <v>0.21</v>
      </c>
      <c r="T195" s="90">
        <v>0.2</v>
      </c>
      <c r="V195" s="95">
        <f t="shared" si="6"/>
        <v>72.599999999999994</v>
      </c>
      <c r="W195" t="s">
        <v>5356</v>
      </c>
      <c r="X195" s="6" t="s">
        <v>7110</v>
      </c>
      <c r="Y195" s="2">
        <v>35941</v>
      </c>
      <c r="Z195" s="2">
        <v>44740</v>
      </c>
      <c r="AA195" s="61"/>
      <c r="AF195" t="s">
        <v>3198</v>
      </c>
      <c r="AI195"/>
      <c r="AJ195" s="2"/>
      <c r="AL195"/>
      <c r="AM195" s="74"/>
      <c r="AS195"/>
      <c r="AT195" s="1"/>
    </row>
    <row r="196" spans="1:46">
      <c r="A196" s="1">
        <v>193</v>
      </c>
      <c r="B196" t="s">
        <v>1511</v>
      </c>
      <c r="C196" s="2">
        <v>44741</v>
      </c>
      <c r="D196" s="1" t="s">
        <v>7149</v>
      </c>
      <c r="E196" s="1"/>
      <c r="F196" t="s">
        <v>7121</v>
      </c>
      <c r="G196" s="61" t="s">
        <v>7122</v>
      </c>
      <c r="H196" s="6" t="s">
        <v>219</v>
      </c>
      <c r="I196" s="1" t="s">
        <v>38</v>
      </c>
      <c r="J196" s="8">
        <v>643489049</v>
      </c>
      <c r="K196" s="8"/>
      <c r="L196" t="s">
        <v>7149</v>
      </c>
      <c r="M196" s="3">
        <v>44742</v>
      </c>
      <c r="N196" s="1" t="s">
        <v>35</v>
      </c>
      <c r="O196" s="1"/>
      <c r="P196" s="14" t="s">
        <v>7123</v>
      </c>
      <c r="Q196" s="187">
        <v>125</v>
      </c>
      <c r="R196" s="1">
        <v>1</v>
      </c>
      <c r="S196" s="128">
        <v>0.21</v>
      </c>
      <c r="T196" s="128">
        <v>0.2</v>
      </c>
      <c r="V196" s="95">
        <f t="shared" si="6"/>
        <v>121</v>
      </c>
      <c r="W196" t="s">
        <v>7149</v>
      </c>
      <c r="X196" s="6" t="s">
        <v>7166</v>
      </c>
      <c r="Y196" s="2">
        <v>34156</v>
      </c>
      <c r="Z196" s="2">
        <v>44741</v>
      </c>
      <c r="AA196" s="285" t="s">
        <v>7487</v>
      </c>
      <c r="AB196" s="3">
        <v>44852</v>
      </c>
      <c r="AC196" s="80" t="s">
        <v>1339</v>
      </c>
      <c r="AF196" t="s">
        <v>3198</v>
      </c>
      <c r="AI196" t="s">
        <v>3108</v>
      </c>
      <c r="AJ196" s="2">
        <v>44756</v>
      </c>
      <c r="AL196"/>
      <c r="AM196" s="74">
        <v>44756</v>
      </c>
      <c r="AS196"/>
      <c r="AT196" s="1"/>
    </row>
    <row r="197" spans="1:46">
      <c r="A197" s="1">
        <v>194</v>
      </c>
      <c r="B197" t="s">
        <v>33</v>
      </c>
      <c r="C197" s="2">
        <v>44741</v>
      </c>
      <c r="D197" s="1" t="s">
        <v>6327</v>
      </c>
      <c r="E197" s="1"/>
      <c r="F197" t="s">
        <v>6328</v>
      </c>
      <c r="G197" s="61" t="s">
        <v>6329</v>
      </c>
      <c r="H197" s="6" t="s">
        <v>227</v>
      </c>
      <c r="I197" s="1" t="s">
        <v>4719</v>
      </c>
      <c r="K197" t="s">
        <v>8186</v>
      </c>
      <c r="L197" t="s">
        <v>237</v>
      </c>
      <c r="M197" s="3">
        <v>44742</v>
      </c>
      <c r="N197" s="164" t="s">
        <v>35</v>
      </c>
      <c r="O197" s="1"/>
      <c r="P197" s="14" t="s">
        <v>7124</v>
      </c>
      <c r="Q197" s="187">
        <v>100</v>
      </c>
      <c r="R197" s="1">
        <v>1</v>
      </c>
      <c r="S197" s="90">
        <v>0.21</v>
      </c>
      <c r="T197" s="90">
        <v>0</v>
      </c>
      <c r="V197" s="95">
        <f t="shared" si="6"/>
        <v>121</v>
      </c>
      <c r="W197" t="s">
        <v>6439</v>
      </c>
      <c r="X197" s="6" t="s">
        <v>6440</v>
      </c>
      <c r="Y197" s="2">
        <v>33045</v>
      </c>
      <c r="Z197" s="2">
        <v>44741</v>
      </c>
      <c r="AA197" s="61"/>
      <c r="AB197" s="1"/>
      <c r="AC197" s="1"/>
      <c r="AE197" s="1"/>
      <c r="AF197" t="s">
        <v>3198</v>
      </c>
      <c r="AJ197" s="1"/>
      <c r="AK197" s="1"/>
      <c r="AL197" s="1"/>
      <c r="AM197" s="8"/>
      <c r="AS197"/>
      <c r="AT197" s="1"/>
    </row>
    <row r="198" spans="1:46">
      <c r="A198" s="1">
        <v>195</v>
      </c>
      <c r="B198" t="s">
        <v>33</v>
      </c>
      <c r="C198" s="165">
        <v>44742</v>
      </c>
      <c r="D198" s="1" t="s">
        <v>4245</v>
      </c>
      <c r="E198" s="1"/>
      <c r="F198" t="s">
        <v>4246</v>
      </c>
      <c r="G198" s="61" t="s">
        <v>6304</v>
      </c>
      <c r="H198" s="6" t="s">
        <v>230</v>
      </c>
      <c r="I198" s="1" t="s">
        <v>4719</v>
      </c>
      <c r="K198" t="s">
        <v>8186</v>
      </c>
      <c r="L198" t="s">
        <v>237</v>
      </c>
      <c r="M198" s="3">
        <v>44742</v>
      </c>
      <c r="N198" s="164" t="s">
        <v>35</v>
      </c>
      <c r="O198" s="1"/>
      <c r="P198" s="14" t="s">
        <v>7126</v>
      </c>
      <c r="Q198" s="187">
        <v>125</v>
      </c>
      <c r="R198" s="1">
        <v>1</v>
      </c>
      <c r="S198" s="90">
        <v>0.21</v>
      </c>
      <c r="T198" s="90">
        <v>0.2</v>
      </c>
      <c r="V198" s="95">
        <f t="shared" si="6"/>
        <v>121</v>
      </c>
      <c r="W198" t="s">
        <v>7175</v>
      </c>
      <c r="X198" s="6" t="s">
        <v>7176</v>
      </c>
      <c r="Y198" s="2">
        <v>30753</v>
      </c>
      <c r="Z198" s="2">
        <v>44742</v>
      </c>
      <c r="AA198" s="284" t="s">
        <v>7495</v>
      </c>
      <c r="AB198" s="3">
        <v>44855</v>
      </c>
      <c r="AC198" s="80" t="s">
        <v>1339</v>
      </c>
      <c r="AF198" t="s">
        <v>3198</v>
      </c>
      <c r="AI198" t="s">
        <v>3108</v>
      </c>
      <c r="AJ198" s="2">
        <v>44761</v>
      </c>
      <c r="AL198"/>
      <c r="AM198" s="74">
        <v>44762</v>
      </c>
      <c r="AS198"/>
      <c r="AT198" s="1"/>
    </row>
    <row r="199" spans="1:46">
      <c r="A199" s="1">
        <v>196</v>
      </c>
      <c r="B199" t="s">
        <v>37</v>
      </c>
      <c r="C199" s="2">
        <v>44747</v>
      </c>
      <c r="D199" s="1" t="s">
        <v>4890</v>
      </c>
      <c r="E199" s="1"/>
      <c r="F199" s="61" t="s">
        <v>7127</v>
      </c>
      <c r="G199" s="61" t="s">
        <v>7128</v>
      </c>
      <c r="H199" s="6" t="s">
        <v>220</v>
      </c>
      <c r="I199" s="1" t="s">
        <v>39</v>
      </c>
      <c r="J199" s="8">
        <v>612560793</v>
      </c>
      <c r="K199" s="305"/>
      <c r="L199" t="s">
        <v>4890</v>
      </c>
      <c r="M199" s="3">
        <v>44773</v>
      </c>
      <c r="N199" s="164" t="s">
        <v>35</v>
      </c>
      <c r="O199" s="1"/>
      <c r="P199" s="14" t="s">
        <v>7129</v>
      </c>
      <c r="Q199" s="187">
        <v>75</v>
      </c>
      <c r="R199" s="1">
        <v>1</v>
      </c>
      <c r="S199" s="128">
        <v>0.21</v>
      </c>
      <c r="T199" s="128">
        <v>0.2</v>
      </c>
      <c r="V199" s="95">
        <f t="shared" si="6"/>
        <v>72.599999999999994</v>
      </c>
      <c r="W199" t="s">
        <v>4890</v>
      </c>
      <c r="X199" s="6" t="s">
        <v>7130</v>
      </c>
      <c r="Y199" s="2">
        <v>34212</v>
      </c>
      <c r="Z199" s="2">
        <v>44747</v>
      </c>
      <c r="AA199" s="284" t="s">
        <v>7264</v>
      </c>
      <c r="AB199" s="3">
        <v>44792</v>
      </c>
      <c r="AC199" s="80" t="s">
        <v>1339</v>
      </c>
      <c r="AF199" t="s">
        <v>3198</v>
      </c>
      <c r="AI199"/>
      <c r="AJ199" s="2"/>
      <c r="AL199"/>
      <c r="AM199" s="74"/>
      <c r="AS199"/>
      <c r="AT199" s="1"/>
    </row>
    <row r="200" spans="1:46">
      <c r="A200" s="1">
        <v>197</v>
      </c>
      <c r="B200" t="s">
        <v>37</v>
      </c>
      <c r="C200" s="2">
        <v>44748</v>
      </c>
      <c r="D200" t="s">
        <v>7177</v>
      </c>
      <c r="F200" t="s">
        <v>7141</v>
      </c>
      <c r="G200" s="61" t="s">
        <v>7142</v>
      </c>
      <c r="H200" s="1">
        <v>4130</v>
      </c>
      <c r="I200" s="1" t="s">
        <v>3681</v>
      </c>
      <c r="J200" s="8">
        <v>632227336</v>
      </c>
      <c r="K200" s="8"/>
      <c r="L200" t="s">
        <v>7177</v>
      </c>
      <c r="M200" s="3">
        <v>44773</v>
      </c>
      <c r="N200" s="164" t="s">
        <v>35</v>
      </c>
      <c r="O200" s="1"/>
      <c r="P200" s="14" t="s">
        <v>7143</v>
      </c>
      <c r="Q200" s="187">
        <v>125</v>
      </c>
      <c r="R200" s="1">
        <v>1</v>
      </c>
      <c r="S200" s="128">
        <v>0.21</v>
      </c>
      <c r="T200" s="128">
        <v>0</v>
      </c>
      <c r="U200" s="278" t="s">
        <v>7144</v>
      </c>
      <c r="V200" s="95">
        <f t="shared" si="6"/>
        <v>151.25</v>
      </c>
      <c r="W200" t="s">
        <v>7177</v>
      </c>
      <c r="X200" s="6" t="s">
        <v>7178</v>
      </c>
      <c r="Y200" s="2">
        <v>32465</v>
      </c>
      <c r="Z200" s="2">
        <v>44748</v>
      </c>
      <c r="AA200" s="284" t="s">
        <v>7510</v>
      </c>
      <c r="AB200" s="3">
        <v>44855</v>
      </c>
      <c r="AC200" s="80" t="s">
        <v>1339</v>
      </c>
      <c r="AE200" s="3"/>
      <c r="AF200" t="s">
        <v>3198</v>
      </c>
      <c r="AI200" t="s">
        <v>3108</v>
      </c>
      <c r="AJ200" s="2">
        <v>44761</v>
      </c>
      <c r="AL200"/>
      <c r="AM200" s="74">
        <v>44762</v>
      </c>
      <c r="AS200"/>
      <c r="AT200" s="1"/>
    </row>
    <row r="201" spans="1:46">
      <c r="A201" s="1">
        <v>198</v>
      </c>
      <c r="B201" t="s">
        <v>119</v>
      </c>
      <c r="C201" s="2">
        <v>44749</v>
      </c>
      <c r="D201" s="1" t="s">
        <v>3826</v>
      </c>
      <c r="E201" s="1"/>
      <c r="F201" s="61" t="s">
        <v>3827</v>
      </c>
      <c r="G201" s="61" t="s">
        <v>3828</v>
      </c>
      <c r="H201" s="6" t="s">
        <v>250</v>
      </c>
      <c r="I201" s="1" t="s">
        <v>2585</v>
      </c>
      <c r="J201" s="8">
        <v>670341556</v>
      </c>
      <c r="K201" s="1" t="s">
        <v>8094</v>
      </c>
      <c r="L201" s="31" t="s">
        <v>174</v>
      </c>
      <c r="M201" s="3">
        <v>44773</v>
      </c>
      <c r="N201" s="1" t="s">
        <v>35</v>
      </c>
      <c r="O201" s="1"/>
      <c r="P201" s="14" t="s">
        <v>7148</v>
      </c>
      <c r="Q201" s="92">
        <v>125</v>
      </c>
      <c r="R201" s="1">
        <v>1</v>
      </c>
      <c r="S201" s="128">
        <v>0.21</v>
      </c>
      <c r="T201" s="128">
        <v>0.2</v>
      </c>
      <c r="U201" s="1"/>
      <c r="V201" s="95">
        <f t="shared" si="6"/>
        <v>121</v>
      </c>
      <c r="W201" t="s">
        <v>7180</v>
      </c>
      <c r="X201" s="6" t="s">
        <v>7179</v>
      </c>
      <c r="Y201" s="2">
        <v>30773</v>
      </c>
      <c r="Z201" s="2">
        <v>44749</v>
      </c>
      <c r="AA201" s="284" t="s">
        <v>7511</v>
      </c>
      <c r="AB201" s="3">
        <v>44855</v>
      </c>
      <c r="AC201" s="80" t="s">
        <v>1339</v>
      </c>
      <c r="AF201" t="s">
        <v>3198</v>
      </c>
      <c r="AI201" t="s">
        <v>3108</v>
      </c>
      <c r="AJ201" s="2">
        <v>44761</v>
      </c>
      <c r="AL201"/>
      <c r="AM201" s="74">
        <v>44775</v>
      </c>
      <c r="AS201"/>
      <c r="AT201" s="1"/>
    </row>
    <row r="202" spans="1:46">
      <c r="A202" s="1">
        <v>199</v>
      </c>
      <c r="B202" t="s">
        <v>1414</v>
      </c>
      <c r="C202" s="2">
        <v>44753</v>
      </c>
      <c r="D202" s="1" t="s">
        <v>1812</v>
      </c>
      <c r="E202" s="1"/>
      <c r="F202" t="s">
        <v>1813</v>
      </c>
      <c r="G202" t="s">
        <v>1994</v>
      </c>
      <c r="H202" s="6" t="s">
        <v>221</v>
      </c>
      <c r="I202" s="1" t="s">
        <v>34</v>
      </c>
      <c r="J202" s="8">
        <v>626326758</v>
      </c>
      <c r="K202" s="8" t="s">
        <v>6019</v>
      </c>
      <c r="L202" t="s">
        <v>1812</v>
      </c>
      <c r="M202" s="3">
        <v>44773</v>
      </c>
      <c r="N202" s="1" t="s">
        <v>35</v>
      </c>
      <c r="O202" s="1"/>
      <c r="P202" s="14" t="s">
        <v>7150</v>
      </c>
      <c r="Q202" s="187">
        <v>125</v>
      </c>
      <c r="R202" s="1">
        <v>1</v>
      </c>
      <c r="S202" s="90">
        <v>0.21</v>
      </c>
      <c r="T202" s="90">
        <v>0.2</v>
      </c>
      <c r="V202" s="95">
        <f t="shared" ref="V202:V219" si="7">SUM(Q202-(Q202*T202))*S202+(Q202-(Q202*T202))</f>
        <v>121</v>
      </c>
      <c r="W202" t="s">
        <v>7185</v>
      </c>
      <c r="X202" s="6" t="s">
        <v>7186</v>
      </c>
      <c r="Y202" s="2">
        <v>35359</v>
      </c>
      <c r="Z202" s="2">
        <v>44753</v>
      </c>
      <c r="AA202" s="284" t="s">
        <v>7581</v>
      </c>
      <c r="AB202" s="3">
        <v>44872</v>
      </c>
      <c r="AC202" s="80" t="s">
        <v>1339</v>
      </c>
      <c r="AF202" t="s">
        <v>3198</v>
      </c>
      <c r="AI202" t="s">
        <v>3108</v>
      </c>
      <c r="AJ202" s="2">
        <v>44762</v>
      </c>
      <c r="AL202"/>
      <c r="AM202" s="74">
        <v>44770</v>
      </c>
      <c r="AS202"/>
      <c r="AT202" s="1"/>
    </row>
    <row r="203" spans="1:46">
      <c r="A203" s="1">
        <v>200</v>
      </c>
      <c r="B203" t="s">
        <v>45</v>
      </c>
      <c r="C203" s="2">
        <v>44753</v>
      </c>
      <c r="D203" s="1" t="s">
        <v>7151</v>
      </c>
      <c r="E203" s="1"/>
      <c r="F203" s="61" t="s">
        <v>7152</v>
      </c>
      <c r="G203" s="61" t="s">
        <v>7153</v>
      </c>
      <c r="H203" s="6" t="s">
        <v>220</v>
      </c>
      <c r="I203" s="1" t="s">
        <v>39</v>
      </c>
      <c r="J203" s="8" t="s">
        <v>7154</v>
      </c>
      <c r="K203" s="8" t="s">
        <v>7155</v>
      </c>
      <c r="L203" t="s">
        <v>7151</v>
      </c>
      <c r="M203" s="3">
        <v>44773</v>
      </c>
      <c r="N203" s="1" t="s">
        <v>35</v>
      </c>
      <c r="O203" s="1"/>
      <c r="P203" s="14" t="s">
        <v>7156</v>
      </c>
      <c r="Q203" s="187">
        <v>125</v>
      </c>
      <c r="R203" s="1">
        <v>1</v>
      </c>
      <c r="S203" s="128">
        <v>0.21</v>
      </c>
      <c r="T203" s="128">
        <v>0.2</v>
      </c>
      <c r="V203" s="95">
        <f t="shared" si="7"/>
        <v>121</v>
      </c>
      <c r="W203" t="s">
        <v>7183</v>
      </c>
      <c r="X203" s="6" t="s">
        <v>7184</v>
      </c>
      <c r="Y203" s="2">
        <v>36794</v>
      </c>
      <c r="Z203" s="2">
        <v>44753</v>
      </c>
      <c r="AA203" s="284" t="s">
        <v>7751</v>
      </c>
      <c r="AB203" s="3">
        <v>44897</v>
      </c>
      <c r="AC203" s="80" t="s">
        <v>1339</v>
      </c>
      <c r="AE203" s="162">
        <v>44852</v>
      </c>
      <c r="AF203" t="s">
        <v>3198</v>
      </c>
      <c r="AI203" t="s">
        <v>3221</v>
      </c>
      <c r="AJ203" s="2">
        <v>44762</v>
      </c>
      <c r="AL203"/>
      <c r="AM203" s="74">
        <v>44763</v>
      </c>
      <c r="AS203"/>
      <c r="AT203" s="1"/>
    </row>
    <row r="204" spans="1:46">
      <c r="A204" s="1">
        <v>201</v>
      </c>
      <c r="B204" t="s">
        <v>3526</v>
      </c>
      <c r="C204" s="2">
        <v>44753</v>
      </c>
      <c r="D204" s="1" t="s">
        <v>6215</v>
      </c>
      <c r="E204" s="1"/>
      <c r="F204" t="s">
        <v>6216</v>
      </c>
      <c r="G204" t="s">
        <v>6217</v>
      </c>
      <c r="H204" s="6" t="s">
        <v>242</v>
      </c>
      <c r="I204" s="1" t="s">
        <v>86</v>
      </c>
      <c r="J204" s="8">
        <v>647672066</v>
      </c>
      <c r="K204" s="8" t="s">
        <v>7157</v>
      </c>
      <c r="L204" t="s">
        <v>6215</v>
      </c>
      <c r="M204" s="3">
        <v>44773</v>
      </c>
      <c r="N204" s="1" t="s">
        <v>35</v>
      </c>
      <c r="O204" s="1"/>
      <c r="P204" s="14" t="s">
        <v>7158</v>
      </c>
      <c r="Q204" s="187">
        <v>125</v>
      </c>
      <c r="R204" s="1">
        <v>1</v>
      </c>
      <c r="S204" s="90">
        <v>0.21</v>
      </c>
      <c r="T204" s="90">
        <v>0.2</v>
      </c>
      <c r="V204" s="95">
        <f t="shared" si="7"/>
        <v>121</v>
      </c>
      <c r="W204" t="s">
        <v>7187</v>
      </c>
      <c r="X204" s="6" t="s">
        <v>7188</v>
      </c>
      <c r="Y204" s="2">
        <v>33192</v>
      </c>
      <c r="Z204" s="2">
        <v>44753</v>
      </c>
      <c r="AA204" s="284" t="s">
        <v>7511</v>
      </c>
      <c r="AB204" s="3">
        <v>44860</v>
      </c>
      <c r="AC204" s="80" t="s">
        <v>1339</v>
      </c>
      <c r="AF204" t="s">
        <v>3198</v>
      </c>
      <c r="AI204" t="s">
        <v>3108</v>
      </c>
      <c r="AJ204" s="2">
        <v>44762</v>
      </c>
      <c r="AL204"/>
      <c r="AM204" s="74">
        <v>44768</v>
      </c>
      <c r="AS204"/>
      <c r="AT204" s="1"/>
    </row>
    <row r="205" spans="1:46">
      <c r="A205" s="1">
        <v>202</v>
      </c>
      <c r="B205" t="s">
        <v>4321</v>
      </c>
      <c r="C205" s="2">
        <v>44755</v>
      </c>
      <c r="D205" s="1" t="s">
        <v>7226</v>
      </c>
      <c r="E205" s="1"/>
      <c r="F205" s="61" t="s">
        <v>7162</v>
      </c>
      <c r="G205" s="61" t="s">
        <v>7163</v>
      </c>
      <c r="H205" s="6" t="s">
        <v>239</v>
      </c>
      <c r="I205" s="1" t="s">
        <v>86</v>
      </c>
      <c r="K205" s="8" t="s">
        <v>5991</v>
      </c>
      <c r="L205" t="s">
        <v>7161</v>
      </c>
      <c r="M205" s="3">
        <v>44773</v>
      </c>
      <c r="N205" s="1" t="s">
        <v>35</v>
      </c>
      <c r="O205" s="1"/>
      <c r="P205" s="14" t="s">
        <v>7164</v>
      </c>
      <c r="Q205" s="187">
        <v>125</v>
      </c>
      <c r="R205" s="1">
        <v>1</v>
      </c>
      <c r="S205" s="128">
        <v>0.21</v>
      </c>
      <c r="T205" s="128">
        <v>0.2</v>
      </c>
      <c r="V205" s="95">
        <f t="shared" si="7"/>
        <v>121</v>
      </c>
      <c r="W205" t="s">
        <v>7189</v>
      </c>
      <c r="X205" s="6" t="s">
        <v>7190</v>
      </c>
      <c r="Y205" s="2">
        <v>33750</v>
      </c>
      <c r="Z205" s="2">
        <v>44755</v>
      </c>
      <c r="AA205" s="284" t="s">
        <v>7511</v>
      </c>
      <c r="AB205" s="3">
        <v>44855</v>
      </c>
      <c r="AC205" s="80" t="s">
        <v>1339</v>
      </c>
      <c r="AF205" t="s">
        <v>3198</v>
      </c>
      <c r="AI205" t="s">
        <v>3108</v>
      </c>
      <c r="AJ205" s="2">
        <v>44762</v>
      </c>
      <c r="AL205"/>
      <c r="AM205" s="74">
        <v>44813</v>
      </c>
      <c r="AS205"/>
      <c r="AT205" s="1"/>
    </row>
    <row r="206" spans="1:46">
      <c r="A206" s="1">
        <v>203</v>
      </c>
      <c r="B206" t="s">
        <v>33</v>
      </c>
      <c r="C206" s="2">
        <v>44755</v>
      </c>
      <c r="D206" s="1" t="s">
        <v>4537</v>
      </c>
      <c r="E206" s="1"/>
      <c r="F206" t="s">
        <v>4540</v>
      </c>
      <c r="G206" s="61" t="s">
        <v>6316</v>
      </c>
      <c r="H206" s="6" t="s">
        <v>220</v>
      </c>
      <c r="I206" s="1" t="s">
        <v>39</v>
      </c>
      <c r="K206" t="s">
        <v>8186</v>
      </c>
      <c r="L206" t="s">
        <v>237</v>
      </c>
      <c r="M206" s="3">
        <v>44773</v>
      </c>
      <c r="N206" s="1" t="s">
        <v>35</v>
      </c>
      <c r="O206" s="1"/>
      <c r="P206" s="14" t="s">
        <v>7165</v>
      </c>
      <c r="Q206" s="187">
        <v>125</v>
      </c>
      <c r="R206" s="1">
        <v>1</v>
      </c>
      <c r="S206" s="128">
        <v>0.21</v>
      </c>
      <c r="T206" s="128">
        <v>0.2</v>
      </c>
      <c r="V206" s="95">
        <f t="shared" si="7"/>
        <v>121</v>
      </c>
      <c r="W206" t="s">
        <v>7193</v>
      </c>
      <c r="X206" s="6" t="s">
        <v>7192</v>
      </c>
      <c r="Y206" s="2">
        <v>30331</v>
      </c>
      <c r="Z206" s="2">
        <v>44755</v>
      </c>
      <c r="AA206" s="284" t="s">
        <v>7742</v>
      </c>
      <c r="AB206" s="3">
        <v>44897</v>
      </c>
      <c r="AC206" s="80" t="s">
        <v>1339</v>
      </c>
      <c r="AF206" t="s">
        <v>3198</v>
      </c>
      <c r="AI206" t="s">
        <v>3108</v>
      </c>
      <c r="AJ206" s="2">
        <v>44762</v>
      </c>
      <c r="AL206"/>
      <c r="AM206" s="74">
        <v>44764</v>
      </c>
      <c r="AS206"/>
      <c r="AT206" s="1"/>
    </row>
    <row r="207" spans="1:46">
      <c r="A207" s="1">
        <v>204</v>
      </c>
      <c r="B207" t="s">
        <v>37</v>
      </c>
      <c r="C207" s="2">
        <v>44757</v>
      </c>
      <c r="D207" t="s">
        <v>7213</v>
      </c>
      <c r="F207" s="61" t="s">
        <v>7168</v>
      </c>
      <c r="G207" s="61" t="s">
        <v>7169</v>
      </c>
      <c r="H207" s="6" t="s">
        <v>2451</v>
      </c>
      <c r="I207" s="1" t="s">
        <v>3681</v>
      </c>
      <c r="J207" s="8">
        <v>602151594</v>
      </c>
      <c r="K207" s="8"/>
      <c r="L207" t="s">
        <v>7213</v>
      </c>
      <c r="M207" s="3">
        <v>44773</v>
      </c>
      <c r="N207" s="1" t="s">
        <v>35</v>
      </c>
      <c r="O207" s="1"/>
      <c r="P207" s="14" t="s">
        <v>7170</v>
      </c>
      <c r="Q207" s="187">
        <v>125</v>
      </c>
      <c r="R207" s="1">
        <v>1</v>
      </c>
      <c r="S207" s="128">
        <v>0.21</v>
      </c>
      <c r="T207" s="128">
        <v>0</v>
      </c>
      <c r="U207" s="277" t="s">
        <v>7171</v>
      </c>
      <c r="V207" s="95">
        <f t="shared" si="7"/>
        <v>151.25</v>
      </c>
      <c r="W207" t="s">
        <v>7213</v>
      </c>
      <c r="X207" s="6" t="s">
        <v>7214</v>
      </c>
      <c r="Y207" s="2">
        <v>33758</v>
      </c>
      <c r="Z207" s="2">
        <v>44757</v>
      </c>
      <c r="AA207" s="285" t="s">
        <v>7560</v>
      </c>
      <c r="AB207" s="3">
        <v>44860</v>
      </c>
      <c r="AC207" s="80" t="s">
        <v>1339</v>
      </c>
      <c r="AF207" t="s">
        <v>3198</v>
      </c>
      <c r="AI207" t="s">
        <v>3108</v>
      </c>
      <c r="AJ207" s="3">
        <v>44770</v>
      </c>
      <c r="AL207"/>
      <c r="AM207" s="74">
        <v>44776</v>
      </c>
      <c r="AS207"/>
      <c r="AT207" s="1"/>
    </row>
    <row r="208" spans="1:46">
      <c r="A208" s="1">
        <v>205</v>
      </c>
      <c r="B208" t="s">
        <v>1242</v>
      </c>
      <c r="C208" s="2">
        <v>44757</v>
      </c>
      <c r="D208" s="279" t="s">
        <v>7208</v>
      </c>
      <c r="E208" s="279"/>
      <c r="F208" t="s">
        <v>7172</v>
      </c>
      <c r="G208" t="s">
        <v>7173</v>
      </c>
      <c r="H208" s="6" t="s">
        <v>227</v>
      </c>
      <c r="I208" s="1" t="s">
        <v>34</v>
      </c>
      <c r="K208" s="8" t="s">
        <v>5905</v>
      </c>
      <c r="L208" s="31" t="s">
        <v>1250</v>
      </c>
      <c r="M208" s="3">
        <v>44773</v>
      </c>
      <c r="N208" s="1" t="s">
        <v>35</v>
      </c>
      <c r="O208" s="1"/>
      <c r="P208" s="14" t="s">
        <v>7174</v>
      </c>
      <c r="Q208" s="187">
        <v>125</v>
      </c>
      <c r="R208" s="1">
        <v>1</v>
      </c>
      <c r="S208" s="90">
        <v>0.21</v>
      </c>
      <c r="T208" s="90">
        <v>0.2</v>
      </c>
      <c r="V208" s="95">
        <f t="shared" si="7"/>
        <v>121</v>
      </c>
      <c r="W208" t="s">
        <v>7211</v>
      </c>
      <c r="X208" s="6" t="s">
        <v>7212</v>
      </c>
      <c r="Y208" s="2">
        <v>32663</v>
      </c>
      <c r="Z208" s="2">
        <v>44757</v>
      </c>
      <c r="AA208" s="284" t="s">
        <v>7602</v>
      </c>
      <c r="AB208" s="3">
        <v>44872</v>
      </c>
      <c r="AC208" s="80" t="s">
        <v>1339</v>
      </c>
      <c r="AF208" t="s">
        <v>3198</v>
      </c>
      <c r="AI208" t="s">
        <v>3108</v>
      </c>
      <c r="AJ208" s="3">
        <v>44770</v>
      </c>
      <c r="AL208"/>
      <c r="AM208" s="74">
        <v>44775</v>
      </c>
      <c r="AS208"/>
      <c r="AT208" s="1"/>
    </row>
    <row r="209" spans="1:46">
      <c r="A209" s="1">
        <v>206</v>
      </c>
      <c r="B209" t="s">
        <v>52</v>
      </c>
      <c r="C209" s="2">
        <v>44768</v>
      </c>
      <c r="D209" s="30" t="s">
        <v>458</v>
      </c>
      <c r="E209" s="30"/>
      <c r="F209" t="s">
        <v>84</v>
      </c>
      <c r="G209" s="103" t="s">
        <v>138</v>
      </c>
      <c r="H209" s="30" t="s">
        <v>227</v>
      </c>
      <c r="I209" s="31" t="s">
        <v>203</v>
      </c>
      <c r="J209" s="44" t="s">
        <v>5906</v>
      </c>
      <c r="K209" s="44" t="s">
        <v>5906</v>
      </c>
      <c r="L209" t="s">
        <v>4432</v>
      </c>
      <c r="M209" s="3">
        <v>44773</v>
      </c>
      <c r="N209" s="1" t="s">
        <v>35</v>
      </c>
      <c r="O209" s="1"/>
      <c r="P209" s="14" t="s">
        <v>7204</v>
      </c>
      <c r="Q209" s="187">
        <v>125</v>
      </c>
      <c r="R209" s="1">
        <v>1</v>
      </c>
      <c r="S209" s="90">
        <v>0.21</v>
      </c>
      <c r="T209" s="90">
        <v>0.2</v>
      </c>
      <c r="V209" s="95">
        <f t="shared" si="7"/>
        <v>121</v>
      </c>
      <c r="W209" t="s">
        <v>7268</v>
      </c>
      <c r="X209" s="6" t="s">
        <v>7269</v>
      </c>
      <c r="Y209" s="2">
        <v>34058</v>
      </c>
      <c r="Z209" s="2">
        <v>44768</v>
      </c>
      <c r="AA209" s="284" t="s">
        <v>7512</v>
      </c>
      <c r="AB209" s="3">
        <v>44865</v>
      </c>
      <c r="AC209" s="80" t="s">
        <v>1339</v>
      </c>
      <c r="AD209" s="61" t="s">
        <v>7205</v>
      </c>
      <c r="AF209" t="s">
        <v>3198</v>
      </c>
      <c r="AI209" t="s">
        <v>3108</v>
      </c>
      <c r="AJ209" s="2">
        <v>44799</v>
      </c>
      <c r="AL209"/>
      <c r="AM209" s="74">
        <v>44811</v>
      </c>
      <c r="AS209"/>
      <c r="AT209" s="1"/>
    </row>
    <row r="210" spans="1:46">
      <c r="A210" s="1">
        <v>207</v>
      </c>
      <c r="B210" s="61" t="s">
        <v>33</v>
      </c>
      <c r="C210" s="2">
        <v>44768</v>
      </c>
      <c r="D210" s="1" t="s">
        <v>1777</v>
      </c>
      <c r="E210" s="1"/>
      <c r="F210" s="61" t="s">
        <v>1778</v>
      </c>
      <c r="G210" s="61" t="s">
        <v>4479</v>
      </c>
      <c r="H210" s="6" t="s">
        <v>304</v>
      </c>
      <c r="I210" t="s">
        <v>4480</v>
      </c>
      <c r="J210" s="8" t="s">
        <v>4488</v>
      </c>
      <c r="K210" t="s">
        <v>8186</v>
      </c>
      <c r="L210" t="s">
        <v>237</v>
      </c>
      <c r="M210" s="3">
        <v>44773</v>
      </c>
      <c r="N210" s="1" t="s">
        <v>35</v>
      </c>
      <c r="O210" s="1"/>
      <c r="P210" s="14" t="s">
        <v>7206</v>
      </c>
      <c r="Q210" s="163">
        <v>75</v>
      </c>
      <c r="R210" s="1">
        <v>1</v>
      </c>
      <c r="S210" s="90">
        <v>0.21</v>
      </c>
      <c r="T210" s="90">
        <v>0.2</v>
      </c>
      <c r="V210" s="95">
        <f t="shared" si="7"/>
        <v>72.599999999999994</v>
      </c>
      <c r="W210" t="s">
        <v>4490</v>
      </c>
      <c r="X210" s="161" t="s">
        <v>7207</v>
      </c>
      <c r="Y210" s="2">
        <v>35081</v>
      </c>
      <c r="Z210" s="2">
        <v>44768</v>
      </c>
      <c r="AA210" s="284" t="s">
        <v>7275</v>
      </c>
      <c r="AB210" s="3">
        <v>44803</v>
      </c>
      <c r="AC210" s="80" t="s">
        <v>1339</v>
      </c>
      <c r="AF210" t="s">
        <v>3198</v>
      </c>
      <c r="AJ210" s="2"/>
      <c r="AK210" s="1"/>
      <c r="AL210"/>
      <c r="AM210" s="74"/>
      <c r="AS210"/>
      <c r="AT210" s="1"/>
    </row>
    <row r="211" spans="1:46">
      <c r="A211" s="1">
        <v>208</v>
      </c>
      <c r="B211" t="s">
        <v>119</v>
      </c>
      <c r="C211" s="2">
        <v>44770</v>
      </c>
      <c r="D211" s="1" t="s">
        <v>494</v>
      </c>
      <c r="E211" s="1"/>
      <c r="F211" t="s">
        <v>495</v>
      </c>
      <c r="G211" s="61" t="s">
        <v>5059</v>
      </c>
      <c r="H211" s="6" t="s">
        <v>242</v>
      </c>
      <c r="I211" s="1" t="s">
        <v>86</v>
      </c>
      <c r="K211" s="1" t="s">
        <v>8094</v>
      </c>
      <c r="L211" t="s">
        <v>174</v>
      </c>
      <c r="M211" s="3">
        <v>44773</v>
      </c>
      <c r="N211" s="1" t="s">
        <v>35</v>
      </c>
      <c r="O211" s="1"/>
      <c r="P211" s="14" t="s">
        <v>7210</v>
      </c>
      <c r="Q211" s="187">
        <v>125</v>
      </c>
      <c r="R211" s="1">
        <v>1</v>
      </c>
      <c r="S211" s="128">
        <v>0.21</v>
      </c>
      <c r="T211" s="128">
        <v>0.2</v>
      </c>
      <c r="U211" s="277" t="s">
        <v>7171</v>
      </c>
      <c r="V211" s="95">
        <f t="shared" si="7"/>
        <v>121</v>
      </c>
      <c r="W211" t="s">
        <v>7267</v>
      </c>
      <c r="X211" s="6" t="s">
        <v>7266</v>
      </c>
      <c r="Y211" s="2">
        <v>33938</v>
      </c>
      <c r="Z211" s="2">
        <v>44770</v>
      </c>
      <c r="AA211" s="284" t="s">
        <v>7575</v>
      </c>
      <c r="AB211" s="3">
        <v>44865</v>
      </c>
      <c r="AC211" s="80" t="s">
        <v>1339</v>
      </c>
      <c r="AF211" t="s">
        <v>3198</v>
      </c>
      <c r="AI211" t="s">
        <v>3108</v>
      </c>
      <c r="AJ211" s="2">
        <v>44799</v>
      </c>
      <c r="AL211"/>
      <c r="AM211" s="74">
        <v>44811</v>
      </c>
      <c r="AS211"/>
      <c r="AT211" s="1"/>
    </row>
    <row r="212" spans="1:46">
      <c r="A212" s="1">
        <v>209</v>
      </c>
      <c r="B212" t="s">
        <v>3984</v>
      </c>
      <c r="C212" s="2">
        <v>44771</v>
      </c>
      <c r="D212" s="1" t="s">
        <v>7215</v>
      </c>
      <c r="E212" s="1"/>
      <c r="F212" t="s">
        <v>7216</v>
      </c>
      <c r="G212" s="61" t="s">
        <v>7217</v>
      </c>
      <c r="H212" s="6" t="s">
        <v>3988</v>
      </c>
      <c r="I212" s="1" t="s">
        <v>7218</v>
      </c>
      <c r="J212" s="8">
        <v>950464154</v>
      </c>
      <c r="K212" s="8" t="s">
        <v>7219</v>
      </c>
      <c r="L212" t="s">
        <v>7215</v>
      </c>
      <c r="M212" s="3">
        <v>44773</v>
      </c>
      <c r="N212" s="1" t="s">
        <v>35</v>
      </c>
      <c r="O212" s="1"/>
      <c r="P212" s="14" t="s">
        <v>7220</v>
      </c>
      <c r="Q212" s="187">
        <v>100</v>
      </c>
      <c r="R212" s="1">
        <v>1</v>
      </c>
      <c r="S212" s="128">
        <v>0.21</v>
      </c>
      <c r="T212" s="128">
        <v>0</v>
      </c>
      <c r="U212" s="133"/>
      <c r="V212" s="95">
        <f t="shared" si="7"/>
        <v>121</v>
      </c>
      <c r="W212" t="s">
        <v>7221</v>
      </c>
      <c r="X212" s="6" t="s">
        <v>7222</v>
      </c>
      <c r="Y212" s="2">
        <v>30601</v>
      </c>
      <c r="Z212" s="2">
        <v>44719</v>
      </c>
      <c r="AA212" s="284" t="s">
        <v>7482</v>
      </c>
      <c r="AB212" s="2">
        <v>44853</v>
      </c>
      <c r="AC212" s="80" t="s">
        <v>1339</v>
      </c>
      <c r="AE212" s="3"/>
      <c r="AF212" t="s">
        <v>3198</v>
      </c>
      <c r="AG212" s="245"/>
      <c r="AI212"/>
      <c r="AJ212" s="2"/>
      <c r="AL212"/>
      <c r="AM212" s="74"/>
      <c r="AS212"/>
      <c r="AT212" s="1"/>
    </row>
    <row r="213" spans="1:46" s="31" customFormat="1">
      <c r="A213" s="30">
        <v>210</v>
      </c>
      <c r="B213" s="31" t="s">
        <v>37</v>
      </c>
      <c r="C213" s="2">
        <v>44771</v>
      </c>
      <c r="D213" s="31" t="s">
        <v>868</v>
      </c>
      <c r="F213" t="s">
        <v>869</v>
      </c>
      <c r="G213" s="31" t="s">
        <v>870</v>
      </c>
      <c r="H213" s="63" t="s">
        <v>219</v>
      </c>
      <c r="I213" s="30" t="s">
        <v>38</v>
      </c>
      <c r="J213" s="44" t="s">
        <v>5682</v>
      </c>
      <c r="K213" s="44"/>
      <c r="L213" s="31" t="s">
        <v>868</v>
      </c>
      <c r="M213" s="3">
        <v>44773</v>
      </c>
      <c r="N213" s="30" t="s">
        <v>35</v>
      </c>
      <c r="O213" s="1"/>
      <c r="P213" s="14" t="s">
        <v>7223</v>
      </c>
      <c r="Q213" s="187">
        <v>100</v>
      </c>
      <c r="R213" s="1">
        <v>1</v>
      </c>
      <c r="S213" s="90">
        <v>0.21</v>
      </c>
      <c r="T213" s="90">
        <v>0</v>
      </c>
      <c r="V213" s="95">
        <f t="shared" si="7"/>
        <v>121</v>
      </c>
      <c r="W213" t="s">
        <v>7224</v>
      </c>
      <c r="X213" s="6" t="s">
        <v>7225</v>
      </c>
      <c r="Y213" s="34">
        <v>31336</v>
      </c>
      <c r="Z213" s="2">
        <v>44655</v>
      </c>
      <c r="AA213" s="284" t="s">
        <v>7482</v>
      </c>
      <c r="AB213" s="2">
        <v>44853</v>
      </c>
      <c r="AC213" s="80" t="s">
        <v>1339</v>
      </c>
      <c r="AD213"/>
      <c r="AE213"/>
      <c r="AF213" t="s">
        <v>3198</v>
      </c>
      <c r="AI213"/>
      <c r="AJ213" s="34"/>
      <c r="AK213"/>
      <c r="AL213"/>
      <c r="AM213" s="281"/>
      <c r="AT213" s="30"/>
    </row>
    <row r="214" spans="1:46">
      <c r="A214" s="1">
        <v>211</v>
      </c>
      <c r="B214" t="s">
        <v>37</v>
      </c>
      <c r="C214" s="2">
        <v>44777</v>
      </c>
      <c r="D214" s="1" t="s">
        <v>5415</v>
      </c>
      <c r="E214" s="1"/>
      <c r="F214" t="s">
        <v>7227</v>
      </c>
      <c r="G214" s="61" t="s">
        <v>7228</v>
      </c>
      <c r="H214" s="6" t="s">
        <v>1062</v>
      </c>
      <c r="I214" s="1" t="s">
        <v>4749</v>
      </c>
      <c r="J214" s="8">
        <v>632785727</v>
      </c>
      <c r="K214" s="8"/>
      <c r="L214" t="s">
        <v>5415</v>
      </c>
      <c r="M214" s="3">
        <v>44804</v>
      </c>
      <c r="N214" s="30" t="s">
        <v>35</v>
      </c>
      <c r="O214" s="1"/>
      <c r="P214" s="14" t="s">
        <v>7229</v>
      </c>
      <c r="Q214" s="187">
        <v>75</v>
      </c>
      <c r="R214" s="1">
        <v>1</v>
      </c>
      <c r="S214" s="128">
        <v>0.21</v>
      </c>
      <c r="T214" s="128">
        <v>0</v>
      </c>
      <c r="U214" s="133"/>
      <c r="V214" s="95">
        <f t="shared" si="7"/>
        <v>90.75</v>
      </c>
      <c r="W214" t="s">
        <v>5415</v>
      </c>
      <c r="X214" s="6" t="s">
        <v>7230</v>
      </c>
      <c r="Y214" s="2">
        <v>34845</v>
      </c>
      <c r="Z214" s="2">
        <v>44777</v>
      </c>
      <c r="AA214" s="284" t="s">
        <v>7302</v>
      </c>
      <c r="AB214" s="3">
        <v>44810</v>
      </c>
      <c r="AC214" s="80" t="s">
        <v>1339</v>
      </c>
      <c r="AF214" t="s">
        <v>3198</v>
      </c>
      <c r="AI214" t="s">
        <v>7274</v>
      </c>
      <c r="AJ214" s="2">
        <v>44802</v>
      </c>
      <c r="AL214"/>
      <c r="AM214" s="74">
        <v>44803</v>
      </c>
      <c r="AS214"/>
      <c r="AT214" s="1"/>
    </row>
    <row r="215" spans="1:46">
      <c r="A215" s="1">
        <v>212</v>
      </c>
      <c r="B215" t="s">
        <v>1242</v>
      </c>
      <c r="C215" s="2">
        <v>44778</v>
      </c>
      <c r="D215" s="1" t="s">
        <v>2831</v>
      </c>
      <c r="E215" s="1"/>
      <c r="F215" s="61" t="s">
        <v>2832</v>
      </c>
      <c r="G215" s="61" t="s">
        <v>4250</v>
      </c>
      <c r="H215" s="6" t="s">
        <v>221</v>
      </c>
      <c r="I215" s="1" t="s">
        <v>34</v>
      </c>
      <c r="J215" s="8">
        <v>609171350</v>
      </c>
      <c r="K215" s="8" t="s">
        <v>5905</v>
      </c>
      <c r="L215" s="31" t="s">
        <v>1250</v>
      </c>
      <c r="M215" s="3">
        <v>44804</v>
      </c>
      <c r="N215" s="1" t="s">
        <v>35</v>
      </c>
      <c r="O215" s="1"/>
      <c r="P215" s="14" t="s">
        <v>7231</v>
      </c>
      <c r="Q215" s="163">
        <v>132.22999999999999</v>
      </c>
      <c r="R215" s="1">
        <v>1</v>
      </c>
      <c r="S215" s="128">
        <v>0.21</v>
      </c>
      <c r="T215" s="128">
        <v>0.2</v>
      </c>
      <c r="V215" s="95">
        <f t="shared" si="7"/>
        <v>127.99863999999999</v>
      </c>
      <c r="W215" t="s">
        <v>7276</v>
      </c>
      <c r="X215" s="161" t="s">
        <v>7277</v>
      </c>
      <c r="Y215" s="2">
        <v>31738</v>
      </c>
      <c r="Z215" s="2">
        <v>44778</v>
      </c>
      <c r="AA215" s="284" t="s">
        <v>7629</v>
      </c>
      <c r="AB215" s="3">
        <v>44875</v>
      </c>
      <c r="AC215" s="80" t="s">
        <v>1339</v>
      </c>
      <c r="AF215" t="s">
        <v>3198</v>
      </c>
      <c r="AI215" t="s">
        <v>3108</v>
      </c>
      <c r="AJ215" s="2">
        <v>44803</v>
      </c>
      <c r="AK215" s="1"/>
      <c r="AL215"/>
      <c r="AM215" s="74">
        <v>44811</v>
      </c>
      <c r="AS215"/>
      <c r="AT215" s="1"/>
    </row>
    <row r="216" spans="1:46">
      <c r="A216" s="1">
        <v>213</v>
      </c>
      <c r="B216" s="61" t="s">
        <v>37</v>
      </c>
      <c r="C216" s="2">
        <v>44782</v>
      </c>
      <c r="D216" s="1" t="s">
        <v>2894</v>
      </c>
      <c r="E216" s="1"/>
      <c r="F216" s="61" t="s">
        <v>4137</v>
      </c>
      <c r="G216" s="61" t="s">
        <v>4127</v>
      </c>
      <c r="H216" s="6" t="s">
        <v>1257</v>
      </c>
      <c r="I216" s="1" t="s">
        <v>1266</v>
      </c>
      <c r="J216" s="8">
        <v>631167479</v>
      </c>
      <c r="K216" s="8"/>
      <c r="L216" t="s">
        <v>2894</v>
      </c>
      <c r="M216" s="3">
        <v>44804</v>
      </c>
      <c r="N216" s="1" t="s">
        <v>35</v>
      </c>
      <c r="O216" s="1"/>
      <c r="P216" s="14" t="s">
        <v>4138</v>
      </c>
      <c r="Q216" s="92">
        <v>78.510000000000005</v>
      </c>
      <c r="R216" s="1">
        <v>1</v>
      </c>
      <c r="S216" s="90">
        <v>0.21</v>
      </c>
      <c r="T216" s="90">
        <v>0</v>
      </c>
      <c r="U216" s="1"/>
      <c r="V216" s="95">
        <f t="shared" si="7"/>
        <v>94.997100000000003</v>
      </c>
      <c r="W216" t="s">
        <v>2894</v>
      </c>
      <c r="X216" s="87" t="s">
        <v>7233</v>
      </c>
      <c r="Y216" s="2">
        <v>23743</v>
      </c>
      <c r="Z216" s="2">
        <v>44782</v>
      </c>
      <c r="AA216" s="284" t="s">
        <v>7321</v>
      </c>
      <c r="AB216" s="3">
        <v>44813</v>
      </c>
      <c r="AC216" s="80" t="s">
        <v>1339</v>
      </c>
      <c r="AF216" t="s">
        <v>3198</v>
      </c>
      <c r="AJ216" s="1"/>
      <c r="AK216" s="1"/>
      <c r="AL216"/>
      <c r="AM216" s="8"/>
      <c r="AS216"/>
      <c r="AT216" s="1"/>
    </row>
    <row r="217" spans="1:46">
      <c r="A217" s="1">
        <v>214</v>
      </c>
      <c r="B217" t="s">
        <v>37</v>
      </c>
      <c r="C217" s="2">
        <v>44782</v>
      </c>
      <c r="D217" s="1" t="s">
        <v>5102</v>
      </c>
      <c r="E217" s="1"/>
      <c r="F217" t="s">
        <v>4908</v>
      </c>
      <c r="G217" t="s">
        <v>4909</v>
      </c>
      <c r="H217" s="6" t="s">
        <v>219</v>
      </c>
      <c r="I217" s="1" t="s">
        <v>38</v>
      </c>
      <c r="J217" s="8">
        <v>632864476</v>
      </c>
      <c r="K217" s="8"/>
      <c r="L217" t="s">
        <v>5102</v>
      </c>
      <c r="M217" s="3">
        <v>44804</v>
      </c>
      <c r="N217" s="1" t="s">
        <v>35</v>
      </c>
      <c r="O217" s="1"/>
      <c r="P217" s="14" t="s">
        <v>7234</v>
      </c>
      <c r="Q217" s="187">
        <v>78.510000000000005</v>
      </c>
      <c r="R217" s="1">
        <v>1</v>
      </c>
      <c r="S217" s="90">
        <v>0.21</v>
      </c>
      <c r="T217" s="90">
        <v>0</v>
      </c>
      <c r="V217" s="95">
        <f t="shared" si="7"/>
        <v>94.997100000000003</v>
      </c>
      <c r="W217" t="s">
        <v>5102</v>
      </c>
      <c r="X217" s="6" t="s">
        <v>7235</v>
      </c>
      <c r="Y217" s="2">
        <v>32875</v>
      </c>
      <c r="Z217" s="2">
        <v>44782</v>
      </c>
      <c r="AA217" s="284" t="s">
        <v>7343</v>
      </c>
      <c r="AB217" s="3">
        <v>44823</v>
      </c>
      <c r="AC217" s="80" t="s">
        <v>1339</v>
      </c>
      <c r="AF217" t="s">
        <v>3198</v>
      </c>
      <c r="AI217"/>
      <c r="AJ217" s="2"/>
      <c r="AL217"/>
      <c r="AM217" s="74"/>
      <c r="AS217"/>
      <c r="AT217" s="1"/>
    </row>
    <row r="218" spans="1:46">
      <c r="A218" s="1">
        <v>215</v>
      </c>
      <c r="B218" t="s">
        <v>37</v>
      </c>
      <c r="C218" s="2">
        <v>44782</v>
      </c>
      <c r="D218" t="s">
        <v>2841</v>
      </c>
      <c r="F218" t="s">
        <v>4070</v>
      </c>
      <c r="G218" t="s">
        <v>4075</v>
      </c>
      <c r="H218" s="6" t="s">
        <v>219</v>
      </c>
      <c r="I218" t="s">
        <v>38</v>
      </c>
      <c r="J218" s="8">
        <v>631653381</v>
      </c>
      <c r="K218" s="8"/>
      <c r="L218" t="s">
        <v>2841</v>
      </c>
      <c r="M218" s="3">
        <v>44804</v>
      </c>
      <c r="N218" s="1" t="s">
        <v>35</v>
      </c>
      <c r="O218" s="1"/>
      <c r="P218" s="14" t="s">
        <v>4072</v>
      </c>
      <c r="Q218" s="144">
        <v>75</v>
      </c>
      <c r="R218" s="1">
        <v>1</v>
      </c>
      <c r="S218" s="90">
        <v>0.21</v>
      </c>
      <c r="T218" s="90">
        <v>0</v>
      </c>
      <c r="U218" s="1"/>
      <c r="V218" s="95">
        <f t="shared" si="7"/>
        <v>90.75</v>
      </c>
      <c r="W218" t="s">
        <v>2841</v>
      </c>
      <c r="X218" s="87" t="s">
        <v>7236</v>
      </c>
      <c r="Y218" s="2">
        <v>33969</v>
      </c>
      <c r="Z218" s="2">
        <v>44782</v>
      </c>
      <c r="AA218" s="61"/>
      <c r="AF218" t="s">
        <v>3198</v>
      </c>
      <c r="AJ218" s="1"/>
      <c r="AK218" s="1"/>
      <c r="AL218"/>
      <c r="AM218" s="8"/>
      <c r="AS218"/>
      <c r="AT218" s="1"/>
    </row>
    <row r="219" spans="1:46">
      <c r="A219" s="1">
        <v>216</v>
      </c>
      <c r="B219" t="s">
        <v>1242</v>
      </c>
      <c r="C219" s="2">
        <v>44782</v>
      </c>
      <c r="D219" s="1" t="s">
        <v>7237</v>
      </c>
      <c r="E219" s="1"/>
      <c r="F219" t="s">
        <v>7238</v>
      </c>
      <c r="G219" s="61" t="s">
        <v>7239</v>
      </c>
      <c r="H219" s="6" t="s">
        <v>221</v>
      </c>
      <c r="I219" s="1" t="s">
        <v>34</v>
      </c>
      <c r="K219" s="8" t="s">
        <v>5905</v>
      </c>
      <c r="L219" t="s">
        <v>1250</v>
      </c>
      <c r="M219" s="3">
        <v>44804</v>
      </c>
      <c r="N219" s="1" t="s">
        <v>35</v>
      </c>
      <c r="O219" s="1"/>
      <c r="P219" s="14" t="s">
        <v>7240</v>
      </c>
      <c r="Q219" s="187">
        <v>132.22999999999999</v>
      </c>
      <c r="R219" s="1">
        <v>1</v>
      </c>
      <c r="S219" s="128">
        <v>0.21</v>
      </c>
      <c r="T219" s="128">
        <v>0.2</v>
      </c>
      <c r="V219" s="95">
        <f t="shared" si="7"/>
        <v>127.99863999999999</v>
      </c>
      <c r="W219" t="s">
        <v>7310</v>
      </c>
      <c r="X219" s="6" t="s">
        <v>7311</v>
      </c>
      <c r="Y219" s="2">
        <v>36886</v>
      </c>
      <c r="Z219" s="2">
        <v>44782</v>
      </c>
      <c r="AA219" s="284" t="s">
        <v>7474</v>
      </c>
      <c r="AB219" s="3">
        <v>44847</v>
      </c>
      <c r="AC219" s="80" t="s">
        <v>1339</v>
      </c>
      <c r="AF219" t="s">
        <v>3198</v>
      </c>
      <c r="AI219" t="s">
        <v>7241</v>
      </c>
      <c r="AJ219" s="2">
        <v>44810</v>
      </c>
      <c r="AL219"/>
      <c r="AM219" s="74">
        <v>44825</v>
      </c>
      <c r="AS219"/>
      <c r="AT219" s="1"/>
    </row>
    <row r="220" spans="1:46">
      <c r="A220" s="1">
        <v>217</v>
      </c>
      <c r="B220" t="s">
        <v>40</v>
      </c>
      <c r="C220" s="2">
        <v>44783</v>
      </c>
      <c r="D220" s="1" t="s">
        <v>7242</v>
      </c>
      <c r="E220" s="1"/>
      <c r="F220" t="s">
        <v>2989</v>
      </c>
      <c r="G220" s="61" t="s">
        <v>7243</v>
      </c>
      <c r="H220" s="6" t="s">
        <v>221</v>
      </c>
      <c r="I220" s="1" t="s">
        <v>34</v>
      </c>
      <c r="J220" s="44"/>
      <c r="K220" s="8"/>
      <c r="L220" t="s">
        <v>7242</v>
      </c>
      <c r="M220" s="3">
        <v>44804</v>
      </c>
      <c r="N220" s="1" t="s">
        <v>35</v>
      </c>
      <c r="O220" s="1"/>
      <c r="P220" s="14" t="s">
        <v>7244</v>
      </c>
      <c r="Q220" s="187">
        <v>132.22999999999999</v>
      </c>
      <c r="R220" s="1">
        <v>1</v>
      </c>
      <c r="S220" s="128">
        <v>0.21</v>
      </c>
      <c r="T220" s="128">
        <v>0.2</v>
      </c>
      <c r="V220" s="95">
        <f>SUM(Q221-(Q221*T220))*S220+(Q221-(Q221*T220))</f>
        <v>127.99863999999999</v>
      </c>
      <c r="W220" t="s">
        <v>7307</v>
      </c>
      <c r="X220" s="6" t="s">
        <v>7308</v>
      </c>
      <c r="Y220" s="2">
        <v>27395</v>
      </c>
      <c r="Z220" s="2">
        <v>44783</v>
      </c>
      <c r="AA220" s="284" t="s">
        <v>7643</v>
      </c>
      <c r="AB220" s="3">
        <v>44880</v>
      </c>
      <c r="AC220" s="80" t="s">
        <v>1339</v>
      </c>
      <c r="AE220" s="3"/>
      <c r="AF220" t="s">
        <v>3198</v>
      </c>
      <c r="AI220" t="s">
        <v>3108</v>
      </c>
      <c r="AJ220" s="2">
        <v>44810</v>
      </c>
      <c r="AL220"/>
      <c r="AM220" s="74">
        <v>44812</v>
      </c>
      <c r="AS220"/>
      <c r="AT220" s="1"/>
    </row>
    <row r="221" spans="1:46">
      <c r="A221" s="1">
        <v>218</v>
      </c>
      <c r="B221" t="s">
        <v>7245</v>
      </c>
      <c r="C221" s="2">
        <v>44783</v>
      </c>
      <c r="D221" t="s">
        <v>1522</v>
      </c>
      <c r="F221" t="s">
        <v>3233</v>
      </c>
      <c r="G221" t="s">
        <v>3241</v>
      </c>
      <c r="H221" s="6" t="s">
        <v>3234</v>
      </c>
      <c r="I221" t="s">
        <v>3235</v>
      </c>
      <c r="J221" s="8">
        <v>680761760</v>
      </c>
      <c r="K221" s="8" t="s">
        <v>6232</v>
      </c>
      <c r="L221" t="s">
        <v>1522</v>
      </c>
      <c r="M221" s="3">
        <v>44804</v>
      </c>
      <c r="N221" s="1" t="s">
        <v>35</v>
      </c>
      <c r="O221" s="1"/>
      <c r="P221" s="14" t="s">
        <v>7246</v>
      </c>
      <c r="Q221" s="187">
        <v>132.22999999999999</v>
      </c>
      <c r="R221" s="1">
        <v>1</v>
      </c>
      <c r="S221" s="128">
        <v>0.21</v>
      </c>
      <c r="T221" s="128">
        <v>0.2</v>
      </c>
      <c r="V221" s="95">
        <v>128</v>
      </c>
      <c r="W221" t="s">
        <v>7305</v>
      </c>
      <c r="X221" s="6" t="s">
        <v>7306</v>
      </c>
      <c r="Y221" s="2">
        <v>33948</v>
      </c>
      <c r="Z221" s="2">
        <v>44783</v>
      </c>
      <c r="AA221" s="284" t="s">
        <v>7643</v>
      </c>
      <c r="AB221" s="3">
        <v>44880</v>
      </c>
      <c r="AC221" s="80" t="s">
        <v>1339</v>
      </c>
      <c r="AE221" s="3"/>
      <c r="AF221" t="s">
        <v>3198</v>
      </c>
      <c r="AI221" t="s">
        <v>3108</v>
      </c>
      <c r="AJ221" s="2">
        <v>44810</v>
      </c>
      <c r="AL221"/>
      <c r="AM221" s="74">
        <v>44813</v>
      </c>
      <c r="AS221"/>
      <c r="AT221" s="1"/>
    </row>
    <row r="222" spans="1:46">
      <c r="A222" s="1">
        <v>219</v>
      </c>
      <c r="B222" t="s">
        <v>1242</v>
      </c>
      <c r="C222" s="2">
        <v>44783</v>
      </c>
      <c r="D222" s="61" t="s">
        <v>1243</v>
      </c>
      <c r="E222" s="61"/>
      <c r="F222" t="s">
        <v>1244</v>
      </c>
      <c r="G222" t="s">
        <v>1245</v>
      </c>
      <c r="H222" s="6" t="s">
        <v>227</v>
      </c>
      <c r="I222" t="s">
        <v>34</v>
      </c>
      <c r="J222" s="8">
        <v>632341539</v>
      </c>
      <c r="K222" s="8" t="s">
        <v>5905</v>
      </c>
      <c r="L222" s="31" t="s">
        <v>1250</v>
      </c>
      <c r="M222" s="3">
        <v>44804</v>
      </c>
      <c r="N222" s="1" t="s">
        <v>35</v>
      </c>
      <c r="O222" s="1"/>
      <c r="P222" s="14" t="s">
        <v>7247</v>
      </c>
      <c r="Q222" s="187">
        <v>132.22999999999999</v>
      </c>
      <c r="R222" s="1">
        <v>1</v>
      </c>
      <c r="S222" s="58">
        <v>0.21</v>
      </c>
      <c r="T222" s="90">
        <v>0.2</v>
      </c>
      <c r="V222" s="95">
        <f t="shared" ref="V222:V250" si="8">SUM(Q222-(Q222*T222))*S222+(Q222-(Q222*T222))</f>
        <v>127.99863999999999</v>
      </c>
      <c r="W222" t="s">
        <v>7303</v>
      </c>
      <c r="X222" s="6" t="s">
        <v>7304</v>
      </c>
      <c r="Y222" s="3">
        <v>29453</v>
      </c>
      <c r="Z222" s="2">
        <v>44783</v>
      </c>
      <c r="AA222" s="284" t="s">
        <v>7661</v>
      </c>
      <c r="AB222" s="64">
        <v>44885</v>
      </c>
      <c r="AC222" s="80" t="s">
        <v>1339</v>
      </c>
      <c r="AD222" s="61"/>
      <c r="AF222" t="s">
        <v>3198</v>
      </c>
      <c r="AH222" s="3"/>
      <c r="AI222" t="s">
        <v>3108</v>
      </c>
      <c r="AJ222" s="2">
        <v>44810</v>
      </c>
      <c r="AL222" s="3"/>
      <c r="AM222" s="74">
        <v>44817</v>
      </c>
      <c r="AS222"/>
      <c r="AT222" s="1"/>
    </row>
    <row r="223" spans="1:46">
      <c r="A223" s="1">
        <v>220</v>
      </c>
      <c r="B223" t="s">
        <v>37</v>
      </c>
      <c r="C223" s="2">
        <v>44784</v>
      </c>
      <c r="D223" s="1" t="s">
        <v>4098</v>
      </c>
      <c r="E223" s="1"/>
      <c r="F223" t="s">
        <v>7282</v>
      </c>
      <c r="G223" s="61" t="s">
        <v>5562</v>
      </c>
      <c r="H223" s="6" t="s">
        <v>221</v>
      </c>
      <c r="I223" s="1" t="s">
        <v>34</v>
      </c>
      <c r="J223" s="8">
        <v>652990902</v>
      </c>
      <c r="K223" s="8"/>
      <c r="L223" t="s">
        <v>4098</v>
      </c>
      <c r="M223" s="3">
        <v>44804</v>
      </c>
      <c r="N223" s="1" t="s">
        <v>35</v>
      </c>
      <c r="O223" s="1"/>
      <c r="P223" t="s">
        <v>7248</v>
      </c>
      <c r="Q223" s="187">
        <v>78.510000000000005</v>
      </c>
      <c r="R223" s="1">
        <v>1</v>
      </c>
      <c r="S223" s="128">
        <v>0.21</v>
      </c>
      <c r="T223" s="128">
        <v>0</v>
      </c>
      <c r="V223" s="95">
        <f t="shared" si="8"/>
        <v>94.997100000000003</v>
      </c>
      <c r="W223"/>
      <c r="X223" s="6" t="s">
        <v>7249</v>
      </c>
      <c r="Y223" s="2">
        <v>31693</v>
      </c>
      <c r="Z223" s="2">
        <v>44784</v>
      </c>
      <c r="AA223" s="284" t="s">
        <v>7393</v>
      </c>
      <c r="AB223" s="3">
        <v>44837</v>
      </c>
      <c r="AC223" s="80" t="s">
        <v>1339</v>
      </c>
      <c r="AF223" t="s">
        <v>3198</v>
      </c>
      <c r="AI223"/>
      <c r="AJ223" s="1"/>
      <c r="AL223"/>
      <c r="AM223" s="8"/>
      <c r="AS223"/>
      <c r="AT223" s="1"/>
    </row>
    <row r="224" spans="1:46">
      <c r="A224" s="1">
        <v>221</v>
      </c>
      <c r="B224" t="s">
        <v>6452</v>
      </c>
      <c r="C224" s="2">
        <v>44784</v>
      </c>
      <c r="D224" t="s">
        <v>7278</v>
      </c>
      <c r="F224" t="s">
        <v>7250</v>
      </c>
      <c r="G224" s="61" t="s">
        <v>7251</v>
      </c>
      <c r="H224" s="1">
        <v>4279</v>
      </c>
      <c r="I224" s="1" t="s">
        <v>144</v>
      </c>
      <c r="J224" s="8">
        <v>6041903360</v>
      </c>
      <c r="K224" s="8"/>
      <c r="L224" t="s">
        <v>7278</v>
      </c>
      <c r="M224" s="3">
        <v>44804</v>
      </c>
      <c r="N224" s="1" t="s">
        <v>35</v>
      </c>
      <c r="O224" s="1"/>
      <c r="P224" t="s">
        <v>7252</v>
      </c>
      <c r="Q224" s="187">
        <v>87.5</v>
      </c>
      <c r="R224" s="1">
        <v>1</v>
      </c>
      <c r="S224" s="128">
        <v>0.21</v>
      </c>
      <c r="T224" s="128">
        <v>0</v>
      </c>
      <c r="V224" s="95">
        <f t="shared" si="8"/>
        <v>105.875</v>
      </c>
      <c r="W224" t="s">
        <v>7278</v>
      </c>
      <c r="X224" s="6" t="s">
        <v>7279</v>
      </c>
      <c r="Y224" s="2">
        <v>33893</v>
      </c>
      <c r="Z224" s="2">
        <v>44784</v>
      </c>
      <c r="AF224" t="s">
        <v>3198</v>
      </c>
      <c r="AI224"/>
      <c r="AJ224" s="2"/>
      <c r="AL224"/>
      <c r="AM224" s="74"/>
      <c r="AS224"/>
      <c r="AT224" s="1"/>
    </row>
    <row r="225" spans="1:46">
      <c r="A225" s="1">
        <v>222</v>
      </c>
      <c r="B225" s="61" t="s">
        <v>4321</v>
      </c>
      <c r="C225" s="2">
        <v>44784</v>
      </c>
      <c r="D225" s="1" t="s">
        <v>5988</v>
      </c>
      <c r="E225" s="1"/>
      <c r="F225" t="s">
        <v>5989</v>
      </c>
      <c r="G225" s="61" t="s">
        <v>5990</v>
      </c>
      <c r="H225" s="6" t="s">
        <v>242</v>
      </c>
      <c r="I225" s="1" t="s">
        <v>5083</v>
      </c>
      <c r="K225" s="8" t="s">
        <v>5991</v>
      </c>
      <c r="L225" t="s">
        <v>5988</v>
      </c>
      <c r="M225" s="3">
        <v>44804</v>
      </c>
      <c r="N225" s="1" t="s">
        <v>35</v>
      </c>
      <c r="O225" s="1"/>
      <c r="P225" s="14" t="s">
        <v>7297</v>
      </c>
      <c r="Q225" s="187">
        <v>132.22999999999999</v>
      </c>
      <c r="R225" s="1">
        <v>1</v>
      </c>
      <c r="S225" s="90">
        <v>0.21</v>
      </c>
      <c r="T225" s="90">
        <v>0.2</v>
      </c>
      <c r="V225" s="95">
        <f t="shared" si="8"/>
        <v>127.99863999999999</v>
      </c>
      <c r="W225" t="s">
        <v>7299</v>
      </c>
      <c r="X225" s="6" t="s">
        <v>7298</v>
      </c>
      <c r="Y225" s="2">
        <v>36116</v>
      </c>
      <c r="Z225" s="2">
        <v>44784</v>
      </c>
      <c r="AA225" s="284" t="s">
        <v>7474</v>
      </c>
      <c r="AB225" s="3">
        <v>44847</v>
      </c>
      <c r="AC225" s="80" t="s">
        <v>1339</v>
      </c>
      <c r="AF225" t="s">
        <v>3198</v>
      </c>
      <c r="AI225" t="s">
        <v>3221</v>
      </c>
      <c r="AJ225" s="2">
        <v>44810</v>
      </c>
      <c r="AL225"/>
      <c r="AM225" s="74">
        <v>44813</v>
      </c>
      <c r="AS225"/>
      <c r="AT225" s="1"/>
    </row>
    <row r="226" spans="1:46">
      <c r="A226" s="1">
        <v>223</v>
      </c>
      <c r="B226" s="61" t="s">
        <v>4119</v>
      </c>
      <c r="C226" s="2">
        <v>44789</v>
      </c>
      <c r="D226" s="1" t="s">
        <v>2878</v>
      </c>
      <c r="E226" s="1"/>
      <c r="F226" s="61" t="s">
        <v>4120</v>
      </c>
      <c r="G226" s="61" t="s">
        <v>4121</v>
      </c>
      <c r="H226" s="6" t="s">
        <v>432</v>
      </c>
      <c r="I226" s="1" t="s">
        <v>3681</v>
      </c>
      <c r="K226" s="8"/>
      <c r="L226" t="s">
        <v>2878</v>
      </c>
      <c r="M226" s="3">
        <v>44804</v>
      </c>
      <c r="N226" s="1" t="s">
        <v>35</v>
      </c>
      <c r="O226" s="1"/>
      <c r="P226" s="14" t="s">
        <v>4122</v>
      </c>
      <c r="Q226" s="92">
        <v>78.510000000000005</v>
      </c>
      <c r="R226" s="1">
        <v>1</v>
      </c>
      <c r="S226" s="90">
        <v>0.21</v>
      </c>
      <c r="T226" s="90">
        <v>0</v>
      </c>
      <c r="U226" s="1"/>
      <c r="V226" s="95">
        <f t="shared" si="8"/>
        <v>94.997100000000003</v>
      </c>
      <c r="W226" t="s">
        <v>2878</v>
      </c>
      <c r="X226" s="6" t="s">
        <v>7309</v>
      </c>
      <c r="Y226" s="2">
        <v>27030</v>
      </c>
      <c r="Z226" s="2">
        <v>44789</v>
      </c>
      <c r="AA226" s="284" t="s">
        <v>7327</v>
      </c>
      <c r="AB226" s="3">
        <v>44817</v>
      </c>
      <c r="AC226" s="80" t="s">
        <v>1339</v>
      </c>
      <c r="AF226" t="s">
        <v>3198</v>
      </c>
      <c r="AJ226" s="1"/>
      <c r="AK226" s="1"/>
      <c r="AL226"/>
      <c r="AM226" s="8"/>
      <c r="AS226"/>
      <c r="AT226" s="1"/>
    </row>
    <row r="227" spans="1:46">
      <c r="A227" s="1">
        <v>224</v>
      </c>
      <c r="B227" s="61" t="s">
        <v>4119</v>
      </c>
      <c r="C227" s="2">
        <v>44785</v>
      </c>
      <c r="D227" s="1" t="s">
        <v>2880</v>
      </c>
      <c r="E227" s="1"/>
      <c r="F227" s="61" t="s">
        <v>4123</v>
      </c>
      <c r="G227" s="61" t="s">
        <v>4124</v>
      </c>
      <c r="H227" s="6" t="s">
        <v>270</v>
      </c>
      <c r="I227" s="1" t="s">
        <v>3681</v>
      </c>
      <c r="K227" s="8"/>
      <c r="L227" t="s">
        <v>2880</v>
      </c>
      <c r="M227" s="3">
        <v>44804</v>
      </c>
      <c r="N227" s="1" t="s">
        <v>35</v>
      </c>
      <c r="O227" s="1"/>
      <c r="P227" s="14" t="s">
        <v>4125</v>
      </c>
      <c r="Q227" s="92">
        <v>78.510000000000005</v>
      </c>
      <c r="R227" s="1">
        <v>1</v>
      </c>
      <c r="S227" s="90">
        <v>0.21</v>
      </c>
      <c r="T227" s="90">
        <v>0</v>
      </c>
      <c r="U227" s="1"/>
      <c r="V227" s="95">
        <f t="shared" si="8"/>
        <v>94.997100000000003</v>
      </c>
      <c r="W227" t="s">
        <v>2880</v>
      </c>
      <c r="X227" s="87" t="s">
        <v>7259</v>
      </c>
      <c r="Y227" s="2">
        <v>27760</v>
      </c>
      <c r="Z227" s="2">
        <v>44785</v>
      </c>
      <c r="AA227" s="284" t="s">
        <v>7327</v>
      </c>
      <c r="AB227" s="3">
        <v>44817</v>
      </c>
      <c r="AC227" s="80" t="s">
        <v>1339</v>
      </c>
      <c r="AF227" t="s">
        <v>3198</v>
      </c>
      <c r="AJ227" s="1"/>
      <c r="AK227" s="1"/>
      <c r="AL227"/>
      <c r="AM227" s="8"/>
      <c r="AS227"/>
      <c r="AT227" s="1"/>
    </row>
    <row r="228" spans="1:46">
      <c r="A228" s="1">
        <v>225</v>
      </c>
      <c r="B228" s="61" t="s">
        <v>4119</v>
      </c>
      <c r="C228" s="2">
        <v>44785</v>
      </c>
      <c r="D228" s="1" t="s">
        <v>2885</v>
      </c>
      <c r="E228" s="1"/>
      <c r="F228" s="61" t="s">
        <v>4126</v>
      </c>
      <c r="G228" s="61" t="s">
        <v>4127</v>
      </c>
      <c r="H228" s="6" t="s">
        <v>1257</v>
      </c>
      <c r="I228" s="1" t="s">
        <v>1266</v>
      </c>
      <c r="K228" s="8"/>
      <c r="L228" t="s">
        <v>2885</v>
      </c>
      <c r="M228" s="3">
        <v>44804</v>
      </c>
      <c r="N228" s="1" t="s">
        <v>35</v>
      </c>
      <c r="O228" s="1"/>
      <c r="P228" s="14" t="s">
        <v>4128</v>
      </c>
      <c r="Q228" s="92">
        <v>78.510000000000005</v>
      </c>
      <c r="R228" s="1">
        <v>1</v>
      </c>
      <c r="S228" s="90">
        <v>0.21</v>
      </c>
      <c r="T228" s="90">
        <v>0</v>
      </c>
      <c r="U228" s="1"/>
      <c r="V228" s="95">
        <f t="shared" si="8"/>
        <v>94.997100000000003</v>
      </c>
      <c r="W228" t="s">
        <v>2885</v>
      </c>
      <c r="X228" s="87" t="s">
        <v>7255</v>
      </c>
      <c r="Y228" s="2">
        <v>28357</v>
      </c>
      <c r="Z228" s="2">
        <v>44785</v>
      </c>
      <c r="AA228" s="284" t="s">
        <v>7327</v>
      </c>
      <c r="AB228" s="3">
        <v>44817</v>
      </c>
      <c r="AC228" s="80" t="s">
        <v>1339</v>
      </c>
      <c r="AF228" t="s">
        <v>3198</v>
      </c>
      <c r="AJ228" s="1"/>
      <c r="AK228" s="1"/>
      <c r="AL228"/>
      <c r="AM228" s="8"/>
      <c r="AS228"/>
      <c r="AT228" s="1"/>
    </row>
    <row r="229" spans="1:46">
      <c r="A229" s="1">
        <v>226</v>
      </c>
      <c r="B229" s="61" t="s">
        <v>4119</v>
      </c>
      <c r="C229" s="2">
        <v>44785</v>
      </c>
      <c r="D229" s="1" t="s">
        <v>2900</v>
      </c>
      <c r="E229" s="1"/>
      <c r="F229" s="61" t="s">
        <v>4135</v>
      </c>
      <c r="G229" s="61" t="s">
        <v>4124</v>
      </c>
      <c r="H229" s="6" t="s">
        <v>270</v>
      </c>
      <c r="I229" s="1" t="s">
        <v>3681</v>
      </c>
      <c r="K229" s="8"/>
      <c r="L229" t="s">
        <v>2900</v>
      </c>
      <c r="M229" s="3">
        <v>44804</v>
      </c>
      <c r="N229" s="1" t="s">
        <v>35</v>
      </c>
      <c r="O229" s="1"/>
      <c r="P229" s="14" t="s">
        <v>4136</v>
      </c>
      <c r="Q229" s="92">
        <v>78.510000000000005</v>
      </c>
      <c r="R229" s="1">
        <v>1</v>
      </c>
      <c r="S229" s="90">
        <v>0.21</v>
      </c>
      <c r="T229" s="90">
        <v>0</v>
      </c>
      <c r="U229" s="1"/>
      <c r="V229" s="95">
        <f t="shared" si="8"/>
        <v>94.997100000000003</v>
      </c>
      <c r="W229" t="s">
        <v>2900</v>
      </c>
      <c r="X229" s="87" t="s">
        <v>7257</v>
      </c>
      <c r="Y229" s="2">
        <v>26573</v>
      </c>
      <c r="Z229" s="2">
        <v>44785</v>
      </c>
      <c r="AA229" s="284" t="s">
        <v>7327</v>
      </c>
      <c r="AB229" s="3">
        <v>44817</v>
      </c>
      <c r="AC229" s="80" t="s">
        <v>1339</v>
      </c>
      <c r="AF229" t="s">
        <v>3198</v>
      </c>
      <c r="AJ229" s="1"/>
      <c r="AK229" s="1"/>
      <c r="AL229"/>
      <c r="AM229" s="8"/>
      <c r="AS229"/>
      <c r="AT229" s="1"/>
    </row>
    <row r="230" spans="1:46">
      <c r="A230" s="1">
        <v>227</v>
      </c>
      <c r="B230" s="61" t="s">
        <v>4119</v>
      </c>
      <c r="C230" s="2">
        <v>44785</v>
      </c>
      <c r="D230" s="1" t="s">
        <v>2906</v>
      </c>
      <c r="E230" s="1"/>
      <c r="F230" s="61" t="s">
        <v>4139</v>
      </c>
      <c r="G230" s="61" t="s">
        <v>4130</v>
      </c>
      <c r="H230" s="6" t="s">
        <v>241</v>
      </c>
      <c r="I230" s="1" t="s">
        <v>3454</v>
      </c>
      <c r="K230" s="8"/>
      <c r="L230" t="s">
        <v>2906</v>
      </c>
      <c r="M230" s="3">
        <v>44804</v>
      </c>
      <c r="N230" s="1" t="s">
        <v>35</v>
      </c>
      <c r="O230" s="1"/>
      <c r="P230" s="14" t="s">
        <v>4140</v>
      </c>
      <c r="Q230" s="92">
        <v>78.510000000000005</v>
      </c>
      <c r="R230" s="1">
        <v>1</v>
      </c>
      <c r="S230" s="90">
        <v>0.21</v>
      </c>
      <c r="T230" s="90">
        <v>0</v>
      </c>
      <c r="U230" s="1"/>
      <c r="V230" s="95">
        <f t="shared" si="8"/>
        <v>94.997100000000003</v>
      </c>
      <c r="W230" t="s">
        <v>2906</v>
      </c>
      <c r="X230" s="87" t="s">
        <v>7256</v>
      </c>
      <c r="Y230" s="2">
        <v>26665</v>
      </c>
      <c r="Z230" s="2">
        <v>44785</v>
      </c>
      <c r="AA230" s="284" t="s">
        <v>7327</v>
      </c>
      <c r="AB230" s="3">
        <v>44817</v>
      </c>
      <c r="AC230" s="80" t="s">
        <v>1339</v>
      </c>
      <c r="AF230" t="s">
        <v>3198</v>
      </c>
      <c r="AJ230" s="1"/>
      <c r="AK230" s="1"/>
      <c r="AL230"/>
      <c r="AM230" s="8"/>
      <c r="AS230"/>
      <c r="AT230" s="1"/>
    </row>
    <row r="231" spans="1:46">
      <c r="A231" s="1">
        <v>228</v>
      </c>
      <c r="B231" s="61" t="s">
        <v>4119</v>
      </c>
      <c r="C231" s="2">
        <v>44785</v>
      </c>
      <c r="D231" s="1" t="s">
        <v>2897</v>
      </c>
      <c r="E231" s="1"/>
      <c r="F231" s="61" t="s">
        <v>4142</v>
      </c>
      <c r="G231" s="61" t="s">
        <v>4130</v>
      </c>
      <c r="H231" s="6" t="s">
        <v>241</v>
      </c>
      <c r="I231" s="1" t="s">
        <v>3454</v>
      </c>
      <c r="K231" s="8"/>
      <c r="L231" t="s">
        <v>2897</v>
      </c>
      <c r="M231" s="3">
        <v>44804</v>
      </c>
      <c r="N231" s="1" t="s">
        <v>35</v>
      </c>
      <c r="O231" s="1"/>
      <c r="P231" s="14" t="s">
        <v>4143</v>
      </c>
      <c r="Q231" s="92">
        <v>78.510000000000005</v>
      </c>
      <c r="R231" s="1">
        <v>1</v>
      </c>
      <c r="S231" s="90">
        <v>0.21</v>
      </c>
      <c r="T231" s="90">
        <v>0</v>
      </c>
      <c r="U231" s="1"/>
      <c r="V231" s="95">
        <f t="shared" si="8"/>
        <v>94.997100000000003</v>
      </c>
      <c r="W231" t="s">
        <v>2897</v>
      </c>
      <c r="X231" s="87" t="s">
        <v>7258</v>
      </c>
      <c r="Y231" s="2">
        <v>27065</v>
      </c>
      <c r="Z231" s="2">
        <v>44785</v>
      </c>
      <c r="AA231" s="284" t="s">
        <v>7327</v>
      </c>
      <c r="AB231" s="3">
        <v>44817</v>
      </c>
      <c r="AC231" s="80" t="s">
        <v>1339</v>
      </c>
      <c r="AF231" t="s">
        <v>3198</v>
      </c>
      <c r="AJ231" s="1"/>
      <c r="AK231" s="1"/>
      <c r="AL231"/>
      <c r="AM231" s="8"/>
      <c r="AS231"/>
      <c r="AT231" s="1"/>
    </row>
    <row r="232" spans="1:46">
      <c r="A232" s="1">
        <v>229</v>
      </c>
      <c r="B232" s="61" t="s">
        <v>4119</v>
      </c>
      <c r="C232" s="2">
        <v>44789</v>
      </c>
      <c r="D232" s="1" t="s">
        <v>2897</v>
      </c>
      <c r="E232" s="1"/>
      <c r="F232" s="61" t="s">
        <v>4142</v>
      </c>
      <c r="G232" s="61" t="s">
        <v>4130</v>
      </c>
      <c r="H232" s="6" t="s">
        <v>241</v>
      </c>
      <c r="I232" s="1" t="s">
        <v>3454</v>
      </c>
      <c r="K232" s="8"/>
      <c r="L232" t="s">
        <v>2897</v>
      </c>
      <c r="M232" s="3">
        <v>44804</v>
      </c>
      <c r="N232" s="1" t="s">
        <v>35</v>
      </c>
      <c r="O232" s="1"/>
      <c r="P232" s="14" t="s">
        <v>7260</v>
      </c>
      <c r="Q232" s="187">
        <v>132.22999999999999</v>
      </c>
      <c r="R232" s="1">
        <v>1</v>
      </c>
      <c r="S232" s="90">
        <v>0.21</v>
      </c>
      <c r="T232" s="90">
        <v>0</v>
      </c>
      <c r="U232" s="1"/>
      <c r="V232" s="95">
        <f t="shared" si="8"/>
        <v>159.99829999999997</v>
      </c>
      <c r="W232" t="s">
        <v>7329</v>
      </c>
      <c r="X232" s="87" t="s">
        <v>7328</v>
      </c>
      <c r="Y232" s="2">
        <v>38249</v>
      </c>
      <c r="Z232" s="2">
        <v>44789</v>
      </c>
      <c r="AA232" s="284" t="s">
        <v>7510</v>
      </c>
      <c r="AB232" s="3">
        <v>44858</v>
      </c>
      <c r="AC232" s="80" t="s">
        <v>1339</v>
      </c>
      <c r="AF232" t="s">
        <v>3198</v>
      </c>
      <c r="AI232" s="1" t="s">
        <v>7261</v>
      </c>
      <c r="AJ232" s="2">
        <v>44817</v>
      </c>
      <c r="AK232" s="294" t="s">
        <v>25</v>
      </c>
      <c r="AL232" s="3">
        <v>44852</v>
      </c>
      <c r="AM232" s="74">
        <v>44820</v>
      </c>
      <c r="AS232"/>
      <c r="AT232" s="1"/>
    </row>
    <row r="233" spans="1:46">
      <c r="A233" s="1">
        <v>230</v>
      </c>
      <c r="B233" s="61" t="s">
        <v>37</v>
      </c>
      <c r="C233" s="2">
        <v>44805</v>
      </c>
      <c r="D233" s="1" t="s">
        <v>7287</v>
      </c>
      <c r="E233" s="1"/>
      <c r="F233" s="61" t="s">
        <v>7288</v>
      </c>
      <c r="G233" s="61" t="s">
        <v>7289</v>
      </c>
      <c r="H233" s="6" t="s">
        <v>221</v>
      </c>
      <c r="I233" s="1" t="s">
        <v>34</v>
      </c>
      <c r="J233" s="8">
        <v>642976061</v>
      </c>
      <c r="K233" s="8"/>
      <c r="L233" t="s">
        <v>7287</v>
      </c>
      <c r="M233" s="2">
        <v>44834</v>
      </c>
      <c r="N233" s="1" t="s">
        <v>35</v>
      </c>
      <c r="O233" s="1"/>
      <c r="P233" t="s">
        <v>7290</v>
      </c>
      <c r="Q233" s="187">
        <v>75</v>
      </c>
      <c r="R233" s="1">
        <v>1</v>
      </c>
      <c r="S233" s="128">
        <v>0.21</v>
      </c>
      <c r="T233" s="128">
        <v>0</v>
      </c>
      <c r="V233" s="95">
        <f t="shared" si="8"/>
        <v>90.75</v>
      </c>
      <c r="W233" t="s">
        <v>7287</v>
      </c>
      <c r="X233" s="6" t="s">
        <v>7291</v>
      </c>
      <c r="Y233" s="2">
        <v>28219</v>
      </c>
      <c r="Z233" s="2">
        <v>44805</v>
      </c>
      <c r="AA233" s="284" t="s">
        <v>7424</v>
      </c>
      <c r="AB233" s="3">
        <v>44838</v>
      </c>
      <c r="AC233" s="80" t="s">
        <v>1339</v>
      </c>
      <c r="AF233" t="s">
        <v>3198</v>
      </c>
      <c r="AI233"/>
      <c r="AJ233" s="1"/>
      <c r="AL233"/>
      <c r="AM233" s="8"/>
      <c r="AS233"/>
      <c r="AT233" s="1"/>
    </row>
    <row r="234" spans="1:46">
      <c r="A234" s="1">
        <v>231</v>
      </c>
      <c r="B234" s="61" t="s">
        <v>1414</v>
      </c>
      <c r="C234" s="2">
        <v>44805</v>
      </c>
      <c r="D234" s="1" t="s">
        <v>1079</v>
      </c>
      <c r="E234" s="1"/>
      <c r="F234" t="s">
        <v>41</v>
      </c>
      <c r="G234" s="61" t="s">
        <v>2115</v>
      </c>
      <c r="H234" s="1" t="s">
        <v>230</v>
      </c>
      <c r="I234" t="s">
        <v>1262</v>
      </c>
      <c r="J234" s="8">
        <v>631212115</v>
      </c>
      <c r="K234" s="8" t="s">
        <v>6306</v>
      </c>
      <c r="L234" t="s">
        <v>1079</v>
      </c>
      <c r="M234" s="2">
        <v>44834</v>
      </c>
      <c r="N234" s="1" t="s">
        <v>35</v>
      </c>
      <c r="O234" s="1"/>
      <c r="P234" s="14" t="s">
        <v>7292</v>
      </c>
      <c r="Q234" s="144">
        <v>132.22999999999999</v>
      </c>
      <c r="R234" s="1">
        <v>1</v>
      </c>
      <c r="S234" s="90">
        <v>0.21</v>
      </c>
      <c r="T234" s="90">
        <v>0.2</v>
      </c>
      <c r="U234" s="1"/>
      <c r="V234" s="95">
        <f t="shared" si="8"/>
        <v>127.99863999999999</v>
      </c>
      <c r="W234" t="s">
        <v>7397</v>
      </c>
      <c r="X234" s="87" t="s">
        <v>7396</v>
      </c>
      <c r="Y234" s="2">
        <v>34281</v>
      </c>
      <c r="Z234" s="2">
        <v>44805</v>
      </c>
      <c r="AA234" s="285" t="s">
        <v>7895</v>
      </c>
      <c r="AB234" s="3">
        <v>44860</v>
      </c>
      <c r="AC234" s="80" t="s">
        <v>1339</v>
      </c>
      <c r="AE234" s="182">
        <v>44945</v>
      </c>
      <c r="AF234" t="s">
        <v>3198</v>
      </c>
      <c r="AI234" s="1" t="s">
        <v>7293</v>
      </c>
      <c r="AJ234" s="2">
        <v>44831</v>
      </c>
      <c r="AK234" s="1"/>
      <c r="AL234"/>
      <c r="AM234" s="74">
        <v>44837</v>
      </c>
      <c r="AS234"/>
      <c r="AT234" s="1"/>
    </row>
    <row r="235" spans="1:46">
      <c r="A235" s="1">
        <v>232</v>
      </c>
      <c r="B235" s="61" t="s">
        <v>1414</v>
      </c>
      <c r="C235" s="2">
        <v>44805</v>
      </c>
      <c r="D235" s="1" t="s">
        <v>1079</v>
      </c>
      <c r="E235" s="1"/>
      <c r="F235" t="s">
        <v>41</v>
      </c>
      <c r="G235" s="61" t="s">
        <v>2115</v>
      </c>
      <c r="H235" s="1" t="s">
        <v>230</v>
      </c>
      <c r="I235" t="s">
        <v>1262</v>
      </c>
      <c r="J235" s="8">
        <v>631212115</v>
      </c>
      <c r="K235" s="8" t="s">
        <v>6306</v>
      </c>
      <c r="L235" t="s">
        <v>1079</v>
      </c>
      <c r="M235" s="2">
        <v>44834</v>
      </c>
      <c r="N235" s="1" t="s">
        <v>35</v>
      </c>
      <c r="O235" s="1"/>
      <c r="P235" s="14" t="s">
        <v>7294</v>
      </c>
      <c r="Q235" s="144">
        <v>132.22999999999999</v>
      </c>
      <c r="R235" s="1">
        <v>1</v>
      </c>
      <c r="S235" s="90">
        <v>0.21</v>
      </c>
      <c r="T235" s="90">
        <v>0.2</v>
      </c>
      <c r="U235" s="1"/>
      <c r="V235" s="95">
        <f t="shared" si="8"/>
        <v>127.99863999999999</v>
      </c>
      <c r="W235" t="s">
        <v>7395</v>
      </c>
      <c r="X235" s="6" t="s">
        <v>7394</v>
      </c>
      <c r="Y235" s="2">
        <v>44375</v>
      </c>
      <c r="Z235" s="2">
        <v>44805</v>
      </c>
      <c r="AA235" s="285" t="s">
        <v>7895</v>
      </c>
      <c r="AB235" s="3">
        <v>44860</v>
      </c>
      <c r="AC235" s="80" t="s">
        <v>1339</v>
      </c>
      <c r="AE235" s="182">
        <v>44945</v>
      </c>
      <c r="AF235" t="s">
        <v>3198</v>
      </c>
      <c r="AI235" s="1" t="s">
        <v>7293</v>
      </c>
      <c r="AJ235" s="2"/>
      <c r="AK235" s="1"/>
      <c r="AL235"/>
      <c r="AM235" s="74"/>
      <c r="AS235"/>
      <c r="AT235" s="1"/>
    </row>
    <row r="236" spans="1:46">
      <c r="A236" s="1">
        <v>233</v>
      </c>
      <c r="B236" t="s">
        <v>3526</v>
      </c>
      <c r="C236" s="2">
        <v>44811</v>
      </c>
      <c r="D236" s="1" t="s">
        <v>6215</v>
      </c>
      <c r="E236" s="1"/>
      <c r="F236" t="s">
        <v>6216</v>
      </c>
      <c r="G236" t="s">
        <v>6217</v>
      </c>
      <c r="H236" s="6" t="s">
        <v>242</v>
      </c>
      <c r="I236" s="1" t="s">
        <v>86</v>
      </c>
      <c r="J236" s="8">
        <v>647672066</v>
      </c>
      <c r="K236" s="8" t="s">
        <v>7157</v>
      </c>
      <c r="L236" t="s">
        <v>6215</v>
      </c>
      <c r="M236" s="2">
        <v>44834</v>
      </c>
      <c r="N236" s="1" t="s">
        <v>35</v>
      </c>
      <c r="O236" s="1"/>
      <c r="P236" s="14" t="s">
        <v>7312</v>
      </c>
      <c r="Q236" s="187">
        <v>132.22999999999999</v>
      </c>
      <c r="R236" s="1">
        <v>1</v>
      </c>
      <c r="S236" s="90">
        <v>0.21</v>
      </c>
      <c r="T236" s="90">
        <v>0.2</v>
      </c>
      <c r="V236" s="95">
        <f t="shared" si="8"/>
        <v>127.99863999999999</v>
      </c>
      <c r="W236" t="s">
        <v>7408</v>
      </c>
      <c r="X236" s="6" t="s">
        <v>7409</v>
      </c>
      <c r="Y236" s="2">
        <v>35871</v>
      </c>
      <c r="Z236" s="2">
        <v>44811</v>
      </c>
      <c r="AA236" s="284" t="s">
        <v>7744</v>
      </c>
      <c r="AB236" s="3">
        <v>44897</v>
      </c>
      <c r="AC236" s="80" t="s">
        <v>1339</v>
      </c>
      <c r="AF236" t="s">
        <v>3198</v>
      </c>
      <c r="AI236" t="s">
        <v>3108</v>
      </c>
      <c r="AJ236" s="2">
        <v>44840</v>
      </c>
      <c r="AK236" t="s">
        <v>7672</v>
      </c>
      <c r="AL236" s="3">
        <v>44893</v>
      </c>
      <c r="AM236" s="74">
        <v>44840</v>
      </c>
      <c r="AS236"/>
      <c r="AT236" s="1"/>
    </row>
    <row r="237" spans="1:46">
      <c r="A237" s="1">
        <v>234</v>
      </c>
      <c r="B237" t="s">
        <v>52</v>
      </c>
      <c r="C237" s="2">
        <v>44811</v>
      </c>
      <c r="D237" s="30" t="s">
        <v>458</v>
      </c>
      <c r="E237" s="30"/>
      <c r="F237" t="s">
        <v>84</v>
      </c>
      <c r="G237" s="103" t="s">
        <v>138</v>
      </c>
      <c r="H237" s="30" t="s">
        <v>227</v>
      </c>
      <c r="I237" s="31" t="s">
        <v>203</v>
      </c>
      <c r="J237" s="44"/>
      <c r="K237" s="44" t="s">
        <v>5906</v>
      </c>
      <c r="L237" t="s">
        <v>4432</v>
      </c>
      <c r="M237" s="2">
        <v>44834</v>
      </c>
      <c r="N237" s="1" t="s">
        <v>35</v>
      </c>
      <c r="O237" s="1"/>
      <c r="P237" s="14" t="s">
        <v>7313</v>
      </c>
      <c r="Q237" s="187">
        <v>132.22999999999999</v>
      </c>
      <c r="R237" s="1">
        <v>1</v>
      </c>
      <c r="S237" s="90">
        <v>0.21</v>
      </c>
      <c r="T237" s="90">
        <v>0.2</v>
      </c>
      <c r="V237" s="95">
        <f t="shared" si="8"/>
        <v>127.99863999999999</v>
      </c>
      <c r="W237" t="s">
        <v>7411</v>
      </c>
      <c r="X237" s="6" t="s">
        <v>7410</v>
      </c>
      <c r="Y237" s="2">
        <v>34952</v>
      </c>
      <c r="Z237" s="2">
        <v>44811</v>
      </c>
      <c r="AA237" s="287" t="s">
        <v>7733</v>
      </c>
      <c r="AB237" s="64">
        <v>44896</v>
      </c>
      <c r="AC237" s="80" t="s">
        <v>1339</v>
      </c>
      <c r="AD237" s="346" t="s">
        <v>7844</v>
      </c>
      <c r="AF237" t="s">
        <v>3198</v>
      </c>
      <c r="AI237" t="s">
        <v>4620</v>
      </c>
      <c r="AJ237" s="2">
        <v>44839</v>
      </c>
      <c r="AK237" s="2"/>
      <c r="AL237" s="2"/>
      <c r="AM237" s="2">
        <v>44839</v>
      </c>
      <c r="AS237"/>
      <c r="AT237" s="1"/>
    </row>
    <row r="238" spans="1:46">
      <c r="A238" s="1">
        <v>235</v>
      </c>
      <c r="B238" s="61" t="s">
        <v>37</v>
      </c>
      <c r="C238" s="2">
        <v>44811</v>
      </c>
      <c r="D238" s="1" t="s">
        <v>7314</v>
      </c>
      <c r="E238" s="1"/>
      <c r="F238" t="s">
        <v>7315</v>
      </c>
      <c r="G238" s="61" t="s">
        <v>7316</v>
      </c>
      <c r="H238" s="6" t="s">
        <v>219</v>
      </c>
      <c r="I238" s="1" t="s">
        <v>38</v>
      </c>
      <c r="J238" s="8">
        <v>641492436</v>
      </c>
      <c r="K238" s="8"/>
      <c r="L238" t="s">
        <v>7314</v>
      </c>
      <c r="M238" s="2">
        <v>44834</v>
      </c>
      <c r="N238" s="1" t="s">
        <v>35</v>
      </c>
      <c r="O238" s="1"/>
      <c r="P238" t="s">
        <v>7317</v>
      </c>
      <c r="Q238" s="92">
        <v>78.510000000000005</v>
      </c>
      <c r="R238" s="1">
        <v>1</v>
      </c>
      <c r="S238" s="128">
        <v>0.21</v>
      </c>
      <c r="T238" s="128">
        <v>0</v>
      </c>
      <c r="V238" s="95">
        <f t="shared" si="8"/>
        <v>94.997100000000003</v>
      </c>
      <c r="W238" t="s">
        <v>7314</v>
      </c>
      <c r="X238" s="6" t="s">
        <v>7318</v>
      </c>
      <c r="Y238" s="2">
        <v>29321</v>
      </c>
      <c r="Z238" s="2">
        <v>44811</v>
      </c>
      <c r="AA238" s="284" t="s">
        <v>7423</v>
      </c>
      <c r="AB238" s="3">
        <v>44839</v>
      </c>
      <c r="AC238" s="80" t="s">
        <v>1339</v>
      </c>
      <c r="AF238" t="s">
        <v>3198</v>
      </c>
      <c r="AI238"/>
      <c r="AJ238" s="2"/>
      <c r="AL238"/>
      <c r="AM238" s="74"/>
      <c r="AS238"/>
      <c r="AT238" s="1"/>
    </row>
    <row r="239" spans="1:46">
      <c r="A239" s="1">
        <v>236</v>
      </c>
      <c r="B239" s="61" t="s">
        <v>4119</v>
      </c>
      <c r="C239" s="2">
        <v>44813</v>
      </c>
      <c r="D239" s="1" t="s">
        <v>2888</v>
      </c>
      <c r="E239" s="1"/>
      <c r="F239" s="61" t="s">
        <v>4132</v>
      </c>
      <c r="G239" s="61" t="s">
        <v>4133</v>
      </c>
      <c r="H239" s="6" t="s">
        <v>221</v>
      </c>
      <c r="I239" s="1" t="s">
        <v>34</v>
      </c>
      <c r="K239" s="8"/>
      <c r="L239" t="s">
        <v>2888</v>
      </c>
      <c r="M239" s="2">
        <v>44834</v>
      </c>
      <c r="N239" s="1" t="s">
        <v>35</v>
      </c>
      <c r="O239" s="1"/>
      <c r="P239" s="14" t="s">
        <v>4134</v>
      </c>
      <c r="Q239" s="92">
        <v>78.510000000000005</v>
      </c>
      <c r="R239" s="1">
        <v>1</v>
      </c>
      <c r="S239" s="90">
        <v>0.21</v>
      </c>
      <c r="T239" s="90">
        <v>0</v>
      </c>
      <c r="U239" s="1"/>
      <c r="V239" s="95">
        <f t="shared" si="8"/>
        <v>94.997100000000003</v>
      </c>
      <c r="W239" t="s">
        <v>2888</v>
      </c>
      <c r="X239" s="87" t="s">
        <v>7322</v>
      </c>
      <c r="Y239" s="2">
        <v>27395</v>
      </c>
      <c r="Z239" s="2">
        <v>44813</v>
      </c>
      <c r="AA239" s="284" t="s">
        <v>7482</v>
      </c>
      <c r="AB239" s="64">
        <v>44851</v>
      </c>
      <c r="AC239" s="80" t="s">
        <v>1339</v>
      </c>
      <c r="AF239" t="s">
        <v>3198</v>
      </c>
      <c r="AJ239" s="1"/>
      <c r="AK239" s="1"/>
      <c r="AL239"/>
      <c r="AM239" s="1"/>
      <c r="AS239"/>
      <c r="AT239" s="1"/>
    </row>
    <row r="240" spans="1:46">
      <c r="A240" s="1">
        <v>237</v>
      </c>
      <c r="B240" t="s">
        <v>5278</v>
      </c>
      <c r="C240" s="2">
        <v>44813</v>
      </c>
      <c r="D240" s="1" t="s">
        <v>3036</v>
      </c>
      <c r="E240" s="1"/>
      <c r="F240" t="s">
        <v>3037</v>
      </c>
      <c r="G240" s="61" t="s">
        <v>5279</v>
      </c>
      <c r="H240" s="6" t="s">
        <v>239</v>
      </c>
      <c r="I240" s="1" t="s">
        <v>3204</v>
      </c>
      <c r="K240" s="8" t="s">
        <v>5904</v>
      </c>
      <c r="L240" t="s">
        <v>174</v>
      </c>
      <c r="M240" s="2">
        <v>44834</v>
      </c>
      <c r="N240" s="1" t="s">
        <v>35</v>
      </c>
      <c r="O240" s="1"/>
      <c r="P240" s="14" t="s">
        <v>7323</v>
      </c>
      <c r="Q240" s="187">
        <v>78.510000000000005</v>
      </c>
      <c r="R240" s="1">
        <v>1</v>
      </c>
      <c r="S240" s="90">
        <v>0.21</v>
      </c>
      <c r="T240" s="90">
        <v>0.2</v>
      </c>
      <c r="V240" s="95">
        <f t="shared" si="8"/>
        <v>75.997680000000003</v>
      </c>
      <c r="W240" t="s">
        <v>5355</v>
      </c>
      <c r="X240" s="6" t="s">
        <v>7324</v>
      </c>
      <c r="Y240" s="2">
        <v>36160</v>
      </c>
      <c r="Z240" s="2">
        <v>44813</v>
      </c>
      <c r="AA240" s="284" t="s">
        <v>7459</v>
      </c>
      <c r="AB240" s="64">
        <v>44851</v>
      </c>
      <c r="AC240" s="80" t="s">
        <v>1339</v>
      </c>
      <c r="AD240" s="61"/>
      <c r="AE240" s="61"/>
      <c r="AF240" t="s">
        <v>3198</v>
      </c>
      <c r="AI240"/>
      <c r="AJ240" s="2"/>
      <c r="AL240"/>
      <c r="AM240" s="3"/>
      <c r="AS240"/>
      <c r="AT240" s="1"/>
    </row>
    <row r="241" spans="1:46">
      <c r="A241" s="1">
        <v>239</v>
      </c>
      <c r="B241" t="s">
        <v>33</v>
      </c>
      <c r="C241" s="2">
        <v>44817</v>
      </c>
      <c r="D241" s="1" t="s">
        <v>2669</v>
      </c>
      <c r="E241" s="1"/>
      <c r="F241" s="61" t="s">
        <v>2670</v>
      </c>
      <c r="G241" s="61" t="s">
        <v>3850</v>
      </c>
      <c r="H241" s="6" t="s">
        <v>304</v>
      </c>
      <c r="I241" s="1" t="s">
        <v>3851</v>
      </c>
      <c r="K241" t="s">
        <v>8186</v>
      </c>
      <c r="L241" s="31" t="s">
        <v>237</v>
      </c>
      <c r="M241" s="2">
        <v>44834</v>
      </c>
      <c r="N241" s="1" t="s">
        <v>35</v>
      </c>
      <c r="O241" s="1"/>
      <c r="P241" s="14" t="s">
        <v>7325</v>
      </c>
      <c r="Q241" s="187">
        <v>78.510000000000005</v>
      </c>
      <c r="R241" s="1">
        <v>1</v>
      </c>
      <c r="S241" s="90">
        <v>0.21</v>
      </c>
      <c r="T241" s="90">
        <v>0.2</v>
      </c>
      <c r="V241" s="95">
        <f t="shared" si="8"/>
        <v>75.997680000000003</v>
      </c>
      <c r="W241" t="s">
        <v>5735</v>
      </c>
      <c r="X241" s="6" t="s">
        <v>7326</v>
      </c>
      <c r="Y241" s="2">
        <v>32512</v>
      </c>
      <c r="Z241" s="2">
        <v>44817</v>
      </c>
      <c r="AA241" s="284" t="s">
        <v>7460</v>
      </c>
      <c r="AB241" s="64">
        <v>44845</v>
      </c>
      <c r="AC241" s="80" t="s">
        <v>1339</v>
      </c>
      <c r="AF241" t="s">
        <v>3198</v>
      </c>
      <c r="AI241"/>
      <c r="AJ241" s="2"/>
      <c r="AL241"/>
      <c r="AM241" s="3"/>
      <c r="AS241"/>
      <c r="AT241" s="1"/>
    </row>
    <row r="242" spans="1:46">
      <c r="A242" s="1">
        <v>240</v>
      </c>
      <c r="B242" t="s">
        <v>1242</v>
      </c>
      <c r="C242" s="2">
        <v>44820</v>
      </c>
      <c r="D242" s="1" t="s">
        <v>7330</v>
      </c>
      <c r="E242" s="1"/>
      <c r="F242" t="s">
        <v>7331</v>
      </c>
      <c r="G242" s="61" t="s">
        <v>7332</v>
      </c>
      <c r="H242" s="6" t="s">
        <v>221</v>
      </c>
      <c r="I242" s="1" t="s">
        <v>34</v>
      </c>
      <c r="J242" s="44"/>
      <c r="K242" s="8" t="s">
        <v>5905</v>
      </c>
      <c r="L242" s="31" t="s">
        <v>1250</v>
      </c>
      <c r="M242" s="2">
        <v>44834</v>
      </c>
      <c r="N242" s="1" t="s">
        <v>35</v>
      </c>
      <c r="O242" s="1"/>
      <c r="P242" s="14" t="s">
        <v>7333</v>
      </c>
      <c r="Q242" s="187">
        <v>132.22999999999999</v>
      </c>
      <c r="R242" s="1">
        <v>1</v>
      </c>
      <c r="S242" s="128">
        <v>0.21</v>
      </c>
      <c r="T242" s="128">
        <v>0.2</v>
      </c>
      <c r="V242" s="95">
        <f t="shared" si="8"/>
        <v>127.99863999999999</v>
      </c>
      <c r="W242" t="s">
        <v>7485</v>
      </c>
      <c r="X242" s="6" t="s">
        <v>7486</v>
      </c>
      <c r="Y242" s="2">
        <v>36526</v>
      </c>
      <c r="Z242" s="2">
        <v>44820</v>
      </c>
      <c r="AA242" s="284" t="s">
        <v>7602</v>
      </c>
      <c r="AB242" s="3">
        <v>44881</v>
      </c>
      <c r="AC242" s="80" t="s">
        <v>1339</v>
      </c>
      <c r="AF242" t="s">
        <v>3198</v>
      </c>
      <c r="AI242" t="s">
        <v>3221</v>
      </c>
      <c r="AJ242" s="2">
        <v>44851</v>
      </c>
      <c r="AL242"/>
      <c r="AM242" s="74">
        <v>44852</v>
      </c>
      <c r="AS242"/>
      <c r="AT242" s="1"/>
    </row>
    <row r="243" spans="1:46">
      <c r="A243" s="1">
        <v>241</v>
      </c>
      <c r="B243" t="s">
        <v>7036</v>
      </c>
      <c r="C243" s="2">
        <v>44820</v>
      </c>
      <c r="D243" s="1" t="s">
        <v>6375</v>
      </c>
      <c r="E243" s="1"/>
      <c r="F243" t="s">
        <v>6376</v>
      </c>
      <c r="G243" s="61" t="s">
        <v>6377</v>
      </c>
      <c r="H243" s="6" t="s">
        <v>294</v>
      </c>
      <c r="I243" s="1" t="s">
        <v>103</v>
      </c>
      <c r="J243" s="8">
        <v>660744167</v>
      </c>
      <c r="K243" s="8" t="s">
        <v>6332</v>
      </c>
      <c r="L243" t="s">
        <v>6375</v>
      </c>
      <c r="M243" s="2">
        <v>44834</v>
      </c>
      <c r="N243" s="1" t="s">
        <v>35</v>
      </c>
      <c r="O243" s="1"/>
      <c r="P243" s="14" t="s">
        <v>7334</v>
      </c>
      <c r="Q243" s="187">
        <v>132.22999999999999</v>
      </c>
      <c r="R243" s="1">
        <v>1</v>
      </c>
      <c r="S243" s="128">
        <v>0.21</v>
      </c>
      <c r="T243" s="128">
        <v>0.2</v>
      </c>
      <c r="U243" s="209"/>
      <c r="V243" s="95">
        <f t="shared" si="8"/>
        <v>127.99863999999999</v>
      </c>
      <c r="W243" t="s">
        <v>7427</v>
      </c>
      <c r="X243" s="6" t="s">
        <v>7428</v>
      </c>
      <c r="Y243" s="211">
        <v>34869</v>
      </c>
      <c r="Z243" s="2">
        <v>44820</v>
      </c>
      <c r="AA243" s="284" t="s">
        <v>7661</v>
      </c>
      <c r="AB243" s="64">
        <v>44885</v>
      </c>
      <c r="AC243" s="80" t="s">
        <v>1339</v>
      </c>
      <c r="AF243" t="s">
        <v>3198</v>
      </c>
      <c r="AI243" t="s">
        <v>3108</v>
      </c>
      <c r="AJ243" s="3">
        <v>44839</v>
      </c>
      <c r="AL243"/>
      <c r="AM243" s="74">
        <v>44844</v>
      </c>
      <c r="AS243"/>
      <c r="AT243" s="1"/>
    </row>
    <row r="244" spans="1:46">
      <c r="A244" s="1">
        <v>242</v>
      </c>
      <c r="B244" t="s">
        <v>33</v>
      </c>
      <c r="C244" s="2">
        <v>44820</v>
      </c>
      <c r="D244" s="1" t="s">
        <v>5295</v>
      </c>
      <c r="E244" s="1"/>
      <c r="F244" t="s">
        <v>5296</v>
      </c>
      <c r="G244" s="61" t="s">
        <v>4384</v>
      </c>
      <c r="H244" s="6" t="s">
        <v>219</v>
      </c>
      <c r="I244" s="1" t="s">
        <v>38</v>
      </c>
      <c r="K244" t="s">
        <v>8186</v>
      </c>
      <c r="L244" s="31" t="s">
        <v>237</v>
      </c>
      <c r="M244" s="2">
        <v>44834</v>
      </c>
      <c r="N244" s="1" t="s">
        <v>35</v>
      </c>
      <c r="O244" s="1"/>
      <c r="P244" s="14" t="s">
        <v>7335</v>
      </c>
      <c r="Q244" s="187">
        <v>78.510000000000005</v>
      </c>
      <c r="R244" s="1">
        <v>1</v>
      </c>
      <c r="S244" s="90">
        <v>0.21</v>
      </c>
      <c r="T244" s="90">
        <v>0.2</v>
      </c>
      <c r="V244" s="95">
        <f t="shared" si="8"/>
        <v>75.997680000000003</v>
      </c>
      <c r="W244" t="s">
        <v>5503</v>
      </c>
      <c r="X244" s="6" t="s">
        <v>7336</v>
      </c>
      <c r="Y244" s="2">
        <v>28342</v>
      </c>
      <c r="Z244" s="2">
        <v>44820</v>
      </c>
      <c r="AA244" s="284" t="s">
        <v>7556</v>
      </c>
      <c r="AB244" s="64">
        <v>44860</v>
      </c>
      <c r="AC244" s="80" t="s">
        <v>1339</v>
      </c>
      <c r="AD244" t="s">
        <v>25</v>
      </c>
      <c r="AE244" s="162">
        <v>44853</v>
      </c>
      <c r="AF244" t="s">
        <v>3198</v>
      </c>
      <c r="AI244"/>
      <c r="AJ244" s="2"/>
      <c r="AL244"/>
      <c r="AM244" s="3"/>
      <c r="AS244"/>
      <c r="AT244" s="1"/>
    </row>
    <row r="245" spans="1:46">
      <c r="A245" s="1">
        <v>243</v>
      </c>
      <c r="B245" t="s">
        <v>52</v>
      </c>
      <c r="C245" s="2">
        <v>44820</v>
      </c>
      <c r="D245" s="1" t="s">
        <v>256</v>
      </c>
      <c r="E245" s="1"/>
      <c r="F245" s="31" t="s">
        <v>155</v>
      </c>
      <c r="G245" s="31" t="s">
        <v>138</v>
      </c>
      <c r="H245" s="33" t="s">
        <v>227</v>
      </c>
      <c r="I245" s="30" t="s">
        <v>203</v>
      </c>
      <c r="J245" s="44">
        <v>631130911</v>
      </c>
      <c r="K245" s="44" t="s">
        <v>5906</v>
      </c>
      <c r="L245" t="s">
        <v>4432</v>
      </c>
      <c r="M245" s="2">
        <v>44834</v>
      </c>
      <c r="N245" s="1" t="s">
        <v>35</v>
      </c>
      <c r="O245" s="1"/>
      <c r="P245" s="14" t="s">
        <v>7337</v>
      </c>
      <c r="Q245" s="187">
        <v>78.510000000000005</v>
      </c>
      <c r="R245" s="1">
        <v>1</v>
      </c>
      <c r="S245" s="90">
        <v>0.21</v>
      </c>
      <c r="T245" s="90">
        <v>0.2</v>
      </c>
      <c r="V245" s="95">
        <f t="shared" si="8"/>
        <v>75.997680000000003</v>
      </c>
      <c r="W245" t="s">
        <v>5508</v>
      </c>
      <c r="X245" s="6" t="s">
        <v>7338</v>
      </c>
      <c r="Y245" s="2">
        <v>34335</v>
      </c>
      <c r="Z245" s="2">
        <v>44820</v>
      </c>
      <c r="AA245" s="284" t="s">
        <v>7482</v>
      </c>
      <c r="AB245" s="64">
        <v>44851</v>
      </c>
      <c r="AC245" s="80" t="s">
        <v>1339</v>
      </c>
      <c r="AF245" t="s">
        <v>3198</v>
      </c>
      <c r="AI245"/>
      <c r="AJ245" s="2"/>
      <c r="AL245"/>
      <c r="AM245" s="3"/>
      <c r="AS245"/>
      <c r="AT245" s="1"/>
    </row>
    <row r="246" spans="1:46">
      <c r="A246" s="1">
        <v>244</v>
      </c>
      <c r="B246" s="61" t="s">
        <v>6684</v>
      </c>
      <c r="C246" s="2">
        <v>44823</v>
      </c>
      <c r="D246" t="s">
        <v>6685</v>
      </c>
      <c r="F246" t="s">
        <v>6686</v>
      </c>
      <c r="G246" t="s">
        <v>6687</v>
      </c>
      <c r="H246" s="6" t="s">
        <v>2579</v>
      </c>
      <c r="I246" t="s">
        <v>2580</v>
      </c>
      <c r="K246" s="302" t="s">
        <v>7339</v>
      </c>
      <c r="L246" t="s">
        <v>6685</v>
      </c>
      <c r="M246" s="2">
        <v>44834</v>
      </c>
      <c r="N246" s="1" t="s">
        <v>35</v>
      </c>
      <c r="O246" s="1"/>
      <c r="P246" s="14" t="s">
        <v>7340</v>
      </c>
      <c r="Q246" s="163">
        <v>132.22999999999999</v>
      </c>
      <c r="R246" s="1">
        <v>1</v>
      </c>
      <c r="S246" s="90">
        <v>0.21</v>
      </c>
      <c r="T246" s="90">
        <v>0.2</v>
      </c>
      <c r="V246" s="95">
        <f t="shared" si="8"/>
        <v>127.99863999999999</v>
      </c>
      <c r="W246" t="s">
        <v>7436</v>
      </c>
      <c r="X246" s="161" t="s">
        <v>7437</v>
      </c>
      <c r="Y246" s="2">
        <v>31352</v>
      </c>
      <c r="Z246" s="2">
        <v>44823</v>
      </c>
      <c r="AA246" s="284" t="s">
        <v>7808</v>
      </c>
      <c r="AB246" s="64">
        <v>44922</v>
      </c>
      <c r="AC246" s="80" t="s">
        <v>1339</v>
      </c>
      <c r="AF246" t="s">
        <v>3198</v>
      </c>
      <c r="AI246" t="s">
        <v>3108</v>
      </c>
      <c r="AJ246" s="2">
        <v>44840</v>
      </c>
      <c r="AK246" s="1"/>
      <c r="AL246"/>
      <c r="AM246" s="74">
        <v>44851</v>
      </c>
      <c r="AS246"/>
      <c r="AT246" s="1"/>
    </row>
    <row r="247" spans="1:46">
      <c r="A247" s="1">
        <v>245</v>
      </c>
      <c r="B247" s="61" t="s">
        <v>4119</v>
      </c>
      <c r="C247" s="2">
        <v>44823</v>
      </c>
      <c r="D247" s="1" t="s">
        <v>2891</v>
      </c>
      <c r="E247" s="1"/>
      <c r="F247" s="61" t="s">
        <v>4129</v>
      </c>
      <c r="G247" s="61" t="s">
        <v>4130</v>
      </c>
      <c r="H247" s="6" t="s">
        <v>241</v>
      </c>
      <c r="I247" s="1" t="s">
        <v>3454</v>
      </c>
      <c r="K247" s="8"/>
      <c r="L247" t="s">
        <v>2891</v>
      </c>
      <c r="M247" s="2">
        <v>44834</v>
      </c>
      <c r="N247" s="1" t="s">
        <v>35</v>
      </c>
      <c r="O247" s="1"/>
      <c r="P247" s="14" t="s">
        <v>4131</v>
      </c>
      <c r="Q247" s="92">
        <v>78.510000000000005</v>
      </c>
      <c r="R247" s="1">
        <v>1</v>
      </c>
      <c r="S247" s="90">
        <v>0.21</v>
      </c>
      <c r="T247" s="90">
        <v>0</v>
      </c>
      <c r="U247" s="1"/>
      <c r="V247" s="95">
        <f t="shared" si="8"/>
        <v>94.997100000000003</v>
      </c>
      <c r="W247" t="s">
        <v>2891</v>
      </c>
      <c r="X247" s="6" t="s">
        <v>7481</v>
      </c>
      <c r="Y247" s="2">
        <v>24473</v>
      </c>
      <c r="Z247" s="2">
        <v>44823</v>
      </c>
      <c r="AA247" s="284" t="s">
        <v>7495</v>
      </c>
      <c r="AB247" s="3">
        <v>44853</v>
      </c>
      <c r="AC247" s="80" t="s">
        <v>1339</v>
      </c>
      <c r="AF247" t="s">
        <v>3198</v>
      </c>
      <c r="AJ247" s="1"/>
      <c r="AK247" s="1"/>
      <c r="AL247"/>
      <c r="AM247" s="1"/>
      <c r="AS247"/>
      <c r="AT247" s="1"/>
    </row>
    <row r="248" spans="1:46">
      <c r="A248" s="1">
        <v>246</v>
      </c>
      <c r="B248" t="s">
        <v>33</v>
      </c>
      <c r="C248" s="2">
        <v>44823</v>
      </c>
      <c r="D248" s="1" t="s">
        <v>5560</v>
      </c>
      <c r="E248" s="1"/>
      <c r="F248" t="s">
        <v>5561</v>
      </c>
      <c r="G248" t="s">
        <v>5562</v>
      </c>
      <c r="H248" s="6" t="s">
        <v>236</v>
      </c>
      <c r="I248" s="1" t="s">
        <v>34</v>
      </c>
      <c r="K248" t="s">
        <v>8186</v>
      </c>
      <c r="L248" t="s">
        <v>237</v>
      </c>
      <c r="M248" s="2">
        <v>44834</v>
      </c>
      <c r="N248" s="1" t="s">
        <v>35</v>
      </c>
      <c r="O248" s="1"/>
      <c r="P248" s="14" t="s">
        <v>6468</v>
      </c>
      <c r="Q248" s="187">
        <v>132.22999999999999</v>
      </c>
      <c r="R248" s="1">
        <v>1</v>
      </c>
      <c r="S248" s="128">
        <v>0.21</v>
      </c>
      <c r="T248" s="128">
        <v>0.2</v>
      </c>
      <c r="V248" s="95">
        <f t="shared" si="8"/>
        <v>127.99863999999999</v>
      </c>
      <c r="W248" t="s">
        <v>6564</v>
      </c>
      <c r="X248" s="6" t="s">
        <v>7488</v>
      </c>
      <c r="Y248" s="2">
        <v>36435</v>
      </c>
      <c r="Z248" s="2">
        <v>44823</v>
      </c>
      <c r="AA248" s="285" t="s">
        <v>7647</v>
      </c>
      <c r="AB248" s="3">
        <v>44881</v>
      </c>
      <c r="AC248" s="80" t="s">
        <v>1339</v>
      </c>
      <c r="AF248" t="s">
        <v>3198</v>
      </c>
      <c r="AI248" s="76" t="s">
        <v>4677</v>
      </c>
      <c r="AJ248" s="2">
        <v>44853</v>
      </c>
      <c r="AL248"/>
      <c r="AM248" s="74"/>
      <c r="AS248"/>
      <c r="AT248" s="1"/>
    </row>
    <row r="249" spans="1:46">
      <c r="A249" s="1">
        <v>247</v>
      </c>
      <c r="B249" t="s">
        <v>3526</v>
      </c>
      <c r="C249" s="2">
        <v>44824</v>
      </c>
      <c r="D249" s="1" t="s">
        <v>6215</v>
      </c>
      <c r="E249" s="1"/>
      <c r="F249" t="s">
        <v>6216</v>
      </c>
      <c r="G249" t="s">
        <v>6217</v>
      </c>
      <c r="H249" s="6" t="s">
        <v>242</v>
      </c>
      <c r="I249" s="1" t="s">
        <v>86</v>
      </c>
      <c r="J249" s="8">
        <v>647672066</v>
      </c>
      <c r="K249" s="8" t="s">
        <v>7157</v>
      </c>
      <c r="L249" t="s">
        <v>6215</v>
      </c>
      <c r="M249" s="2">
        <v>44834</v>
      </c>
      <c r="N249" s="1" t="s">
        <v>35</v>
      </c>
      <c r="O249" s="1"/>
      <c r="P249" s="14" t="s">
        <v>7345</v>
      </c>
      <c r="Q249" s="187">
        <v>132.22999999999999</v>
      </c>
      <c r="R249" s="1">
        <v>1</v>
      </c>
      <c r="S249" s="90">
        <v>0.21</v>
      </c>
      <c r="T249" s="90">
        <v>0.2</v>
      </c>
      <c r="V249" s="95">
        <f t="shared" si="8"/>
        <v>127.99863999999999</v>
      </c>
      <c r="W249" t="s">
        <v>7432</v>
      </c>
      <c r="X249" s="6" t="s">
        <v>7433</v>
      </c>
      <c r="Y249" s="2">
        <v>28078</v>
      </c>
      <c r="Z249" s="2">
        <v>44824</v>
      </c>
      <c r="AA249" s="284" t="s">
        <v>7663</v>
      </c>
      <c r="AB249" s="64">
        <v>44885</v>
      </c>
      <c r="AC249" s="80" t="s">
        <v>1339</v>
      </c>
      <c r="AF249" t="s">
        <v>3198</v>
      </c>
      <c r="AI249" t="s">
        <v>3108</v>
      </c>
      <c r="AJ249" s="2">
        <v>44840</v>
      </c>
      <c r="AL249"/>
      <c r="AM249" s="74">
        <v>44851</v>
      </c>
      <c r="AS249"/>
      <c r="AT249" s="1"/>
    </row>
    <row r="250" spans="1:46">
      <c r="A250" s="1">
        <v>248</v>
      </c>
      <c r="B250" t="s">
        <v>33</v>
      </c>
      <c r="C250" s="2">
        <v>44824</v>
      </c>
      <c r="D250" s="1" t="s">
        <v>3459</v>
      </c>
      <c r="E250" s="1"/>
      <c r="F250" s="61" t="s">
        <v>3460</v>
      </c>
      <c r="G250" s="61" t="s">
        <v>3461</v>
      </c>
      <c r="H250" s="6" t="s">
        <v>219</v>
      </c>
      <c r="I250" s="1" t="s">
        <v>38</v>
      </c>
      <c r="J250" s="8">
        <v>600502530</v>
      </c>
      <c r="K250" t="s">
        <v>8186</v>
      </c>
      <c r="L250" t="s">
        <v>237</v>
      </c>
      <c r="M250" s="2">
        <v>44834</v>
      </c>
      <c r="N250" s="1" t="s">
        <v>35</v>
      </c>
      <c r="O250" s="1"/>
      <c r="P250" s="14" t="s">
        <v>7346</v>
      </c>
      <c r="Q250" s="92">
        <v>132.22999999999999</v>
      </c>
      <c r="R250" s="1">
        <v>1</v>
      </c>
      <c r="S250" s="90">
        <v>0.21</v>
      </c>
      <c r="T250" s="90">
        <v>0.2</v>
      </c>
      <c r="V250" s="95">
        <f t="shared" si="8"/>
        <v>127.99863999999999</v>
      </c>
      <c r="W250" t="s">
        <v>7434</v>
      </c>
      <c r="X250" s="6" t="s">
        <v>7435</v>
      </c>
      <c r="Y250" s="2">
        <v>32509</v>
      </c>
      <c r="Z250" s="2">
        <v>44824</v>
      </c>
      <c r="AA250" s="284" t="s">
        <v>7662</v>
      </c>
      <c r="AB250" s="64">
        <v>44885</v>
      </c>
      <c r="AC250" s="80" t="s">
        <v>1339</v>
      </c>
      <c r="AF250" t="s">
        <v>3198</v>
      </c>
      <c r="AI250" t="s">
        <v>3108</v>
      </c>
      <c r="AJ250" s="2">
        <v>44840</v>
      </c>
      <c r="AK250" s="1"/>
      <c r="AL250" s="1"/>
      <c r="AM250" s="2">
        <v>44841</v>
      </c>
      <c r="AS250"/>
      <c r="AT250" s="1"/>
    </row>
    <row r="251" spans="1:46" s="153" customFormat="1">
      <c r="A251" s="149">
        <v>249</v>
      </c>
      <c r="B251" s="150" t="s">
        <v>4092</v>
      </c>
      <c r="C251" s="151">
        <v>44825</v>
      </c>
      <c r="D251" s="149" t="s">
        <v>2801</v>
      </c>
      <c r="E251" s="149"/>
      <c r="F251" s="150" t="s">
        <v>4093</v>
      </c>
      <c r="G251" s="150" t="s">
        <v>5696</v>
      </c>
      <c r="H251" s="152" t="s">
        <v>928</v>
      </c>
      <c r="I251" s="149" t="s">
        <v>3681</v>
      </c>
      <c r="J251" s="300">
        <v>672818929</v>
      </c>
      <c r="K251" s="300"/>
      <c r="L251" s="153" t="s">
        <v>2801</v>
      </c>
      <c r="M251" s="154">
        <v>44834</v>
      </c>
      <c r="N251" s="149" t="s">
        <v>35</v>
      </c>
      <c r="O251" s="1"/>
      <c r="P251" s="153" t="s">
        <v>7569</v>
      </c>
      <c r="Q251" s="155" t="s">
        <v>3407</v>
      </c>
      <c r="R251" s="149" t="s">
        <v>3407</v>
      </c>
      <c r="S251" s="156" t="s">
        <v>3407</v>
      </c>
      <c r="T251" s="156" t="s">
        <v>3407</v>
      </c>
      <c r="U251" s="149"/>
      <c r="V251" s="95">
        <v>0</v>
      </c>
      <c r="W251" s="153" t="s">
        <v>2801</v>
      </c>
      <c r="X251" s="6" t="s">
        <v>7490</v>
      </c>
      <c r="Y251" s="151">
        <v>31256</v>
      </c>
      <c r="Z251" s="151">
        <v>44825</v>
      </c>
      <c r="AA251" s="284" t="s">
        <v>7602</v>
      </c>
      <c r="AB251" s="64">
        <v>44872</v>
      </c>
      <c r="AC251" s="193" t="s">
        <v>1339</v>
      </c>
      <c r="AE251"/>
      <c r="AF251" s="153" t="s">
        <v>3198</v>
      </c>
      <c r="AI251" s="149" t="s">
        <v>7348</v>
      </c>
      <c r="AJ251" s="149"/>
      <c r="AK251" s="149"/>
      <c r="AM251" s="151">
        <v>44862</v>
      </c>
      <c r="AT251" s="149"/>
    </row>
    <row r="252" spans="1:46">
      <c r="A252" s="1">
        <v>250</v>
      </c>
      <c r="B252" t="s">
        <v>3526</v>
      </c>
      <c r="C252" s="2">
        <v>44825</v>
      </c>
      <c r="D252" s="1" t="s">
        <v>6215</v>
      </c>
      <c r="E252" s="1"/>
      <c r="F252" t="s">
        <v>6216</v>
      </c>
      <c r="G252" t="s">
        <v>6217</v>
      </c>
      <c r="H252" s="6" t="s">
        <v>242</v>
      </c>
      <c r="I252" s="1" t="s">
        <v>86</v>
      </c>
      <c r="J252" s="8">
        <v>647672066</v>
      </c>
      <c r="K252" s="8" t="s">
        <v>7157</v>
      </c>
      <c r="L252" t="s">
        <v>6215</v>
      </c>
      <c r="M252" s="2">
        <v>44834</v>
      </c>
      <c r="N252" s="1" t="s">
        <v>35</v>
      </c>
      <c r="O252" s="1"/>
      <c r="P252" s="14" t="s">
        <v>7349</v>
      </c>
      <c r="Q252" s="187">
        <v>41.32</v>
      </c>
      <c r="R252" s="1">
        <v>1</v>
      </c>
      <c r="S252" s="90">
        <v>0.21</v>
      </c>
      <c r="T252" s="90">
        <v>0</v>
      </c>
      <c r="V252" s="95">
        <f t="shared" ref="V252:V283" si="9">SUM(Q252-(Q252*T252))*S252+(Q252-(Q252*T252))</f>
        <v>49.997199999999999</v>
      </c>
      <c r="W252" t="s">
        <v>7187</v>
      </c>
      <c r="X252" s="6" t="s">
        <v>7188</v>
      </c>
      <c r="Y252" s="2">
        <v>33192</v>
      </c>
      <c r="Z252" s="2">
        <v>44825</v>
      </c>
      <c r="AA252" s="284" t="s">
        <v>1326</v>
      </c>
      <c r="AF252" t="s">
        <v>3198</v>
      </c>
      <c r="AI252" t="s">
        <v>3108</v>
      </c>
      <c r="AJ252" s="2">
        <v>44762</v>
      </c>
      <c r="AL252"/>
      <c r="AM252" s="74">
        <v>44768</v>
      </c>
      <c r="AS252"/>
      <c r="AT252" s="1"/>
    </row>
    <row r="253" spans="1:46">
      <c r="A253" s="1">
        <v>251</v>
      </c>
      <c r="B253" s="61" t="s">
        <v>6684</v>
      </c>
      <c r="C253" s="2">
        <v>44825</v>
      </c>
      <c r="D253" t="s">
        <v>6685</v>
      </c>
      <c r="F253" t="s">
        <v>6686</v>
      </c>
      <c r="G253" t="s">
        <v>6687</v>
      </c>
      <c r="H253" s="6" t="s">
        <v>2579</v>
      </c>
      <c r="I253" t="s">
        <v>2580</v>
      </c>
      <c r="K253" s="302" t="s">
        <v>7339</v>
      </c>
      <c r="L253" t="s">
        <v>6685</v>
      </c>
      <c r="M253" s="2">
        <v>44834</v>
      </c>
      <c r="N253" s="1" t="s">
        <v>35</v>
      </c>
      <c r="O253" s="1"/>
      <c r="P253" s="14" t="s">
        <v>4175</v>
      </c>
      <c r="Q253" s="163">
        <v>78.510000000000005</v>
      </c>
      <c r="R253" s="1">
        <v>1</v>
      </c>
      <c r="S253" s="90">
        <v>0.21</v>
      </c>
      <c r="T253" s="90">
        <v>0.2</v>
      </c>
      <c r="V253" s="95">
        <f t="shared" si="9"/>
        <v>75.997680000000003</v>
      </c>
      <c r="W253" t="s">
        <v>2844</v>
      </c>
      <c r="X253" s="161" t="s">
        <v>7350</v>
      </c>
      <c r="Y253" s="2">
        <v>37496</v>
      </c>
      <c r="Z253" s="2">
        <v>44825</v>
      </c>
      <c r="AA253" s="284" t="s">
        <v>7511</v>
      </c>
      <c r="AB253" s="3">
        <v>44855</v>
      </c>
      <c r="AC253" s="80" t="s">
        <v>1339</v>
      </c>
      <c r="AF253" t="s">
        <v>3198</v>
      </c>
      <c r="AI253"/>
      <c r="AJ253" s="2"/>
      <c r="AK253" s="1"/>
      <c r="AL253"/>
      <c r="AM253" s="74"/>
      <c r="AS253"/>
      <c r="AT253" s="1"/>
    </row>
    <row r="254" spans="1:46">
      <c r="A254" s="1">
        <v>252</v>
      </c>
      <c r="B254" t="s">
        <v>7245</v>
      </c>
      <c r="C254" s="2">
        <v>44825</v>
      </c>
      <c r="D254" t="s">
        <v>1522</v>
      </c>
      <c r="F254" t="s">
        <v>3233</v>
      </c>
      <c r="G254" t="s">
        <v>3241</v>
      </c>
      <c r="H254" s="6" t="s">
        <v>3234</v>
      </c>
      <c r="I254" t="s">
        <v>3235</v>
      </c>
      <c r="J254" s="8">
        <v>680761760</v>
      </c>
      <c r="K254" s="8" t="s">
        <v>6232</v>
      </c>
      <c r="L254" t="s">
        <v>1522</v>
      </c>
      <c r="M254" s="2">
        <v>44834</v>
      </c>
      <c r="N254" s="1" t="s">
        <v>35</v>
      </c>
      <c r="O254" s="1"/>
      <c r="P254" s="14" t="s">
        <v>7351</v>
      </c>
      <c r="Q254" s="187">
        <v>132.22999999999999</v>
      </c>
      <c r="R254" s="1">
        <v>1</v>
      </c>
      <c r="S254" s="128">
        <v>0.21</v>
      </c>
      <c r="T254" s="128">
        <v>0.2</v>
      </c>
      <c r="V254" s="95">
        <f t="shared" si="9"/>
        <v>127.99863999999999</v>
      </c>
      <c r="W254" t="s">
        <v>7497</v>
      </c>
      <c r="X254" s="6" t="s">
        <v>7492</v>
      </c>
      <c r="Y254" s="2">
        <v>36057</v>
      </c>
      <c r="Z254" s="2">
        <v>44825</v>
      </c>
      <c r="AA254" s="284" t="s">
        <v>7602</v>
      </c>
      <c r="AB254" s="3">
        <v>44881</v>
      </c>
      <c r="AC254" s="80" t="s">
        <v>1339</v>
      </c>
      <c r="AE254" s="3"/>
      <c r="AF254" t="s">
        <v>3198</v>
      </c>
      <c r="AI254" t="s">
        <v>3221</v>
      </c>
      <c r="AJ254" s="2">
        <v>44853</v>
      </c>
      <c r="AL254"/>
      <c r="AM254" s="74">
        <v>44855</v>
      </c>
      <c r="AS254"/>
      <c r="AT254" s="1"/>
    </row>
    <row r="255" spans="1:46">
      <c r="A255" s="1">
        <v>253</v>
      </c>
      <c r="B255" t="s">
        <v>423</v>
      </c>
      <c r="C255" s="2">
        <v>44825</v>
      </c>
      <c r="D255" t="s">
        <v>3217</v>
      </c>
      <c r="F255" t="s">
        <v>91</v>
      </c>
      <c r="G255" t="s">
        <v>3218</v>
      </c>
      <c r="H255" s="6" t="s">
        <v>219</v>
      </c>
      <c r="I255" s="1" t="s">
        <v>38</v>
      </c>
      <c r="J255" s="8">
        <v>629562761</v>
      </c>
      <c r="K255" s="8" t="s">
        <v>6182</v>
      </c>
      <c r="L255" t="s">
        <v>3217</v>
      </c>
      <c r="M255" s="2">
        <v>44834</v>
      </c>
      <c r="N255" s="1" t="s">
        <v>35</v>
      </c>
      <c r="O255" s="1"/>
      <c r="P255" s="14" t="s">
        <v>7352</v>
      </c>
      <c r="Q255" s="187">
        <v>132.22999999999999</v>
      </c>
      <c r="R255" s="1">
        <v>1</v>
      </c>
      <c r="S255" s="90">
        <v>0.21</v>
      </c>
      <c r="T255" s="90">
        <v>0.2</v>
      </c>
      <c r="V255" s="95">
        <f t="shared" si="9"/>
        <v>127.99863999999999</v>
      </c>
      <c r="W255" t="s">
        <v>7496</v>
      </c>
      <c r="X255" s="6" t="s">
        <v>7493</v>
      </c>
      <c r="Y255" s="2">
        <v>32560</v>
      </c>
      <c r="Z255" s="2">
        <v>44825</v>
      </c>
      <c r="AA255" s="285" t="s">
        <v>7652</v>
      </c>
      <c r="AB255" s="3">
        <v>44882</v>
      </c>
      <c r="AC255" s="80" t="s">
        <v>1339</v>
      </c>
      <c r="AD255" t="s">
        <v>7653</v>
      </c>
      <c r="AF255" t="s">
        <v>3198</v>
      </c>
      <c r="AI255" t="s">
        <v>3221</v>
      </c>
      <c r="AJ255" s="2">
        <v>44853</v>
      </c>
      <c r="AL255"/>
      <c r="AM255" s="74">
        <v>44860</v>
      </c>
      <c r="AS255"/>
      <c r="AT255" s="1"/>
    </row>
    <row r="256" spans="1:46">
      <c r="A256" s="1">
        <v>254</v>
      </c>
      <c r="B256" t="s">
        <v>52</v>
      </c>
      <c r="C256" s="2">
        <v>44825</v>
      </c>
      <c r="D256" s="1" t="s">
        <v>256</v>
      </c>
      <c r="E256" s="1"/>
      <c r="F256" s="31" t="s">
        <v>155</v>
      </c>
      <c r="G256" s="31" t="s">
        <v>138</v>
      </c>
      <c r="H256" s="33" t="s">
        <v>227</v>
      </c>
      <c r="I256" s="30" t="s">
        <v>203</v>
      </c>
      <c r="J256" s="44">
        <v>631130911</v>
      </c>
      <c r="K256" s="44" t="s">
        <v>5906</v>
      </c>
      <c r="L256" t="s">
        <v>4432</v>
      </c>
      <c r="M256" s="2">
        <v>44834</v>
      </c>
      <c r="N256" s="1" t="s">
        <v>35</v>
      </c>
      <c r="O256" s="1"/>
      <c r="P256" s="14" t="s">
        <v>5756</v>
      </c>
      <c r="Q256" s="187">
        <v>132.22999999999999</v>
      </c>
      <c r="R256" s="1">
        <v>1</v>
      </c>
      <c r="S256" s="90">
        <v>0.21</v>
      </c>
      <c r="T256" s="90">
        <v>0.2</v>
      </c>
      <c r="V256" s="95">
        <f t="shared" si="9"/>
        <v>127.99863999999999</v>
      </c>
      <c r="W256" t="s">
        <v>5842</v>
      </c>
      <c r="X256" s="6" t="s">
        <v>7494</v>
      </c>
      <c r="Y256" s="2">
        <v>37635</v>
      </c>
      <c r="Z256" s="2">
        <v>44825</v>
      </c>
      <c r="AA256" s="284" t="s">
        <v>7602</v>
      </c>
      <c r="AB256" s="3">
        <v>44881</v>
      </c>
      <c r="AC256" s="80" t="s">
        <v>1339</v>
      </c>
      <c r="AF256" t="s">
        <v>3198</v>
      </c>
      <c r="AI256" t="s">
        <v>3221</v>
      </c>
      <c r="AJ256" s="2">
        <v>44853</v>
      </c>
      <c r="AL256" s="3"/>
      <c r="AM256" s="74">
        <v>44858</v>
      </c>
      <c r="AS256"/>
      <c r="AT256" s="1"/>
    </row>
    <row r="257" spans="1:46">
      <c r="A257" s="1">
        <v>255</v>
      </c>
      <c r="B257" t="s">
        <v>37</v>
      </c>
      <c r="C257" s="2">
        <v>44827</v>
      </c>
      <c r="D257" s="1" t="s">
        <v>7355</v>
      </c>
      <c r="E257" s="1"/>
      <c r="F257" t="s">
        <v>7356</v>
      </c>
      <c r="G257" t="s">
        <v>7357</v>
      </c>
      <c r="H257" s="6" t="s">
        <v>7358</v>
      </c>
      <c r="I257" s="1" t="s">
        <v>7359</v>
      </c>
      <c r="J257" s="8">
        <v>602174812</v>
      </c>
      <c r="K257" s="8"/>
      <c r="L257" t="s">
        <v>7355</v>
      </c>
      <c r="M257" s="2">
        <v>44834</v>
      </c>
      <c r="N257" s="1" t="s">
        <v>35</v>
      </c>
      <c r="O257" s="1"/>
      <c r="P257" s="14" t="s">
        <v>7360</v>
      </c>
      <c r="Q257" s="187">
        <v>78.510000000000005</v>
      </c>
      <c r="R257" s="1">
        <v>1</v>
      </c>
      <c r="S257" s="128">
        <v>0.21</v>
      </c>
      <c r="T257" s="128">
        <v>0</v>
      </c>
      <c r="V257" s="95">
        <f t="shared" si="9"/>
        <v>94.997100000000003</v>
      </c>
      <c r="W257" t="s">
        <v>7355</v>
      </c>
      <c r="X257" s="6" t="s">
        <v>7758</v>
      </c>
      <c r="Y257" s="2">
        <v>36918</v>
      </c>
      <c r="Z257" s="2">
        <v>44827</v>
      </c>
      <c r="AA257" s="285"/>
      <c r="AB257" s="3"/>
      <c r="AC257" s="80"/>
      <c r="AF257" t="s">
        <v>3198</v>
      </c>
      <c r="AI257"/>
      <c r="AL257"/>
      <c r="AM257" s="74"/>
      <c r="AS257"/>
      <c r="AT257" s="1"/>
    </row>
    <row r="258" spans="1:46">
      <c r="A258" s="1">
        <v>256</v>
      </c>
      <c r="B258" s="61" t="s">
        <v>6684</v>
      </c>
      <c r="C258" s="2">
        <v>44827</v>
      </c>
      <c r="D258" t="s">
        <v>5632</v>
      </c>
      <c r="F258" t="s">
        <v>7362</v>
      </c>
      <c r="G258" t="s">
        <v>7363</v>
      </c>
      <c r="H258" s="6" t="s">
        <v>4146</v>
      </c>
      <c r="I258" t="s">
        <v>4147</v>
      </c>
      <c r="K258" s="302"/>
      <c r="L258" t="s">
        <v>5632</v>
      </c>
      <c r="M258" s="2">
        <v>44834</v>
      </c>
      <c r="N258" s="1" t="s">
        <v>35</v>
      </c>
      <c r="O258" s="1"/>
      <c r="P258" s="14" t="s">
        <v>7361</v>
      </c>
      <c r="Q258" s="163">
        <v>78.510000000000005</v>
      </c>
      <c r="R258" s="1">
        <v>1</v>
      </c>
      <c r="S258" s="90">
        <v>0.21</v>
      </c>
      <c r="T258" s="90">
        <v>0</v>
      </c>
      <c r="V258" s="95">
        <f t="shared" si="9"/>
        <v>94.997100000000003</v>
      </c>
      <c r="W258" t="s">
        <v>5632</v>
      </c>
      <c r="X258" s="161" t="s">
        <v>7364</v>
      </c>
      <c r="Y258" s="2">
        <v>33979</v>
      </c>
      <c r="Z258" s="2">
        <v>44827</v>
      </c>
      <c r="AA258" s="284" t="s">
        <v>7510</v>
      </c>
      <c r="AB258" s="3">
        <v>44855</v>
      </c>
      <c r="AC258" s="80" t="s">
        <v>1339</v>
      </c>
      <c r="AF258" t="s">
        <v>3198</v>
      </c>
      <c r="AI258" s="76" t="s">
        <v>3108</v>
      </c>
      <c r="AJ258" s="2"/>
      <c r="AK258" s="1"/>
      <c r="AL258"/>
      <c r="AM258" s="74"/>
      <c r="AS258"/>
      <c r="AT258" s="1"/>
    </row>
    <row r="259" spans="1:46">
      <c r="A259" s="1">
        <v>257</v>
      </c>
      <c r="B259" t="s">
        <v>3526</v>
      </c>
      <c r="C259" s="2">
        <v>44827</v>
      </c>
      <c r="D259" s="1" t="s">
        <v>6215</v>
      </c>
      <c r="E259" s="1"/>
      <c r="F259" t="s">
        <v>6216</v>
      </c>
      <c r="G259" t="s">
        <v>6217</v>
      </c>
      <c r="H259" s="6" t="s">
        <v>242</v>
      </c>
      <c r="I259" s="1" t="s">
        <v>86</v>
      </c>
      <c r="J259" s="8">
        <v>647672066</v>
      </c>
      <c r="K259" s="8" t="s">
        <v>7157</v>
      </c>
      <c r="L259" t="s">
        <v>6215</v>
      </c>
      <c r="M259" s="2">
        <v>44834</v>
      </c>
      <c r="N259" s="1" t="s">
        <v>35</v>
      </c>
      <c r="O259" s="1"/>
      <c r="P259" s="14" t="s">
        <v>7366</v>
      </c>
      <c r="Q259" s="187">
        <v>132.22999999999999</v>
      </c>
      <c r="R259" s="1">
        <v>1</v>
      </c>
      <c r="S259" s="90">
        <v>0.21</v>
      </c>
      <c r="T259" s="90">
        <v>0.2</v>
      </c>
      <c r="V259" s="95">
        <f t="shared" si="9"/>
        <v>127.99863999999999</v>
      </c>
      <c r="W259" t="s">
        <v>7462</v>
      </c>
      <c r="X259" s="6" t="s">
        <v>7463</v>
      </c>
      <c r="Y259" s="2">
        <v>28489</v>
      </c>
      <c r="Z259" s="2">
        <v>44827</v>
      </c>
      <c r="AA259" s="284" t="s">
        <v>7703</v>
      </c>
      <c r="AB259" s="3">
        <v>44890</v>
      </c>
      <c r="AC259" s="80" t="s">
        <v>1339</v>
      </c>
      <c r="AF259" t="s">
        <v>3198</v>
      </c>
      <c r="AI259" t="s">
        <v>3108</v>
      </c>
      <c r="AJ259" s="2">
        <v>44845</v>
      </c>
      <c r="AL259"/>
      <c r="AM259" s="74">
        <v>44851</v>
      </c>
      <c r="AS259"/>
      <c r="AT259" s="1"/>
    </row>
    <row r="260" spans="1:46">
      <c r="A260" s="1">
        <v>258</v>
      </c>
      <c r="B260" t="s">
        <v>3526</v>
      </c>
      <c r="C260" s="2">
        <v>44827</v>
      </c>
      <c r="D260" s="1" t="s">
        <v>541</v>
      </c>
      <c r="E260" s="1"/>
      <c r="F260" t="s">
        <v>542</v>
      </c>
      <c r="G260" t="s">
        <v>7367</v>
      </c>
      <c r="H260" s="6" t="s">
        <v>294</v>
      </c>
      <c r="I260" s="1" t="s">
        <v>103</v>
      </c>
      <c r="K260" t="s">
        <v>8470</v>
      </c>
      <c r="L260" t="s">
        <v>541</v>
      </c>
      <c r="M260" s="2">
        <v>44834</v>
      </c>
      <c r="N260" s="1" t="s">
        <v>35</v>
      </c>
      <c r="O260" s="1"/>
      <c r="P260" s="14" t="s">
        <v>7368</v>
      </c>
      <c r="Q260" s="187">
        <v>78.510000000000005</v>
      </c>
      <c r="R260" s="1">
        <v>1</v>
      </c>
      <c r="S260" s="128">
        <v>0.21</v>
      </c>
      <c r="T260" s="128">
        <v>0.2</v>
      </c>
      <c r="V260" s="95">
        <f t="shared" si="9"/>
        <v>75.997680000000003</v>
      </c>
      <c r="W260" t="s">
        <v>7369</v>
      </c>
      <c r="X260" s="6" t="s">
        <v>7370</v>
      </c>
      <c r="Y260" s="2">
        <v>38497</v>
      </c>
      <c r="Z260" s="2">
        <v>44827</v>
      </c>
      <c r="AA260" s="284" t="s">
        <v>7602</v>
      </c>
      <c r="AB260" s="3">
        <v>44875</v>
      </c>
      <c r="AC260" s="80" t="s">
        <v>1339</v>
      </c>
      <c r="AF260" t="s">
        <v>3198</v>
      </c>
      <c r="AI260"/>
      <c r="AJ260" s="1"/>
      <c r="AL260"/>
      <c r="AM260" s="8"/>
      <c r="AS260"/>
      <c r="AT260" s="1"/>
    </row>
    <row r="261" spans="1:46">
      <c r="A261" s="1">
        <v>259</v>
      </c>
      <c r="B261" t="s">
        <v>119</v>
      </c>
      <c r="C261" s="2">
        <v>44827</v>
      </c>
      <c r="D261" s="1" t="s">
        <v>3826</v>
      </c>
      <c r="E261" s="1"/>
      <c r="F261" s="61" t="s">
        <v>3827</v>
      </c>
      <c r="G261" s="61" t="s">
        <v>3828</v>
      </c>
      <c r="H261" s="6" t="s">
        <v>250</v>
      </c>
      <c r="I261" s="1" t="s">
        <v>2585</v>
      </c>
      <c r="J261" s="8">
        <v>670341556</v>
      </c>
      <c r="K261" s="1" t="s">
        <v>8094</v>
      </c>
      <c r="L261" s="31" t="s">
        <v>174</v>
      </c>
      <c r="M261" s="2">
        <v>44834</v>
      </c>
      <c r="N261" s="1" t="s">
        <v>35</v>
      </c>
      <c r="O261" s="1"/>
      <c r="P261" s="14" t="s">
        <v>7371</v>
      </c>
      <c r="Q261" s="92">
        <v>41.32</v>
      </c>
      <c r="R261" s="1">
        <v>1</v>
      </c>
      <c r="S261" s="128">
        <v>0.21</v>
      </c>
      <c r="T261" s="128">
        <v>0</v>
      </c>
      <c r="U261" s="1"/>
      <c r="V261" s="95">
        <f t="shared" si="9"/>
        <v>49.997199999999999</v>
      </c>
      <c r="W261" t="s">
        <v>7131</v>
      </c>
      <c r="X261" s="6" t="s">
        <v>7132</v>
      </c>
      <c r="Y261" s="2">
        <v>35886</v>
      </c>
      <c r="Z261" s="2">
        <v>44827</v>
      </c>
      <c r="AA261" s="284" t="s">
        <v>1326</v>
      </c>
      <c r="AB261" s="3"/>
      <c r="AC261" s="80"/>
      <c r="AF261" t="s">
        <v>3198</v>
      </c>
      <c r="AI261"/>
      <c r="AJ261" s="2"/>
      <c r="AL261"/>
      <c r="AM261" s="74"/>
      <c r="AS261"/>
      <c r="AT261" s="1"/>
    </row>
    <row r="262" spans="1:46">
      <c r="A262" s="1">
        <v>260</v>
      </c>
      <c r="B262" t="s">
        <v>119</v>
      </c>
      <c r="C262" s="2">
        <v>44827</v>
      </c>
      <c r="D262" s="1" t="s">
        <v>3826</v>
      </c>
      <c r="E262" s="1"/>
      <c r="F262" s="61" t="s">
        <v>3827</v>
      </c>
      <c r="G262" s="61" t="s">
        <v>3828</v>
      </c>
      <c r="H262" s="6" t="s">
        <v>250</v>
      </c>
      <c r="I262" s="1" t="s">
        <v>2585</v>
      </c>
      <c r="J262" s="8">
        <v>670341556</v>
      </c>
      <c r="K262" s="1" t="s">
        <v>8094</v>
      </c>
      <c r="L262" s="31" t="s">
        <v>174</v>
      </c>
      <c r="M262" s="2">
        <v>44834</v>
      </c>
      <c r="N262" s="1" t="s">
        <v>35</v>
      </c>
      <c r="O262" s="1"/>
      <c r="P262" s="14" t="s">
        <v>7372</v>
      </c>
      <c r="Q262" s="92">
        <v>41.32</v>
      </c>
      <c r="R262" s="1">
        <v>1</v>
      </c>
      <c r="S262" s="128">
        <v>0.21</v>
      </c>
      <c r="T262" s="128">
        <v>0</v>
      </c>
      <c r="U262" s="1"/>
      <c r="V262" s="95">
        <f t="shared" si="9"/>
        <v>49.997199999999999</v>
      </c>
      <c r="W262" t="s">
        <v>7180</v>
      </c>
      <c r="X262" s="6" t="s">
        <v>7179</v>
      </c>
      <c r="Y262" s="2">
        <v>30773</v>
      </c>
      <c r="Z262" s="2">
        <v>44827</v>
      </c>
      <c r="AA262" s="284" t="s">
        <v>1326</v>
      </c>
      <c r="AB262" s="3"/>
      <c r="AC262" s="80"/>
      <c r="AF262" t="s">
        <v>3198</v>
      </c>
      <c r="AI262"/>
      <c r="AJ262" s="2"/>
      <c r="AL262"/>
      <c r="AM262" s="74"/>
      <c r="AS262"/>
      <c r="AT262" s="1"/>
    </row>
    <row r="263" spans="1:46">
      <c r="A263" s="1">
        <v>261</v>
      </c>
      <c r="B263" s="61" t="s">
        <v>6684</v>
      </c>
      <c r="C263" s="2">
        <v>44827</v>
      </c>
      <c r="D263" t="s">
        <v>6685</v>
      </c>
      <c r="F263" t="s">
        <v>6686</v>
      </c>
      <c r="G263" t="s">
        <v>6687</v>
      </c>
      <c r="H263" s="6" t="s">
        <v>2579</v>
      </c>
      <c r="I263" t="s">
        <v>2580</v>
      </c>
      <c r="K263" s="302" t="s">
        <v>7339</v>
      </c>
      <c r="L263" t="s">
        <v>6685</v>
      </c>
      <c r="M263" s="2">
        <v>44834</v>
      </c>
      <c r="N263" s="1" t="s">
        <v>35</v>
      </c>
      <c r="O263" s="1"/>
      <c r="P263" s="14" t="s">
        <v>7373</v>
      </c>
      <c r="Q263" s="163">
        <v>132.22999999999999</v>
      </c>
      <c r="R263" s="1">
        <v>1</v>
      </c>
      <c r="S263" s="90">
        <v>0.21</v>
      </c>
      <c r="T263" s="90">
        <v>0.2</v>
      </c>
      <c r="V263" s="95">
        <f t="shared" si="9"/>
        <v>127.99863999999999</v>
      </c>
      <c r="W263" t="s">
        <v>7506</v>
      </c>
      <c r="X263" s="6" t="s">
        <v>7473</v>
      </c>
      <c r="Y263" s="2">
        <v>32874</v>
      </c>
      <c r="Z263" s="2">
        <v>44827</v>
      </c>
      <c r="AA263" s="285" t="s">
        <v>7786</v>
      </c>
      <c r="AB263" s="3">
        <v>44910</v>
      </c>
      <c r="AC263" s="61"/>
      <c r="AD263" s="316" t="s">
        <v>7691</v>
      </c>
      <c r="AE263" s="3">
        <v>44890</v>
      </c>
      <c r="AF263" t="s">
        <v>3198</v>
      </c>
      <c r="AI263" t="s">
        <v>3108</v>
      </c>
      <c r="AJ263" s="2">
        <v>44847</v>
      </c>
      <c r="AK263" s="1"/>
      <c r="AL263"/>
      <c r="AM263" s="74">
        <v>44853</v>
      </c>
      <c r="AS263"/>
      <c r="AT263" s="1"/>
    </row>
    <row r="264" spans="1:46">
      <c r="A264" s="1">
        <v>262</v>
      </c>
      <c r="B264" t="s">
        <v>33</v>
      </c>
      <c r="C264" s="2">
        <v>44830</v>
      </c>
      <c r="D264" s="1" t="s">
        <v>7374</v>
      </c>
      <c r="E264" s="1"/>
      <c r="F264" t="s">
        <v>7375</v>
      </c>
      <c r="G264" t="s">
        <v>7376</v>
      </c>
      <c r="H264" s="6" t="s">
        <v>219</v>
      </c>
      <c r="I264" s="1" t="s">
        <v>38</v>
      </c>
      <c r="K264" t="s">
        <v>8186</v>
      </c>
      <c r="L264" t="s">
        <v>237</v>
      </c>
      <c r="M264" s="2">
        <v>44834</v>
      </c>
      <c r="N264" s="1" t="s">
        <v>35</v>
      </c>
      <c r="O264" s="1"/>
      <c r="P264" s="14" t="s">
        <v>7377</v>
      </c>
      <c r="Q264" s="187">
        <v>132.22999999999999</v>
      </c>
      <c r="R264" s="1">
        <v>1</v>
      </c>
      <c r="S264" s="128">
        <v>0.21</v>
      </c>
      <c r="T264" s="128">
        <v>0.2</v>
      </c>
      <c r="V264" s="95">
        <f t="shared" si="9"/>
        <v>127.99863999999999</v>
      </c>
      <c r="W264" t="s">
        <v>7557</v>
      </c>
      <c r="X264" s="6" t="s">
        <v>7558</v>
      </c>
      <c r="Y264" s="2">
        <v>36991</v>
      </c>
      <c r="Z264" s="2">
        <v>44830</v>
      </c>
      <c r="AA264" s="284" t="s">
        <v>7629</v>
      </c>
      <c r="AB264" s="3">
        <v>44875</v>
      </c>
      <c r="AC264" s="80" t="s">
        <v>1339</v>
      </c>
      <c r="AF264" t="s">
        <v>3198</v>
      </c>
      <c r="AI264" t="s">
        <v>3221</v>
      </c>
      <c r="AJ264" s="2">
        <v>44859</v>
      </c>
      <c r="AL264"/>
      <c r="AM264" s="74">
        <v>44861</v>
      </c>
      <c r="AS264"/>
      <c r="AT264" s="1"/>
    </row>
    <row r="265" spans="1:46">
      <c r="A265" s="1">
        <v>263</v>
      </c>
      <c r="B265" t="s">
        <v>52</v>
      </c>
      <c r="C265" s="2">
        <v>44830</v>
      </c>
      <c r="D265" s="1" t="s">
        <v>256</v>
      </c>
      <c r="E265" s="1"/>
      <c r="F265" s="31" t="s">
        <v>155</v>
      </c>
      <c r="G265" s="31" t="s">
        <v>138</v>
      </c>
      <c r="H265" s="33" t="s">
        <v>227</v>
      </c>
      <c r="I265" s="30" t="s">
        <v>203</v>
      </c>
      <c r="J265" s="44">
        <v>631130911</v>
      </c>
      <c r="K265" s="44" t="s">
        <v>5906</v>
      </c>
      <c r="L265" t="s">
        <v>4432</v>
      </c>
      <c r="M265" s="2">
        <v>44834</v>
      </c>
      <c r="N265" s="1" t="s">
        <v>35</v>
      </c>
      <c r="O265" s="1"/>
      <c r="P265" s="14" t="s">
        <v>7378</v>
      </c>
      <c r="Q265" s="187">
        <v>132.22999999999999</v>
      </c>
      <c r="R265" s="1">
        <v>1</v>
      </c>
      <c r="S265" s="90">
        <v>0.21</v>
      </c>
      <c r="T265" s="90">
        <v>0.2</v>
      </c>
      <c r="V265" s="95">
        <f t="shared" si="9"/>
        <v>127.99863999999999</v>
      </c>
      <c r="W265" t="s">
        <v>7379</v>
      </c>
      <c r="X265" s="6" t="s">
        <v>7451</v>
      </c>
      <c r="Y265" s="2">
        <v>33603</v>
      </c>
      <c r="Z265" s="2">
        <v>44830</v>
      </c>
      <c r="AA265" s="284" t="s">
        <v>7744</v>
      </c>
      <c r="AB265" s="3">
        <v>44897</v>
      </c>
      <c r="AC265" s="80" t="s">
        <v>1339</v>
      </c>
      <c r="AF265" t="s">
        <v>3198</v>
      </c>
      <c r="AI265" t="s">
        <v>3894</v>
      </c>
      <c r="AJ265" s="2">
        <v>44845</v>
      </c>
      <c r="AK265" s="76" t="s">
        <v>7461</v>
      </c>
      <c r="AL265" t="s">
        <v>7705</v>
      </c>
      <c r="AM265" s="3">
        <v>44845</v>
      </c>
      <c r="AS265"/>
      <c r="AT265" s="1"/>
    </row>
    <row r="266" spans="1:46">
      <c r="A266" s="1">
        <v>264</v>
      </c>
      <c r="B266" t="s">
        <v>33</v>
      </c>
      <c r="C266" s="2">
        <v>44830</v>
      </c>
      <c r="D266" s="1" t="s">
        <v>7380</v>
      </c>
      <c r="E266" s="1"/>
      <c r="F266" t="s">
        <v>7381</v>
      </c>
      <c r="G266" t="s">
        <v>7382</v>
      </c>
      <c r="H266" s="6" t="s">
        <v>236</v>
      </c>
      <c r="I266" s="1" t="s">
        <v>3851</v>
      </c>
      <c r="K266" t="s">
        <v>8186</v>
      </c>
      <c r="L266" t="s">
        <v>237</v>
      </c>
      <c r="M266" s="2">
        <v>44834</v>
      </c>
      <c r="N266" s="1" t="s">
        <v>35</v>
      </c>
      <c r="O266" s="1"/>
      <c r="P266" s="14" t="s">
        <v>7383</v>
      </c>
      <c r="Q266" s="187">
        <v>132.22999999999999</v>
      </c>
      <c r="R266" s="1">
        <v>1</v>
      </c>
      <c r="S266" s="128">
        <v>0.21</v>
      </c>
      <c r="T266" s="128">
        <v>0.2</v>
      </c>
      <c r="V266" s="95">
        <f t="shared" si="9"/>
        <v>127.99863999999999</v>
      </c>
      <c r="W266" t="s">
        <v>7554</v>
      </c>
      <c r="X266" s="6" t="s">
        <v>7555</v>
      </c>
      <c r="Y266" s="2">
        <v>35704</v>
      </c>
      <c r="Z266" s="2">
        <v>44830</v>
      </c>
      <c r="AA266" s="285" t="s">
        <v>7685</v>
      </c>
      <c r="AB266" s="3">
        <v>44890</v>
      </c>
      <c r="AC266" s="80" t="s">
        <v>1339</v>
      </c>
      <c r="AF266" t="s">
        <v>3198</v>
      </c>
      <c r="AI266" s="76" t="s">
        <v>3221</v>
      </c>
      <c r="AJ266" s="2">
        <v>44859</v>
      </c>
      <c r="AL266"/>
      <c r="AM266" s="74"/>
      <c r="AS266"/>
      <c r="AT266" s="1"/>
    </row>
    <row r="267" spans="1:46">
      <c r="A267" s="1">
        <v>265</v>
      </c>
      <c r="B267" t="s">
        <v>1242</v>
      </c>
      <c r="C267" s="2">
        <v>44830</v>
      </c>
      <c r="D267" s="1" t="s">
        <v>2831</v>
      </c>
      <c r="E267" s="1"/>
      <c r="F267" s="61" t="s">
        <v>2832</v>
      </c>
      <c r="G267" s="61" t="s">
        <v>4250</v>
      </c>
      <c r="H267" s="6" t="s">
        <v>221</v>
      </c>
      <c r="I267" s="1" t="s">
        <v>34</v>
      </c>
      <c r="J267" s="8">
        <v>609171350</v>
      </c>
      <c r="K267" s="8" t="s">
        <v>5905</v>
      </c>
      <c r="L267" s="31" t="s">
        <v>1250</v>
      </c>
      <c r="M267" s="2">
        <v>44834</v>
      </c>
      <c r="N267" s="1" t="s">
        <v>35</v>
      </c>
      <c r="O267" s="1"/>
      <c r="P267" s="14" t="s">
        <v>7384</v>
      </c>
      <c r="Q267" s="163">
        <v>41.32</v>
      </c>
      <c r="R267" s="1">
        <v>1</v>
      </c>
      <c r="S267" s="128">
        <v>0.21</v>
      </c>
      <c r="T267" s="128">
        <v>0</v>
      </c>
      <c r="V267" s="95">
        <f t="shared" si="9"/>
        <v>49.997199999999999</v>
      </c>
      <c r="W267" t="s">
        <v>7276</v>
      </c>
      <c r="X267" s="161" t="s">
        <v>7277</v>
      </c>
      <c r="Y267" s="2">
        <v>31738</v>
      </c>
      <c r="Z267" s="2">
        <v>44830</v>
      </c>
      <c r="AA267" s="284" t="s">
        <v>1326</v>
      </c>
      <c r="AF267" t="s">
        <v>3198</v>
      </c>
      <c r="AI267"/>
      <c r="AJ267" s="2"/>
      <c r="AK267" s="1"/>
      <c r="AL267"/>
      <c r="AM267" s="74"/>
      <c r="AS267"/>
      <c r="AT267" s="1"/>
    </row>
    <row r="268" spans="1:46">
      <c r="A268" s="1">
        <v>266</v>
      </c>
      <c r="B268" s="61" t="s">
        <v>40</v>
      </c>
      <c r="C268" s="2">
        <v>44830</v>
      </c>
      <c r="D268" s="1" t="s">
        <v>2591</v>
      </c>
      <c r="E268" s="1"/>
      <c r="F268" s="61" t="s">
        <v>2592</v>
      </c>
      <c r="G268" s="61" t="s">
        <v>4044</v>
      </c>
      <c r="H268" s="6" t="s">
        <v>230</v>
      </c>
      <c r="I268" t="s">
        <v>1262</v>
      </c>
      <c r="K268" s="8"/>
      <c r="L268" t="s">
        <v>2591</v>
      </c>
      <c r="M268" s="2">
        <v>44834</v>
      </c>
      <c r="N268" s="1" t="s">
        <v>35</v>
      </c>
      <c r="O268" s="1"/>
      <c r="P268" s="14" t="s">
        <v>4045</v>
      </c>
      <c r="Q268" s="187">
        <v>78.510000000000005</v>
      </c>
      <c r="R268" s="1">
        <v>1</v>
      </c>
      <c r="S268" s="90">
        <v>0.21</v>
      </c>
      <c r="T268" s="90">
        <v>0.2</v>
      </c>
      <c r="U268" s="1"/>
      <c r="V268" s="95">
        <f t="shared" si="9"/>
        <v>75.997680000000003</v>
      </c>
      <c r="W268" t="s">
        <v>2595</v>
      </c>
      <c r="X268" s="87" t="s">
        <v>7385</v>
      </c>
      <c r="Y268" s="2">
        <v>33368</v>
      </c>
      <c r="Z268" s="2">
        <v>44830</v>
      </c>
      <c r="AA268" s="284" t="s">
        <v>7686</v>
      </c>
      <c r="AB268" s="64">
        <v>44880</v>
      </c>
      <c r="AC268" s="80" t="s">
        <v>1339</v>
      </c>
      <c r="AF268" t="s">
        <v>3198</v>
      </c>
      <c r="AJ268" s="1"/>
      <c r="AK268" s="1"/>
      <c r="AL268"/>
      <c r="AM268" s="1"/>
      <c r="AS268"/>
      <c r="AT268" s="1"/>
    </row>
    <row r="269" spans="1:46">
      <c r="A269" s="1">
        <v>267</v>
      </c>
      <c r="B269" s="61" t="s">
        <v>6684</v>
      </c>
      <c r="C269" s="2">
        <v>44831</v>
      </c>
      <c r="D269" t="s">
        <v>6685</v>
      </c>
      <c r="F269" t="s">
        <v>6686</v>
      </c>
      <c r="G269" t="s">
        <v>6687</v>
      </c>
      <c r="H269" s="6" t="s">
        <v>2579</v>
      </c>
      <c r="I269" t="s">
        <v>2580</v>
      </c>
      <c r="K269" s="1" t="s">
        <v>7339</v>
      </c>
      <c r="L269" t="s">
        <v>6685</v>
      </c>
      <c r="M269" s="2">
        <v>44834</v>
      </c>
      <c r="N269" s="1" t="s">
        <v>35</v>
      </c>
      <c r="O269" s="1"/>
      <c r="P269" s="14" t="s">
        <v>7386</v>
      </c>
      <c r="Q269" s="163">
        <v>132.22999999999999</v>
      </c>
      <c r="R269" s="1">
        <v>1</v>
      </c>
      <c r="S269" s="90">
        <v>0.21</v>
      </c>
      <c r="T269" s="90">
        <v>0.2</v>
      </c>
      <c r="V269" s="95">
        <f t="shared" si="9"/>
        <v>127.99863999999999</v>
      </c>
      <c r="W269" t="s">
        <v>7483</v>
      </c>
      <c r="X269" s="6" t="s">
        <v>7484</v>
      </c>
      <c r="Y269" s="2">
        <v>28219</v>
      </c>
      <c r="Z269" s="2">
        <v>44831</v>
      </c>
      <c r="AA269" s="284" t="s">
        <v>8137</v>
      </c>
      <c r="AB269" s="3">
        <v>44984</v>
      </c>
      <c r="AC269" s="80" t="s">
        <v>1339</v>
      </c>
      <c r="AE269" s="162">
        <v>44938</v>
      </c>
      <c r="AF269" t="s">
        <v>3198</v>
      </c>
      <c r="AI269" t="s">
        <v>3108</v>
      </c>
      <c r="AJ269" s="2">
        <v>44851</v>
      </c>
      <c r="AK269" s="1"/>
      <c r="AL269"/>
      <c r="AM269" s="74">
        <v>44859</v>
      </c>
      <c r="AS269"/>
      <c r="AT269" s="1"/>
    </row>
    <row r="270" spans="1:46">
      <c r="A270" s="1">
        <v>268</v>
      </c>
      <c r="B270" t="s">
        <v>1242</v>
      </c>
      <c r="C270" s="2">
        <v>44831</v>
      </c>
      <c r="D270" s="279" t="s">
        <v>7208</v>
      </c>
      <c r="E270" s="279"/>
      <c r="F270" t="s">
        <v>7172</v>
      </c>
      <c r="G270" t="s">
        <v>7173</v>
      </c>
      <c r="H270" s="6" t="s">
        <v>227</v>
      </c>
      <c r="I270" s="1" t="s">
        <v>34</v>
      </c>
      <c r="K270" s="8" t="s">
        <v>5905</v>
      </c>
      <c r="L270" s="31" t="s">
        <v>1250</v>
      </c>
      <c r="M270" s="2">
        <v>44834</v>
      </c>
      <c r="N270" s="1" t="s">
        <v>35</v>
      </c>
      <c r="O270" s="1"/>
      <c r="P270" s="14" t="s">
        <v>7387</v>
      </c>
      <c r="Q270" s="187">
        <v>41.32</v>
      </c>
      <c r="R270" s="1">
        <v>1</v>
      </c>
      <c r="S270" s="90">
        <v>0.21</v>
      </c>
      <c r="T270" s="90">
        <v>0</v>
      </c>
      <c r="V270" s="95">
        <f t="shared" si="9"/>
        <v>49.997199999999999</v>
      </c>
      <c r="W270" t="s">
        <v>7211</v>
      </c>
      <c r="X270" s="6" t="s">
        <v>7212</v>
      </c>
      <c r="Y270" s="2">
        <v>32663</v>
      </c>
      <c r="Z270" s="2">
        <v>44831</v>
      </c>
      <c r="AA270" s="284" t="s">
        <v>1326</v>
      </c>
      <c r="AF270" t="s">
        <v>3198</v>
      </c>
      <c r="AI270"/>
      <c r="AJ270" s="3"/>
      <c r="AL270"/>
      <c r="AM270" s="74"/>
      <c r="AS270"/>
      <c r="AT270" s="1"/>
    </row>
    <row r="271" spans="1:46">
      <c r="A271" s="1">
        <v>269</v>
      </c>
      <c r="B271" s="61" t="s">
        <v>52</v>
      </c>
      <c r="C271" s="2">
        <v>44831</v>
      </c>
      <c r="D271" s="30" t="s">
        <v>458</v>
      </c>
      <c r="E271" s="30"/>
      <c r="F271" t="s">
        <v>84</v>
      </c>
      <c r="G271" s="103" t="s">
        <v>138</v>
      </c>
      <c r="H271" s="30" t="s">
        <v>227</v>
      </c>
      <c r="I271" s="31" t="s">
        <v>203</v>
      </c>
      <c r="J271" s="44"/>
      <c r="K271" s="44" t="s">
        <v>5906</v>
      </c>
      <c r="L271" t="s">
        <v>4432</v>
      </c>
      <c r="M271" s="2">
        <v>44834</v>
      </c>
      <c r="N271" s="1" t="s">
        <v>35</v>
      </c>
      <c r="O271" s="1"/>
      <c r="P271" s="14" t="s">
        <v>7388</v>
      </c>
      <c r="Q271" s="187">
        <v>78.510000000000005</v>
      </c>
      <c r="R271" s="1">
        <v>1</v>
      </c>
      <c r="S271" s="90">
        <v>0.21</v>
      </c>
      <c r="T271" s="90">
        <v>0.2</v>
      </c>
      <c r="V271" s="95">
        <f t="shared" si="9"/>
        <v>75.997680000000003</v>
      </c>
      <c r="W271" t="s">
        <v>5670</v>
      </c>
      <c r="X271" s="6" t="s">
        <v>7389</v>
      </c>
      <c r="Y271" s="2">
        <v>34580</v>
      </c>
      <c r="Z271" s="2">
        <v>44831</v>
      </c>
      <c r="AA271" s="284" t="s">
        <v>7556</v>
      </c>
      <c r="AB271" s="64">
        <v>44860</v>
      </c>
      <c r="AC271" s="80" t="s">
        <v>1339</v>
      </c>
      <c r="AF271" t="s">
        <v>3198</v>
      </c>
      <c r="AI271"/>
      <c r="AJ271" s="1"/>
      <c r="AL271"/>
      <c r="AM271" s="2"/>
      <c r="AS271"/>
      <c r="AT271" s="1"/>
    </row>
    <row r="272" spans="1:46">
      <c r="A272" s="1">
        <v>270</v>
      </c>
      <c r="B272" s="61" t="s">
        <v>6684</v>
      </c>
      <c r="C272" s="2">
        <v>44831</v>
      </c>
      <c r="D272" t="s">
        <v>6685</v>
      </c>
      <c r="F272" t="s">
        <v>6686</v>
      </c>
      <c r="G272" t="s">
        <v>6687</v>
      </c>
      <c r="H272" s="6" t="s">
        <v>2579</v>
      </c>
      <c r="I272" t="s">
        <v>2580</v>
      </c>
      <c r="K272" s="1" t="s">
        <v>7339</v>
      </c>
      <c r="L272" t="s">
        <v>6685</v>
      </c>
      <c r="M272" s="2">
        <v>44834</v>
      </c>
      <c r="N272" s="1" t="s">
        <v>35</v>
      </c>
      <c r="O272" s="1"/>
      <c r="P272" s="14" t="s">
        <v>7390</v>
      </c>
      <c r="Q272" s="187">
        <v>78.510000000000005</v>
      </c>
      <c r="R272" s="1">
        <v>1</v>
      </c>
      <c r="S272" s="90">
        <v>0.21</v>
      </c>
      <c r="T272" s="90">
        <v>0.2</v>
      </c>
      <c r="V272" s="95">
        <f t="shared" si="9"/>
        <v>75.997680000000003</v>
      </c>
      <c r="W272" t="s">
        <v>5386</v>
      </c>
      <c r="X272" s="6" t="s">
        <v>7391</v>
      </c>
      <c r="Y272" s="2">
        <v>27198</v>
      </c>
      <c r="Z272" s="2">
        <v>44831</v>
      </c>
      <c r="AA272" s="284" t="s">
        <v>7556</v>
      </c>
      <c r="AB272" s="64">
        <v>44860</v>
      </c>
      <c r="AC272" s="80" t="s">
        <v>1339</v>
      </c>
      <c r="AF272" t="s">
        <v>3198</v>
      </c>
      <c r="AI272"/>
      <c r="AJ272" s="2"/>
      <c r="AL272"/>
      <c r="AM272" s="3"/>
      <c r="AS272"/>
      <c r="AT272" s="1"/>
    </row>
    <row r="273" spans="1:46">
      <c r="A273" s="1">
        <v>271</v>
      </c>
      <c r="B273" s="61" t="s">
        <v>3783</v>
      </c>
      <c r="C273" s="2">
        <v>44832</v>
      </c>
      <c r="D273" s="1" t="s">
        <v>5313</v>
      </c>
      <c r="E273" s="1"/>
      <c r="F273" t="s">
        <v>5432</v>
      </c>
      <c r="G273" s="61" t="s">
        <v>5314</v>
      </c>
      <c r="H273" s="6" t="s">
        <v>2579</v>
      </c>
      <c r="I273" s="1" t="s">
        <v>2580</v>
      </c>
      <c r="K273" s="1" t="s">
        <v>7339</v>
      </c>
      <c r="L273" t="s">
        <v>3109</v>
      </c>
      <c r="M273" s="2">
        <v>44834</v>
      </c>
      <c r="N273" s="1" t="s">
        <v>35</v>
      </c>
      <c r="O273" s="1"/>
      <c r="P273" s="14" t="s">
        <v>7398</v>
      </c>
      <c r="Q273" s="187">
        <v>78.510000000000005</v>
      </c>
      <c r="R273" s="1">
        <v>1</v>
      </c>
      <c r="S273" s="90">
        <v>0.21</v>
      </c>
      <c r="T273" s="90">
        <v>0.2</v>
      </c>
      <c r="V273" s="95">
        <f t="shared" si="9"/>
        <v>75.997680000000003</v>
      </c>
      <c r="W273" t="s">
        <v>5640</v>
      </c>
      <c r="X273" s="6" t="s">
        <v>7399</v>
      </c>
      <c r="Y273" s="2">
        <v>31778</v>
      </c>
      <c r="Z273" s="2">
        <v>44832</v>
      </c>
      <c r="AA273" s="284" t="s">
        <v>7512</v>
      </c>
      <c r="AB273" s="3">
        <v>44855</v>
      </c>
      <c r="AC273" s="80" t="s">
        <v>1339</v>
      </c>
      <c r="AF273" t="s">
        <v>3198</v>
      </c>
      <c r="AI273"/>
      <c r="AJ273" s="2"/>
      <c r="AL273"/>
      <c r="AM273" s="3"/>
      <c r="AS273"/>
      <c r="AT273" s="1"/>
    </row>
    <row r="274" spans="1:46">
      <c r="A274" s="1">
        <v>272</v>
      </c>
      <c r="B274" t="s">
        <v>1414</v>
      </c>
      <c r="C274" s="2">
        <v>44832</v>
      </c>
      <c r="D274" s="1" t="s">
        <v>2963</v>
      </c>
      <c r="E274" s="1"/>
      <c r="F274" s="14" t="s">
        <v>2964</v>
      </c>
      <c r="G274" t="s">
        <v>2115</v>
      </c>
      <c r="H274" s="6" t="s">
        <v>230</v>
      </c>
      <c r="I274" s="1" t="s">
        <v>1262</v>
      </c>
      <c r="K274" s="8" t="s">
        <v>6192</v>
      </c>
      <c r="L274" t="s">
        <v>2963</v>
      </c>
      <c r="M274" s="2">
        <v>44834</v>
      </c>
      <c r="N274" s="1" t="s">
        <v>35</v>
      </c>
      <c r="O274" s="1"/>
      <c r="P274" s="14" t="s">
        <v>7400</v>
      </c>
      <c r="Q274" s="187">
        <v>78.510000000000005</v>
      </c>
      <c r="R274" s="1">
        <v>1</v>
      </c>
      <c r="S274" s="90">
        <v>0.21</v>
      </c>
      <c r="T274" s="90">
        <v>0.2</v>
      </c>
      <c r="V274" s="95">
        <f t="shared" si="9"/>
        <v>75.997680000000003</v>
      </c>
      <c r="W274" t="s">
        <v>5267</v>
      </c>
      <c r="X274" s="6" t="s">
        <v>7401</v>
      </c>
      <c r="Y274" s="2">
        <v>37304</v>
      </c>
      <c r="Z274" s="2">
        <v>44832</v>
      </c>
      <c r="AA274" s="284" t="s">
        <v>7556</v>
      </c>
      <c r="AB274" s="64">
        <v>44859</v>
      </c>
      <c r="AC274" s="80" t="s">
        <v>1339</v>
      </c>
      <c r="AF274" t="s">
        <v>3198</v>
      </c>
      <c r="AI274"/>
      <c r="AJ274" s="2"/>
      <c r="AL274"/>
      <c r="AM274" s="3"/>
      <c r="AS274"/>
      <c r="AT274" s="1"/>
    </row>
    <row r="275" spans="1:46">
      <c r="A275" s="1">
        <v>273</v>
      </c>
      <c r="B275" t="s">
        <v>1414</v>
      </c>
      <c r="C275" s="2">
        <v>44832</v>
      </c>
      <c r="D275" s="1" t="s">
        <v>4834</v>
      </c>
      <c r="E275" s="1"/>
      <c r="F275" t="s">
        <v>4835</v>
      </c>
      <c r="G275" t="s">
        <v>4836</v>
      </c>
      <c r="H275" s="6" t="s">
        <v>227</v>
      </c>
      <c r="I275" s="1" t="s">
        <v>4719</v>
      </c>
      <c r="K275" s="8"/>
      <c r="L275" t="s">
        <v>4834</v>
      </c>
      <c r="M275" s="2">
        <v>44834</v>
      </c>
      <c r="N275" s="1" t="s">
        <v>35</v>
      </c>
      <c r="O275" s="1"/>
      <c r="P275" s="14" t="s">
        <v>7402</v>
      </c>
      <c r="Q275" s="187">
        <v>78.510000000000005</v>
      </c>
      <c r="R275" s="1">
        <v>1</v>
      </c>
      <c r="S275" s="90">
        <v>0.21</v>
      </c>
      <c r="T275" s="90">
        <v>0.2</v>
      </c>
      <c r="V275" s="95">
        <f t="shared" si="9"/>
        <v>75.997680000000003</v>
      </c>
      <c r="W275" t="s">
        <v>5018</v>
      </c>
      <c r="X275" s="6" t="s">
        <v>7403</v>
      </c>
      <c r="Y275" s="2">
        <v>36331</v>
      </c>
      <c r="Z275" s="2">
        <v>44832</v>
      </c>
      <c r="AA275" s="284" t="s">
        <v>7556</v>
      </c>
      <c r="AB275" s="64">
        <v>44859</v>
      </c>
      <c r="AC275" s="80" t="s">
        <v>1339</v>
      </c>
      <c r="AF275" t="s">
        <v>3198</v>
      </c>
      <c r="AI275"/>
      <c r="AJ275" s="2"/>
      <c r="AL275"/>
      <c r="AM275" s="3"/>
      <c r="AS275"/>
      <c r="AT275" s="1"/>
    </row>
    <row r="276" spans="1:46">
      <c r="A276" s="1">
        <v>274</v>
      </c>
      <c r="B276" t="s">
        <v>1242</v>
      </c>
      <c r="C276" s="2">
        <v>44832</v>
      </c>
      <c r="D276" s="61" t="s">
        <v>1243</v>
      </c>
      <c r="E276" s="61"/>
      <c r="F276" t="s">
        <v>1244</v>
      </c>
      <c r="G276" t="s">
        <v>1245</v>
      </c>
      <c r="H276" s="6" t="s">
        <v>227</v>
      </c>
      <c r="I276" t="s">
        <v>34</v>
      </c>
      <c r="J276" s="8">
        <v>632341539</v>
      </c>
      <c r="K276" s="8" t="s">
        <v>5905</v>
      </c>
      <c r="L276" s="31" t="s">
        <v>1250</v>
      </c>
      <c r="M276" s="2">
        <v>44834</v>
      </c>
      <c r="N276" s="1" t="s">
        <v>35</v>
      </c>
      <c r="O276" s="1"/>
      <c r="P276" s="14" t="s">
        <v>7404</v>
      </c>
      <c r="Q276" s="187">
        <v>41.32</v>
      </c>
      <c r="R276" s="1">
        <v>1</v>
      </c>
      <c r="S276" s="58">
        <v>0.21</v>
      </c>
      <c r="T276" s="90">
        <v>0</v>
      </c>
      <c r="V276" s="95">
        <f t="shared" si="9"/>
        <v>49.997199999999999</v>
      </c>
      <c r="W276" t="s">
        <v>7303</v>
      </c>
      <c r="X276" s="6" t="s">
        <v>7304</v>
      </c>
      <c r="Y276" s="3">
        <v>29453</v>
      </c>
      <c r="Z276" s="2">
        <v>44783</v>
      </c>
      <c r="AA276" s="284" t="s">
        <v>1326</v>
      </c>
      <c r="AB276" s="64"/>
      <c r="AC276" s="61"/>
      <c r="AD276" s="61"/>
      <c r="AF276" t="s">
        <v>3198</v>
      </c>
      <c r="AH276" s="3"/>
      <c r="AI276"/>
      <c r="AJ276" s="2"/>
      <c r="AL276" s="3"/>
      <c r="AM276" s="74"/>
      <c r="AS276"/>
      <c r="AT276" s="1"/>
    </row>
    <row r="277" spans="1:46">
      <c r="A277" s="1">
        <v>275</v>
      </c>
      <c r="B277" t="s">
        <v>52</v>
      </c>
      <c r="C277" s="2">
        <v>44833</v>
      </c>
      <c r="D277" s="30" t="s">
        <v>458</v>
      </c>
      <c r="E277" s="30"/>
      <c r="F277" t="s">
        <v>84</v>
      </c>
      <c r="G277" s="103" t="s">
        <v>138</v>
      </c>
      <c r="H277" s="30" t="s">
        <v>227</v>
      </c>
      <c r="I277" s="31" t="s">
        <v>203</v>
      </c>
      <c r="J277" s="44" t="s">
        <v>5906</v>
      </c>
      <c r="K277" s="44" t="s">
        <v>5906</v>
      </c>
      <c r="L277" t="s">
        <v>4432</v>
      </c>
      <c r="M277" s="2">
        <v>44834</v>
      </c>
      <c r="N277" s="1" t="s">
        <v>35</v>
      </c>
      <c r="O277" s="1"/>
      <c r="P277" s="14" t="s">
        <v>7405</v>
      </c>
      <c r="Q277" s="187">
        <v>100</v>
      </c>
      <c r="R277" s="1">
        <v>1</v>
      </c>
      <c r="S277" s="90">
        <v>0.21</v>
      </c>
      <c r="T277" s="90">
        <v>0</v>
      </c>
      <c r="V277" s="95">
        <f t="shared" si="9"/>
        <v>121</v>
      </c>
      <c r="W277" t="s">
        <v>6812</v>
      </c>
      <c r="X277" s="6" t="s">
        <v>6813</v>
      </c>
      <c r="Y277" s="2">
        <v>35064</v>
      </c>
      <c r="Z277" s="2">
        <v>44650</v>
      </c>
      <c r="AA277" s="61"/>
      <c r="AB277" s="3"/>
      <c r="AC277" s="80"/>
      <c r="AF277" t="s">
        <v>3198</v>
      </c>
      <c r="AI277"/>
      <c r="AJ277" s="2"/>
      <c r="AL277"/>
      <c r="AM277" s="74"/>
      <c r="AS277"/>
      <c r="AT277" s="1"/>
    </row>
    <row r="278" spans="1:46">
      <c r="A278" s="1">
        <v>276</v>
      </c>
      <c r="B278" s="61" t="s">
        <v>119</v>
      </c>
      <c r="C278" s="2">
        <v>44833</v>
      </c>
      <c r="D278" s="1" t="s">
        <v>5565</v>
      </c>
      <c r="E278" s="1"/>
      <c r="F278" t="s">
        <v>5566</v>
      </c>
      <c r="G278" t="s">
        <v>5059</v>
      </c>
      <c r="H278" s="6" t="s">
        <v>242</v>
      </c>
      <c r="I278" s="1" t="s">
        <v>3338</v>
      </c>
      <c r="K278" s="1" t="s">
        <v>8094</v>
      </c>
      <c r="L278" t="s">
        <v>174</v>
      </c>
      <c r="M278" s="2">
        <v>44834</v>
      </c>
      <c r="N278" s="1" t="s">
        <v>35</v>
      </c>
      <c r="O278" s="1"/>
      <c r="P278" s="14" t="s">
        <v>7406</v>
      </c>
      <c r="Q278" s="187">
        <v>78.510000000000005</v>
      </c>
      <c r="R278" s="1">
        <v>1</v>
      </c>
      <c r="S278" s="90">
        <v>0.21</v>
      </c>
      <c r="T278" s="90">
        <v>0.2</v>
      </c>
      <c r="V278" s="95">
        <f t="shared" si="9"/>
        <v>75.997680000000003</v>
      </c>
      <c r="W278" t="s">
        <v>5644</v>
      </c>
      <c r="X278" s="6" t="s">
        <v>7407</v>
      </c>
      <c r="Y278" s="2">
        <v>34206</v>
      </c>
      <c r="Z278" s="2">
        <v>44833</v>
      </c>
      <c r="AA278" s="284" t="s">
        <v>7556</v>
      </c>
      <c r="AB278" s="64">
        <v>44860</v>
      </c>
      <c r="AC278" s="80" t="s">
        <v>1339</v>
      </c>
      <c r="AF278" t="s">
        <v>3198</v>
      </c>
      <c r="AI278"/>
      <c r="AJ278" s="2"/>
      <c r="AL278"/>
      <c r="AM278" s="3"/>
      <c r="AS278"/>
      <c r="AT278" s="1"/>
    </row>
    <row r="279" spans="1:46">
      <c r="A279" s="1">
        <v>277</v>
      </c>
      <c r="B279" t="s">
        <v>40</v>
      </c>
      <c r="C279" s="2">
        <v>44837</v>
      </c>
      <c r="D279" s="1" t="s">
        <v>7242</v>
      </c>
      <c r="E279" s="1"/>
      <c r="F279" t="s">
        <v>2989</v>
      </c>
      <c r="G279" s="61" t="s">
        <v>7243</v>
      </c>
      <c r="H279" s="6" t="s">
        <v>221</v>
      </c>
      <c r="I279" s="1" t="s">
        <v>34</v>
      </c>
      <c r="J279" s="44"/>
      <c r="K279" s="8"/>
      <c r="L279" t="s">
        <v>7242</v>
      </c>
      <c r="M279" s="3">
        <v>44865</v>
      </c>
      <c r="N279" s="1" t="s">
        <v>35</v>
      </c>
      <c r="O279" s="1"/>
      <c r="P279" s="14" t="s">
        <v>7414</v>
      </c>
      <c r="Q279" s="187">
        <v>41.32</v>
      </c>
      <c r="R279" s="1">
        <v>1</v>
      </c>
      <c r="S279" s="128">
        <v>0.21</v>
      </c>
      <c r="T279" s="128">
        <v>0</v>
      </c>
      <c r="V279" s="95">
        <f t="shared" si="9"/>
        <v>49.997199999999999</v>
      </c>
      <c r="W279" t="s">
        <v>7307</v>
      </c>
      <c r="X279" s="6" t="s">
        <v>7308</v>
      </c>
      <c r="Y279" s="2">
        <v>27395</v>
      </c>
      <c r="Z279" s="2">
        <v>44783</v>
      </c>
      <c r="AA279" s="284" t="s">
        <v>1326</v>
      </c>
      <c r="AB279" s="3"/>
      <c r="AC279" s="80"/>
      <c r="AE279" s="3"/>
      <c r="AF279" t="s">
        <v>3198</v>
      </c>
      <c r="AI279"/>
      <c r="AJ279" s="2"/>
      <c r="AL279"/>
      <c r="AM279" s="74"/>
      <c r="AS279"/>
      <c r="AT279" s="1"/>
    </row>
    <row r="280" spans="1:46">
      <c r="A280" s="1">
        <v>278</v>
      </c>
      <c r="B280" t="s">
        <v>40</v>
      </c>
      <c r="C280" s="2">
        <v>44837</v>
      </c>
      <c r="D280" s="1" t="s">
        <v>7417</v>
      </c>
      <c r="E280" s="1"/>
      <c r="F280" t="s">
        <v>7415</v>
      </c>
      <c r="G280" t="s">
        <v>7416</v>
      </c>
      <c r="H280" s="6" t="s">
        <v>221</v>
      </c>
      <c r="I280" s="1" t="s">
        <v>34</v>
      </c>
      <c r="K280" s="8"/>
      <c r="L280" t="s">
        <v>7417</v>
      </c>
      <c r="M280" s="3">
        <v>44865</v>
      </c>
      <c r="N280" s="1" t="s">
        <v>35</v>
      </c>
      <c r="O280" s="1"/>
      <c r="P280" s="14" t="s">
        <v>7418</v>
      </c>
      <c r="Q280" s="187">
        <v>132.22999999999999</v>
      </c>
      <c r="R280" s="1">
        <v>1</v>
      </c>
      <c r="S280" s="128">
        <v>0.21</v>
      </c>
      <c r="T280" s="128">
        <v>0.2</v>
      </c>
      <c r="V280" s="95">
        <f t="shared" si="9"/>
        <v>127.99863999999999</v>
      </c>
      <c r="W280" t="s">
        <v>7498</v>
      </c>
      <c r="X280" s="6" t="s">
        <v>7489</v>
      </c>
      <c r="Y280" s="2">
        <v>35431</v>
      </c>
      <c r="Z280" s="2">
        <v>44837</v>
      </c>
      <c r="AA280" s="284" t="s">
        <v>7723</v>
      </c>
      <c r="AB280" s="64">
        <v>44895</v>
      </c>
      <c r="AC280" s="80" t="s">
        <v>1339</v>
      </c>
      <c r="AE280" s="3"/>
      <c r="AF280" t="s">
        <v>3198</v>
      </c>
      <c r="AI280" t="s">
        <v>3108</v>
      </c>
      <c r="AJ280" s="2">
        <v>44853</v>
      </c>
      <c r="AL280"/>
      <c r="AM280" s="74">
        <v>44858</v>
      </c>
      <c r="AS280"/>
      <c r="AT280" s="1"/>
    </row>
    <row r="281" spans="1:46">
      <c r="A281" s="1">
        <v>279</v>
      </c>
      <c r="B281" s="61" t="s">
        <v>52</v>
      </c>
      <c r="C281" s="2">
        <v>44838</v>
      </c>
      <c r="D281" s="1" t="s">
        <v>7075</v>
      </c>
      <c r="E281" s="1"/>
      <c r="F281" s="61" t="s">
        <v>7076</v>
      </c>
      <c r="G281" s="61" t="s">
        <v>7077</v>
      </c>
      <c r="H281" s="6" t="s">
        <v>227</v>
      </c>
      <c r="I281" s="1" t="s">
        <v>34</v>
      </c>
      <c r="J281" s="44">
        <v>631130911</v>
      </c>
      <c r="K281" s="44" t="s">
        <v>5906</v>
      </c>
      <c r="L281" t="s">
        <v>4432</v>
      </c>
      <c r="M281" s="3">
        <v>44865</v>
      </c>
      <c r="N281" s="1" t="s">
        <v>35</v>
      </c>
      <c r="O281" s="1"/>
      <c r="P281" s="14" t="s">
        <v>7425</v>
      </c>
      <c r="Q281" s="187">
        <v>132.22999999999999</v>
      </c>
      <c r="R281" s="1">
        <v>1</v>
      </c>
      <c r="S281" s="128">
        <v>0.21</v>
      </c>
      <c r="T281" s="128">
        <v>0.2</v>
      </c>
      <c r="V281" s="95">
        <f t="shared" si="9"/>
        <v>127.99863999999999</v>
      </c>
      <c r="W281" t="s">
        <v>7567</v>
      </c>
      <c r="X281" s="6" t="s">
        <v>7568</v>
      </c>
      <c r="Y281" s="2">
        <v>37256</v>
      </c>
      <c r="Z281" s="2">
        <v>44838</v>
      </c>
      <c r="AA281" s="284" t="s">
        <v>7686</v>
      </c>
      <c r="AB281" s="3">
        <v>44890</v>
      </c>
      <c r="AC281" s="80" t="s">
        <v>1339</v>
      </c>
      <c r="AF281" t="s">
        <v>3198</v>
      </c>
      <c r="AI281" s="76" t="s">
        <v>3221</v>
      </c>
      <c r="AJ281" s="2">
        <v>44862</v>
      </c>
      <c r="AL281"/>
      <c r="AM281" s="74"/>
      <c r="AS281"/>
      <c r="AT281" s="1"/>
    </row>
    <row r="282" spans="1:46">
      <c r="A282" s="1">
        <v>280</v>
      </c>
      <c r="B282" t="s">
        <v>1511</v>
      </c>
      <c r="C282" s="2">
        <v>44840</v>
      </c>
      <c r="D282" s="1" t="s">
        <v>4664</v>
      </c>
      <c r="E282" s="1"/>
      <c r="F282" s="61" t="s">
        <v>4665</v>
      </c>
      <c r="G282" s="61" t="s">
        <v>4666</v>
      </c>
      <c r="H282" s="6" t="s">
        <v>4667</v>
      </c>
      <c r="I282" s="1" t="s">
        <v>4668</v>
      </c>
      <c r="K282" s="8"/>
      <c r="L282" t="s">
        <v>4664</v>
      </c>
      <c r="M282" s="3">
        <v>44865</v>
      </c>
      <c r="N282" s="1" t="s">
        <v>35</v>
      </c>
      <c r="O282" s="1"/>
      <c r="P282" s="14" t="s">
        <v>7429</v>
      </c>
      <c r="Q282" s="187">
        <v>78.510000000000005</v>
      </c>
      <c r="R282" s="1">
        <v>1</v>
      </c>
      <c r="S282" s="90">
        <v>0.21</v>
      </c>
      <c r="T282" s="90">
        <v>0.2</v>
      </c>
      <c r="V282" s="95">
        <f t="shared" si="9"/>
        <v>75.997680000000003</v>
      </c>
      <c r="W282" t="s">
        <v>4771</v>
      </c>
      <c r="X282" s="6" t="s">
        <v>7430</v>
      </c>
      <c r="Y282" s="2">
        <v>37259</v>
      </c>
      <c r="Z282" s="2">
        <v>44840</v>
      </c>
      <c r="AA282" s="284" t="s">
        <v>7574</v>
      </c>
      <c r="AB282" s="64">
        <v>44865</v>
      </c>
      <c r="AC282" s="80" t="s">
        <v>1339</v>
      </c>
      <c r="AF282" t="s">
        <v>3198</v>
      </c>
      <c r="AI282"/>
      <c r="AL282"/>
      <c r="AM282" s="3"/>
      <c r="AS282"/>
      <c r="AT282" s="1"/>
    </row>
    <row r="283" spans="1:46">
      <c r="A283" s="1">
        <v>281</v>
      </c>
      <c r="B283" t="s">
        <v>3526</v>
      </c>
      <c r="C283" s="2">
        <v>44840</v>
      </c>
      <c r="D283" s="1" t="s">
        <v>6215</v>
      </c>
      <c r="E283" s="1"/>
      <c r="F283" t="s">
        <v>6216</v>
      </c>
      <c r="G283" t="s">
        <v>6217</v>
      </c>
      <c r="H283" s="6" t="s">
        <v>242</v>
      </c>
      <c r="I283" s="1" t="s">
        <v>86</v>
      </c>
      <c r="J283" s="8">
        <v>647672066</v>
      </c>
      <c r="K283" s="8" t="s">
        <v>7157</v>
      </c>
      <c r="L283" t="s">
        <v>6215</v>
      </c>
      <c r="M283" s="3">
        <v>44865</v>
      </c>
      <c r="N283" s="1" t="s">
        <v>35</v>
      </c>
      <c r="O283" s="1"/>
      <c r="P283" s="14" t="s">
        <v>7431</v>
      </c>
      <c r="Q283" s="187">
        <v>41.32</v>
      </c>
      <c r="R283" s="1">
        <v>1</v>
      </c>
      <c r="S283" s="90">
        <v>0.21</v>
      </c>
      <c r="T283" s="90">
        <v>0</v>
      </c>
      <c r="V283" s="95">
        <f t="shared" si="9"/>
        <v>49.997199999999999</v>
      </c>
      <c r="W283" t="s">
        <v>7408</v>
      </c>
      <c r="X283" s="6" t="s">
        <v>7409</v>
      </c>
      <c r="Y283" s="2">
        <v>35871</v>
      </c>
      <c r="Z283" s="2">
        <v>44811</v>
      </c>
      <c r="AA283" s="284" t="s">
        <v>7771</v>
      </c>
      <c r="AB283" s="3">
        <v>44897</v>
      </c>
      <c r="AC283" s="80" t="s">
        <v>1339</v>
      </c>
      <c r="AF283" t="s">
        <v>3198</v>
      </c>
      <c r="AI283"/>
      <c r="AJ283" s="2"/>
      <c r="AL283"/>
      <c r="AM283" s="74"/>
      <c r="AS283"/>
      <c r="AT283" s="1"/>
    </row>
    <row r="284" spans="1:46">
      <c r="A284" s="1">
        <v>282</v>
      </c>
      <c r="B284" t="s">
        <v>1242</v>
      </c>
      <c r="C284" s="2">
        <v>44841</v>
      </c>
      <c r="D284" s="1" t="s">
        <v>3103</v>
      </c>
      <c r="E284" s="1"/>
      <c r="F284" s="61" t="s">
        <v>3581</v>
      </c>
      <c r="G284" s="61" t="s">
        <v>7441</v>
      </c>
      <c r="H284" s="6" t="s">
        <v>221</v>
      </c>
      <c r="I284" s="1" t="s">
        <v>34</v>
      </c>
      <c r="K284" s="8" t="s">
        <v>5905</v>
      </c>
      <c r="L284" s="31" t="s">
        <v>1250</v>
      </c>
      <c r="M284" s="3">
        <v>44865</v>
      </c>
      <c r="N284" s="1" t="s">
        <v>35</v>
      </c>
      <c r="O284" s="1"/>
      <c r="P284" s="14" t="s">
        <v>7442</v>
      </c>
      <c r="Q284" s="163">
        <v>132.22999999999999</v>
      </c>
      <c r="R284" s="1">
        <v>1</v>
      </c>
      <c r="S284" s="128">
        <v>0.21</v>
      </c>
      <c r="T284" s="128">
        <v>0.2</v>
      </c>
      <c r="V284" s="95">
        <f t="shared" ref="V284:V315" si="10">SUM(Q284-(Q284*T284))*S284+(Q284-(Q284*T284))</f>
        <v>127.99863999999999</v>
      </c>
      <c r="W284" t="s">
        <v>7540</v>
      </c>
      <c r="X284" s="6" t="s">
        <v>7541</v>
      </c>
      <c r="Y284" s="2">
        <v>35971</v>
      </c>
      <c r="Z284" s="2">
        <v>44841</v>
      </c>
      <c r="AA284" s="284" t="s">
        <v>7789</v>
      </c>
      <c r="AB284" s="64">
        <v>44913</v>
      </c>
      <c r="AC284" s="80" t="s">
        <v>1339</v>
      </c>
      <c r="AF284" t="s">
        <v>3198</v>
      </c>
      <c r="AI284" t="s">
        <v>3108</v>
      </c>
      <c r="AJ284" s="2">
        <v>44859</v>
      </c>
      <c r="AK284" s="1"/>
      <c r="AL284"/>
      <c r="AM284" s="74">
        <v>44862</v>
      </c>
      <c r="AS284"/>
      <c r="AT284" s="1"/>
    </row>
    <row r="285" spans="1:46" s="153" customFormat="1">
      <c r="A285" s="1">
        <v>283</v>
      </c>
      <c r="B285" t="s">
        <v>40</v>
      </c>
      <c r="C285" s="2">
        <v>44841</v>
      </c>
      <c r="D285" s="1" t="s">
        <v>7443</v>
      </c>
      <c r="E285" s="1"/>
      <c r="F285" s="61" t="s">
        <v>7444</v>
      </c>
      <c r="G285" s="61" t="s">
        <v>7445</v>
      </c>
      <c r="H285" s="6" t="s">
        <v>221</v>
      </c>
      <c r="I285" s="1" t="s">
        <v>34</v>
      </c>
      <c r="J285" s="8"/>
      <c r="K285" s="8"/>
      <c r="L285" t="s">
        <v>7443</v>
      </c>
      <c r="M285" s="3">
        <v>44865</v>
      </c>
      <c r="N285" s="1" t="s">
        <v>35</v>
      </c>
      <c r="O285" s="1"/>
      <c r="P285" s="14" t="s">
        <v>7446</v>
      </c>
      <c r="Q285" s="163">
        <v>132.22999999999999</v>
      </c>
      <c r="R285" s="1">
        <v>1</v>
      </c>
      <c r="S285" s="128">
        <v>0.21</v>
      </c>
      <c r="T285" s="128">
        <v>0.2</v>
      </c>
      <c r="U285" s="1"/>
      <c r="V285" s="95">
        <f t="shared" si="10"/>
        <v>127.99863999999999</v>
      </c>
      <c r="W285" t="s">
        <v>7543</v>
      </c>
      <c r="X285" s="6" t="s">
        <v>7542</v>
      </c>
      <c r="Y285" s="2">
        <v>32710</v>
      </c>
      <c r="Z285" s="2">
        <v>44841</v>
      </c>
      <c r="AA285" s="284" t="s">
        <v>7789</v>
      </c>
      <c r="AB285" s="64">
        <v>44913</v>
      </c>
      <c r="AC285" s="80" t="s">
        <v>1339</v>
      </c>
      <c r="AD285"/>
      <c r="AE285" s="3"/>
      <c r="AF285" t="s">
        <v>3198</v>
      </c>
      <c r="AG285"/>
      <c r="AH285"/>
      <c r="AI285" s="76" t="s">
        <v>3108</v>
      </c>
      <c r="AJ285" s="2">
        <v>44859</v>
      </c>
      <c r="AK285" s="1"/>
      <c r="AL285"/>
      <c r="AM285" s="74"/>
      <c r="AN285"/>
      <c r="AO285"/>
      <c r="AP285"/>
      <c r="AQ285"/>
      <c r="AT285" s="149"/>
    </row>
    <row r="286" spans="1:46" s="153" customFormat="1">
      <c r="A286" s="1">
        <v>284</v>
      </c>
      <c r="B286" t="s">
        <v>40</v>
      </c>
      <c r="C286" s="2">
        <v>44841</v>
      </c>
      <c r="D286" s="1" t="s">
        <v>7447</v>
      </c>
      <c r="E286" s="1"/>
      <c r="F286" s="61" t="s">
        <v>7448</v>
      </c>
      <c r="G286" s="61" t="s">
        <v>7445</v>
      </c>
      <c r="H286" s="6" t="s">
        <v>221</v>
      </c>
      <c r="I286" s="1" t="s">
        <v>34</v>
      </c>
      <c r="J286" s="8"/>
      <c r="K286" s="8"/>
      <c r="L286" t="s">
        <v>7447</v>
      </c>
      <c r="M286" s="3">
        <v>44865</v>
      </c>
      <c r="N286" s="1" t="s">
        <v>35</v>
      </c>
      <c r="O286" s="1"/>
      <c r="P286" s="14" t="s">
        <v>7449</v>
      </c>
      <c r="Q286" s="92">
        <v>132.22999999999999</v>
      </c>
      <c r="R286" s="1">
        <v>1</v>
      </c>
      <c r="S286" s="128">
        <v>0.21</v>
      </c>
      <c r="T286" s="128">
        <v>0.2</v>
      </c>
      <c r="U286" s="1"/>
      <c r="V286" s="95">
        <f t="shared" si="10"/>
        <v>127.99863999999999</v>
      </c>
      <c r="W286" t="s">
        <v>7546</v>
      </c>
      <c r="X286" s="6" t="s">
        <v>7547</v>
      </c>
      <c r="Y286" s="2">
        <v>33742</v>
      </c>
      <c r="Z286" s="2">
        <v>44841</v>
      </c>
      <c r="AA286" s="284" t="s">
        <v>7789</v>
      </c>
      <c r="AB286" s="64">
        <v>44913</v>
      </c>
      <c r="AC286" s="80" t="s">
        <v>1339</v>
      </c>
      <c r="AD286"/>
      <c r="AE286" s="3"/>
      <c r="AF286" t="s">
        <v>3198</v>
      </c>
      <c r="AG286"/>
      <c r="AH286"/>
      <c r="AI286" s="76" t="s">
        <v>3108</v>
      </c>
      <c r="AJ286" s="2">
        <v>44859</v>
      </c>
      <c r="AK286" s="2"/>
      <c r="AL286"/>
      <c r="AM286" s="74"/>
      <c r="AN286"/>
      <c r="AO286"/>
      <c r="AP286"/>
      <c r="AQ286"/>
      <c r="AT286" s="149"/>
    </row>
    <row r="287" spans="1:46">
      <c r="A287" s="1">
        <v>285</v>
      </c>
      <c r="B287" t="s">
        <v>1511</v>
      </c>
      <c r="C287" s="2">
        <v>44841</v>
      </c>
      <c r="D287" s="1" t="s">
        <v>4664</v>
      </c>
      <c r="E287" s="1"/>
      <c r="F287" s="61" t="s">
        <v>4665</v>
      </c>
      <c r="G287" s="61" t="s">
        <v>4666</v>
      </c>
      <c r="H287" s="6" t="s">
        <v>4667</v>
      </c>
      <c r="I287" s="1" t="s">
        <v>4668</v>
      </c>
      <c r="K287" s="8"/>
      <c r="L287" t="s">
        <v>4664</v>
      </c>
      <c r="M287" s="3">
        <v>44865</v>
      </c>
      <c r="N287" s="1" t="s">
        <v>35</v>
      </c>
      <c r="O287" s="1"/>
      <c r="P287" s="14" t="s">
        <v>7450</v>
      </c>
      <c r="Q287" s="187">
        <v>132.22999999999999</v>
      </c>
      <c r="R287" s="1">
        <v>1</v>
      </c>
      <c r="S287" s="90">
        <v>0.21</v>
      </c>
      <c r="T287" s="90">
        <v>0.2</v>
      </c>
      <c r="V287" s="95">
        <f t="shared" si="10"/>
        <v>127.99863999999999</v>
      </c>
      <c r="W287" t="s">
        <v>7584</v>
      </c>
      <c r="X287" s="6" t="s">
        <v>7585</v>
      </c>
      <c r="Y287" s="2">
        <v>35964</v>
      </c>
      <c r="Z287" s="2">
        <v>44841</v>
      </c>
      <c r="AA287" s="284" t="s">
        <v>7724</v>
      </c>
      <c r="AB287" s="64">
        <v>44902</v>
      </c>
      <c r="AC287" s="80" t="s">
        <v>1339</v>
      </c>
      <c r="AF287" t="s">
        <v>3198</v>
      </c>
      <c r="AI287" s="81" t="s">
        <v>7625</v>
      </c>
      <c r="AJ287" s="3">
        <v>44872</v>
      </c>
      <c r="AL287"/>
      <c r="AM287" s="3">
        <v>44875</v>
      </c>
      <c r="AS287"/>
      <c r="AT287" s="1"/>
    </row>
    <row r="288" spans="1:46">
      <c r="A288" s="1">
        <v>286</v>
      </c>
      <c r="B288" s="61" t="s">
        <v>52</v>
      </c>
      <c r="C288" s="2">
        <v>44844</v>
      </c>
      <c r="D288" s="1" t="s">
        <v>4942</v>
      </c>
      <c r="E288" s="1"/>
      <c r="F288" s="61" t="s">
        <v>4943</v>
      </c>
      <c r="G288" s="61" t="s">
        <v>7452</v>
      </c>
      <c r="H288" s="6" t="s">
        <v>230</v>
      </c>
      <c r="I288" s="1" t="s">
        <v>34</v>
      </c>
      <c r="K288" s="44" t="s">
        <v>5906</v>
      </c>
      <c r="L288" t="s">
        <v>4432</v>
      </c>
      <c r="M288" s="3">
        <v>44865</v>
      </c>
      <c r="N288" s="1" t="s">
        <v>35</v>
      </c>
      <c r="O288" s="1"/>
      <c r="P288" s="14" t="s">
        <v>7453</v>
      </c>
      <c r="Q288" s="187">
        <v>132.22999999999999</v>
      </c>
      <c r="R288" s="1">
        <v>1</v>
      </c>
      <c r="S288" s="128">
        <v>0.21</v>
      </c>
      <c r="T288" s="128">
        <v>0.2</v>
      </c>
      <c r="V288" s="95">
        <f t="shared" si="10"/>
        <v>127.99863999999999</v>
      </c>
      <c r="W288" t="s">
        <v>7544</v>
      </c>
      <c r="X288" s="6" t="s">
        <v>7545</v>
      </c>
      <c r="Y288" s="2">
        <v>34136</v>
      </c>
      <c r="Z288" s="2">
        <v>44844</v>
      </c>
      <c r="AA288" s="284" t="s">
        <v>7808</v>
      </c>
      <c r="AB288" s="64">
        <v>44917</v>
      </c>
      <c r="AC288" s="80" t="s">
        <v>1339</v>
      </c>
      <c r="AF288" t="s">
        <v>3198</v>
      </c>
      <c r="AI288" s="76" t="s">
        <v>3108</v>
      </c>
      <c r="AJ288" s="2">
        <v>44859</v>
      </c>
      <c r="AL288"/>
      <c r="AM288" s="74"/>
      <c r="AS288"/>
      <c r="AT288" s="1"/>
    </row>
    <row r="289" spans="1:46">
      <c r="A289" s="1">
        <v>287</v>
      </c>
      <c r="B289" s="61" t="s">
        <v>37</v>
      </c>
      <c r="C289" s="2">
        <v>44844</v>
      </c>
      <c r="D289" s="1" t="s">
        <v>4101</v>
      </c>
      <c r="E289" s="1"/>
      <c r="F289" s="61" t="s">
        <v>4102</v>
      </c>
      <c r="G289" s="61" t="s">
        <v>4103</v>
      </c>
      <c r="H289" s="6" t="s">
        <v>1402</v>
      </c>
      <c r="I289" s="1" t="s">
        <v>3681</v>
      </c>
      <c r="J289" s="8">
        <v>666276574</v>
      </c>
      <c r="K289" s="8"/>
      <c r="L289" t="s">
        <v>4101</v>
      </c>
      <c r="M289" s="3">
        <v>44865</v>
      </c>
      <c r="N289" s="1" t="s">
        <v>35</v>
      </c>
      <c r="O289" s="1"/>
      <c r="P289" s="14" t="s">
        <v>7454</v>
      </c>
      <c r="Q289" s="144">
        <v>132.22999999999999</v>
      </c>
      <c r="R289" s="1">
        <v>1</v>
      </c>
      <c r="S289" s="90">
        <v>0.21</v>
      </c>
      <c r="T289" s="90">
        <v>0.2</v>
      </c>
      <c r="U289" s="6" t="s">
        <v>7455</v>
      </c>
      <c r="V289" s="95">
        <f t="shared" si="10"/>
        <v>127.99863999999999</v>
      </c>
      <c r="W289" t="s">
        <v>4101</v>
      </c>
      <c r="X289" s="6" t="s">
        <v>7559</v>
      </c>
      <c r="Y289" s="2">
        <v>33588</v>
      </c>
      <c r="Z289" s="2">
        <v>44844</v>
      </c>
      <c r="AA289" s="284" t="s">
        <v>8127</v>
      </c>
      <c r="AB289" s="3">
        <v>44980</v>
      </c>
      <c r="AC289" s="80" t="s">
        <v>1339</v>
      </c>
      <c r="AF289" t="s">
        <v>3198</v>
      </c>
      <c r="AI289" s="1" t="s">
        <v>7579</v>
      </c>
      <c r="AJ289" s="2">
        <v>44867</v>
      </c>
      <c r="AK289" s="1"/>
      <c r="AL289"/>
      <c r="AM289" s="2">
        <v>44867</v>
      </c>
      <c r="AS289"/>
      <c r="AT289" s="1"/>
    </row>
    <row r="290" spans="1:46">
      <c r="A290" s="1">
        <v>288</v>
      </c>
      <c r="B290" s="61" t="s">
        <v>6684</v>
      </c>
      <c r="C290" s="2">
        <v>44844</v>
      </c>
      <c r="D290" t="s">
        <v>6685</v>
      </c>
      <c r="F290" t="s">
        <v>6686</v>
      </c>
      <c r="G290" t="s">
        <v>6687</v>
      </c>
      <c r="H290" s="6" t="s">
        <v>2579</v>
      </c>
      <c r="I290" t="s">
        <v>2580</v>
      </c>
      <c r="K290" s="1" t="s">
        <v>7339</v>
      </c>
      <c r="L290" t="s">
        <v>6685</v>
      </c>
      <c r="M290" s="3">
        <v>44865</v>
      </c>
      <c r="N290" s="1" t="s">
        <v>35</v>
      </c>
      <c r="O290" s="1"/>
      <c r="P290" s="14" t="s">
        <v>7456</v>
      </c>
      <c r="Q290" s="144">
        <v>132.22999999999999</v>
      </c>
      <c r="R290" s="1">
        <v>1</v>
      </c>
      <c r="S290" s="90">
        <v>0.21</v>
      </c>
      <c r="T290" s="90">
        <v>0.2</v>
      </c>
      <c r="V290" s="95">
        <f t="shared" si="10"/>
        <v>127.99863999999999</v>
      </c>
      <c r="W290" t="s">
        <v>7552</v>
      </c>
      <c r="X290" s="6" t="s">
        <v>7553</v>
      </c>
      <c r="Y290" s="2">
        <v>34213</v>
      </c>
      <c r="Z290" s="2">
        <v>44844</v>
      </c>
      <c r="AA290" s="284" t="s">
        <v>7775</v>
      </c>
      <c r="AB290" s="64">
        <v>44911</v>
      </c>
      <c r="AC290" s="80" t="s">
        <v>1339</v>
      </c>
      <c r="AF290" t="s">
        <v>3198</v>
      </c>
      <c r="AI290" s="81" t="s">
        <v>3108</v>
      </c>
      <c r="AJ290" s="2">
        <v>44859</v>
      </c>
      <c r="AL290"/>
      <c r="AM290" s="2">
        <v>44875</v>
      </c>
      <c r="AS290"/>
      <c r="AT290" s="1"/>
    </row>
    <row r="291" spans="1:46" s="153" customFormat="1">
      <c r="A291" s="1">
        <v>289</v>
      </c>
      <c r="B291" s="153" t="s">
        <v>6873</v>
      </c>
      <c r="C291" s="151">
        <v>44865</v>
      </c>
      <c r="D291" s="153" t="s">
        <v>6874</v>
      </c>
      <c r="F291" s="153" t="s">
        <v>6875</v>
      </c>
      <c r="G291" s="153" t="s">
        <v>6876</v>
      </c>
      <c r="H291" s="152" t="s">
        <v>219</v>
      </c>
      <c r="I291" s="149" t="s">
        <v>38</v>
      </c>
      <c r="J291" s="300">
        <v>622029130</v>
      </c>
      <c r="K291" s="300"/>
      <c r="L291" s="153" t="s">
        <v>6874</v>
      </c>
      <c r="M291" s="154">
        <v>44865</v>
      </c>
      <c r="N291" s="149" t="s">
        <v>35</v>
      </c>
      <c r="O291" s="1"/>
      <c r="P291" s="191" t="s">
        <v>7637</v>
      </c>
      <c r="Q291" s="192">
        <v>0</v>
      </c>
      <c r="R291" s="149">
        <v>1</v>
      </c>
      <c r="S291" s="156">
        <v>0.21</v>
      </c>
      <c r="T291" s="156">
        <v>0</v>
      </c>
      <c r="V291" s="95">
        <f t="shared" si="10"/>
        <v>0</v>
      </c>
      <c r="W291" s="153" t="s">
        <v>7064</v>
      </c>
      <c r="X291" s="152" t="s">
        <v>7638</v>
      </c>
      <c r="Y291" s="151">
        <v>20805</v>
      </c>
      <c r="Z291" s="151">
        <v>44867</v>
      </c>
      <c r="AA291" s="61" t="s">
        <v>7814</v>
      </c>
      <c r="AB291" s="154">
        <v>44918</v>
      </c>
      <c r="AC291" s="80" t="s">
        <v>1339</v>
      </c>
      <c r="AE291" s="182">
        <v>44947</v>
      </c>
      <c r="AF291" s="153" t="s">
        <v>3198</v>
      </c>
      <c r="AI291" t="s">
        <v>3108</v>
      </c>
      <c r="AJ291" s="151">
        <v>44880</v>
      </c>
      <c r="AM291" s="313">
        <v>44882</v>
      </c>
      <c r="AT291" s="149"/>
    </row>
    <row r="292" spans="1:46" s="153" customFormat="1">
      <c r="A292" s="1">
        <v>290</v>
      </c>
      <c r="B292" s="153" t="s">
        <v>6873</v>
      </c>
      <c r="C292" s="151">
        <v>44865</v>
      </c>
      <c r="D292" s="153" t="s">
        <v>6874</v>
      </c>
      <c r="F292" s="153" t="s">
        <v>6875</v>
      </c>
      <c r="G292" s="153" t="s">
        <v>6876</v>
      </c>
      <c r="H292" s="152" t="s">
        <v>219</v>
      </c>
      <c r="I292" s="149" t="s">
        <v>38</v>
      </c>
      <c r="J292" s="300">
        <v>622029130</v>
      </c>
      <c r="K292" s="300"/>
      <c r="L292" s="153" t="s">
        <v>6874</v>
      </c>
      <c r="M292" s="154">
        <v>44865</v>
      </c>
      <c r="N292" s="149" t="s">
        <v>35</v>
      </c>
      <c r="O292" s="1"/>
      <c r="P292" s="191" t="s">
        <v>7578</v>
      </c>
      <c r="Q292" s="192">
        <v>0</v>
      </c>
      <c r="R292" s="149">
        <v>1</v>
      </c>
      <c r="S292" s="156">
        <v>0.21</v>
      </c>
      <c r="T292" s="156">
        <v>0</v>
      </c>
      <c r="V292" s="95">
        <f t="shared" si="10"/>
        <v>0</v>
      </c>
      <c r="W292" s="153" t="s">
        <v>6878</v>
      </c>
      <c r="X292" s="152" t="s">
        <v>7654</v>
      </c>
      <c r="Y292" s="151">
        <v>30432</v>
      </c>
      <c r="Z292" s="151">
        <v>44865</v>
      </c>
      <c r="AA292" s="153" t="s">
        <v>7813</v>
      </c>
      <c r="AB292" s="154">
        <v>44918</v>
      </c>
      <c r="AC292" s="80" t="s">
        <v>1339</v>
      </c>
      <c r="AD292" s="284" t="s">
        <v>7918</v>
      </c>
      <c r="AE292" s="154">
        <v>44938</v>
      </c>
      <c r="AF292" s="153" t="s">
        <v>3198</v>
      </c>
      <c r="AI292" t="s">
        <v>3108</v>
      </c>
      <c r="AJ292" s="151">
        <v>44880</v>
      </c>
      <c r="AM292" s="313">
        <v>44882</v>
      </c>
      <c r="AT292" s="149"/>
    </row>
    <row r="293" spans="1:46" s="153" customFormat="1">
      <c r="A293" s="1">
        <v>291</v>
      </c>
      <c r="B293" s="153" t="s">
        <v>6873</v>
      </c>
      <c r="C293" s="151">
        <v>44845</v>
      </c>
      <c r="D293" s="153" t="s">
        <v>6874</v>
      </c>
      <c r="F293" s="153" t="s">
        <v>6875</v>
      </c>
      <c r="G293" s="153" t="s">
        <v>6876</v>
      </c>
      <c r="H293" s="152" t="s">
        <v>219</v>
      </c>
      <c r="I293" s="149" t="s">
        <v>38</v>
      </c>
      <c r="J293" s="300">
        <v>622029130</v>
      </c>
      <c r="K293" s="300"/>
      <c r="L293" s="153" t="s">
        <v>6874</v>
      </c>
      <c r="M293" s="154">
        <v>44865</v>
      </c>
      <c r="N293" s="149" t="s">
        <v>35</v>
      </c>
      <c r="O293" s="1"/>
      <c r="P293" s="191" t="s">
        <v>7457</v>
      </c>
      <c r="Q293" s="192">
        <v>0</v>
      </c>
      <c r="R293" s="149">
        <v>1</v>
      </c>
      <c r="S293" s="156">
        <v>0.21</v>
      </c>
      <c r="T293" s="156">
        <v>0</v>
      </c>
      <c r="V293" s="95">
        <f t="shared" si="10"/>
        <v>0</v>
      </c>
      <c r="W293" s="153" t="s">
        <v>6878</v>
      </c>
      <c r="X293" s="152" t="s">
        <v>7491</v>
      </c>
      <c r="Y293" s="151">
        <v>30432</v>
      </c>
      <c r="Z293" s="151">
        <v>44845</v>
      </c>
      <c r="AA293" s="284" t="s">
        <v>7888</v>
      </c>
      <c r="AB293" s="154">
        <v>44925</v>
      </c>
      <c r="AC293" s="80" t="s">
        <v>1339</v>
      </c>
      <c r="AE293" s="154"/>
      <c r="AF293" s="153" t="s">
        <v>3198</v>
      </c>
      <c r="AJ293" s="149"/>
      <c r="AM293" s="300"/>
      <c r="AT293" s="149"/>
    </row>
    <row r="294" spans="1:46">
      <c r="A294" s="1">
        <v>292</v>
      </c>
      <c r="B294" s="61" t="s">
        <v>3526</v>
      </c>
      <c r="C294" s="2">
        <v>44845</v>
      </c>
      <c r="D294" s="1" t="s">
        <v>7464</v>
      </c>
      <c r="E294" s="1"/>
      <c r="F294" t="s">
        <v>7465</v>
      </c>
      <c r="G294" s="61" t="s">
        <v>7466</v>
      </c>
      <c r="H294" s="6" t="s">
        <v>294</v>
      </c>
      <c r="I294" s="1" t="s">
        <v>103</v>
      </c>
      <c r="J294" s="295"/>
      <c r="K294" s="114" t="s">
        <v>7580</v>
      </c>
      <c r="L294" t="s">
        <v>7464</v>
      </c>
      <c r="M294" s="3">
        <v>44865</v>
      </c>
      <c r="N294" s="1" t="s">
        <v>35</v>
      </c>
      <c r="O294" s="1"/>
      <c r="P294" s="14" t="s">
        <v>7467</v>
      </c>
      <c r="Q294" s="187">
        <v>132.22999999999999</v>
      </c>
      <c r="R294" s="1">
        <v>1</v>
      </c>
      <c r="S294" s="128">
        <v>0.21</v>
      </c>
      <c r="T294" s="128">
        <v>0.2</v>
      </c>
      <c r="V294" s="95">
        <f t="shared" si="10"/>
        <v>127.99863999999999</v>
      </c>
      <c r="W294" t="s">
        <v>7583</v>
      </c>
      <c r="X294" s="6" t="s">
        <v>7582</v>
      </c>
      <c r="Y294" s="2">
        <v>35139</v>
      </c>
      <c r="Z294" s="2">
        <v>44845</v>
      </c>
      <c r="AA294" s="284" t="s">
        <v>7688</v>
      </c>
      <c r="AB294" s="3">
        <v>44896</v>
      </c>
      <c r="AC294" s="80" t="s">
        <v>1339</v>
      </c>
      <c r="AF294" t="s">
        <v>3198</v>
      </c>
      <c r="AI294" t="s">
        <v>3221</v>
      </c>
      <c r="AJ294" s="2">
        <v>44872</v>
      </c>
      <c r="AL294"/>
      <c r="AM294" s="74">
        <v>44883</v>
      </c>
      <c r="AS294"/>
      <c r="AT294" s="1"/>
    </row>
    <row r="295" spans="1:46">
      <c r="A295" s="1">
        <v>293</v>
      </c>
      <c r="B295" t="s">
        <v>3526</v>
      </c>
      <c r="C295" s="2">
        <v>44845</v>
      </c>
      <c r="D295" s="1" t="s">
        <v>7468</v>
      </c>
      <c r="E295" s="1"/>
      <c r="F295" t="s">
        <v>7469</v>
      </c>
      <c r="G295" s="61" t="s">
        <v>7470</v>
      </c>
      <c r="H295" s="6" t="s">
        <v>294</v>
      </c>
      <c r="I295" s="1" t="s">
        <v>103</v>
      </c>
      <c r="J295" s="8">
        <v>649440769</v>
      </c>
      <c r="K295" s="1" t="s">
        <v>7472</v>
      </c>
      <c r="L295" t="s">
        <v>7468</v>
      </c>
      <c r="M295" s="3">
        <v>44865</v>
      </c>
      <c r="N295" s="1" t="s">
        <v>35</v>
      </c>
      <c r="O295" s="1"/>
      <c r="P295" s="14" t="s">
        <v>7471</v>
      </c>
      <c r="Q295" s="187">
        <v>132.22999999999999</v>
      </c>
      <c r="R295" s="1">
        <v>1</v>
      </c>
      <c r="S295" s="90">
        <v>0.21</v>
      </c>
      <c r="T295" s="90">
        <v>0.2</v>
      </c>
      <c r="V295" s="95">
        <f t="shared" si="10"/>
        <v>127.99863999999999</v>
      </c>
      <c r="W295" t="s">
        <v>7548</v>
      </c>
      <c r="X295" s="6" t="s">
        <v>7549</v>
      </c>
      <c r="Y295" s="2">
        <v>30036</v>
      </c>
      <c r="Z295" s="2">
        <v>44845</v>
      </c>
      <c r="AA295" s="285" t="s">
        <v>8188</v>
      </c>
      <c r="AB295" s="64">
        <v>44991</v>
      </c>
      <c r="AC295" s="80" t="s">
        <v>1339</v>
      </c>
      <c r="AD295" t="s">
        <v>8187</v>
      </c>
      <c r="AE295" s="292">
        <v>44937</v>
      </c>
      <c r="AF295" t="s">
        <v>3198</v>
      </c>
      <c r="AI295" s="76" t="s">
        <v>3108</v>
      </c>
      <c r="AJ295" s="2">
        <v>44859</v>
      </c>
      <c r="AL295"/>
      <c r="AM295" s="3"/>
      <c r="AS295"/>
      <c r="AT295" s="1"/>
    </row>
    <row r="296" spans="1:46">
      <c r="A296" s="1">
        <v>294</v>
      </c>
      <c r="B296" s="61" t="s">
        <v>7475</v>
      </c>
      <c r="C296" s="2">
        <v>44848</v>
      </c>
      <c r="D296" s="1" t="s">
        <v>7476</v>
      </c>
      <c r="E296" s="1"/>
      <c r="F296" t="s">
        <v>7477</v>
      </c>
      <c r="G296" s="61" t="s">
        <v>7478</v>
      </c>
      <c r="H296" s="6" t="s">
        <v>241</v>
      </c>
      <c r="I296" s="1" t="s">
        <v>60</v>
      </c>
      <c r="J296" s="44">
        <v>679088389</v>
      </c>
      <c r="K296" s="44" t="s">
        <v>7480</v>
      </c>
      <c r="L296" t="s">
        <v>7476</v>
      </c>
      <c r="M296" s="3">
        <v>44865</v>
      </c>
      <c r="N296" s="1" t="s">
        <v>35</v>
      </c>
      <c r="O296" s="1"/>
      <c r="P296" s="14" t="s">
        <v>7479</v>
      </c>
      <c r="Q296" s="187">
        <v>132.22999999999999</v>
      </c>
      <c r="R296" s="1">
        <v>1</v>
      </c>
      <c r="S296" s="128">
        <v>0.21</v>
      </c>
      <c r="T296" s="128">
        <v>0.2</v>
      </c>
      <c r="U296" s="133"/>
      <c r="V296" s="95">
        <f t="shared" si="10"/>
        <v>127.99863999999999</v>
      </c>
      <c r="W296" t="s">
        <v>7550</v>
      </c>
      <c r="X296" s="6" t="s">
        <v>7551</v>
      </c>
      <c r="Y296" s="2">
        <v>36595</v>
      </c>
      <c r="Z296" s="2">
        <v>44848</v>
      </c>
      <c r="AA296" s="284" t="s">
        <v>8102</v>
      </c>
      <c r="AB296" s="64">
        <v>44974</v>
      </c>
      <c r="AC296" s="80" t="s">
        <v>1339</v>
      </c>
      <c r="AE296" s="274">
        <v>44925</v>
      </c>
      <c r="AF296" t="s">
        <v>3198</v>
      </c>
      <c r="AI296" t="s">
        <v>3108</v>
      </c>
      <c r="AJ296" s="2">
        <v>44859</v>
      </c>
      <c r="AL296"/>
      <c r="AM296" s="74">
        <v>44860</v>
      </c>
      <c r="AS296"/>
      <c r="AT296" s="1"/>
    </row>
    <row r="297" spans="1:46">
      <c r="A297" s="1">
        <v>295</v>
      </c>
      <c r="B297" t="s">
        <v>3526</v>
      </c>
      <c r="C297" s="2">
        <v>44853</v>
      </c>
      <c r="D297" s="1" t="s">
        <v>7499</v>
      </c>
      <c r="E297" s="1"/>
      <c r="F297" t="s">
        <v>7500</v>
      </c>
      <c r="G297" s="61" t="s">
        <v>7501</v>
      </c>
      <c r="H297" s="6" t="s">
        <v>294</v>
      </c>
      <c r="I297" s="1" t="s">
        <v>103</v>
      </c>
      <c r="J297" s="8">
        <v>603449867</v>
      </c>
      <c r="K297" s="1" t="s">
        <v>7503</v>
      </c>
      <c r="L297" t="s">
        <v>7499</v>
      </c>
      <c r="M297" s="3">
        <v>44865</v>
      </c>
      <c r="N297" s="1" t="s">
        <v>35</v>
      </c>
      <c r="O297" s="1"/>
      <c r="P297" s="14" t="s">
        <v>7502</v>
      </c>
      <c r="Q297" s="187">
        <v>132.22999999999999</v>
      </c>
      <c r="R297" s="1">
        <v>1</v>
      </c>
      <c r="S297" s="128">
        <v>0.21</v>
      </c>
      <c r="T297" s="128">
        <v>0.2</v>
      </c>
      <c r="V297" s="95">
        <f t="shared" si="10"/>
        <v>127.99863999999999</v>
      </c>
      <c r="W297" s="344" t="s">
        <v>7633</v>
      </c>
      <c r="X297" s="6" t="s">
        <v>7632</v>
      </c>
      <c r="Y297" s="2">
        <v>35936</v>
      </c>
      <c r="Z297" s="2">
        <v>44853</v>
      </c>
      <c r="AA297" s="284" t="s">
        <v>8021</v>
      </c>
      <c r="AB297" s="64">
        <v>44965</v>
      </c>
      <c r="AC297" s="80" t="s">
        <v>1339</v>
      </c>
      <c r="AE297" s="274">
        <v>44908</v>
      </c>
      <c r="AF297" t="s">
        <v>3198</v>
      </c>
      <c r="AI297" t="s">
        <v>3108</v>
      </c>
      <c r="AJ297" s="2">
        <v>44875</v>
      </c>
      <c r="AL297"/>
      <c r="AM297" s="74">
        <v>44880</v>
      </c>
      <c r="AS297"/>
      <c r="AT297" s="1"/>
    </row>
    <row r="298" spans="1:46">
      <c r="A298" s="1">
        <v>296</v>
      </c>
      <c r="B298" s="61" t="s">
        <v>119</v>
      </c>
      <c r="C298" s="2">
        <v>44853</v>
      </c>
      <c r="D298" s="1" t="s">
        <v>5565</v>
      </c>
      <c r="E298" s="1"/>
      <c r="F298" t="s">
        <v>5566</v>
      </c>
      <c r="G298" t="s">
        <v>5059</v>
      </c>
      <c r="H298" s="6" t="s">
        <v>242</v>
      </c>
      <c r="I298" s="1" t="s">
        <v>3338</v>
      </c>
      <c r="J298" s="1"/>
      <c r="K298" s="1" t="s">
        <v>8094</v>
      </c>
      <c r="L298" s="1" t="s">
        <v>174</v>
      </c>
      <c r="M298" s="3">
        <v>44865</v>
      </c>
      <c r="N298" s="1" t="s">
        <v>35</v>
      </c>
      <c r="O298" s="1"/>
      <c r="P298" s="14" t="s">
        <v>7507</v>
      </c>
      <c r="Q298" s="187">
        <v>78.510000000000005</v>
      </c>
      <c r="R298" s="1">
        <v>1</v>
      </c>
      <c r="S298" s="90">
        <v>0.21</v>
      </c>
      <c r="T298" s="90">
        <v>0.2</v>
      </c>
      <c r="V298" s="95">
        <f t="shared" si="10"/>
        <v>75.997680000000003</v>
      </c>
      <c r="W298" t="s">
        <v>5642</v>
      </c>
      <c r="X298" s="6" t="s">
        <v>7508</v>
      </c>
      <c r="Y298" s="2">
        <v>28970</v>
      </c>
      <c r="Z298" s="2">
        <v>44853</v>
      </c>
      <c r="AA298" s="284" t="s">
        <v>7642</v>
      </c>
      <c r="AB298" s="64">
        <v>44880</v>
      </c>
      <c r="AC298" s="80" t="s">
        <v>1339</v>
      </c>
      <c r="AF298" t="s">
        <v>3198</v>
      </c>
      <c r="AI298"/>
      <c r="AJ298" s="2"/>
      <c r="AL298"/>
      <c r="AM298" s="3"/>
      <c r="AS298"/>
      <c r="AT298" s="1"/>
    </row>
    <row r="299" spans="1:46">
      <c r="A299" s="1">
        <v>297</v>
      </c>
      <c r="B299" s="61" t="s">
        <v>33</v>
      </c>
      <c r="C299" s="2">
        <v>44855</v>
      </c>
      <c r="D299" s="1" t="s">
        <v>2052</v>
      </c>
      <c r="E299" s="1"/>
      <c r="F299" s="61" t="s">
        <v>2053</v>
      </c>
      <c r="G299" s="61" t="s">
        <v>3714</v>
      </c>
      <c r="H299" s="6" t="s">
        <v>241</v>
      </c>
      <c r="I299" s="1" t="s">
        <v>60</v>
      </c>
      <c r="J299" s="1">
        <v>690872936</v>
      </c>
      <c r="K299" t="s">
        <v>8186</v>
      </c>
      <c r="L299" t="s">
        <v>237</v>
      </c>
      <c r="M299" s="3">
        <v>44865</v>
      </c>
      <c r="N299" s="1" t="s">
        <v>35</v>
      </c>
      <c r="O299" s="1"/>
      <c r="P299" s="14" t="s">
        <v>7687</v>
      </c>
      <c r="Q299" s="187">
        <v>132.22999999999999</v>
      </c>
      <c r="R299" s="1">
        <v>1</v>
      </c>
      <c r="S299" s="128">
        <v>0.21</v>
      </c>
      <c r="T299" s="90">
        <v>0.2</v>
      </c>
      <c r="U299" s="1"/>
      <c r="V299" s="95">
        <f t="shared" si="10"/>
        <v>127.99863999999999</v>
      </c>
      <c r="W299" t="s">
        <v>7598</v>
      </c>
      <c r="X299" s="6" t="s">
        <v>7599</v>
      </c>
      <c r="Y299" s="2">
        <v>36680</v>
      </c>
      <c r="Z299" s="2">
        <v>44855</v>
      </c>
      <c r="AA299" s="284" t="s">
        <v>7688</v>
      </c>
      <c r="AB299" s="64">
        <v>44890</v>
      </c>
      <c r="AC299" s="80" t="s">
        <v>1339</v>
      </c>
      <c r="AD299" s="61"/>
      <c r="AE299" s="61"/>
      <c r="AF299" t="s">
        <v>3198</v>
      </c>
      <c r="AI299" t="s">
        <v>3108</v>
      </c>
      <c r="AJ299" s="2">
        <v>44872</v>
      </c>
      <c r="AK299" s="2"/>
      <c r="AL299"/>
      <c r="AM299" s="2">
        <v>44875</v>
      </c>
      <c r="AS299"/>
      <c r="AT299" s="1"/>
    </row>
    <row r="300" spans="1:46">
      <c r="A300" s="1">
        <v>298</v>
      </c>
      <c r="B300" s="61" t="s">
        <v>33</v>
      </c>
      <c r="C300" s="2">
        <v>44858</v>
      </c>
      <c r="D300" s="1" t="s">
        <v>7513</v>
      </c>
      <c r="E300" s="1"/>
      <c r="F300" t="s">
        <v>7514</v>
      </c>
      <c r="G300" s="61" t="s">
        <v>7515</v>
      </c>
      <c r="H300" s="6" t="s">
        <v>304</v>
      </c>
      <c r="I300" s="1" t="s">
        <v>3851</v>
      </c>
      <c r="J300" s="44"/>
      <c r="K300" t="s">
        <v>8186</v>
      </c>
      <c r="L300" t="s">
        <v>237</v>
      </c>
      <c r="M300" s="3">
        <v>44865</v>
      </c>
      <c r="N300" s="1" t="s">
        <v>35</v>
      </c>
      <c r="O300" s="1"/>
      <c r="P300" s="14" t="s">
        <v>7516</v>
      </c>
      <c r="Q300" s="92">
        <v>132.22999999999999</v>
      </c>
      <c r="R300" s="1">
        <v>1</v>
      </c>
      <c r="S300" s="128">
        <v>0.21</v>
      </c>
      <c r="T300" s="128">
        <v>0.2</v>
      </c>
      <c r="U300" s="1"/>
      <c r="V300" s="95">
        <f t="shared" si="10"/>
        <v>127.99863999999999</v>
      </c>
      <c r="W300" t="s">
        <v>7592</v>
      </c>
      <c r="X300" s="6" t="s">
        <v>7593</v>
      </c>
      <c r="Y300" s="2">
        <v>29556</v>
      </c>
      <c r="Z300" s="2">
        <v>44858</v>
      </c>
      <c r="AA300" s="284" t="s">
        <v>7771</v>
      </c>
      <c r="AB300" s="3">
        <v>44907</v>
      </c>
      <c r="AC300" s="80" t="s">
        <v>1339</v>
      </c>
      <c r="AF300" t="s">
        <v>3198</v>
      </c>
      <c r="AI300" s="81" t="s">
        <v>3108</v>
      </c>
      <c r="AJ300" s="2">
        <v>44872</v>
      </c>
      <c r="AK300" s="2"/>
      <c r="AL300"/>
      <c r="AM300" s="2">
        <v>44875</v>
      </c>
      <c r="AS300"/>
      <c r="AT300" s="1"/>
    </row>
    <row r="301" spans="1:46">
      <c r="A301" s="1">
        <v>299</v>
      </c>
      <c r="B301" s="61" t="s">
        <v>33</v>
      </c>
      <c r="C301" s="2">
        <v>44858</v>
      </c>
      <c r="D301" s="1" t="s">
        <v>4245</v>
      </c>
      <c r="E301" s="1"/>
      <c r="F301" t="s">
        <v>4246</v>
      </c>
      <c r="G301" s="61" t="s">
        <v>7517</v>
      </c>
      <c r="H301" s="6" t="s">
        <v>227</v>
      </c>
      <c r="I301" s="1" t="s">
        <v>4719</v>
      </c>
      <c r="J301" s="44"/>
      <c r="K301" t="s">
        <v>8186</v>
      </c>
      <c r="L301" t="s">
        <v>237</v>
      </c>
      <c r="M301" s="3">
        <v>44865</v>
      </c>
      <c r="N301" s="1" t="s">
        <v>35</v>
      </c>
      <c r="O301" s="1"/>
      <c r="P301" s="14" t="s">
        <v>7518</v>
      </c>
      <c r="Q301" s="92">
        <v>132.22999999999999</v>
      </c>
      <c r="R301" s="1">
        <v>1</v>
      </c>
      <c r="S301" s="128">
        <v>0.21</v>
      </c>
      <c r="T301" s="128">
        <v>0.2</v>
      </c>
      <c r="U301" s="1"/>
      <c r="V301" s="95">
        <f t="shared" si="10"/>
        <v>127.99863999999999</v>
      </c>
      <c r="W301" t="s">
        <v>7590</v>
      </c>
      <c r="X301" s="6" t="s">
        <v>7591</v>
      </c>
      <c r="Y301" s="2">
        <v>35639</v>
      </c>
      <c r="Z301" s="2">
        <v>44858</v>
      </c>
      <c r="AA301" s="284" t="s">
        <v>7775</v>
      </c>
      <c r="AB301" s="64">
        <v>44908</v>
      </c>
      <c r="AC301" s="80" t="s">
        <v>1339</v>
      </c>
      <c r="AF301" t="s">
        <v>3198</v>
      </c>
      <c r="AI301" t="s">
        <v>3108</v>
      </c>
      <c r="AJ301" s="2">
        <v>44872</v>
      </c>
      <c r="AK301" s="2" t="s">
        <v>7657</v>
      </c>
      <c r="AL301" s="3">
        <v>44883</v>
      </c>
      <c r="AM301" s="74">
        <v>44880</v>
      </c>
      <c r="AS301"/>
      <c r="AT301" s="1"/>
    </row>
    <row r="302" spans="1:46">
      <c r="A302" s="1">
        <v>300</v>
      </c>
      <c r="B302" s="61" t="s">
        <v>119</v>
      </c>
      <c r="C302" s="2">
        <v>44858</v>
      </c>
      <c r="D302" s="1" t="s">
        <v>613</v>
      </c>
      <c r="E302" s="1"/>
      <c r="F302" s="61" t="s">
        <v>614</v>
      </c>
      <c r="G302" s="61" t="s">
        <v>3795</v>
      </c>
      <c r="H302" s="6" t="s">
        <v>239</v>
      </c>
      <c r="I302" s="1" t="s">
        <v>2585</v>
      </c>
      <c r="J302" s="1">
        <v>637421137</v>
      </c>
      <c r="K302" s="1" t="s">
        <v>8094</v>
      </c>
      <c r="L302" s="31" t="s">
        <v>174</v>
      </c>
      <c r="M302" s="3">
        <v>44865</v>
      </c>
      <c r="N302" s="1" t="s">
        <v>35</v>
      </c>
      <c r="O302" s="1"/>
      <c r="P302" s="14" t="s">
        <v>7519</v>
      </c>
      <c r="Q302" s="92">
        <v>132.22999999999999</v>
      </c>
      <c r="R302" s="1">
        <v>1</v>
      </c>
      <c r="S302" s="90">
        <v>0.21</v>
      </c>
      <c r="T302" s="90">
        <v>0.2</v>
      </c>
      <c r="U302" s="1"/>
      <c r="V302" s="95">
        <f t="shared" si="10"/>
        <v>127.99863999999999</v>
      </c>
      <c r="W302" t="s">
        <v>7596</v>
      </c>
      <c r="X302" s="6" t="s">
        <v>7597</v>
      </c>
      <c r="Y302" s="2">
        <v>37069</v>
      </c>
      <c r="Z302" s="2">
        <v>44858</v>
      </c>
      <c r="AA302" s="284" t="s">
        <v>8156</v>
      </c>
      <c r="AB302" s="3">
        <v>44984</v>
      </c>
      <c r="AC302" s="80" t="s">
        <v>1339</v>
      </c>
      <c r="AE302" s="162">
        <v>44938</v>
      </c>
      <c r="AF302" t="s">
        <v>3198</v>
      </c>
      <c r="AI302" t="s">
        <v>3108</v>
      </c>
      <c r="AJ302" s="2">
        <v>44872</v>
      </c>
      <c r="AK302" s="2"/>
      <c r="AL302"/>
      <c r="AM302" s="74">
        <v>44880</v>
      </c>
      <c r="AS302"/>
      <c r="AT302" s="1"/>
    </row>
    <row r="303" spans="1:46">
      <c r="A303" s="1">
        <v>301</v>
      </c>
      <c r="B303" t="s">
        <v>1242</v>
      </c>
      <c r="C303" s="2">
        <v>44858</v>
      </c>
      <c r="D303" s="1" t="s">
        <v>4638</v>
      </c>
      <c r="E303" s="1"/>
      <c r="F303" t="s">
        <v>4639</v>
      </c>
      <c r="G303" s="61" t="s">
        <v>7520</v>
      </c>
      <c r="H303" s="6" t="s">
        <v>221</v>
      </c>
      <c r="I303" s="1" t="s">
        <v>34</v>
      </c>
      <c r="K303" s="8" t="s">
        <v>5905</v>
      </c>
      <c r="L303" s="31" t="s">
        <v>1250</v>
      </c>
      <c r="M303" s="3">
        <v>44865</v>
      </c>
      <c r="N303" s="1" t="s">
        <v>35</v>
      </c>
      <c r="O303" s="1"/>
      <c r="P303" s="14" t="s">
        <v>7521</v>
      </c>
      <c r="Q303" s="187">
        <v>132.22999999999999</v>
      </c>
      <c r="R303" s="1">
        <v>1</v>
      </c>
      <c r="S303" s="128">
        <v>0.21</v>
      </c>
      <c r="T303" s="128">
        <v>0.2</v>
      </c>
      <c r="V303" s="95">
        <f t="shared" si="10"/>
        <v>127.99863999999999</v>
      </c>
      <c r="W303" t="s">
        <v>7606</v>
      </c>
      <c r="X303" s="6" t="s">
        <v>7607</v>
      </c>
      <c r="Y303" s="3">
        <v>35594</v>
      </c>
      <c r="Z303" s="2">
        <v>44858</v>
      </c>
      <c r="AA303" s="284" t="s">
        <v>7881</v>
      </c>
      <c r="AB303" s="3">
        <v>44924</v>
      </c>
      <c r="AC303" s="80" t="s">
        <v>1339</v>
      </c>
      <c r="AF303" t="s">
        <v>3198</v>
      </c>
      <c r="AI303" s="81" t="s">
        <v>3221</v>
      </c>
      <c r="AJ303" s="3">
        <v>44873</v>
      </c>
      <c r="AL303"/>
      <c r="AM303" s="2">
        <v>44875</v>
      </c>
      <c r="AS303"/>
      <c r="AT303" s="1"/>
    </row>
    <row r="304" spans="1:46">
      <c r="A304" s="1">
        <v>302</v>
      </c>
      <c r="B304" s="61" t="s">
        <v>52</v>
      </c>
      <c r="C304" s="2">
        <v>44858</v>
      </c>
      <c r="D304" s="1" t="s">
        <v>66</v>
      </c>
      <c r="E304" s="1"/>
      <c r="F304" s="61" t="s">
        <v>65</v>
      </c>
      <c r="G304" s="61" t="s">
        <v>3666</v>
      </c>
      <c r="H304" s="6" t="s">
        <v>230</v>
      </c>
      <c r="I304" s="1" t="s">
        <v>34</v>
      </c>
      <c r="J304" s="8">
        <v>646968420</v>
      </c>
      <c r="K304" s="8" t="s">
        <v>5906</v>
      </c>
      <c r="L304" t="s">
        <v>4432</v>
      </c>
      <c r="M304" s="3">
        <v>44865</v>
      </c>
      <c r="N304" s="1" t="s">
        <v>35</v>
      </c>
      <c r="O304" s="1"/>
      <c r="P304" s="14" t="s">
        <v>7522</v>
      </c>
      <c r="Q304" s="144">
        <v>132.22999999999999</v>
      </c>
      <c r="R304" s="1">
        <v>1</v>
      </c>
      <c r="S304" s="90">
        <v>0.21</v>
      </c>
      <c r="T304" s="90">
        <v>0.2</v>
      </c>
      <c r="U304" s="1"/>
      <c r="V304" s="95">
        <f t="shared" si="10"/>
        <v>127.99863999999999</v>
      </c>
      <c r="W304" t="s">
        <v>7588</v>
      </c>
      <c r="X304" s="6" t="s">
        <v>7589</v>
      </c>
      <c r="Y304" s="2">
        <v>36900</v>
      </c>
      <c r="Z304" s="2">
        <v>44858</v>
      </c>
      <c r="AA304" s="284" t="s">
        <v>8052</v>
      </c>
      <c r="AB304" s="64">
        <v>44968</v>
      </c>
      <c r="AC304" s="80" t="s">
        <v>1339</v>
      </c>
      <c r="AE304" s="162">
        <v>44909</v>
      </c>
      <c r="AF304" t="s">
        <v>3198</v>
      </c>
      <c r="AI304" t="s">
        <v>3108</v>
      </c>
      <c r="AJ304" s="2">
        <v>44872</v>
      </c>
      <c r="AK304" s="1"/>
      <c r="AL304"/>
      <c r="AM304" s="74">
        <v>44880</v>
      </c>
      <c r="AS304"/>
      <c r="AT304" s="1"/>
    </row>
    <row r="305" spans="1:46">
      <c r="A305" s="1">
        <v>303</v>
      </c>
      <c r="B305" t="s">
        <v>33</v>
      </c>
      <c r="C305" s="2">
        <v>44858</v>
      </c>
      <c r="D305" s="1" t="s">
        <v>6511</v>
      </c>
      <c r="E305" s="1"/>
      <c r="F305" s="61" t="s">
        <v>2002</v>
      </c>
      <c r="G305" s="61" t="s">
        <v>6512</v>
      </c>
      <c r="H305" s="6" t="s">
        <v>304</v>
      </c>
      <c r="I305" s="1" t="s">
        <v>68</v>
      </c>
      <c r="K305" t="s">
        <v>8186</v>
      </c>
      <c r="L305" t="s">
        <v>237</v>
      </c>
      <c r="M305" s="3">
        <v>44865</v>
      </c>
      <c r="N305" s="1" t="s">
        <v>35</v>
      </c>
      <c r="O305" s="1"/>
      <c r="P305" s="14" t="s">
        <v>7523</v>
      </c>
      <c r="Q305" s="187">
        <v>132.22999999999999</v>
      </c>
      <c r="R305" s="1">
        <v>1</v>
      </c>
      <c r="S305" s="128">
        <v>0.21</v>
      </c>
      <c r="T305" s="128">
        <v>0.2</v>
      </c>
      <c r="V305" s="95">
        <f t="shared" si="10"/>
        <v>127.99863999999999</v>
      </c>
      <c r="W305" t="s">
        <v>7594</v>
      </c>
      <c r="X305" s="6" t="s">
        <v>7595</v>
      </c>
      <c r="Y305" s="2">
        <v>37038</v>
      </c>
      <c r="Z305" s="2">
        <v>44858</v>
      </c>
      <c r="AA305" s="284" t="s">
        <v>7775</v>
      </c>
      <c r="AB305" s="64">
        <v>44908</v>
      </c>
      <c r="AC305" s="80" t="s">
        <v>1339</v>
      </c>
      <c r="AF305" t="s">
        <v>3198</v>
      </c>
      <c r="AI305" t="s">
        <v>3108</v>
      </c>
      <c r="AJ305" s="2">
        <v>44872</v>
      </c>
      <c r="AK305" s="1"/>
      <c r="AL305" s="1"/>
      <c r="AM305" s="2">
        <v>44875</v>
      </c>
      <c r="AS305"/>
      <c r="AT305" s="1"/>
    </row>
    <row r="306" spans="1:46">
      <c r="A306" s="1">
        <v>304</v>
      </c>
      <c r="B306" s="61" t="s">
        <v>6452</v>
      </c>
      <c r="C306" s="2">
        <v>44858</v>
      </c>
      <c r="D306" s="1" t="s">
        <v>7524</v>
      </c>
      <c r="E306" s="1"/>
      <c r="F306" s="61" t="s">
        <v>7525</v>
      </c>
      <c r="G306" s="61" t="s">
        <v>7526</v>
      </c>
      <c r="H306" s="6" t="s">
        <v>245</v>
      </c>
      <c r="I306" s="1" t="s">
        <v>54</v>
      </c>
      <c r="K306" s="8"/>
      <c r="L306" s="1" t="s">
        <v>7524</v>
      </c>
      <c r="M306" s="3">
        <v>44865</v>
      </c>
      <c r="N306" s="1" t="s">
        <v>35</v>
      </c>
      <c r="O306" s="1"/>
      <c r="P306" t="s">
        <v>7527</v>
      </c>
      <c r="Q306" s="187">
        <v>41.32</v>
      </c>
      <c r="R306" s="1">
        <v>1</v>
      </c>
      <c r="S306" s="128">
        <v>0.21</v>
      </c>
      <c r="T306" s="128">
        <v>0</v>
      </c>
      <c r="V306" s="95">
        <f t="shared" si="10"/>
        <v>49.997199999999999</v>
      </c>
      <c r="W306"/>
      <c r="X306" s="6"/>
      <c r="Y306" s="2"/>
      <c r="Z306" s="2"/>
      <c r="AA306" s="284" t="s">
        <v>1326</v>
      </c>
      <c r="AB306" s="64"/>
      <c r="AC306" s="80"/>
      <c r="AE306" s="3"/>
      <c r="AI306"/>
      <c r="AJ306" s="1"/>
      <c r="AL306"/>
      <c r="AM306" s="8"/>
      <c r="AS306"/>
      <c r="AT306" s="1"/>
    </row>
    <row r="307" spans="1:46">
      <c r="A307" s="1">
        <v>305</v>
      </c>
      <c r="B307" t="s">
        <v>45</v>
      </c>
      <c r="C307" s="2">
        <v>44858</v>
      </c>
      <c r="D307" s="1" t="s">
        <v>7528</v>
      </c>
      <c r="E307" s="1"/>
      <c r="F307" s="61" t="s">
        <v>7529</v>
      </c>
      <c r="G307" s="61" t="s">
        <v>7530</v>
      </c>
      <c r="H307" s="6" t="s">
        <v>221</v>
      </c>
      <c r="I307" s="1" t="s">
        <v>38</v>
      </c>
      <c r="J307">
        <v>695808070</v>
      </c>
      <c r="K307" s="1" t="s">
        <v>7535</v>
      </c>
      <c r="L307" s="1" t="s">
        <v>7528</v>
      </c>
      <c r="M307" s="3">
        <v>44865</v>
      </c>
      <c r="N307" s="1" t="s">
        <v>35</v>
      </c>
      <c r="O307" s="1"/>
      <c r="P307" s="14" t="s">
        <v>7531</v>
      </c>
      <c r="Q307" s="187">
        <v>132.22999999999999</v>
      </c>
      <c r="R307" s="1">
        <v>1</v>
      </c>
      <c r="S307" s="128">
        <v>0.21</v>
      </c>
      <c r="T307" s="128">
        <v>0.2</v>
      </c>
      <c r="V307" s="95">
        <f t="shared" si="10"/>
        <v>127.99863999999999</v>
      </c>
      <c r="W307" t="s">
        <v>7635</v>
      </c>
      <c r="X307" s="6" t="s">
        <v>7634</v>
      </c>
      <c r="Y307" s="2">
        <v>33969</v>
      </c>
      <c r="Z307" s="2">
        <v>44858</v>
      </c>
      <c r="AA307" s="284" t="s">
        <v>8156</v>
      </c>
      <c r="AB307" s="3">
        <v>44984</v>
      </c>
      <c r="AC307" s="80" t="s">
        <v>1339</v>
      </c>
      <c r="AE307" s="162">
        <v>44574</v>
      </c>
      <c r="AF307" t="s">
        <v>3198</v>
      </c>
      <c r="AI307" t="s">
        <v>3108</v>
      </c>
      <c r="AJ307" s="2">
        <v>44875</v>
      </c>
      <c r="AL307"/>
      <c r="AM307" s="74">
        <v>44881</v>
      </c>
      <c r="AS307"/>
      <c r="AT307" s="1"/>
    </row>
    <row r="308" spans="1:46">
      <c r="A308" s="1">
        <v>306</v>
      </c>
      <c r="B308" s="61" t="s">
        <v>4119</v>
      </c>
      <c r="C308" s="2">
        <v>44858</v>
      </c>
      <c r="D308" s="1" t="s">
        <v>2897</v>
      </c>
      <c r="E308" s="1"/>
      <c r="F308" s="61" t="s">
        <v>4142</v>
      </c>
      <c r="G308" s="61" t="s">
        <v>4130</v>
      </c>
      <c r="H308" s="6" t="s">
        <v>241</v>
      </c>
      <c r="I308" s="1" t="s">
        <v>3454</v>
      </c>
      <c r="K308" s="8"/>
      <c r="L308" t="s">
        <v>2897</v>
      </c>
      <c r="M308" s="3">
        <v>44865</v>
      </c>
      <c r="N308" s="1" t="s">
        <v>35</v>
      </c>
      <c r="O308" s="1"/>
      <c r="P308" s="14" t="s">
        <v>7532</v>
      </c>
      <c r="Q308" s="187">
        <v>132.22999999999999</v>
      </c>
      <c r="R308" s="1">
        <v>1</v>
      </c>
      <c r="S308" s="90">
        <v>0.21</v>
      </c>
      <c r="T308" s="90">
        <v>0</v>
      </c>
      <c r="U308" s="1"/>
      <c r="V308" s="95">
        <f t="shared" si="10"/>
        <v>159.99829999999997</v>
      </c>
      <c r="W308" t="s">
        <v>7586</v>
      </c>
      <c r="X308" s="6" t="s">
        <v>7587</v>
      </c>
      <c r="Y308" s="2">
        <v>28126</v>
      </c>
      <c r="Z308" s="2">
        <v>44858</v>
      </c>
      <c r="AA308" s="284" t="s">
        <v>7775</v>
      </c>
      <c r="AB308" s="64">
        <v>44911</v>
      </c>
      <c r="AC308" s="80" t="s">
        <v>1339</v>
      </c>
      <c r="AF308" t="s">
        <v>3198</v>
      </c>
      <c r="AI308" t="s">
        <v>3108</v>
      </c>
      <c r="AJ308" s="2">
        <v>44872</v>
      </c>
      <c r="AK308" t="s">
        <v>7736</v>
      </c>
      <c r="AL308" s="3">
        <v>44897</v>
      </c>
      <c r="AM308" s="74">
        <v>44872</v>
      </c>
      <c r="AS308"/>
      <c r="AT308" s="1"/>
    </row>
    <row r="309" spans="1:46">
      <c r="A309" s="1">
        <v>307</v>
      </c>
      <c r="B309" s="61" t="s">
        <v>33</v>
      </c>
      <c r="C309" s="2">
        <v>44858</v>
      </c>
      <c r="D309" s="1" t="s">
        <v>6985</v>
      </c>
      <c r="E309" s="1"/>
      <c r="F309" t="s">
        <v>6942</v>
      </c>
      <c r="G309" t="s">
        <v>6943</v>
      </c>
      <c r="H309" s="6" t="s">
        <v>304</v>
      </c>
      <c r="I309" s="1" t="s">
        <v>34</v>
      </c>
      <c r="K309" t="s">
        <v>8186</v>
      </c>
      <c r="L309" t="s">
        <v>237</v>
      </c>
      <c r="M309" s="3">
        <v>44865</v>
      </c>
      <c r="N309" s="1" t="s">
        <v>35</v>
      </c>
      <c r="O309" s="1"/>
      <c r="P309" s="14" t="s">
        <v>7533</v>
      </c>
      <c r="Q309" s="187">
        <v>132.22999999999999</v>
      </c>
      <c r="R309" s="1">
        <v>1</v>
      </c>
      <c r="S309" s="128">
        <v>0.21</v>
      </c>
      <c r="T309" s="128">
        <v>0.2</v>
      </c>
      <c r="V309" s="95">
        <f t="shared" si="10"/>
        <v>127.99863999999999</v>
      </c>
      <c r="W309" t="s">
        <v>7608</v>
      </c>
      <c r="X309" s="6" t="s">
        <v>7609</v>
      </c>
      <c r="Y309" s="2">
        <v>31413</v>
      </c>
      <c r="Z309" s="2">
        <v>44858</v>
      </c>
      <c r="AA309" s="284" t="s">
        <v>7789</v>
      </c>
      <c r="AB309" s="64">
        <v>44911</v>
      </c>
      <c r="AC309" s="80" t="s">
        <v>1339</v>
      </c>
      <c r="AF309" t="s">
        <v>3198</v>
      </c>
      <c r="AI309" s="81" t="s">
        <v>3108</v>
      </c>
      <c r="AJ309" s="2">
        <v>44873</v>
      </c>
      <c r="AK309" s="2"/>
      <c r="AL309" s="2"/>
      <c r="AM309" s="2">
        <v>44875</v>
      </c>
      <c r="AN309" s="2"/>
      <c r="AS309"/>
      <c r="AT309" s="1"/>
    </row>
    <row r="310" spans="1:46">
      <c r="A310" s="1">
        <v>308</v>
      </c>
      <c r="B310" t="s">
        <v>45</v>
      </c>
      <c r="C310" s="2">
        <v>44858</v>
      </c>
      <c r="D310" s="1" t="s">
        <v>5094</v>
      </c>
      <c r="E310" s="1"/>
      <c r="F310" t="s">
        <v>2389</v>
      </c>
      <c r="G310" s="61" t="s">
        <v>5095</v>
      </c>
      <c r="H310" s="6" t="s">
        <v>220</v>
      </c>
      <c r="I310" s="1" t="s">
        <v>39</v>
      </c>
      <c r="J310" s="1">
        <v>628472312</v>
      </c>
      <c r="L310" s="1" t="s">
        <v>5094</v>
      </c>
      <c r="M310" s="3">
        <v>44865</v>
      </c>
      <c r="N310" s="1" t="s">
        <v>35</v>
      </c>
      <c r="O310" s="1"/>
      <c r="P310" s="14" t="s">
        <v>7534</v>
      </c>
      <c r="Q310" s="187">
        <v>132.22999999999999</v>
      </c>
      <c r="R310" s="1">
        <v>1</v>
      </c>
      <c r="S310" s="90">
        <v>0.21</v>
      </c>
      <c r="T310" s="90">
        <v>0.2</v>
      </c>
      <c r="V310" s="95">
        <f t="shared" si="10"/>
        <v>127.99863999999999</v>
      </c>
      <c r="W310" t="s">
        <v>7610</v>
      </c>
      <c r="X310" s="6" t="s">
        <v>7611</v>
      </c>
      <c r="Y310" s="2">
        <v>31887</v>
      </c>
      <c r="Z310" s="2">
        <v>44858</v>
      </c>
      <c r="AA310" s="284" t="s">
        <v>8101</v>
      </c>
      <c r="AB310" s="64">
        <v>44977</v>
      </c>
      <c r="AC310" s="80" t="s">
        <v>1339</v>
      </c>
      <c r="AE310" s="274">
        <v>44935</v>
      </c>
      <c r="AF310" t="s">
        <v>3198</v>
      </c>
      <c r="AI310" t="s">
        <v>3108</v>
      </c>
      <c r="AJ310" s="2">
        <v>44873</v>
      </c>
      <c r="AL310"/>
      <c r="AM310" s="74">
        <v>44880</v>
      </c>
      <c r="AS310"/>
      <c r="AT310" s="1"/>
    </row>
    <row r="311" spans="1:46">
      <c r="A311" s="1">
        <v>309</v>
      </c>
      <c r="B311" t="s">
        <v>1242</v>
      </c>
      <c r="C311" s="2">
        <v>44859</v>
      </c>
      <c r="D311" s="1" t="s">
        <v>7536</v>
      </c>
      <c r="E311" s="1"/>
      <c r="F311" s="61" t="s">
        <v>7537</v>
      </c>
      <c r="G311" s="61" t="s">
        <v>7538</v>
      </c>
      <c r="H311" s="6" t="s">
        <v>221</v>
      </c>
      <c r="I311" s="1" t="s">
        <v>34</v>
      </c>
      <c r="K311" s="8" t="s">
        <v>5905</v>
      </c>
      <c r="L311" s="31" t="s">
        <v>1250</v>
      </c>
      <c r="M311" s="3">
        <v>44865</v>
      </c>
      <c r="N311" s="1" t="s">
        <v>35</v>
      </c>
      <c r="O311" s="1"/>
      <c r="P311" s="14" t="s">
        <v>7539</v>
      </c>
      <c r="Q311" s="187">
        <v>132.22999999999999</v>
      </c>
      <c r="R311" s="1">
        <v>1</v>
      </c>
      <c r="S311" s="128">
        <v>0.21</v>
      </c>
      <c r="T311" s="128">
        <v>0.2</v>
      </c>
      <c r="V311" s="95">
        <f t="shared" si="10"/>
        <v>127.99863999999999</v>
      </c>
      <c r="W311" t="s">
        <v>7630</v>
      </c>
      <c r="X311" s="6" t="s">
        <v>7631</v>
      </c>
      <c r="Y311" s="2">
        <v>28917</v>
      </c>
      <c r="Z311" s="2">
        <v>44859</v>
      </c>
      <c r="AA311" s="284" t="s">
        <v>8101</v>
      </c>
      <c r="AB311" s="64">
        <v>44974</v>
      </c>
      <c r="AC311" s="80" t="s">
        <v>1339</v>
      </c>
      <c r="AE311" s="274">
        <v>44935</v>
      </c>
      <c r="AF311" t="s">
        <v>3198</v>
      </c>
      <c r="AI311" t="s">
        <v>3108</v>
      </c>
      <c r="AJ311" s="2">
        <v>44875</v>
      </c>
      <c r="AL311"/>
      <c r="AM311" s="74">
        <v>44889</v>
      </c>
      <c r="AS311"/>
      <c r="AT311" s="1"/>
    </row>
    <row r="312" spans="1:46">
      <c r="A312" s="1">
        <v>310</v>
      </c>
      <c r="B312" s="61" t="s">
        <v>33</v>
      </c>
      <c r="C312" s="2">
        <v>44860</v>
      </c>
      <c r="D312" s="1" t="s">
        <v>6985</v>
      </c>
      <c r="E312" s="1"/>
      <c r="F312" t="s">
        <v>6942</v>
      </c>
      <c r="G312" t="s">
        <v>6943</v>
      </c>
      <c r="H312" s="6" t="s">
        <v>304</v>
      </c>
      <c r="I312" s="1" t="s">
        <v>34</v>
      </c>
      <c r="K312" t="s">
        <v>8186</v>
      </c>
      <c r="L312" t="s">
        <v>237</v>
      </c>
      <c r="M312" s="3">
        <v>44865</v>
      </c>
      <c r="N312" s="1" t="s">
        <v>35</v>
      </c>
      <c r="O312" s="1"/>
      <c r="P312" s="14" t="s">
        <v>7561</v>
      </c>
      <c r="Q312" s="187">
        <v>132.22999999999999</v>
      </c>
      <c r="R312" s="1">
        <v>1</v>
      </c>
      <c r="S312" s="128">
        <v>0.21</v>
      </c>
      <c r="T312" s="128">
        <v>0.2</v>
      </c>
      <c r="V312" s="95">
        <f t="shared" si="10"/>
        <v>127.99863999999999</v>
      </c>
      <c r="W312" t="s">
        <v>7604</v>
      </c>
      <c r="X312" s="6" t="s">
        <v>7605</v>
      </c>
      <c r="Y312" s="2">
        <v>36345</v>
      </c>
      <c r="Z312" s="2">
        <v>44860</v>
      </c>
      <c r="AA312" s="284" t="s">
        <v>8023</v>
      </c>
      <c r="AB312" s="64">
        <v>44964</v>
      </c>
      <c r="AC312" s="80" t="s">
        <v>1339</v>
      </c>
      <c r="AF312" t="s">
        <v>3198</v>
      </c>
      <c r="AI312" s="81" t="s">
        <v>3108</v>
      </c>
      <c r="AJ312" s="2">
        <v>44873</v>
      </c>
      <c r="AK312" s="2"/>
      <c r="AL312" s="2"/>
      <c r="AM312" s="2">
        <v>44875</v>
      </c>
      <c r="AN312" s="2"/>
      <c r="AS312"/>
      <c r="AT312" s="1"/>
    </row>
    <row r="313" spans="1:46" ht="14.25" customHeight="1">
      <c r="A313" s="1">
        <v>311</v>
      </c>
      <c r="B313" s="61" t="s">
        <v>7570</v>
      </c>
      <c r="C313" s="2">
        <v>44862</v>
      </c>
      <c r="D313" s="1" t="s">
        <v>3706</v>
      </c>
      <c r="E313" s="1"/>
      <c r="F313" s="61" t="s">
        <v>3707</v>
      </c>
      <c r="G313" s="61" t="s">
        <v>3708</v>
      </c>
      <c r="H313" s="6" t="s">
        <v>3709</v>
      </c>
      <c r="I313" s="1" t="s">
        <v>34</v>
      </c>
      <c r="J313" s="8">
        <v>627072836</v>
      </c>
      <c r="K313" s="301" t="s">
        <v>7571</v>
      </c>
      <c r="L313" s="1" t="s">
        <v>3706</v>
      </c>
      <c r="M313" s="3">
        <v>44865</v>
      </c>
      <c r="N313" s="1" t="s">
        <v>35</v>
      </c>
      <c r="O313" s="1"/>
      <c r="P313" s="14" t="s">
        <v>6469</v>
      </c>
      <c r="Q313" s="187">
        <v>132.22999999999999</v>
      </c>
      <c r="R313" s="1">
        <v>1</v>
      </c>
      <c r="S313" s="128">
        <v>0.21</v>
      </c>
      <c r="T313" s="128">
        <v>0.2</v>
      </c>
      <c r="U313" s="1"/>
      <c r="V313" s="95">
        <f t="shared" si="10"/>
        <v>127.99863999999999</v>
      </c>
      <c r="W313" t="s">
        <v>6587</v>
      </c>
      <c r="X313" s="6" t="s">
        <v>7628</v>
      </c>
      <c r="Y313" s="2">
        <v>34915</v>
      </c>
      <c r="Z313" s="2">
        <v>44862</v>
      </c>
      <c r="AA313" s="284" t="s">
        <v>7703</v>
      </c>
      <c r="AB313" s="64">
        <v>44896</v>
      </c>
      <c r="AC313" s="80" t="s">
        <v>1339</v>
      </c>
      <c r="AF313" t="s">
        <v>3198</v>
      </c>
      <c r="AI313" t="s">
        <v>3221</v>
      </c>
      <c r="AJ313" s="2">
        <v>44875</v>
      </c>
      <c r="AL313"/>
      <c r="AM313" s="74"/>
      <c r="AS313"/>
      <c r="AT313" s="1"/>
    </row>
    <row r="314" spans="1:46">
      <c r="A314" s="1">
        <v>312</v>
      </c>
      <c r="B314" t="s">
        <v>52</v>
      </c>
      <c r="C314" s="2">
        <v>44862</v>
      </c>
      <c r="D314" s="1" t="s">
        <v>919</v>
      </c>
      <c r="E314" s="1"/>
      <c r="F314" s="14" t="s">
        <v>139</v>
      </c>
      <c r="G314" t="s">
        <v>2866</v>
      </c>
      <c r="H314" s="6" t="s">
        <v>221</v>
      </c>
      <c r="I314" s="1" t="s">
        <v>34</v>
      </c>
      <c r="J314">
        <v>659896436</v>
      </c>
      <c r="K314" s="8" t="s">
        <v>5906</v>
      </c>
      <c r="L314" t="s">
        <v>4432</v>
      </c>
      <c r="M314" s="3">
        <v>44865</v>
      </c>
      <c r="N314" s="1" t="s">
        <v>35</v>
      </c>
      <c r="O314" s="1"/>
      <c r="P314" s="14" t="s">
        <v>7932</v>
      </c>
      <c r="Q314" s="187">
        <v>132.22999999999999</v>
      </c>
      <c r="R314" s="1">
        <v>1</v>
      </c>
      <c r="S314" s="90">
        <v>0.21</v>
      </c>
      <c r="T314" s="90">
        <v>0.2</v>
      </c>
      <c r="V314" s="95">
        <f t="shared" si="10"/>
        <v>127.99863999999999</v>
      </c>
      <c r="W314" t="s">
        <v>7626</v>
      </c>
      <c r="X314" s="6" t="s">
        <v>7627</v>
      </c>
      <c r="Y314" s="2">
        <v>28856</v>
      </c>
      <c r="Z314" s="2">
        <v>44862</v>
      </c>
      <c r="AA314" s="284" t="s">
        <v>7794</v>
      </c>
      <c r="AB314" s="3">
        <v>44913</v>
      </c>
      <c r="AC314" s="80" t="s">
        <v>1339</v>
      </c>
      <c r="AF314" t="s">
        <v>3198</v>
      </c>
      <c r="AI314" t="s">
        <v>3221</v>
      </c>
      <c r="AJ314" s="2">
        <v>44875</v>
      </c>
      <c r="AL314"/>
      <c r="AM314" s="3">
        <v>44881</v>
      </c>
      <c r="AS314"/>
      <c r="AT314" s="1"/>
    </row>
    <row r="315" spans="1:46">
      <c r="A315" s="1">
        <v>313</v>
      </c>
      <c r="B315" s="61" t="s">
        <v>6684</v>
      </c>
      <c r="C315" s="2">
        <v>44862</v>
      </c>
      <c r="D315" t="s">
        <v>6685</v>
      </c>
      <c r="F315" t="s">
        <v>6686</v>
      </c>
      <c r="G315" t="s">
        <v>6687</v>
      </c>
      <c r="H315" s="6" t="s">
        <v>2579</v>
      </c>
      <c r="I315" t="s">
        <v>2580</v>
      </c>
      <c r="K315" s="1" t="s">
        <v>7339</v>
      </c>
      <c r="L315" t="s">
        <v>6685</v>
      </c>
      <c r="M315" s="3">
        <v>44865</v>
      </c>
      <c r="N315" s="1" t="s">
        <v>35</v>
      </c>
      <c r="O315" s="1"/>
      <c r="P315" s="14" t="s">
        <v>7572</v>
      </c>
      <c r="Q315" s="187">
        <v>132.22999999999999</v>
      </c>
      <c r="R315" s="1">
        <v>1</v>
      </c>
      <c r="S315" s="90">
        <v>0.21</v>
      </c>
      <c r="T315" s="90">
        <v>0.2</v>
      </c>
      <c r="V315" s="95">
        <f t="shared" si="10"/>
        <v>127.99863999999999</v>
      </c>
      <c r="W315" t="s">
        <v>7669</v>
      </c>
      <c r="X315" s="6" t="s">
        <v>7670</v>
      </c>
      <c r="Y315" s="2">
        <v>31333</v>
      </c>
      <c r="Z315" s="2">
        <v>44862</v>
      </c>
      <c r="AA315" s="284" t="s">
        <v>8156</v>
      </c>
      <c r="AB315" s="64">
        <v>44991</v>
      </c>
      <c r="AC315" s="80" t="s">
        <v>1339</v>
      </c>
      <c r="AE315" s="274">
        <v>44938</v>
      </c>
      <c r="AF315" t="s">
        <v>3198</v>
      </c>
      <c r="AI315" t="s">
        <v>3108</v>
      </c>
      <c r="AJ315" s="2">
        <v>44886</v>
      </c>
      <c r="AL315"/>
      <c r="AM315" s="3">
        <v>44897</v>
      </c>
      <c r="AS315"/>
      <c r="AT315" s="1"/>
    </row>
    <row r="316" spans="1:46">
      <c r="A316" s="1">
        <v>314</v>
      </c>
      <c r="B316" s="61" t="s">
        <v>6684</v>
      </c>
      <c r="C316" s="2">
        <v>44862</v>
      </c>
      <c r="D316" t="s">
        <v>6685</v>
      </c>
      <c r="F316" t="s">
        <v>6686</v>
      </c>
      <c r="G316" t="s">
        <v>6687</v>
      </c>
      <c r="H316" s="6" t="s">
        <v>2579</v>
      </c>
      <c r="I316" t="s">
        <v>2580</v>
      </c>
      <c r="K316" s="1" t="s">
        <v>7339</v>
      </c>
      <c r="L316" t="s">
        <v>6685</v>
      </c>
      <c r="M316" s="3">
        <v>44865</v>
      </c>
      <c r="N316" s="1" t="s">
        <v>35</v>
      </c>
      <c r="O316" s="1"/>
      <c r="P316" s="14" t="s">
        <v>7573</v>
      </c>
      <c r="Q316" s="187">
        <v>132.22999999999999</v>
      </c>
      <c r="R316" s="1">
        <v>1</v>
      </c>
      <c r="S316" s="90">
        <v>0.21</v>
      </c>
      <c r="T316" s="90">
        <v>0.2</v>
      </c>
      <c r="V316" s="95">
        <f t="shared" ref="V316:V339" si="11">SUM(Q316-(Q316*T316))*S316+(Q316-(Q316*T316))</f>
        <v>127.99863999999999</v>
      </c>
      <c r="W316" t="s">
        <v>7667</v>
      </c>
      <c r="X316" s="6" t="s">
        <v>7668</v>
      </c>
      <c r="Y316" s="2">
        <v>36264</v>
      </c>
      <c r="Z316" s="2">
        <v>44862</v>
      </c>
      <c r="AA316" s="285" t="s">
        <v>7882</v>
      </c>
      <c r="AB316" s="64">
        <v>44924</v>
      </c>
      <c r="AC316" s="80" t="s">
        <v>1339</v>
      </c>
      <c r="AE316" s="292">
        <v>44938</v>
      </c>
      <c r="AF316" t="s">
        <v>3198</v>
      </c>
      <c r="AI316" t="s">
        <v>3108</v>
      </c>
      <c r="AJ316" s="2">
        <v>44886</v>
      </c>
      <c r="AL316"/>
      <c r="AM316" s="3">
        <v>44896</v>
      </c>
      <c r="AS316"/>
      <c r="AT316" s="1"/>
    </row>
    <row r="317" spans="1:46">
      <c r="A317" s="1">
        <v>315</v>
      </c>
      <c r="B317" s="61" t="s">
        <v>119</v>
      </c>
      <c r="C317" s="2">
        <v>44865</v>
      </c>
      <c r="D317" s="1" t="s">
        <v>2443</v>
      </c>
      <c r="E317" s="1"/>
      <c r="F317" s="61" t="s">
        <v>2343</v>
      </c>
      <c r="G317" s="61" t="s">
        <v>7576</v>
      </c>
      <c r="H317" s="6" t="s">
        <v>239</v>
      </c>
      <c r="I317" s="1" t="s">
        <v>86</v>
      </c>
      <c r="J317" s="1"/>
      <c r="K317" s="1" t="s">
        <v>8094</v>
      </c>
      <c r="L317" s="31" t="s">
        <v>174</v>
      </c>
      <c r="M317" s="3">
        <v>44865</v>
      </c>
      <c r="N317" s="1" t="s">
        <v>35</v>
      </c>
      <c r="O317" s="1"/>
      <c r="P317" s="14" t="s">
        <v>7577</v>
      </c>
      <c r="Q317" s="92">
        <v>132.22999999999999</v>
      </c>
      <c r="R317" s="1">
        <v>1</v>
      </c>
      <c r="S317" s="90">
        <v>0.21</v>
      </c>
      <c r="T317" s="90">
        <v>0.2</v>
      </c>
      <c r="U317" s="1"/>
      <c r="V317" s="95">
        <f t="shared" si="11"/>
        <v>127.99863999999999</v>
      </c>
      <c r="W317" t="s">
        <v>7639</v>
      </c>
      <c r="X317" s="6" t="s">
        <v>7640</v>
      </c>
      <c r="Y317" s="2">
        <v>33857</v>
      </c>
      <c r="Z317" s="2">
        <v>44865</v>
      </c>
      <c r="AA317" s="284" t="s">
        <v>8295</v>
      </c>
      <c r="AB317" s="64">
        <v>45006</v>
      </c>
      <c r="AC317" s="80" t="s">
        <v>1339</v>
      </c>
      <c r="AF317" t="s">
        <v>3198</v>
      </c>
      <c r="AI317" t="s">
        <v>3108</v>
      </c>
      <c r="AJ317" s="2">
        <v>44880</v>
      </c>
      <c r="AK317" s="2"/>
      <c r="AL317"/>
      <c r="AM317" s="2">
        <v>44890</v>
      </c>
      <c r="AS317"/>
      <c r="AT317" s="1"/>
    </row>
    <row r="318" spans="1:46" s="96" customFormat="1">
      <c r="A318" s="1">
        <v>316</v>
      </c>
      <c r="B318" s="96" t="s">
        <v>4189</v>
      </c>
      <c r="C318" s="97">
        <v>44853</v>
      </c>
      <c r="D318" s="99" t="s">
        <v>4948</v>
      </c>
      <c r="E318" s="99"/>
      <c r="F318" s="96" t="s">
        <v>4189</v>
      </c>
      <c r="G318" s="310" t="s">
        <v>188</v>
      </c>
      <c r="H318" s="311" t="s">
        <v>220</v>
      </c>
      <c r="I318" s="312" t="s">
        <v>92</v>
      </c>
      <c r="J318" s="310"/>
      <c r="K318" s="310"/>
      <c r="L318" s="99" t="s">
        <v>4948</v>
      </c>
      <c r="M318" s="3">
        <v>44895</v>
      </c>
      <c r="N318" s="99" t="s">
        <v>35</v>
      </c>
      <c r="O318" s="1"/>
      <c r="P318" s="98" t="s">
        <v>2518</v>
      </c>
      <c r="Q318" s="92">
        <v>132.22999999999999</v>
      </c>
      <c r="R318" s="1">
        <v>1</v>
      </c>
      <c r="S318" s="128">
        <v>0.21</v>
      </c>
      <c r="T318" s="128">
        <v>0.2</v>
      </c>
      <c r="U318" s="1"/>
      <c r="V318" s="95">
        <f t="shared" si="11"/>
        <v>127.99863999999999</v>
      </c>
      <c r="W318" t="s">
        <v>129</v>
      </c>
      <c r="X318" s="6" t="s">
        <v>7565</v>
      </c>
      <c r="Y318" s="2">
        <v>28804</v>
      </c>
      <c r="Z318" s="2">
        <v>44853</v>
      </c>
      <c r="AA318" s="284" t="s">
        <v>7663</v>
      </c>
      <c r="AB318" s="64">
        <v>44893</v>
      </c>
      <c r="AC318" s="80" t="s">
        <v>1339</v>
      </c>
      <c r="AD318"/>
      <c r="AE318"/>
      <c r="AF318" t="s">
        <v>3198</v>
      </c>
      <c r="AG318"/>
      <c r="AH318"/>
      <c r="AI318" t="s">
        <v>4951</v>
      </c>
      <c r="AJ318" s="2">
        <v>44861</v>
      </c>
      <c r="AK318"/>
      <c r="AL318"/>
      <c r="AM318"/>
      <c r="AN318"/>
      <c r="AO318"/>
      <c r="AP318"/>
      <c r="AT318" s="99"/>
    </row>
    <row r="319" spans="1:46" s="96" customFormat="1">
      <c r="A319" s="1">
        <v>317</v>
      </c>
      <c r="B319" s="96" t="s">
        <v>4189</v>
      </c>
      <c r="C319" s="97">
        <v>44853</v>
      </c>
      <c r="D319" s="99" t="s">
        <v>4948</v>
      </c>
      <c r="E319" s="99"/>
      <c r="F319" s="96" t="s">
        <v>4189</v>
      </c>
      <c r="G319" s="310" t="s">
        <v>188</v>
      </c>
      <c r="H319" s="311" t="s">
        <v>220</v>
      </c>
      <c r="I319" s="312" t="s">
        <v>92</v>
      </c>
      <c r="J319" s="310"/>
      <c r="K319" s="310"/>
      <c r="L319" s="99" t="s">
        <v>4948</v>
      </c>
      <c r="M319" s="3">
        <v>44895</v>
      </c>
      <c r="N319" s="99" t="s">
        <v>35</v>
      </c>
      <c r="O319" s="1"/>
      <c r="P319" s="96" t="s">
        <v>2534</v>
      </c>
      <c r="Q319" s="92">
        <v>132.22999999999999</v>
      </c>
      <c r="R319" s="1">
        <v>1</v>
      </c>
      <c r="S319" s="128">
        <v>0.21</v>
      </c>
      <c r="T319" s="128">
        <v>0.2</v>
      </c>
      <c r="U319" s="1"/>
      <c r="V319" s="95">
        <f t="shared" si="11"/>
        <v>127.99863999999999</v>
      </c>
      <c r="W319" t="s">
        <v>189</v>
      </c>
      <c r="X319" s="6" t="s">
        <v>7564</v>
      </c>
      <c r="Y319" s="2">
        <v>29652</v>
      </c>
      <c r="Z319" s="2">
        <v>44853</v>
      </c>
      <c r="AA319" s="284" t="s">
        <v>7663</v>
      </c>
      <c r="AB319" s="64">
        <v>44893</v>
      </c>
      <c r="AC319" s="80" t="s">
        <v>1339</v>
      </c>
      <c r="AD319"/>
      <c r="AE319"/>
      <c r="AF319" t="s">
        <v>3198</v>
      </c>
      <c r="AG319"/>
      <c r="AH319"/>
      <c r="AI319" t="s">
        <v>4951</v>
      </c>
      <c r="AJ319" s="2">
        <v>44861</v>
      </c>
      <c r="AK319"/>
      <c r="AL319"/>
      <c r="AM319"/>
      <c r="AN319"/>
      <c r="AO319"/>
      <c r="AP319"/>
      <c r="AT319" s="99"/>
    </row>
    <row r="320" spans="1:46" s="96" customFormat="1">
      <c r="A320" s="1">
        <v>318</v>
      </c>
      <c r="B320" s="96" t="s">
        <v>4189</v>
      </c>
      <c r="C320" s="97">
        <v>44853</v>
      </c>
      <c r="D320" s="99" t="s">
        <v>4948</v>
      </c>
      <c r="E320" s="99"/>
      <c r="F320" s="96" t="s">
        <v>4189</v>
      </c>
      <c r="G320" s="310" t="s">
        <v>188</v>
      </c>
      <c r="H320" s="311" t="s">
        <v>220</v>
      </c>
      <c r="I320" s="312" t="s">
        <v>92</v>
      </c>
      <c r="J320" s="310"/>
      <c r="K320" s="310"/>
      <c r="L320" s="99" t="s">
        <v>4948</v>
      </c>
      <c r="M320" s="3">
        <v>44895</v>
      </c>
      <c r="N320" s="99" t="s">
        <v>35</v>
      </c>
      <c r="O320" s="1"/>
      <c r="P320" s="96" t="s">
        <v>2536</v>
      </c>
      <c r="Q320" s="92">
        <v>132.22999999999999</v>
      </c>
      <c r="R320" s="1">
        <v>1</v>
      </c>
      <c r="S320" s="128">
        <v>0.21</v>
      </c>
      <c r="T320" s="128">
        <v>0.2</v>
      </c>
      <c r="U320" s="1"/>
      <c r="V320" s="95">
        <f t="shared" si="11"/>
        <v>127.99863999999999</v>
      </c>
      <c r="W320" s="3" t="s">
        <v>94</v>
      </c>
      <c r="X320" s="6" t="s">
        <v>7566</v>
      </c>
      <c r="Y320" s="2">
        <v>26463</v>
      </c>
      <c r="Z320" s="2">
        <v>44853</v>
      </c>
      <c r="AA320" s="284" t="s">
        <v>7663</v>
      </c>
      <c r="AB320" s="64">
        <v>44893</v>
      </c>
      <c r="AC320" s="80" t="s">
        <v>1339</v>
      </c>
      <c r="AD320"/>
      <c r="AE320"/>
      <c r="AF320" t="s">
        <v>3198</v>
      </c>
      <c r="AG320"/>
      <c r="AH320"/>
      <c r="AI320" t="s">
        <v>4951</v>
      </c>
      <c r="AJ320" s="2">
        <v>44861</v>
      </c>
      <c r="AK320"/>
      <c r="AL320"/>
      <c r="AM320"/>
      <c r="AN320"/>
      <c r="AO320"/>
      <c r="AP320"/>
      <c r="AT320" s="99"/>
    </row>
    <row r="321" spans="1:139">
      <c r="A321" s="1">
        <v>319</v>
      </c>
      <c r="B321" t="s">
        <v>3526</v>
      </c>
      <c r="C321" s="2">
        <v>44872</v>
      </c>
      <c r="D321" s="1" t="s">
        <v>3440</v>
      </c>
      <c r="E321" s="1"/>
      <c r="F321" t="s">
        <v>3441</v>
      </c>
      <c r="G321" t="s">
        <v>7600</v>
      </c>
      <c r="H321" s="6" t="s">
        <v>242</v>
      </c>
      <c r="I321" s="1" t="s">
        <v>5083</v>
      </c>
      <c r="J321" s="44"/>
      <c r="K321" s="8"/>
      <c r="L321" s="1" t="s">
        <v>3440</v>
      </c>
      <c r="M321" s="3">
        <v>44895</v>
      </c>
      <c r="N321" s="1" t="s">
        <v>35</v>
      </c>
      <c r="O321" s="1"/>
      <c r="P321" s="14" t="s">
        <v>7601</v>
      </c>
      <c r="Q321" s="187">
        <v>132.22999999999999</v>
      </c>
      <c r="R321" s="1">
        <v>1</v>
      </c>
      <c r="S321" s="128">
        <v>0.21</v>
      </c>
      <c r="T321" s="128">
        <v>0.2</v>
      </c>
      <c r="V321" s="95">
        <f t="shared" si="11"/>
        <v>127.99863999999999</v>
      </c>
      <c r="W321" t="s">
        <v>7689</v>
      </c>
      <c r="X321" s="6" t="s">
        <v>7690</v>
      </c>
      <c r="Y321" s="2">
        <v>33714</v>
      </c>
      <c r="Z321" s="2">
        <v>44872</v>
      </c>
      <c r="AA321" s="285" t="s">
        <v>8271</v>
      </c>
      <c r="AB321" s="3">
        <v>45006</v>
      </c>
      <c r="AC321" s="80" t="s">
        <v>1339</v>
      </c>
      <c r="AE321" s="292">
        <v>44950</v>
      </c>
      <c r="AF321" t="s">
        <v>3198</v>
      </c>
      <c r="AI321" t="s">
        <v>3108</v>
      </c>
      <c r="AJ321" s="2">
        <v>44890</v>
      </c>
      <c r="AL321"/>
      <c r="AM321" s="74">
        <v>44895</v>
      </c>
      <c r="AS321"/>
      <c r="AT321" s="1"/>
    </row>
    <row r="322" spans="1:139">
      <c r="A322" s="1">
        <v>320</v>
      </c>
      <c r="B322" s="61" t="s">
        <v>33</v>
      </c>
      <c r="C322" s="2">
        <v>44873</v>
      </c>
      <c r="D322" s="1" t="s">
        <v>4330</v>
      </c>
      <c r="E322" s="1"/>
      <c r="F322" s="61" t="s">
        <v>4331</v>
      </c>
      <c r="G322" s="61" t="s">
        <v>4333</v>
      </c>
      <c r="H322" s="6" t="s">
        <v>219</v>
      </c>
      <c r="I322" s="1" t="s">
        <v>4334</v>
      </c>
      <c r="J322" s="1"/>
      <c r="K322" t="s">
        <v>8186</v>
      </c>
      <c r="L322" s="1" t="s">
        <v>237</v>
      </c>
      <c r="M322" s="3">
        <v>44895</v>
      </c>
      <c r="N322" s="1" t="s">
        <v>35</v>
      </c>
      <c r="O322" s="1"/>
      <c r="P322" s="14" t="s">
        <v>7641</v>
      </c>
      <c r="Q322" s="187">
        <v>132.22999999999999</v>
      </c>
      <c r="R322" s="1">
        <v>1</v>
      </c>
      <c r="S322" s="90">
        <v>0.21</v>
      </c>
      <c r="T322" s="90">
        <v>0.2</v>
      </c>
      <c r="V322" s="95">
        <f t="shared" si="11"/>
        <v>127.99863999999999</v>
      </c>
      <c r="W322" t="s">
        <v>7692</v>
      </c>
      <c r="X322" s="6" t="s">
        <v>7693</v>
      </c>
      <c r="Y322" s="2">
        <v>30744</v>
      </c>
      <c r="Z322" s="2">
        <v>44873</v>
      </c>
      <c r="AA322" s="284" t="s">
        <v>8127</v>
      </c>
      <c r="AB322" s="3">
        <v>44984</v>
      </c>
      <c r="AC322" s="80" t="s">
        <v>1339</v>
      </c>
      <c r="AE322" s="162">
        <v>44936</v>
      </c>
      <c r="AF322" t="s">
        <v>3198</v>
      </c>
      <c r="AI322" t="s">
        <v>3108</v>
      </c>
      <c r="AJ322" s="2">
        <v>44890</v>
      </c>
      <c r="AL322"/>
      <c r="AM322" s="3">
        <v>44895</v>
      </c>
      <c r="AS322"/>
      <c r="AT322" s="1"/>
    </row>
    <row r="323" spans="1:139">
      <c r="A323" s="1">
        <v>321</v>
      </c>
      <c r="B323" t="s">
        <v>7612</v>
      </c>
      <c r="C323" s="2">
        <v>44874</v>
      </c>
      <c r="D323" s="1" t="s">
        <v>7613</v>
      </c>
      <c r="E323" s="1"/>
      <c r="F323" t="s">
        <v>7614</v>
      </c>
      <c r="G323" s="61" t="s">
        <v>7615</v>
      </c>
      <c r="H323" s="6" t="s">
        <v>221</v>
      </c>
      <c r="I323" s="1" t="s">
        <v>1915</v>
      </c>
      <c r="K323" s="8"/>
      <c r="L323" s="1" t="s">
        <v>7613</v>
      </c>
      <c r="M323" s="3">
        <v>44895</v>
      </c>
      <c r="N323" s="1" t="s">
        <v>35</v>
      </c>
      <c r="O323" s="1"/>
      <c r="P323" t="s">
        <v>7616</v>
      </c>
      <c r="Q323" s="187">
        <v>95.04</v>
      </c>
      <c r="R323" s="1">
        <v>1</v>
      </c>
      <c r="S323" s="128">
        <v>0.21</v>
      </c>
      <c r="T323" s="128">
        <v>0.2</v>
      </c>
      <c r="V323" s="95">
        <f t="shared" si="11"/>
        <v>91.99872000000002</v>
      </c>
      <c r="W323"/>
      <c r="X323" s="6"/>
      <c r="Y323" s="2"/>
      <c r="Z323" s="2"/>
      <c r="AA323" s="284" t="s">
        <v>1326</v>
      </c>
      <c r="AB323" s="3"/>
      <c r="AC323" s="80"/>
      <c r="AI323"/>
      <c r="AJ323" s="2"/>
      <c r="AL323"/>
      <c r="AM323" s="74"/>
      <c r="AS323"/>
      <c r="AT323" s="1"/>
    </row>
    <row r="324" spans="1:139">
      <c r="A324" s="1">
        <v>322</v>
      </c>
      <c r="B324" s="61" t="s">
        <v>37</v>
      </c>
      <c r="C324" s="2">
        <v>44875</v>
      </c>
      <c r="D324" s="1" t="s">
        <v>7617</v>
      </c>
      <c r="E324" s="1"/>
      <c r="F324" t="s">
        <v>7618</v>
      </c>
      <c r="G324" s="61" t="s">
        <v>7619</v>
      </c>
      <c r="H324" s="6" t="s">
        <v>964</v>
      </c>
      <c r="I324" s="1" t="s">
        <v>1366</v>
      </c>
      <c r="J324" s="8">
        <v>642872944</v>
      </c>
      <c r="K324" s="8"/>
      <c r="L324" s="1" t="s">
        <v>7617</v>
      </c>
      <c r="M324" s="3">
        <v>44895</v>
      </c>
      <c r="N324" s="1" t="s">
        <v>35</v>
      </c>
      <c r="O324" s="1"/>
      <c r="P324" s="14" t="s">
        <v>7620</v>
      </c>
      <c r="Q324" s="163">
        <v>78.510000000000005</v>
      </c>
      <c r="R324" s="1">
        <v>1</v>
      </c>
      <c r="S324" s="128">
        <v>0.21</v>
      </c>
      <c r="T324" s="128">
        <v>0</v>
      </c>
      <c r="V324" s="95">
        <f t="shared" si="11"/>
        <v>94.997100000000003</v>
      </c>
      <c r="W324" t="s">
        <v>7617</v>
      </c>
      <c r="X324" s="6" t="s">
        <v>7621</v>
      </c>
      <c r="Y324" s="2">
        <v>29963</v>
      </c>
      <c r="Z324" s="2">
        <v>44875</v>
      </c>
      <c r="AA324" s="284" t="s">
        <v>7724</v>
      </c>
      <c r="AB324" s="3">
        <v>44895</v>
      </c>
      <c r="AC324" s="80" t="s">
        <v>1339</v>
      </c>
      <c r="AF324" t="s">
        <v>3198</v>
      </c>
      <c r="AI324"/>
      <c r="AJ324" s="2"/>
      <c r="AK324" s="1"/>
      <c r="AL324"/>
      <c r="AM324" s="74"/>
      <c r="AS324"/>
      <c r="AT324" s="1"/>
    </row>
    <row r="325" spans="1:139">
      <c r="A325" s="1">
        <v>323</v>
      </c>
      <c r="B325" s="61" t="s">
        <v>37</v>
      </c>
      <c r="C325" s="2">
        <v>44875</v>
      </c>
      <c r="D325" t="s">
        <v>7747</v>
      </c>
      <c r="F325" t="s">
        <v>7622</v>
      </c>
      <c r="G325" s="61" t="s">
        <v>7623</v>
      </c>
      <c r="H325" s="6" t="s">
        <v>270</v>
      </c>
      <c r="I325" s="1" t="s">
        <v>3681</v>
      </c>
      <c r="J325" s="8">
        <v>612554371</v>
      </c>
      <c r="K325" s="8"/>
      <c r="L325" s="1" t="s">
        <v>7747</v>
      </c>
      <c r="M325" s="3">
        <v>44895</v>
      </c>
      <c r="N325" s="1" t="s">
        <v>35</v>
      </c>
      <c r="O325" s="1"/>
      <c r="P325" s="14" t="s">
        <v>7624</v>
      </c>
      <c r="Q325" s="163">
        <v>132.22999999999999</v>
      </c>
      <c r="R325" s="1">
        <v>1</v>
      </c>
      <c r="S325" s="128">
        <v>0.21</v>
      </c>
      <c r="T325" s="128">
        <v>0</v>
      </c>
      <c r="V325" s="95">
        <f t="shared" si="11"/>
        <v>159.99829999999997</v>
      </c>
      <c r="W325" t="s">
        <v>7747</v>
      </c>
      <c r="X325" s="6" t="s">
        <v>7748</v>
      </c>
      <c r="Y325" s="2">
        <v>33649</v>
      </c>
      <c r="Z325" s="2">
        <v>44875</v>
      </c>
      <c r="AA325" s="287" t="s">
        <v>7883</v>
      </c>
      <c r="AB325" s="3">
        <v>44924</v>
      </c>
      <c r="AC325" s="80" t="s">
        <v>1339</v>
      </c>
      <c r="AD325" s="317" t="s">
        <v>7762</v>
      </c>
      <c r="AF325" t="s">
        <v>3198</v>
      </c>
      <c r="AI325" t="s">
        <v>3108</v>
      </c>
      <c r="AJ325" s="2">
        <v>44897</v>
      </c>
      <c r="AK325" s="1" t="s">
        <v>7761</v>
      </c>
      <c r="AL325"/>
      <c r="AM325" s="74">
        <v>44902</v>
      </c>
      <c r="AS325"/>
      <c r="AT325" s="1"/>
    </row>
    <row r="326" spans="1:139">
      <c r="A326" s="1">
        <v>324</v>
      </c>
      <c r="B326" t="s">
        <v>1414</v>
      </c>
      <c r="C326" s="2">
        <v>44875</v>
      </c>
      <c r="D326" s="1" t="s">
        <v>4834</v>
      </c>
      <c r="E326" s="1"/>
      <c r="F326" t="s">
        <v>4835</v>
      </c>
      <c r="G326" t="s">
        <v>4836</v>
      </c>
      <c r="H326" s="6" t="s">
        <v>227</v>
      </c>
      <c r="I326" s="1" t="s">
        <v>4719</v>
      </c>
      <c r="K326" s="8"/>
      <c r="L326" t="s">
        <v>4834</v>
      </c>
      <c r="M326" s="3">
        <v>44895</v>
      </c>
      <c r="N326" s="1" t="s">
        <v>35</v>
      </c>
      <c r="O326" s="1"/>
      <c r="P326" s="14" t="s">
        <v>7636</v>
      </c>
      <c r="Q326" s="187">
        <v>132.22999999999999</v>
      </c>
      <c r="R326" s="1">
        <v>1</v>
      </c>
      <c r="S326" s="90">
        <v>0.21</v>
      </c>
      <c r="T326" s="90">
        <v>0.2</v>
      </c>
      <c r="V326" s="95">
        <f t="shared" si="11"/>
        <v>127.99863999999999</v>
      </c>
      <c r="W326" t="s">
        <v>7745</v>
      </c>
      <c r="X326" s="6" t="s">
        <v>7746</v>
      </c>
      <c r="Y326" s="2">
        <v>31047</v>
      </c>
      <c r="Z326" s="2">
        <v>44875</v>
      </c>
      <c r="AA326" s="284" t="s">
        <v>7917</v>
      </c>
      <c r="AB326" s="64">
        <v>44938</v>
      </c>
      <c r="AC326" s="80" t="s">
        <v>1339</v>
      </c>
      <c r="AF326" t="s">
        <v>3198</v>
      </c>
      <c r="AI326" t="s">
        <v>7749</v>
      </c>
      <c r="AJ326" s="2">
        <v>44897</v>
      </c>
      <c r="AL326"/>
      <c r="AM326" s="3">
        <v>44908</v>
      </c>
      <c r="AS326"/>
      <c r="AT326" s="1"/>
    </row>
    <row r="327" spans="1:139">
      <c r="A327" s="1">
        <v>325</v>
      </c>
      <c r="B327" t="s">
        <v>52</v>
      </c>
      <c r="C327" s="2">
        <v>44880</v>
      </c>
      <c r="D327" s="1" t="s">
        <v>7645</v>
      </c>
      <c r="E327" s="1"/>
      <c r="F327" s="61" t="s">
        <v>7644</v>
      </c>
      <c r="G327" s="61" t="s">
        <v>7646</v>
      </c>
      <c r="H327" s="6" t="s">
        <v>230</v>
      </c>
      <c r="I327" s="1" t="s">
        <v>1262</v>
      </c>
      <c r="J327" s="1"/>
      <c r="K327" s="8" t="s">
        <v>5906</v>
      </c>
      <c r="L327" t="s">
        <v>4432</v>
      </c>
      <c r="M327" s="3">
        <v>44895</v>
      </c>
      <c r="N327" s="1" t="s">
        <v>35</v>
      </c>
      <c r="O327" s="1"/>
      <c r="P327" s="14" t="s">
        <v>4941</v>
      </c>
      <c r="Q327" s="187">
        <v>132.22999999999999</v>
      </c>
      <c r="R327" s="1">
        <v>1</v>
      </c>
      <c r="S327" s="90">
        <v>0.21</v>
      </c>
      <c r="T327" s="90">
        <v>0.2</v>
      </c>
      <c r="V327" s="95">
        <f t="shared" si="11"/>
        <v>127.99863999999999</v>
      </c>
      <c r="W327" t="s">
        <v>4270</v>
      </c>
      <c r="X327" s="6" t="s">
        <v>7725</v>
      </c>
      <c r="Y327" s="2">
        <v>33247</v>
      </c>
      <c r="Z327" s="2">
        <v>44880</v>
      </c>
      <c r="AA327" s="284" t="s">
        <v>7790</v>
      </c>
      <c r="AB327" s="64">
        <v>44924</v>
      </c>
      <c r="AC327" s="80" t="s">
        <v>1339</v>
      </c>
      <c r="AF327" t="s">
        <v>3198</v>
      </c>
      <c r="AH327" s="61"/>
      <c r="AI327" t="s">
        <v>3221</v>
      </c>
      <c r="AJ327" s="64">
        <v>44895</v>
      </c>
      <c r="AL327"/>
      <c r="AM327" s="64">
        <v>44904</v>
      </c>
      <c r="AS327"/>
      <c r="AT327" s="1"/>
    </row>
    <row r="328" spans="1:139">
      <c r="A328" s="1">
        <v>326</v>
      </c>
      <c r="B328" s="61" t="s">
        <v>37</v>
      </c>
      <c r="C328" s="2">
        <v>44881</v>
      </c>
      <c r="D328" s="1" t="s">
        <v>7648</v>
      </c>
      <c r="E328" s="1"/>
      <c r="F328" s="61" t="s">
        <v>7649</v>
      </c>
      <c r="G328" s="61" t="s">
        <v>6205</v>
      </c>
      <c r="H328" s="6" t="s">
        <v>242</v>
      </c>
      <c r="I328" s="1" t="s">
        <v>5083</v>
      </c>
      <c r="J328" s="8">
        <v>666044728</v>
      </c>
      <c r="K328" s="8"/>
      <c r="L328" s="1" t="s">
        <v>7648</v>
      </c>
      <c r="M328" s="3">
        <v>44895</v>
      </c>
      <c r="N328" s="1" t="s">
        <v>35</v>
      </c>
      <c r="O328" s="1"/>
      <c r="P328" s="14" t="s">
        <v>7650</v>
      </c>
      <c r="Q328" s="187">
        <v>132.22999999999999</v>
      </c>
      <c r="R328" s="1">
        <v>1</v>
      </c>
      <c r="S328" s="128">
        <v>0.21</v>
      </c>
      <c r="T328" s="128">
        <v>0</v>
      </c>
      <c r="V328" s="95">
        <f t="shared" si="11"/>
        <v>159.99829999999997</v>
      </c>
      <c r="W328" t="s">
        <v>7738</v>
      </c>
      <c r="X328" s="6" t="s">
        <v>7737</v>
      </c>
      <c r="Y328" s="2">
        <v>33593</v>
      </c>
      <c r="Z328" s="2">
        <v>44881</v>
      </c>
      <c r="AA328" s="285" t="s">
        <v>8509</v>
      </c>
      <c r="AB328" s="3">
        <v>45044</v>
      </c>
      <c r="AC328" s="80" t="s">
        <v>1339</v>
      </c>
      <c r="AE328" s="292">
        <v>44972</v>
      </c>
      <c r="AF328" t="s">
        <v>3198</v>
      </c>
      <c r="AI328" t="s">
        <v>3108</v>
      </c>
      <c r="AJ328" s="2">
        <v>44897</v>
      </c>
      <c r="AL328"/>
      <c r="AM328" s="8"/>
      <c r="AS328"/>
      <c r="AT328" s="1"/>
    </row>
    <row r="329" spans="1:139">
      <c r="A329" s="1">
        <v>327</v>
      </c>
      <c r="B329" s="61" t="s">
        <v>33</v>
      </c>
      <c r="C329" s="2">
        <v>44881</v>
      </c>
      <c r="D329" s="1" t="s">
        <v>4330</v>
      </c>
      <c r="E329" s="1"/>
      <c r="F329" s="61" t="s">
        <v>4331</v>
      </c>
      <c r="G329" s="61" t="s">
        <v>4333</v>
      </c>
      <c r="H329" s="6" t="s">
        <v>219</v>
      </c>
      <c r="I329" s="1" t="s">
        <v>4334</v>
      </c>
      <c r="J329" s="1"/>
      <c r="K329" t="s">
        <v>8186</v>
      </c>
      <c r="L329" s="1" t="s">
        <v>237</v>
      </c>
      <c r="M329" s="3">
        <v>44895</v>
      </c>
      <c r="N329" s="1" t="s">
        <v>35</v>
      </c>
      <c r="O329" s="1"/>
      <c r="P329" s="14" t="s">
        <v>7651</v>
      </c>
      <c r="Q329" s="187">
        <v>132.22999999999999</v>
      </c>
      <c r="R329" s="1">
        <v>1</v>
      </c>
      <c r="S329" s="90">
        <v>0.21</v>
      </c>
      <c r="T329" s="90">
        <v>0.2</v>
      </c>
      <c r="V329" s="95">
        <f t="shared" si="11"/>
        <v>127.99863999999999</v>
      </c>
      <c r="W329" t="s">
        <v>7734</v>
      </c>
      <c r="X329" s="6" t="s">
        <v>7735</v>
      </c>
      <c r="Y329" s="2">
        <v>33644</v>
      </c>
      <c r="Z329" s="2">
        <v>44881</v>
      </c>
      <c r="AA329" s="284" t="s">
        <v>8199</v>
      </c>
      <c r="AB329" s="64">
        <v>44991</v>
      </c>
      <c r="AC329" s="80" t="s">
        <v>1339</v>
      </c>
      <c r="AE329" s="182">
        <v>44939</v>
      </c>
      <c r="AF329" t="s">
        <v>3198</v>
      </c>
      <c r="AI329" t="s">
        <v>3108</v>
      </c>
      <c r="AJ329" s="2">
        <v>44897</v>
      </c>
      <c r="AL329"/>
      <c r="AM329" s="3"/>
      <c r="AS329"/>
      <c r="AT329" s="1"/>
    </row>
    <row r="330" spans="1:139">
      <c r="A330" s="1">
        <v>328</v>
      </c>
      <c r="B330" t="s">
        <v>33</v>
      </c>
      <c r="C330" s="2">
        <v>44882</v>
      </c>
      <c r="D330" s="1" t="s">
        <v>7380</v>
      </c>
      <c r="E330" s="1"/>
      <c r="F330" t="s">
        <v>7381</v>
      </c>
      <c r="G330" t="s">
        <v>7382</v>
      </c>
      <c r="H330" s="6" t="s">
        <v>236</v>
      </c>
      <c r="I330" s="1" t="s">
        <v>3851</v>
      </c>
      <c r="K330" t="s">
        <v>8186</v>
      </c>
      <c r="L330" t="s">
        <v>237</v>
      </c>
      <c r="M330" s="3">
        <v>44895</v>
      </c>
      <c r="N330" s="1" t="s">
        <v>35</v>
      </c>
      <c r="O330" s="1"/>
      <c r="P330" s="14" t="s">
        <v>7383</v>
      </c>
      <c r="Q330" s="187">
        <v>0</v>
      </c>
      <c r="R330" s="1">
        <v>0</v>
      </c>
      <c r="S330" s="128">
        <v>0</v>
      </c>
      <c r="T330" s="128">
        <v>0</v>
      </c>
      <c r="V330" s="95">
        <f t="shared" si="11"/>
        <v>0</v>
      </c>
      <c r="W330" t="s">
        <v>7554</v>
      </c>
      <c r="X330" s="5" t="s">
        <v>4957</v>
      </c>
      <c r="Y330" s="2">
        <v>35704</v>
      </c>
      <c r="Z330" s="2">
        <v>44882</v>
      </c>
      <c r="AA330" s="284" t="s">
        <v>7890</v>
      </c>
      <c r="AB330" s="3">
        <v>44935</v>
      </c>
      <c r="AC330" s="80" t="s">
        <v>1339</v>
      </c>
      <c r="AF330" t="s">
        <v>3198</v>
      </c>
      <c r="AI330"/>
      <c r="AJ330" s="2"/>
      <c r="AL330"/>
      <c r="AM330" s="74"/>
      <c r="AS330"/>
      <c r="AT330" s="1"/>
    </row>
    <row r="331" spans="1:139" s="197" customFormat="1">
      <c r="A331" s="1">
        <v>329</v>
      </c>
      <c r="B331" s="61" t="s">
        <v>4321</v>
      </c>
      <c r="C331" s="2">
        <v>44882</v>
      </c>
      <c r="D331" s="1" t="s">
        <v>3427</v>
      </c>
      <c r="E331" s="1"/>
      <c r="F331" s="61" t="s">
        <v>3428</v>
      </c>
      <c r="G331" s="61" t="s">
        <v>3433</v>
      </c>
      <c r="H331" s="6" t="s">
        <v>3429</v>
      </c>
      <c r="I331" s="1" t="s">
        <v>86</v>
      </c>
      <c r="J331" s="1">
        <v>650379091</v>
      </c>
      <c r="K331" s="301" t="s">
        <v>5991</v>
      </c>
      <c r="L331" s="1" t="s">
        <v>3427</v>
      </c>
      <c r="M331" s="3">
        <v>44895</v>
      </c>
      <c r="N331" s="1" t="s">
        <v>35</v>
      </c>
      <c r="O331" s="1"/>
      <c r="P331" s="14" t="s">
        <v>7655</v>
      </c>
      <c r="Q331" s="187">
        <v>132.22999999999999</v>
      </c>
      <c r="R331" s="1">
        <v>1</v>
      </c>
      <c r="S331" s="128">
        <v>0.21</v>
      </c>
      <c r="T331" s="128">
        <v>0.2</v>
      </c>
      <c r="U331"/>
      <c r="V331" s="95">
        <f t="shared" si="11"/>
        <v>127.99863999999999</v>
      </c>
      <c r="W331" t="s">
        <v>7784</v>
      </c>
      <c r="X331" s="5" t="s">
        <v>7785</v>
      </c>
      <c r="Y331" s="2">
        <v>34680</v>
      </c>
      <c r="Z331" s="2">
        <v>44882</v>
      </c>
      <c r="AA331" s="284" t="s">
        <v>7992</v>
      </c>
      <c r="AB331" s="64">
        <v>44957</v>
      </c>
      <c r="AC331" s="80" t="s">
        <v>1339</v>
      </c>
      <c r="AD331"/>
      <c r="AE331"/>
      <c r="AF331" t="s">
        <v>3198</v>
      </c>
      <c r="AG331"/>
      <c r="AH331"/>
      <c r="AI331" s="14" t="s">
        <v>3221</v>
      </c>
      <c r="AJ331" s="2">
        <v>44909</v>
      </c>
      <c r="AK331"/>
      <c r="AL331"/>
      <c r="AM331" s="3">
        <v>44925</v>
      </c>
      <c r="AN331"/>
      <c r="AO331"/>
      <c r="AP331"/>
      <c r="AQ331"/>
      <c r="AR331"/>
      <c r="AS331"/>
      <c r="AT331" s="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</row>
    <row r="332" spans="1:139" s="197" customFormat="1">
      <c r="A332" s="1">
        <v>330</v>
      </c>
      <c r="B332" s="61" t="s">
        <v>4321</v>
      </c>
      <c r="C332" s="2">
        <v>44882</v>
      </c>
      <c r="D332" s="1" t="s">
        <v>3427</v>
      </c>
      <c r="E332" s="1"/>
      <c r="F332" s="61" t="s">
        <v>3428</v>
      </c>
      <c r="G332" s="61" t="s">
        <v>3433</v>
      </c>
      <c r="H332" s="6" t="s">
        <v>3429</v>
      </c>
      <c r="I332" s="1" t="s">
        <v>86</v>
      </c>
      <c r="J332" s="1">
        <v>650379091</v>
      </c>
      <c r="K332" s="8" t="s">
        <v>5991</v>
      </c>
      <c r="L332" s="1" t="s">
        <v>3427</v>
      </c>
      <c r="M332" s="3">
        <v>44895</v>
      </c>
      <c r="N332" s="1" t="s">
        <v>35</v>
      </c>
      <c r="O332" s="1"/>
      <c r="P332" s="14" t="s">
        <v>7656</v>
      </c>
      <c r="Q332" s="187">
        <v>132.22999999999999</v>
      </c>
      <c r="R332" s="1">
        <v>1</v>
      </c>
      <c r="S332" s="128">
        <v>0.21</v>
      </c>
      <c r="T332" s="128">
        <v>0.2</v>
      </c>
      <c r="U332"/>
      <c r="V332" s="95">
        <f t="shared" si="11"/>
        <v>127.99863999999999</v>
      </c>
      <c r="W332" t="s">
        <v>3503</v>
      </c>
      <c r="X332" s="5" t="s">
        <v>7783</v>
      </c>
      <c r="Y332" s="2">
        <v>37048</v>
      </c>
      <c r="Z332" s="2">
        <v>44882</v>
      </c>
      <c r="AA332" s="284" t="s">
        <v>7890</v>
      </c>
      <c r="AB332" s="3">
        <v>44935</v>
      </c>
      <c r="AC332" s="80" t="s">
        <v>1339</v>
      </c>
      <c r="AD332"/>
      <c r="AE332"/>
      <c r="AF332" t="s">
        <v>3198</v>
      </c>
      <c r="AG332"/>
      <c r="AH332"/>
      <c r="AI332" t="s">
        <v>3221</v>
      </c>
      <c r="AJ332" s="2">
        <v>44909</v>
      </c>
      <c r="AK332"/>
      <c r="AL332"/>
      <c r="AM332" s="3">
        <v>44917</v>
      </c>
      <c r="AN332"/>
      <c r="AO332"/>
      <c r="AP332"/>
      <c r="AQ332"/>
      <c r="AR332"/>
      <c r="AS332"/>
      <c r="AT332" s="1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</row>
    <row r="333" spans="1:139">
      <c r="A333" s="1">
        <v>331</v>
      </c>
      <c r="B333" s="61" t="s">
        <v>33</v>
      </c>
      <c r="C333" s="2">
        <v>44884</v>
      </c>
      <c r="D333" s="1" t="s">
        <v>3247</v>
      </c>
      <c r="E333" s="1"/>
      <c r="F333" t="s">
        <v>3240</v>
      </c>
      <c r="G333" t="s">
        <v>3242</v>
      </c>
      <c r="H333" s="6" t="s">
        <v>304</v>
      </c>
      <c r="I333" t="s">
        <v>38</v>
      </c>
      <c r="J333" s="8">
        <v>646181264</v>
      </c>
      <c r="K333" t="s">
        <v>8186</v>
      </c>
      <c r="L333" s="1" t="s">
        <v>237</v>
      </c>
      <c r="M333" s="3">
        <v>44895</v>
      </c>
      <c r="N333" s="1" t="s">
        <v>35</v>
      </c>
      <c r="O333" s="1"/>
      <c r="P333" s="14" t="s">
        <v>7658</v>
      </c>
      <c r="Q333" s="187">
        <v>132.22999999999999</v>
      </c>
      <c r="R333" s="1">
        <v>1</v>
      </c>
      <c r="S333" s="90">
        <v>0.21</v>
      </c>
      <c r="T333" s="90">
        <v>0.2</v>
      </c>
      <c r="V333" s="95">
        <f t="shared" si="11"/>
        <v>127.99863999999999</v>
      </c>
      <c r="W333" t="s">
        <v>7825</v>
      </c>
      <c r="X333" s="5" t="s">
        <v>7826</v>
      </c>
      <c r="Y333" s="2">
        <v>34989</v>
      </c>
      <c r="Z333" s="2">
        <v>44884</v>
      </c>
      <c r="AA333" s="285" t="s">
        <v>8342</v>
      </c>
      <c r="AB333" s="64">
        <v>45015</v>
      </c>
      <c r="AC333" s="80" t="s">
        <v>1339</v>
      </c>
      <c r="AE333" s="292">
        <v>44988</v>
      </c>
      <c r="AF333" t="s">
        <v>3198</v>
      </c>
      <c r="AI333" t="s">
        <v>3221</v>
      </c>
      <c r="AJ333" s="2">
        <v>44922</v>
      </c>
      <c r="AL333"/>
      <c r="AM333" s="2">
        <v>44922</v>
      </c>
      <c r="AS333"/>
      <c r="AT333" s="1"/>
    </row>
    <row r="334" spans="1:139">
      <c r="A334" s="1">
        <v>332</v>
      </c>
      <c r="B334" t="s">
        <v>1242</v>
      </c>
      <c r="C334" s="2">
        <v>44884</v>
      </c>
      <c r="D334" s="1" t="s">
        <v>3097</v>
      </c>
      <c r="E334" s="1"/>
      <c r="F334" t="s">
        <v>3098</v>
      </c>
      <c r="G334" s="61" t="s">
        <v>5511</v>
      </c>
      <c r="H334" s="6" t="s">
        <v>221</v>
      </c>
      <c r="I334" s="1" t="s">
        <v>34</v>
      </c>
      <c r="J334" s="1"/>
      <c r="K334" s="8" t="s">
        <v>5905</v>
      </c>
      <c r="L334" s="31" t="s">
        <v>1250</v>
      </c>
      <c r="M334" s="3">
        <v>44895</v>
      </c>
      <c r="N334" s="1" t="s">
        <v>35</v>
      </c>
      <c r="O334" s="1"/>
      <c r="P334" s="14" t="s">
        <v>7659</v>
      </c>
      <c r="Q334" s="187">
        <v>132.22999999999999</v>
      </c>
      <c r="R334" s="1">
        <v>1</v>
      </c>
      <c r="S334" s="90">
        <v>0.21</v>
      </c>
      <c r="T334" s="90">
        <v>0.2</v>
      </c>
      <c r="V334" s="95">
        <f t="shared" si="11"/>
        <v>127.99863999999999</v>
      </c>
      <c r="W334" t="s">
        <v>7828</v>
      </c>
      <c r="X334" s="5" t="s">
        <v>7827</v>
      </c>
      <c r="Y334" s="2">
        <v>35582</v>
      </c>
      <c r="Z334" s="2">
        <v>44884</v>
      </c>
      <c r="AA334" s="284" t="s">
        <v>8023</v>
      </c>
      <c r="AB334" s="3">
        <v>44967</v>
      </c>
      <c r="AC334" s="80" t="s">
        <v>1339</v>
      </c>
      <c r="AF334" t="s">
        <v>3198</v>
      </c>
      <c r="AI334" t="s">
        <v>3221</v>
      </c>
      <c r="AJ334" s="2">
        <v>44922</v>
      </c>
      <c r="AL334"/>
      <c r="AM334" s="3">
        <v>44922</v>
      </c>
      <c r="AS334"/>
      <c r="AT334" s="1"/>
    </row>
    <row r="335" spans="1:139">
      <c r="A335" s="1">
        <v>333</v>
      </c>
      <c r="B335" t="s">
        <v>33</v>
      </c>
      <c r="C335" s="2">
        <v>44884</v>
      </c>
      <c r="D335" s="1" t="s">
        <v>5021</v>
      </c>
      <c r="E335" s="1"/>
      <c r="F335" t="s">
        <v>5014</v>
      </c>
      <c r="G335" t="s">
        <v>5020</v>
      </c>
      <c r="H335" s="6" t="s">
        <v>219</v>
      </c>
      <c r="I335" s="1" t="s">
        <v>38</v>
      </c>
      <c r="J335" s="1"/>
      <c r="K335" t="s">
        <v>8186</v>
      </c>
      <c r="L335" s="1" t="s">
        <v>237</v>
      </c>
      <c r="M335" s="3">
        <v>44895</v>
      </c>
      <c r="N335" s="1" t="s">
        <v>35</v>
      </c>
      <c r="O335" s="1"/>
      <c r="P335" s="14" t="s">
        <v>7660</v>
      </c>
      <c r="Q335" s="187">
        <v>132.22999999999999</v>
      </c>
      <c r="R335" s="1">
        <v>1</v>
      </c>
      <c r="S335" s="90">
        <v>0.21</v>
      </c>
      <c r="T335" s="90">
        <v>0.2</v>
      </c>
      <c r="V335" s="95">
        <f t="shared" si="11"/>
        <v>127.99863999999999</v>
      </c>
      <c r="W335" t="s">
        <v>7831</v>
      </c>
      <c r="X335" s="5" t="s">
        <v>7832</v>
      </c>
      <c r="Y335" s="2">
        <v>33848</v>
      </c>
      <c r="Z335" s="2">
        <v>44884</v>
      </c>
      <c r="AA335" s="285" t="s">
        <v>8022</v>
      </c>
      <c r="AB335" s="64">
        <v>44964</v>
      </c>
      <c r="AC335" s="80" t="s">
        <v>1339</v>
      </c>
      <c r="AD335" s="61"/>
      <c r="AE335" s="61"/>
      <c r="AF335" t="s">
        <v>3198</v>
      </c>
      <c r="AI335" t="s">
        <v>3221</v>
      </c>
      <c r="AJ335" s="2">
        <v>44922</v>
      </c>
      <c r="AL335"/>
      <c r="AM335" s="3">
        <v>44923</v>
      </c>
      <c r="AS335"/>
      <c r="AT335" s="1"/>
    </row>
    <row r="336" spans="1:139">
      <c r="A336" s="1">
        <v>334</v>
      </c>
      <c r="B336" s="61" t="s">
        <v>37</v>
      </c>
      <c r="C336" s="2">
        <v>44886</v>
      </c>
      <c r="D336" s="1" t="s">
        <v>7753</v>
      </c>
      <c r="E336" s="1"/>
      <c r="F336" t="s">
        <v>7664</v>
      </c>
      <c r="G336" s="61" t="s">
        <v>7665</v>
      </c>
      <c r="H336" s="6" t="s">
        <v>2451</v>
      </c>
      <c r="I336" s="1" t="s">
        <v>3681</v>
      </c>
      <c r="J336" s="8">
        <v>631526116</v>
      </c>
      <c r="K336" s="8"/>
      <c r="L336" s="1" t="s">
        <v>7753</v>
      </c>
      <c r="M336" s="3">
        <v>44895</v>
      </c>
      <c r="N336" s="1" t="s">
        <v>35</v>
      </c>
      <c r="O336" s="1"/>
      <c r="P336" s="14" t="s">
        <v>7666</v>
      </c>
      <c r="Q336" s="187">
        <v>132.22999999999999</v>
      </c>
      <c r="R336" s="1">
        <v>1</v>
      </c>
      <c r="S336" s="128">
        <v>0.21</v>
      </c>
      <c r="T336" s="128">
        <v>0</v>
      </c>
      <c r="V336" s="95">
        <f t="shared" si="11"/>
        <v>159.99829999999997</v>
      </c>
      <c r="W336" t="s">
        <v>7753</v>
      </c>
      <c r="X336" s="6" t="s">
        <v>7752</v>
      </c>
      <c r="Y336" s="2">
        <v>33017</v>
      </c>
      <c r="Z336" s="2">
        <v>44886</v>
      </c>
      <c r="AA336" s="285" t="s">
        <v>7994</v>
      </c>
      <c r="AB336" s="3">
        <v>44958</v>
      </c>
      <c r="AC336" s="80" t="s">
        <v>1339</v>
      </c>
      <c r="AF336" t="s">
        <v>3198</v>
      </c>
      <c r="AI336" t="s">
        <v>3108</v>
      </c>
      <c r="AJ336" s="2">
        <v>44904</v>
      </c>
      <c r="AK336" s="76" t="s">
        <v>7893</v>
      </c>
      <c r="AL336"/>
      <c r="AM336" s="74">
        <v>44935</v>
      </c>
      <c r="AS336"/>
      <c r="AT336" s="1"/>
    </row>
    <row r="337" spans="1:46">
      <c r="A337" s="1">
        <v>335</v>
      </c>
      <c r="B337" t="s">
        <v>45</v>
      </c>
      <c r="C337" s="2">
        <v>44887</v>
      </c>
      <c r="D337" s="1" t="s">
        <v>5726</v>
      </c>
      <c r="E337" s="1"/>
      <c r="F337" t="s">
        <v>5727</v>
      </c>
      <c r="G337" t="s">
        <v>5728</v>
      </c>
      <c r="H337" s="6" t="s">
        <v>221</v>
      </c>
      <c r="I337" s="1" t="s">
        <v>34</v>
      </c>
      <c r="J337" s="14">
        <v>628869680</v>
      </c>
      <c r="K337" s="114" t="s">
        <v>5837</v>
      </c>
      <c r="L337" s="1" t="s">
        <v>5726</v>
      </c>
      <c r="M337" s="3">
        <v>44895</v>
      </c>
      <c r="N337" s="1" t="s">
        <v>35</v>
      </c>
      <c r="O337" s="1"/>
      <c r="P337" s="14" t="s">
        <v>7673</v>
      </c>
      <c r="Q337" s="187">
        <v>78.510000000000005</v>
      </c>
      <c r="R337" s="1">
        <v>1</v>
      </c>
      <c r="S337" s="90">
        <v>0.21</v>
      </c>
      <c r="T337" s="90">
        <v>0.2</v>
      </c>
      <c r="V337" s="95">
        <f t="shared" si="11"/>
        <v>75.997680000000003</v>
      </c>
      <c r="W337" t="s">
        <v>5868</v>
      </c>
      <c r="X337" s="6" t="s">
        <v>7674</v>
      </c>
      <c r="Y337" s="2">
        <v>29451</v>
      </c>
      <c r="Z337" s="2">
        <v>44887</v>
      </c>
      <c r="AA337" s="284" t="s">
        <v>7790</v>
      </c>
      <c r="AB337" s="64">
        <v>44911</v>
      </c>
      <c r="AC337" s="80" t="s">
        <v>1339</v>
      </c>
      <c r="AF337" t="s">
        <v>3198</v>
      </c>
      <c r="AI337"/>
      <c r="AJ337" s="2"/>
      <c r="AL337"/>
      <c r="AM337" s="3"/>
      <c r="AS337"/>
      <c r="AT337" s="1"/>
    </row>
    <row r="338" spans="1:46">
      <c r="A338" s="1">
        <v>336</v>
      </c>
      <c r="B338" s="61" t="s">
        <v>37</v>
      </c>
      <c r="C338" s="2">
        <v>44887</v>
      </c>
      <c r="D338" t="s">
        <v>7739</v>
      </c>
      <c r="F338" t="s">
        <v>7675</v>
      </c>
      <c r="G338" s="61" t="s">
        <v>6594</v>
      </c>
      <c r="H338" s="6" t="s">
        <v>219</v>
      </c>
      <c r="I338" s="1" t="s">
        <v>38</v>
      </c>
      <c r="J338" s="8">
        <v>602317928</v>
      </c>
      <c r="K338" s="8"/>
      <c r="L338" t="s">
        <v>7740</v>
      </c>
      <c r="M338" s="3">
        <v>44895</v>
      </c>
      <c r="N338" s="1" t="s">
        <v>35</v>
      </c>
      <c r="O338" s="1"/>
      <c r="P338" s="14" t="s">
        <v>7676</v>
      </c>
      <c r="Q338" s="163">
        <v>132.22999999999999</v>
      </c>
      <c r="R338" s="1">
        <v>1</v>
      </c>
      <c r="S338" s="128">
        <v>0.21</v>
      </c>
      <c r="T338" s="128">
        <v>0</v>
      </c>
      <c r="U338" s="72"/>
      <c r="V338" s="95">
        <f t="shared" si="11"/>
        <v>159.99829999999997</v>
      </c>
      <c r="W338" t="s">
        <v>7740</v>
      </c>
      <c r="X338" s="6" t="s">
        <v>7741</v>
      </c>
      <c r="Y338" s="2">
        <v>32222</v>
      </c>
      <c r="Z338" s="2">
        <v>44887</v>
      </c>
      <c r="AA338" s="284" t="s">
        <v>7918</v>
      </c>
      <c r="AB338" s="3">
        <v>44936</v>
      </c>
      <c r="AC338" s="80" t="s">
        <v>1339</v>
      </c>
      <c r="AF338" t="s">
        <v>3198</v>
      </c>
      <c r="AI338" t="s">
        <v>3108</v>
      </c>
      <c r="AJ338" s="2">
        <v>44897</v>
      </c>
      <c r="AK338" s="1"/>
      <c r="AL338"/>
      <c r="AM338" s="74">
        <v>44900</v>
      </c>
      <c r="AS338"/>
      <c r="AT338" s="1"/>
    </row>
    <row r="339" spans="1:46">
      <c r="A339" s="1">
        <v>337</v>
      </c>
      <c r="B339" t="s">
        <v>33</v>
      </c>
      <c r="C339" s="2">
        <v>44887</v>
      </c>
      <c r="D339" s="1" t="s">
        <v>5560</v>
      </c>
      <c r="E339" s="1"/>
      <c r="F339" t="s">
        <v>5561</v>
      </c>
      <c r="G339" t="s">
        <v>5562</v>
      </c>
      <c r="H339" s="6" t="s">
        <v>236</v>
      </c>
      <c r="I339" s="1" t="s">
        <v>34</v>
      </c>
      <c r="K339" t="s">
        <v>8186</v>
      </c>
      <c r="L339" t="s">
        <v>237</v>
      </c>
      <c r="M339" s="3">
        <v>44895</v>
      </c>
      <c r="N339" s="1" t="s">
        <v>35</v>
      </c>
      <c r="O339" s="1"/>
      <c r="P339" s="14" t="s">
        <v>6468</v>
      </c>
      <c r="Q339" s="187">
        <v>0</v>
      </c>
      <c r="R339" s="1">
        <v>0</v>
      </c>
      <c r="S339" s="128">
        <v>0</v>
      </c>
      <c r="T339" s="128">
        <v>0</v>
      </c>
      <c r="V339" s="95">
        <f t="shared" si="11"/>
        <v>0</v>
      </c>
      <c r="W339" t="s">
        <v>6564</v>
      </c>
      <c r="X339" s="5" t="s">
        <v>7824</v>
      </c>
      <c r="Y339" s="2">
        <v>36435</v>
      </c>
      <c r="Z339" s="2">
        <v>44887</v>
      </c>
      <c r="AA339" s="284" t="s">
        <v>7915</v>
      </c>
      <c r="AB339" s="3">
        <v>44938</v>
      </c>
      <c r="AC339" s="80" t="s">
        <v>1339</v>
      </c>
      <c r="AF339" t="s">
        <v>3198</v>
      </c>
      <c r="AI339"/>
      <c r="AJ339" s="2"/>
      <c r="AL339"/>
      <c r="AM339" s="74"/>
      <c r="AS339"/>
      <c r="AT339" s="1"/>
    </row>
    <row r="340" spans="1:46" s="153" customFormat="1">
      <c r="A340" s="149">
        <v>338</v>
      </c>
      <c r="B340" s="150" t="s">
        <v>4092</v>
      </c>
      <c r="C340" s="2">
        <v>44887</v>
      </c>
      <c r="D340" s="149" t="s">
        <v>3875</v>
      </c>
      <c r="E340" s="149"/>
      <c r="F340" s="150" t="s">
        <v>3876</v>
      </c>
      <c r="G340" s="150" t="s">
        <v>5696</v>
      </c>
      <c r="H340" s="152" t="s">
        <v>928</v>
      </c>
      <c r="I340" s="149" t="s">
        <v>3681</v>
      </c>
      <c r="J340" s="149">
        <v>672818929</v>
      </c>
      <c r="L340" s="149" t="s">
        <v>3875</v>
      </c>
      <c r="M340" s="154">
        <v>44895</v>
      </c>
      <c r="N340" s="149" t="s">
        <v>35</v>
      </c>
      <c r="O340" s="1"/>
      <c r="P340" s="191" t="s">
        <v>5697</v>
      </c>
      <c r="Q340" s="222" t="s">
        <v>3407</v>
      </c>
      <c r="R340" s="149" t="s">
        <v>3407</v>
      </c>
      <c r="S340" s="149" t="s">
        <v>3407</v>
      </c>
      <c r="T340" s="149" t="s">
        <v>3407</v>
      </c>
      <c r="U340" s="149"/>
      <c r="V340" s="95">
        <v>0</v>
      </c>
      <c r="W340" s="153" t="s">
        <v>3875</v>
      </c>
      <c r="X340" s="152" t="s">
        <v>7677</v>
      </c>
      <c r="Y340" s="151">
        <v>30517</v>
      </c>
      <c r="Z340" s="2">
        <v>44887</v>
      </c>
      <c r="AA340" s="284" t="s">
        <v>8330</v>
      </c>
      <c r="AB340" s="154">
        <v>45014</v>
      </c>
      <c r="AC340" s="193" t="s">
        <v>1339</v>
      </c>
      <c r="AE340" s="162">
        <v>44951</v>
      </c>
      <c r="AF340" s="153" t="s">
        <v>3198</v>
      </c>
      <c r="AI340" s="193" t="s">
        <v>7679</v>
      </c>
      <c r="AJ340" s="151">
        <v>44918</v>
      </c>
      <c r="AK340" s="151"/>
      <c r="AM340" s="151">
        <v>44918</v>
      </c>
      <c r="AT340" s="149"/>
    </row>
    <row r="341" spans="1:46" s="153" customFormat="1">
      <c r="A341" s="149">
        <v>339</v>
      </c>
      <c r="B341" s="150" t="s">
        <v>4092</v>
      </c>
      <c r="C341" s="2">
        <v>44887</v>
      </c>
      <c r="D341" s="149" t="s">
        <v>3877</v>
      </c>
      <c r="E341" s="149"/>
      <c r="F341" s="150" t="s">
        <v>3878</v>
      </c>
      <c r="G341" s="150" t="s">
        <v>5696</v>
      </c>
      <c r="H341" s="152" t="s">
        <v>928</v>
      </c>
      <c r="I341" s="149" t="s">
        <v>3681</v>
      </c>
      <c r="J341" s="149">
        <v>672818929</v>
      </c>
      <c r="K341" s="149"/>
      <c r="L341" s="149" t="s">
        <v>3877</v>
      </c>
      <c r="M341" s="154">
        <v>44895</v>
      </c>
      <c r="N341" s="149" t="s">
        <v>35</v>
      </c>
      <c r="O341" s="1"/>
      <c r="P341" s="191" t="s">
        <v>5698</v>
      </c>
      <c r="Q341" s="222" t="s">
        <v>3407</v>
      </c>
      <c r="R341" s="149" t="s">
        <v>3407</v>
      </c>
      <c r="S341" s="223" t="s">
        <v>3407</v>
      </c>
      <c r="T341" s="224" t="s">
        <v>3407</v>
      </c>
      <c r="U341" s="149"/>
      <c r="V341" s="95">
        <v>0</v>
      </c>
      <c r="W341" s="153" t="s">
        <v>3877</v>
      </c>
      <c r="X341" s="152" t="s">
        <v>7678</v>
      </c>
      <c r="Y341" s="151">
        <v>42435</v>
      </c>
      <c r="Z341" s="2">
        <v>44887</v>
      </c>
      <c r="AA341" s="284" t="s">
        <v>8330</v>
      </c>
      <c r="AB341" s="154">
        <v>45014</v>
      </c>
      <c r="AC341" s="193" t="s">
        <v>1339</v>
      </c>
      <c r="AE341" s="162">
        <v>44951</v>
      </c>
      <c r="AF341" s="153" t="s">
        <v>3198</v>
      </c>
      <c r="AI341" s="193" t="s">
        <v>7680</v>
      </c>
      <c r="AJ341" s="151">
        <v>44918</v>
      </c>
      <c r="AK341" s="151"/>
      <c r="AM341" s="151">
        <v>44918</v>
      </c>
      <c r="AT341" s="149"/>
    </row>
    <row r="342" spans="1:46">
      <c r="A342" s="1">
        <v>340</v>
      </c>
      <c r="B342" s="61" t="s">
        <v>37</v>
      </c>
      <c r="C342" s="2">
        <v>44888</v>
      </c>
      <c r="D342" t="s">
        <v>7791</v>
      </c>
      <c r="F342" t="s">
        <v>7681</v>
      </c>
      <c r="G342" s="61" t="s">
        <v>7682</v>
      </c>
      <c r="H342" s="6" t="s">
        <v>314</v>
      </c>
      <c r="I342" s="1" t="s">
        <v>7683</v>
      </c>
      <c r="J342" s="8">
        <v>631123756</v>
      </c>
      <c r="K342" s="302" t="s">
        <v>7759</v>
      </c>
      <c r="L342" t="s">
        <v>7791</v>
      </c>
      <c r="M342" s="3">
        <v>44895</v>
      </c>
      <c r="N342" s="1" t="s">
        <v>35</v>
      </c>
      <c r="O342" s="1"/>
      <c r="P342" s="14" t="s">
        <v>7684</v>
      </c>
      <c r="Q342" s="187">
        <v>132.22999999999999</v>
      </c>
      <c r="R342" s="1">
        <v>1</v>
      </c>
      <c r="S342" s="128">
        <v>0.21</v>
      </c>
      <c r="T342" s="128">
        <v>0</v>
      </c>
      <c r="V342" s="95">
        <f t="shared" ref="V342:V381" si="12">SUM(Q342-(Q342*T342))*S342+(Q342-(Q342*T342))</f>
        <v>159.99829999999997</v>
      </c>
      <c r="W342" t="s">
        <v>7791</v>
      </c>
      <c r="X342" s="5" t="s">
        <v>7792</v>
      </c>
      <c r="Y342" s="2">
        <v>32701</v>
      </c>
      <c r="Z342" s="2">
        <v>44888</v>
      </c>
      <c r="AA342" s="284" t="s">
        <v>7953</v>
      </c>
      <c r="AB342" s="3">
        <v>44943</v>
      </c>
      <c r="AC342" s="80" t="s">
        <v>1339</v>
      </c>
      <c r="AF342" t="s">
        <v>3198</v>
      </c>
      <c r="AI342" t="s">
        <v>3108</v>
      </c>
      <c r="AJ342" s="2">
        <v>44922</v>
      </c>
      <c r="AL342"/>
      <c r="AM342" s="74">
        <v>44923</v>
      </c>
      <c r="AS342"/>
      <c r="AT342" s="1"/>
    </row>
    <row r="343" spans="1:46">
      <c r="A343" s="1">
        <v>341</v>
      </c>
      <c r="B343" t="s">
        <v>52</v>
      </c>
      <c r="C343" s="2">
        <v>44890</v>
      </c>
      <c r="D343" s="1" t="s">
        <v>256</v>
      </c>
      <c r="E343" s="1"/>
      <c r="F343" s="31" t="s">
        <v>155</v>
      </c>
      <c r="G343" s="31" t="s">
        <v>138</v>
      </c>
      <c r="H343" s="33" t="s">
        <v>227</v>
      </c>
      <c r="I343" s="30" t="s">
        <v>203</v>
      </c>
      <c r="J343" s="44">
        <v>631130911</v>
      </c>
      <c r="K343" s="44" t="s">
        <v>5906</v>
      </c>
      <c r="L343" t="s">
        <v>4432</v>
      </c>
      <c r="M343" s="3">
        <v>44895</v>
      </c>
      <c r="N343" s="1" t="s">
        <v>35</v>
      </c>
      <c r="O343" s="1"/>
      <c r="P343" s="14" t="s">
        <v>7694</v>
      </c>
      <c r="Q343" s="187">
        <v>132.22999999999999</v>
      </c>
      <c r="R343" s="1">
        <v>1</v>
      </c>
      <c r="S343" s="90">
        <v>0.21</v>
      </c>
      <c r="T343" s="90">
        <v>0.2</v>
      </c>
      <c r="V343" s="95">
        <f t="shared" si="12"/>
        <v>127.99863999999999</v>
      </c>
      <c r="W343" t="s">
        <v>7774</v>
      </c>
      <c r="X343" s="6" t="s">
        <v>7768</v>
      </c>
      <c r="Y343" s="2">
        <v>27565</v>
      </c>
      <c r="Z343" s="2">
        <v>44890</v>
      </c>
      <c r="AA343" s="284" t="s">
        <v>7954</v>
      </c>
      <c r="AB343" s="3">
        <v>44943</v>
      </c>
      <c r="AC343" s="80" t="s">
        <v>1339</v>
      </c>
      <c r="AF343" t="s">
        <v>3198</v>
      </c>
      <c r="AI343" t="s">
        <v>3108</v>
      </c>
      <c r="AJ343" s="2">
        <v>44904</v>
      </c>
      <c r="AL343" s="3"/>
      <c r="AM343" s="74">
        <v>44908</v>
      </c>
      <c r="AS343"/>
      <c r="AT343" s="1"/>
    </row>
    <row r="344" spans="1:46" s="153" customFormat="1">
      <c r="A344" s="149">
        <v>342</v>
      </c>
      <c r="B344" s="153" t="s">
        <v>52</v>
      </c>
      <c r="C344" s="151">
        <v>44890</v>
      </c>
      <c r="D344" s="149" t="s">
        <v>256</v>
      </c>
      <c r="E344" s="149"/>
      <c r="F344" s="256" t="s">
        <v>155</v>
      </c>
      <c r="G344" s="256" t="s">
        <v>138</v>
      </c>
      <c r="H344" s="257" t="s">
        <v>227</v>
      </c>
      <c r="I344" s="258" t="s">
        <v>203</v>
      </c>
      <c r="J344" s="299">
        <v>631130911</v>
      </c>
      <c r="K344" s="299" t="s">
        <v>5906</v>
      </c>
      <c r="L344" s="153" t="s">
        <v>4432</v>
      </c>
      <c r="M344" s="154">
        <v>44895</v>
      </c>
      <c r="N344" s="149" t="s">
        <v>35</v>
      </c>
      <c r="O344" s="1"/>
      <c r="P344" s="191" t="s">
        <v>7695</v>
      </c>
      <c r="Q344" s="192">
        <v>132.22999999999999</v>
      </c>
      <c r="R344" s="149">
        <v>1</v>
      </c>
      <c r="S344" s="156">
        <v>0.21</v>
      </c>
      <c r="T344" s="156">
        <v>0.2</v>
      </c>
      <c r="V344" s="157">
        <f t="shared" si="12"/>
        <v>127.99863999999999</v>
      </c>
      <c r="W344" s="153" t="s">
        <v>7743</v>
      </c>
      <c r="X344" s="152" t="s">
        <v>7767</v>
      </c>
      <c r="Y344" s="151">
        <v>35340</v>
      </c>
      <c r="Z344" s="151">
        <v>44890</v>
      </c>
      <c r="AA344" s="284" t="s">
        <v>7884</v>
      </c>
      <c r="AB344" s="150"/>
      <c r="AC344" s="150"/>
      <c r="AF344" s="153" t="s">
        <v>3198</v>
      </c>
      <c r="AG344"/>
      <c r="AH344"/>
      <c r="AI344" s="153" t="s">
        <v>3108</v>
      </c>
      <c r="AJ344" s="151">
        <v>44904</v>
      </c>
      <c r="AL344" s="154"/>
      <c r="AM344" s="313">
        <v>44904</v>
      </c>
      <c r="AT344" s="149"/>
    </row>
    <row r="345" spans="1:46">
      <c r="A345" s="1">
        <v>343</v>
      </c>
      <c r="B345" s="61" t="s">
        <v>119</v>
      </c>
      <c r="C345" s="2">
        <v>44890</v>
      </c>
      <c r="D345" s="1" t="s">
        <v>7696</v>
      </c>
      <c r="E345" s="1"/>
      <c r="F345" s="61" t="s">
        <v>7697</v>
      </c>
      <c r="G345" s="61" t="s">
        <v>7698</v>
      </c>
      <c r="H345" s="6" t="s">
        <v>239</v>
      </c>
      <c r="I345" s="1" t="s">
        <v>7699</v>
      </c>
      <c r="J345" s="1"/>
      <c r="K345" s="1" t="s">
        <v>8094</v>
      </c>
      <c r="L345" s="31" t="s">
        <v>174</v>
      </c>
      <c r="M345" s="3">
        <v>44895</v>
      </c>
      <c r="N345" s="1" t="s">
        <v>35</v>
      </c>
      <c r="O345" s="1"/>
      <c r="P345" s="14" t="s">
        <v>7700</v>
      </c>
      <c r="Q345" s="92">
        <v>132.22999999999999</v>
      </c>
      <c r="R345" s="1">
        <v>1</v>
      </c>
      <c r="S345" s="90">
        <v>0.21</v>
      </c>
      <c r="T345" s="90">
        <v>0.2</v>
      </c>
      <c r="U345" s="1"/>
      <c r="V345" s="95">
        <f t="shared" si="12"/>
        <v>127.99863999999999</v>
      </c>
      <c r="W345" t="s">
        <v>7829</v>
      </c>
      <c r="X345" s="5" t="s">
        <v>7830</v>
      </c>
      <c r="Y345" s="2">
        <v>37847</v>
      </c>
      <c r="Z345" s="2">
        <v>44890</v>
      </c>
      <c r="AA345" s="284" t="s">
        <v>7992</v>
      </c>
      <c r="AB345" s="64">
        <v>44957</v>
      </c>
      <c r="AC345" s="80" t="s">
        <v>1339</v>
      </c>
      <c r="AF345" t="s">
        <v>3198</v>
      </c>
      <c r="AI345" t="s">
        <v>7701</v>
      </c>
      <c r="AJ345" s="2">
        <v>44922</v>
      </c>
      <c r="AK345" s="2"/>
      <c r="AL345"/>
      <c r="AM345" s="2">
        <v>44925</v>
      </c>
      <c r="AS345"/>
      <c r="AT345" s="1"/>
    </row>
    <row r="346" spans="1:46">
      <c r="A346" s="1">
        <v>344</v>
      </c>
      <c r="B346" t="s">
        <v>40</v>
      </c>
      <c r="C346" s="2">
        <v>44890</v>
      </c>
      <c r="D346" s="1" t="s">
        <v>5257</v>
      </c>
      <c r="E346" s="1"/>
      <c r="F346" t="s">
        <v>5258</v>
      </c>
      <c r="G346" s="61" t="s">
        <v>5259</v>
      </c>
      <c r="H346" s="6" t="s">
        <v>233</v>
      </c>
      <c r="I346" s="1" t="s">
        <v>34</v>
      </c>
      <c r="J346">
        <v>607146505</v>
      </c>
      <c r="L346" s="1" t="s">
        <v>5257</v>
      </c>
      <c r="M346" s="3">
        <v>44895</v>
      </c>
      <c r="N346" s="1" t="s">
        <v>35</v>
      </c>
      <c r="O346" s="1"/>
      <c r="P346" s="14" t="s">
        <v>7702</v>
      </c>
      <c r="Q346" s="92">
        <v>132.22999999999999</v>
      </c>
      <c r="R346" s="1">
        <v>1</v>
      </c>
      <c r="S346" s="90">
        <v>0.21</v>
      </c>
      <c r="T346" s="90">
        <v>0.2</v>
      </c>
      <c r="V346" s="95">
        <f t="shared" si="12"/>
        <v>127.99863999999999</v>
      </c>
      <c r="W346" t="s">
        <v>7837</v>
      </c>
      <c r="X346" s="5" t="s">
        <v>7836</v>
      </c>
      <c r="Y346" s="2">
        <v>24218</v>
      </c>
      <c r="Z346" s="2">
        <v>44890</v>
      </c>
      <c r="AA346" s="284" t="s">
        <v>7992</v>
      </c>
      <c r="AB346" s="64">
        <v>44957</v>
      </c>
      <c r="AC346" s="80" t="s">
        <v>1339</v>
      </c>
      <c r="AD346" s="61"/>
      <c r="AE346" s="61"/>
      <c r="AF346" t="s">
        <v>3198</v>
      </c>
      <c r="AI346" t="s">
        <v>3221</v>
      </c>
      <c r="AJ346" s="2">
        <v>44922</v>
      </c>
      <c r="AL346"/>
      <c r="AM346" s="3">
        <v>44936</v>
      </c>
      <c r="AS346"/>
      <c r="AT346" s="1"/>
    </row>
    <row r="347" spans="1:46">
      <c r="A347" s="1">
        <v>345</v>
      </c>
      <c r="B347" t="s">
        <v>1242</v>
      </c>
      <c r="C347" s="2">
        <v>44890</v>
      </c>
      <c r="D347" s="1" t="s">
        <v>6151</v>
      </c>
      <c r="E347" s="1"/>
      <c r="F347" t="s">
        <v>1096</v>
      </c>
      <c r="G347" t="s">
        <v>1097</v>
      </c>
      <c r="H347" s="6" t="s">
        <v>227</v>
      </c>
      <c r="I347" s="1" t="s">
        <v>203</v>
      </c>
      <c r="J347" s="1"/>
      <c r="K347" t="s">
        <v>5905</v>
      </c>
      <c r="L347" s="30" t="s">
        <v>1250</v>
      </c>
      <c r="M347" s="3">
        <v>44895</v>
      </c>
      <c r="N347" s="1" t="s">
        <v>35</v>
      </c>
      <c r="O347" s="1"/>
      <c r="P347" s="14" t="s">
        <v>6152</v>
      </c>
      <c r="Q347" s="92">
        <v>132.22999999999999</v>
      </c>
      <c r="R347" s="1">
        <v>1</v>
      </c>
      <c r="S347" s="90">
        <v>0.21</v>
      </c>
      <c r="T347" s="90">
        <v>0.2</v>
      </c>
      <c r="V347" s="95">
        <f t="shared" si="12"/>
        <v>127.99863999999999</v>
      </c>
      <c r="W347" t="s">
        <v>6213</v>
      </c>
      <c r="X347" s="5" t="s">
        <v>7823</v>
      </c>
      <c r="Y347" s="2">
        <v>33036</v>
      </c>
      <c r="Z347" s="2">
        <v>44890</v>
      </c>
      <c r="AA347" s="284" t="s">
        <v>7992</v>
      </c>
      <c r="AB347" s="64">
        <v>44957</v>
      </c>
      <c r="AC347" s="80" t="s">
        <v>1339</v>
      </c>
      <c r="AD347" s="61"/>
      <c r="AF347" t="s">
        <v>3198</v>
      </c>
      <c r="AI347" t="s">
        <v>5757</v>
      </c>
      <c r="AJ347" s="2">
        <v>44922</v>
      </c>
      <c r="AL347"/>
      <c r="AM347" s="3">
        <v>44923</v>
      </c>
      <c r="AS347"/>
      <c r="AT347" s="1"/>
    </row>
    <row r="348" spans="1:46">
      <c r="A348" s="1">
        <v>346</v>
      </c>
      <c r="B348" t="s">
        <v>1414</v>
      </c>
      <c r="C348" s="2">
        <v>44890</v>
      </c>
      <c r="D348" s="1" t="s">
        <v>3076</v>
      </c>
      <c r="E348" s="1"/>
      <c r="F348" t="s">
        <v>3077</v>
      </c>
      <c r="G348" t="s">
        <v>3078</v>
      </c>
      <c r="H348" s="6" t="s">
        <v>227</v>
      </c>
      <c r="I348" s="1" t="s">
        <v>203</v>
      </c>
      <c r="J348" s="8">
        <v>659251664</v>
      </c>
      <c r="K348" s="8"/>
      <c r="L348" t="s">
        <v>3076</v>
      </c>
      <c r="M348" s="3">
        <v>44895</v>
      </c>
      <c r="N348" s="1" t="s">
        <v>35</v>
      </c>
      <c r="O348" s="1"/>
      <c r="P348" s="14" t="s">
        <v>6002</v>
      </c>
      <c r="Q348" s="92">
        <v>132.22999999999999</v>
      </c>
      <c r="R348" s="1">
        <v>1</v>
      </c>
      <c r="S348" s="90">
        <v>0.21</v>
      </c>
      <c r="T348" s="90">
        <v>0.2</v>
      </c>
      <c r="V348" s="95">
        <f t="shared" si="12"/>
        <v>127.99863999999999</v>
      </c>
      <c r="W348" t="s">
        <v>6132</v>
      </c>
      <c r="X348" s="5" t="s">
        <v>7833</v>
      </c>
      <c r="Y348" s="2">
        <v>37816</v>
      </c>
      <c r="Z348" s="2">
        <v>44890</v>
      </c>
      <c r="AA348" s="285" t="s">
        <v>8299</v>
      </c>
      <c r="AB348" s="64">
        <v>45008</v>
      </c>
      <c r="AC348" s="80" t="s">
        <v>1339</v>
      </c>
      <c r="AD348" s="61"/>
      <c r="AE348" s="374">
        <v>44971</v>
      </c>
      <c r="AF348" t="s">
        <v>3198</v>
      </c>
      <c r="AI348" t="s">
        <v>5757</v>
      </c>
      <c r="AJ348" s="2">
        <v>44922</v>
      </c>
      <c r="AL348"/>
      <c r="AM348" s="74"/>
      <c r="AS348"/>
      <c r="AT348" s="1"/>
    </row>
    <row r="349" spans="1:46">
      <c r="A349" s="1">
        <v>347</v>
      </c>
      <c r="B349" t="s">
        <v>33</v>
      </c>
      <c r="C349" s="2">
        <v>44893</v>
      </c>
      <c r="D349" s="1" t="s">
        <v>5282</v>
      </c>
      <c r="E349" s="1"/>
      <c r="F349" t="s">
        <v>5283</v>
      </c>
      <c r="G349" s="61" t="s">
        <v>5284</v>
      </c>
      <c r="H349" s="6" t="s">
        <v>3709</v>
      </c>
      <c r="I349" s="1" t="s">
        <v>5285</v>
      </c>
      <c r="J349" s="1"/>
      <c r="K349" t="s">
        <v>8186</v>
      </c>
      <c r="L349" s="30" t="s">
        <v>237</v>
      </c>
      <c r="M349" s="3">
        <v>44895</v>
      </c>
      <c r="N349" s="1" t="s">
        <v>35</v>
      </c>
      <c r="O349" s="1"/>
      <c r="P349" s="14" t="s">
        <v>7704</v>
      </c>
      <c r="Q349" s="92">
        <v>132.22999999999999</v>
      </c>
      <c r="R349" s="1">
        <v>1</v>
      </c>
      <c r="S349" s="90">
        <v>0.21</v>
      </c>
      <c r="T349" s="90">
        <v>0.2</v>
      </c>
      <c r="V349" s="95">
        <f t="shared" si="12"/>
        <v>127.99863999999999</v>
      </c>
      <c r="W349" t="s">
        <v>7840</v>
      </c>
      <c r="X349" s="6" t="s">
        <v>7841</v>
      </c>
      <c r="Y349" s="2">
        <v>32092</v>
      </c>
      <c r="Z349" s="2">
        <v>44893</v>
      </c>
      <c r="AA349" s="284" t="s">
        <v>8191</v>
      </c>
      <c r="AB349" s="64">
        <v>44991</v>
      </c>
      <c r="AC349" s="80" t="s">
        <v>1339</v>
      </c>
      <c r="AE349" s="162">
        <v>44943</v>
      </c>
      <c r="AF349" t="s">
        <v>3198</v>
      </c>
      <c r="AI349" t="s">
        <v>3108</v>
      </c>
      <c r="AJ349" s="2">
        <v>44922</v>
      </c>
      <c r="AL349"/>
      <c r="AS349"/>
      <c r="AT349" s="1"/>
    </row>
    <row r="350" spans="1:46">
      <c r="A350" s="1">
        <v>348</v>
      </c>
      <c r="B350" t="s">
        <v>33</v>
      </c>
      <c r="C350" s="2">
        <v>44893</v>
      </c>
      <c r="D350" s="1" t="s">
        <v>2417</v>
      </c>
      <c r="E350" s="1"/>
      <c r="F350" t="s">
        <v>2418</v>
      </c>
      <c r="G350" s="61" t="s">
        <v>7706</v>
      </c>
      <c r="H350" s="6" t="s">
        <v>219</v>
      </c>
      <c r="I350" s="1" t="s">
        <v>38</v>
      </c>
      <c r="J350" s="1"/>
      <c r="K350" t="s">
        <v>8186</v>
      </c>
      <c r="L350" s="30" t="s">
        <v>237</v>
      </c>
      <c r="M350" s="3">
        <v>44895</v>
      </c>
      <c r="N350" s="1" t="s">
        <v>35</v>
      </c>
      <c r="O350" s="1"/>
      <c r="P350" s="14" t="s">
        <v>7707</v>
      </c>
      <c r="Q350" s="92">
        <v>132.22999999999999</v>
      </c>
      <c r="R350" s="1">
        <v>1</v>
      </c>
      <c r="S350" s="90">
        <v>0.21</v>
      </c>
      <c r="T350" s="90">
        <v>0.2</v>
      </c>
      <c r="V350" s="95">
        <f t="shared" si="12"/>
        <v>127.99863999999999</v>
      </c>
      <c r="W350" t="s">
        <v>7838</v>
      </c>
      <c r="X350" s="5" t="s">
        <v>7839</v>
      </c>
      <c r="Y350" s="2">
        <v>32742</v>
      </c>
      <c r="Z350" s="2">
        <v>44893</v>
      </c>
      <c r="AA350" s="284" t="s">
        <v>8191</v>
      </c>
      <c r="AB350" s="64">
        <v>44991</v>
      </c>
      <c r="AC350" s="80" t="s">
        <v>1339</v>
      </c>
      <c r="AE350" s="162">
        <v>44943</v>
      </c>
      <c r="AF350" t="s">
        <v>3198</v>
      </c>
      <c r="AI350" t="s">
        <v>3108</v>
      </c>
      <c r="AJ350" s="2">
        <v>44922</v>
      </c>
      <c r="AL350"/>
      <c r="AM350" s="3">
        <v>44923</v>
      </c>
      <c r="AS350"/>
      <c r="AT350" s="1"/>
    </row>
    <row r="351" spans="1:46">
      <c r="A351" s="1">
        <v>349</v>
      </c>
      <c r="B351" t="s">
        <v>33</v>
      </c>
      <c r="C351" s="2">
        <v>44894</v>
      </c>
      <c r="D351" s="1" t="s">
        <v>7726</v>
      </c>
      <c r="E351" s="1"/>
      <c r="F351" t="s">
        <v>7708</v>
      </c>
      <c r="G351" s="61" t="s">
        <v>7709</v>
      </c>
      <c r="H351" s="6" t="s">
        <v>227</v>
      </c>
      <c r="I351" s="1" t="s">
        <v>4719</v>
      </c>
      <c r="J351" s="1"/>
      <c r="K351" t="s">
        <v>8186</v>
      </c>
      <c r="L351" s="30" t="s">
        <v>237</v>
      </c>
      <c r="M351" s="3">
        <v>44895</v>
      </c>
      <c r="N351" s="1" t="s">
        <v>35</v>
      </c>
      <c r="O351" s="1"/>
      <c r="P351" s="14" t="s">
        <v>7710</v>
      </c>
      <c r="Q351" s="92">
        <v>132.22999999999999</v>
      </c>
      <c r="R351" s="1">
        <v>1</v>
      </c>
      <c r="S351" s="90">
        <v>0.21</v>
      </c>
      <c r="T351" s="90">
        <v>0.2</v>
      </c>
      <c r="V351" s="95">
        <f t="shared" si="12"/>
        <v>127.99863999999999</v>
      </c>
      <c r="W351" t="s">
        <v>7863</v>
      </c>
      <c r="X351" s="5" t="s">
        <v>7864</v>
      </c>
      <c r="Y351" s="2">
        <v>33381</v>
      </c>
      <c r="Z351" s="2">
        <v>44894</v>
      </c>
      <c r="AA351" s="285" t="s">
        <v>8272</v>
      </c>
      <c r="AB351" s="64">
        <v>44939</v>
      </c>
      <c r="AC351" s="80" t="s">
        <v>1339</v>
      </c>
      <c r="AD351" s="61" t="s">
        <v>7712</v>
      </c>
      <c r="AE351" s="292">
        <v>44970</v>
      </c>
      <c r="AF351" t="s">
        <v>3198</v>
      </c>
      <c r="AI351" t="s">
        <v>3108</v>
      </c>
      <c r="AJ351" s="2">
        <v>44923</v>
      </c>
      <c r="AL351"/>
      <c r="AS351"/>
      <c r="AT351" s="1"/>
    </row>
    <row r="352" spans="1:46">
      <c r="A352" s="1">
        <v>350</v>
      </c>
      <c r="B352" s="61" t="s">
        <v>33</v>
      </c>
      <c r="C352" s="2">
        <v>44894</v>
      </c>
      <c r="D352" s="1" t="s">
        <v>3247</v>
      </c>
      <c r="E352" s="1"/>
      <c r="F352" t="s">
        <v>3240</v>
      </c>
      <c r="G352" t="s">
        <v>3242</v>
      </c>
      <c r="H352" s="6" t="s">
        <v>304</v>
      </c>
      <c r="I352" t="s">
        <v>38</v>
      </c>
      <c r="J352" s="8">
        <v>646181264</v>
      </c>
      <c r="K352" t="s">
        <v>8186</v>
      </c>
      <c r="L352" s="1" t="s">
        <v>237</v>
      </c>
      <c r="M352" s="3">
        <v>44895</v>
      </c>
      <c r="N352" s="1" t="s">
        <v>35</v>
      </c>
      <c r="O352" s="1"/>
      <c r="P352" s="14" t="s">
        <v>7711</v>
      </c>
      <c r="Q352" s="187">
        <v>132.22999999999999</v>
      </c>
      <c r="R352" s="1">
        <v>1</v>
      </c>
      <c r="S352" s="90">
        <v>0.21</v>
      </c>
      <c r="T352" s="90">
        <v>0.2</v>
      </c>
      <c r="V352" s="95">
        <f t="shared" si="12"/>
        <v>127.99863999999999</v>
      </c>
      <c r="W352" t="s">
        <v>7861</v>
      </c>
      <c r="X352" s="5" t="s">
        <v>7862</v>
      </c>
      <c r="Y352" s="2">
        <v>27433</v>
      </c>
      <c r="Z352" s="2">
        <v>44894</v>
      </c>
      <c r="AA352" s="284" t="s">
        <v>8224</v>
      </c>
      <c r="AB352" s="3">
        <v>44998</v>
      </c>
      <c r="AC352" s="80" t="s">
        <v>1339</v>
      </c>
      <c r="AE352" s="162">
        <v>44952</v>
      </c>
      <c r="AF352" t="s">
        <v>3198</v>
      </c>
      <c r="AI352" t="s">
        <v>3108</v>
      </c>
      <c r="AJ352" s="2">
        <v>44923</v>
      </c>
      <c r="AL352"/>
      <c r="AM352" s="74">
        <v>44924</v>
      </c>
      <c r="AS352"/>
      <c r="AT352" s="1"/>
    </row>
    <row r="353" spans="1:46" ht="14.25" customHeight="1">
      <c r="A353" s="1">
        <v>351</v>
      </c>
      <c r="B353" t="s">
        <v>40</v>
      </c>
      <c r="C353" s="2">
        <v>44894</v>
      </c>
      <c r="D353" s="1" t="s">
        <v>7713</v>
      </c>
      <c r="E353" s="1"/>
      <c r="F353" t="s">
        <v>7714</v>
      </c>
      <c r="G353" s="61" t="s">
        <v>7715</v>
      </c>
      <c r="H353" s="6" t="s">
        <v>221</v>
      </c>
      <c r="I353" s="1" t="s">
        <v>34</v>
      </c>
      <c r="J353">
        <v>647611187</v>
      </c>
      <c r="K353" s="315" t="s">
        <v>7717</v>
      </c>
      <c r="L353" s="1" t="s">
        <v>7713</v>
      </c>
      <c r="M353" s="3">
        <v>44895</v>
      </c>
      <c r="N353" s="1" t="s">
        <v>35</v>
      </c>
      <c r="O353" s="1"/>
      <c r="P353" s="14" t="s">
        <v>7716</v>
      </c>
      <c r="Q353" s="187">
        <v>132.22999999999999</v>
      </c>
      <c r="R353" s="1">
        <v>1</v>
      </c>
      <c r="S353" s="128">
        <v>0.21</v>
      </c>
      <c r="T353" s="128">
        <v>0.2</v>
      </c>
      <c r="V353" s="95">
        <f t="shared" si="12"/>
        <v>127.99863999999999</v>
      </c>
      <c r="W353" t="s">
        <v>7869</v>
      </c>
      <c r="X353" s="5" t="s">
        <v>7870</v>
      </c>
      <c r="Y353" s="2">
        <v>39406</v>
      </c>
      <c r="Z353" s="2">
        <v>44894</v>
      </c>
      <c r="AA353" s="284" t="s">
        <v>8137</v>
      </c>
      <c r="AB353" s="3">
        <v>44980</v>
      </c>
      <c r="AC353" s="80" t="s">
        <v>1339</v>
      </c>
      <c r="AE353" s="162">
        <v>44973</v>
      </c>
      <c r="AF353" t="s">
        <v>3198</v>
      </c>
      <c r="AI353" t="s">
        <v>3108</v>
      </c>
      <c r="AJ353" s="2">
        <v>44923</v>
      </c>
      <c r="AL353"/>
      <c r="AM353" s="74">
        <v>44935</v>
      </c>
      <c r="AS353"/>
      <c r="AT353" s="1"/>
    </row>
    <row r="354" spans="1:46">
      <c r="A354" s="1">
        <v>352</v>
      </c>
      <c r="B354" t="s">
        <v>423</v>
      </c>
      <c r="C354" s="2">
        <v>44894</v>
      </c>
      <c r="D354" t="s">
        <v>3217</v>
      </c>
      <c r="F354" t="s">
        <v>7718</v>
      </c>
      <c r="G354" t="s">
        <v>3218</v>
      </c>
      <c r="H354" s="6" t="s">
        <v>219</v>
      </c>
      <c r="I354" s="1" t="s">
        <v>38</v>
      </c>
      <c r="J354" s="8">
        <v>629562761</v>
      </c>
      <c r="K354" s="8" t="s">
        <v>6182</v>
      </c>
      <c r="L354" t="s">
        <v>3217</v>
      </c>
      <c r="M354" s="3">
        <v>44895</v>
      </c>
      <c r="N354" s="1" t="s">
        <v>35</v>
      </c>
      <c r="O354" s="1"/>
      <c r="P354" s="14" t="s">
        <v>7719</v>
      </c>
      <c r="Q354" s="187">
        <v>132.22999999999999</v>
      </c>
      <c r="R354" s="1">
        <v>1</v>
      </c>
      <c r="S354" s="90">
        <v>0.21</v>
      </c>
      <c r="T354" s="90">
        <v>0.2</v>
      </c>
      <c r="V354" s="95">
        <f t="shared" si="12"/>
        <v>127.99863999999999</v>
      </c>
      <c r="W354" t="s">
        <v>7867</v>
      </c>
      <c r="X354" s="5" t="s">
        <v>7868</v>
      </c>
      <c r="Y354" s="2">
        <v>38066</v>
      </c>
      <c r="Z354" s="2">
        <v>44894</v>
      </c>
      <c r="AA354" s="285" t="s">
        <v>7993</v>
      </c>
      <c r="AB354" s="64">
        <v>44962</v>
      </c>
      <c r="AC354" s="80" t="s">
        <v>1339</v>
      </c>
      <c r="AE354" s="61"/>
      <c r="AF354" t="s">
        <v>3198</v>
      </c>
      <c r="AI354" t="s">
        <v>5757</v>
      </c>
      <c r="AJ354" s="2">
        <v>44923</v>
      </c>
      <c r="AL354"/>
      <c r="AM354" s="74">
        <v>44935</v>
      </c>
      <c r="AS354"/>
      <c r="AT354" s="1"/>
    </row>
    <row r="355" spans="1:46">
      <c r="A355" s="1">
        <v>353</v>
      </c>
      <c r="B355" t="s">
        <v>7612</v>
      </c>
      <c r="C355" s="2">
        <v>44895</v>
      </c>
      <c r="D355" s="1" t="s">
        <v>7613</v>
      </c>
      <c r="E355" s="1"/>
      <c r="F355" t="s">
        <v>7614</v>
      </c>
      <c r="G355" s="61" t="s">
        <v>7615</v>
      </c>
      <c r="H355" s="6" t="s">
        <v>221</v>
      </c>
      <c r="I355" s="1" t="s">
        <v>1915</v>
      </c>
      <c r="K355" s="8"/>
      <c r="L355" s="1" t="s">
        <v>7613</v>
      </c>
      <c r="M355" s="3">
        <v>44895</v>
      </c>
      <c r="N355" s="1" t="s">
        <v>35</v>
      </c>
      <c r="O355" s="1"/>
      <c r="P355" s="14" t="s">
        <v>7720</v>
      </c>
      <c r="Q355" s="187">
        <v>95.04</v>
      </c>
      <c r="R355" s="1">
        <v>1</v>
      </c>
      <c r="S355" s="128">
        <v>0.21</v>
      </c>
      <c r="T355" s="128">
        <v>0.2</v>
      </c>
      <c r="V355" s="95">
        <f t="shared" si="12"/>
        <v>91.99872000000002</v>
      </c>
      <c r="W355" t="s">
        <v>7859</v>
      </c>
      <c r="X355" s="5" t="s">
        <v>7860</v>
      </c>
      <c r="Y355" s="2">
        <v>39608</v>
      </c>
      <c r="Z355" s="2">
        <v>44895</v>
      </c>
      <c r="AA355" s="284" t="s">
        <v>8127</v>
      </c>
      <c r="AB355" s="3">
        <v>44979</v>
      </c>
      <c r="AC355" s="80" t="s">
        <v>1339</v>
      </c>
      <c r="AE355" s="162">
        <v>44968</v>
      </c>
      <c r="AF355" t="s">
        <v>3198</v>
      </c>
      <c r="AI355" t="s">
        <v>7721</v>
      </c>
      <c r="AJ355" s="2">
        <v>44923</v>
      </c>
      <c r="AL355"/>
      <c r="AM355" s="3">
        <v>44923</v>
      </c>
      <c r="AS355"/>
      <c r="AT355" s="1"/>
    </row>
    <row r="356" spans="1:46">
      <c r="A356" s="1">
        <v>354</v>
      </c>
      <c r="B356" t="s">
        <v>33</v>
      </c>
      <c r="C356" s="2">
        <v>44895</v>
      </c>
      <c r="D356" s="1" t="s">
        <v>5021</v>
      </c>
      <c r="E356" s="1"/>
      <c r="F356" t="s">
        <v>5014</v>
      </c>
      <c r="G356" t="s">
        <v>5020</v>
      </c>
      <c r="H356" s="6" t="s">
        <v>219</v>
      </c>
      <c r="I356" s="1" t="s">
        <v>38</v>
      </c>
      <c r="J356" s="1"/>
      <c r="K356" t="s">
        <v>8186</v>
      </c>
      <c r="L356" s="1" t="s">
        <v>237</v>
      </c>
      <c r="M356" s="3">
        <v>44895</v>
      </c>
      <c r="N356" s="1" t="s">
        <v>35</v>
      </c>
      <c r="O356" s="1"/>
      <c r="P356" s="14" t="s">
        <v>7722</v>
      </c>
      <c r="Q356" s="187">
        <v>132.22999999999999</v>
      </c>
      <c r="R356" s="1">
        <v>1</v>
      </c>
      <c r="S356" s="90">
        <v>0.21</v>
      </c>
      <c r="T356" s="90">
        <v>0.2</v>
      </c>
      <c r="V356" s="95">
        <f t="shared" si="12"/>
        <v>127.99863999999999</v>
      </c>
      <c r="W356" t="s">
        <v>7834</v>
      </c>
      <c r="X356" s="5" t="s">
        <v>7835</v>
      </c>
      <c r="Y356" s="2">
        <v>33484</v>
      </c>
      <c r="Z356" s="2">
        <v>44895</v>
      </c>
      <c r="AA356" s="284" t="s">
        <v>7954</v>
      </c>
      <c r="AB356" s="64">
        <v>44943</v>
      </c>
      <c r="AC356" s="80" t="s">
        <v>1339</v>
      </c>
      <c r="AD356" s="61"/>
      <c r="AE356" s="61"/>
      <c r="AF356" t="s">
        <v>3198</v>
      </c>
      <c r="AI356" t="s">
        <v>3221</v>
      </c>
      <c r="AJ356" s="2">
        <v>44922</v>
      </c>
      <c r="AL356"/>
      <c r="AM356" s="3">
        <v>44923</v>
      </c>
      <c r="AS356"/>
      <c r="AT356" s="1"/>
    </row>
    <row r="357" spans="1:46">
      <c r="A357" s="1">
        <v>355</v>
      </c>
      <c r="B357" t="s">
        <v>7730</v>
      </c>
      <c r="C357" s="2">
        <v>44896</v>
      </c>
      <c r="D357" s="1" t="s">
        <v>4358</v>
      </c>
      <c r="E357" s="1"/>
      <c r="F357" t="s">
        <v>7727</v>
      </c>
      <c r="G357" s="61" t="s">
        <v>7728</v>
      </c>
      <c r="H357" s="6" t="s">
        <v>220</v>
      </c>
      <c r="I357" s="1" t="s">
        <v>39</v>
      </c>
      <c r="J357" s="8" t="s">
        <v>7729</v>
      </c>
      <c r="K357" s="8"/>
      <c r="L357" s="1" t="s">
        <v>4358</v>
      </c>
      <c r="M357" s="3">
        <v>44926</v>
      </c>
      <c r="N357" s="1" t="s">
        <v>35</v>
      </c>
      <c r="O357" s="1"/>
      <c r="P357" s="14" t="s">
        <v>7731</v>
      </c>
      <c r="Q357" s="187">
        <v>132.22999999999999</v>
      </c>
      <c r="R357" s="1">
        <v>1</v>
      </c>
      <c r="S357" s="128">
        <v>0.21</v>
      </c>
      <c r="T357" s="128">
        <v>0.2</v>
      </c>
      <c r="V357" s="95">
        <f t="shared" si="12"/>
        <v>127.99863999999999</v>
      </c>
      <c r="W357" t="s">
        <v>7865</v>
      </c>
      <c r="X357" s="5" t="s">
        <v>7866</v>
      </c>
      <c r="Y357" s="2">
        <v>35674</v>
      </c>
      <c r="Z357" s="2">
        <v>44896</v>
      </c>
      <c r="AA357" s="284" t="s">
        <v>7992</v>
      </c>
      <c r="AB357" s="3">
        <v>44943</v>
      </c>
      <c r="AC357" s="80" t="s">
        <v>1339</v>
      </c>
      <c r="AF357" t="s">
        <v>3198</v>
      </c>
      <c r="AI357" t="s">
        <v>7732</v>
      </c>
      <c r="AJ357" s="2">
        <v>44923</v>
      </c>
      <c r="AL357"/>
      <c r="AM357" s="74">
        <v>44924</v>
      </c>
      <c r="AS357"/>
      <c r="AT357" s="1"/>
    </row>
    <row r="358" spans="1:46">
      <c r="A358" s="1">
        <v>356</v>
      </c>
      <c r="B358" t="s">
        <v>33</v>
      </c>
      <c r="C358" s="2">
        <v>44896</v>
      </c>
      <c r="D358" s="1" t="s">
        <v>7754</v>
      </c>
      <c r="E358" s="1"/>
      <c r="F358" t="s">
        <v>7755</v>
      </c>
      <c r="G358" t="s">
        <v>7756</v>
      </c>
      <c r="H358" s="6" t="s">
        <v>236</v>
      </c>
      <c r="I358" s="1" t="s">
        <v>6619</v>
      </c>
      <c r="J358" s="1"/>
      <c r="K358" t="s">
        <v>8186</v>
      </c>
      <c r="L358" s="1" t="s">
        <v>237</v>
      </c>
      <c r="M358" s="3">
        <v>44926</v>
      </c>
      <c r="N358" s="1" t="s">
        <v>35</v>
      </c>
      <c r="O358" s="1"/>
      <c r="P358" s="14" t="s">
        <v>7757</v>
      </c>
      <c r="Q358" s="187">
        <v>100</v>
      </c>
      <c r="R358" s="1">
        <v>1</v>
      </c>
      <c r="S358" s="90">
        <v>0.21</v>
      </c>
      <c r="T358" s="90">
        <v>0</v>
      </c>
      <c r="V358" s="95">
        <f t="shared" si="12"/>
        <v>121</v>
      </c>
      <c r="W358"/>
      <c r="X358" s="6"/>
      <c r="Y358" s="2"/>
      <c r="Z358" s="2">
        <v>44896</v>
      </c>
      <c r="AA358" s="284" t="s">
        <v>1326</v>
      </c>
      <c r="AB358" s="61"/>
      <c r="AC358" s="61"/>
      <c r="AD358" s="61"/>
      <c r="AE358" s="61"/>
      <c r="AF358" t="s">
        <v>3198</v>
      </c>
      <c r="AI358"/>
      <c r="AJ358" s="1"/>
      <c r="AL358"/>
      <c r="AS358"/>
      <c r="AT358" s="1"/>
    </row>
    <row r="359" spans="1:46">
      <c r="A359" s="1">
        <v>357</v>
      </c>
      <c r="B359" s="61" t="s">
        <v>37</v>
      </c>
      <c r="C359" s="2">
        <v>44902</v>
      </c>
      <c r="D359" t="s">
        <v>1512</v>
      </c>
      <c r="F359" t="s">
        <v>1513</v>
      </c>
      <c r="G359" t="s">
        <v>1514</v>
      </c>
      <c r="H359" s="6" t="s">
        <v>219</v>
      </c>
      <c r="I359" t="s">
        <v>38</v>
      </c>
      <c r="J359">
        <v>631437787</v>
      </c>
      <c r="L359" t="s">
        <v>1512</v>
      </c>
      <c r="M359" s="3">
        <v>44926</v>
      </c>
      <c r="N359" s="1" t="s">
        <v>35</v>
      </c>
      <c r="O359" s="1"/>
      <c r="P359" s="14" t="s">
        <v>4469</v>
      </c>
      <c r="Q359" s="92">
        <v>78.510000000000005</v>
      </c>
      <c r="R359" s="1">
        <v>1</v>
      </c>
      <c r="S359" s="90">
        <v>0.21</v>
      </c>
      <c r="T359" s="90">
        <v>0.2</v>
      </c>
      <c r="V359" s="95">
        <f t="shared" si="12"/>
        <v>75.997680000000003</v>
      </c>
      <c r="W359" t="s">
        <v>1517</v>
      </c>
      <c r="X359" s="161" t="s">
        <v>7760</v>
      </c>
      <c r="Y359" s="2">
        <v>36220</v>
      </c>
      <c r="Z359" s="2">
        <v>44902</v>
      </c>
      <c r="AA359" s="284" t="s">
        <v>7917</v>
      </c>
      <c r="AB359" s="64">
        <v>44938</v>
      </c>
      <c r="AC359" s="80" t="s">
        <v>1339</v>
      </c>
      <c r="AF359" t="s">
        <v>3198</v>
      </c>
      <c r="AJ359" s="1"/>
      <c r="AK359" s="1"/>
      <c r="AL359"/>
      <c r="AM359" s="1"/>
      <c r="AS359"/>
      <c r="AT359" s="1"/>
    </row>
    <row r="360" spans="1:46">
      <c r="A360" s="1">
        <v>358</v>
      </c>
      <c r="B360" t="s">
        <v>7763</v>
      </c>
      <c r="C360" s="2">
        <v>44904</v>
      </c>
      <c r="D360" s="2" t="s">
        <v>7906</v>
      </c>
      <c r="E360" s="2"/>
      <c r="F360" t="s">
        <v>7764</v>
      </c>
      <c r="G360" t="s">
        <v>7765</v>
      </c>
      <c r="H360" s="6" t="s">
        <v>220</v>
      </c>
      <c r="I360" s="1" t="s">
        <v>39</v>
      </c>
      <c r="J360" s="8">
        <v>631240586</v>
      </c>
      <c r="K360" s="8"/>
      <c r="L360" t="s">
        <v>7906</v>
      </c>
      <c r="M360" s="3">
        <v>44926</v>
      </c>
      <c r="N360" s="1" t="s">
        <v>35</v>
      </c>
      <c r="O360" s="1"/>
      <c r="P360" s="14" t="s">
        <v>7851</v>
      </c>
      <c r="Q360" s="187">
        <v>132.22999999999999</v>
      </c>
      <c r="R360" s="1">
        <v>1</v>
      </c>
      <c r="S360" s="128">
        <v>0.21</v>
      </c>
      <c r="T360" s="128">
        <v>0</v>
      </c>
      <c r="V360" s="95">
        <f t="shared" si="12"/>
        <v>159.99829999999997</v>
      </c>
      <c r="W360" t="s">
        <v>7906</v>
      </c>
      <c r="X360" s="5" t="s">
        <v>7907</v>
      </c>
      <c r="Y360" s="2">
        <v>35121</v>
      </c>
      <c r="Z360" s="2">
        <v>44904</v>
      </c>
      <c r="AA360" s="284" t="s">
        <v>8278</v>
      </c>
      <c r="AB360" s="3">
        <v>45006</v>
      </c>
      <c r="AC360" s="80" t="s">
        <v>1339</v>
      </c>
      <c r="AE360" s="162">
        <v>44974</v>
      </c>
      <c r="AF360" t="s">
        <v>3198</v>
      </c>
      <c r="AI360" t="s">
        <v>7766</v>
      </c>
      <c r="AJ360" s="2">
        <v>44936</v>
      </c>
      <c r="AL360"/>
      <c r="AM360" s="74">
        <v>44938</v>
      </c>
      <c r="AS360"/>
      <c r="AT360" s="1"/>
    </row>
    <row r="361" spans="1:46">
      <c r="A361" s="1">
        <v>359</v>
      </c>
      <c r="B361" t="s">
        <v>423</v>
      </c>
      <c r="C361" s="2">
        <v>44904</v>
      </c>
      <c r="D361" t="s">
        <v>3217</v>
      </c>
      <c r="F361" t="s">
        <v>91</v>
      </c>
      <c r="G361" t="s">
        <v>3218</v>
      </c>
      <c r="H361" s="6" t="s">
        <v>219</v>
      </c>
      <c r="I361" s="1" t="s">
        <v>38</v>
      </c>
      <c r="J361" s="8">
        <v>629562761</v>
      </c>
      <c r="K361" s="8" t="s">
        <v>6182</v>
      </c>
      <c r="L361" t="s">
        <v>3217</v>
      </c>
      <c r="M361" s="3">
        <v>44926</v>
      </c>
      <c r="N361" s="1" t="s">
        <v>35</v>
      </c>
      <c r="O361" s="1"/>
      <c r="P361" s="14" t="s">
        <v>7769</v>
      </c>
      <c r="Q361" s="187">
        <v>132.22999999999999</v>
      </c>
      <c r="R361" s="1">
        <v>1</v>
      </c>
      <c r="S361" s="90">
        <v>0.21</v>
      </c>
      <c r="T361" s="90">
        <v>0.2</v>
      </c>
      <c r="V361" s="95">
        <f t="shared" si="12"/>
        <v>127.99863999999999</v>
      </c>
      <c r="W361" t="s">
        <v>7916</v>
      </c>
      <c r="X361" s="5" t="s">
        <v>7905</v>
      </c>
      <c r="Y361" s="2">
        <v>26696</v>
      </c>
      <c r="Z361" s="2">
        <v>44904</v>
      </c>
      <c r="AA361" s="284" t="s">
        <v>8273</v>
      </c>
      <c r="AB361" s="64">
        <v>45011</v>
      </c>
      <c r="AC361" s="80" t="s">
        <v>1339</v>
      </c>
      <c r="AD361" s="61"/>
      <c r="AE361" s="162">
        <v>44991</v>
      </c>
      <c r="AF361" t="s">
        <v>3198</v>
      </c>
      <c r="AI361" t="s">
        <v>7770</v>
      </c>
      <c r="AJ361" s="2">
        <v>44938</v>
      </c>
      <c r="AL361"/>
      <c r="AM361" s="74">
        <v>44951</v>
      </c>
      <c r="AS361"/>
      <c r="AT361" s="1"/>
    </row>
    <row r="362" spans="1:46">
      <c r="A362" s="1">
        <v>360</v>
      </c>
      <c r="B362" t="s">
        <v>40</v>
      </c>
      <c r="C362" s="2">
        <v>44909</v>
      </c>
      <c r="D362" s="1" t="s">
        <v>7776</v>
      </c>
      <c r="E362" s="1"/>
      <c r="F362" t="s">
        <v>7777</v>
      </c>
      <c r="G362" t="s">
        <v>7778</v>
      </c>
      <c r="H362" s="6" t="s">
        <v>221</v>
      </c>
      <c r="I362" s="1" t="s">
        <v>34</v>
      </c>
      <c r="J362" s="1"/>
      <c r="L362" s="1" t="s">
        <v>7776</v>
      </c>
      <c r="M362" s="3">
        <v>44926</v>
      </c>
      <c r="N362" s="1" t="s">
        <v>35</v>
      </c>
      <c r="O362" s="1"/>
      <c r="P362" s="14" t="s">
        <v>7779</v>
      </c>
      <c r="Q362" s="187">
        <v>132.22999999999999</v>
      </c>
      <c r="R362" s="1">
        <v>1</v>
      </c>
      <c r="S362" s="90">
        <v>0.21</v>
      </c>
      <c r="T362" s="90">
        <v>0.2</v>
      </c>
      <c r="V362" s="95">
        <f t="shared" si="12"/>
        <v>127.99863999999999</v>
      </c>
      <c r="W362" t="s">
        <v>7946</v>
      </c>
      <c r="X362" s="5" t="s">
        <v>7945</v>
      </c>
      <c r="Y362" s="2">
        <v>34824</v>
      </c>
      <c r="Z362" s="2">
        <v>44909</v>
      </c>
      <c r="AA362" s="284" t="s">
        <v>8021</v>
      </c>
      <c r="AB362" s="3">
        <v>44964</v>
      </c>
      <c r="AC362" s="80" t="s">
        <v>1339</v>
      </c>
      <c r="AD362" s="61"/>
      <c r="AE362" s="61"/>
      <c r="AF362" t="s">
        <v>3198</v>
      </c>
      <c r="AI362" t="s">
        <v>3108</v>
      </c>
      <c r="AJ362" s="2">
        <v>44942</v>
      </c>
      <c r="AL362"/>
      <c r="AM362" s="3">
        <v>44945</v>
      </c>
      <c r="AS362"/>
      <c r="AT362" s="1"/>
    </row>
    <row r="363" spans="1:46">
      <c r="A363" s="1">
        <v>361</v>
      </c>
      <c r="B363" t="s">
        <v>423</v>
      </c>
      <c r="C363" s="2">
        <v>44909</v>
      </c>
      <c r="D363" t="s">
        <v>3217</v>
      </c>
      <c r="F363" t="s">
        <v>91</v>
      </c>
      <c r="G363" t="s">
        <v>3218</v>
      </c>
      <c r="H363" s="6" t="s">
        <v>219</v>
      </c>
      <c r="I363" s="1" t="s">
        <v>38</v>
      </c>
      <c r="J363" s="8">
        <v>629562761</v>
      </c>
      <c r="K363" s="8" t="s">
        <v>6182</v>
      </c>
      <c r="L363" t="s">
        <v>3217</v>
      </c>
      <c r="M363" s="3">
        <v>44926</v>
      </c>
      <c r="N363" s="1" t="s">
        <v>35</v>
      </c>
      <c r="O363" s="1"/>
      <c r="P363" s="14" t="s">
        <v>7780</v>
      </c>
      <c r="Q363" s="187">
        <v>132.22999999999999</v>
      </c>
      <c r="R363" s="1">
        <v>1</v>
      </c>
      <c r="S363" s="90">
        <v>0.21</v>
      </c>
      <c r="T363" s="90">
        <v>0.2</v>
      </c>
      <c r="V363" s="95">
        <f t="shared" si="12"/>
        <v>127.99863999999999</v>
      </c>
      <c r="W363" t="s">
        <v>7910</v>
      </c>
      <c r="X363" s="5" t="s">
        <v>7911</v>
      </c>
      <c r="Y363" s="2">
        <v>36684</v>
      </c>
      <c r="Z363" s="2">
        <v>44909</v>
      </c>
      <c r="AA363" s="284" t="s">
        <v>8974</v>
      </c>
      <c r="AB363" s="3">
        <v>45159</v>
      </c>
      <c r="AC363" s="80" t="s">
        <v>1339</v>
      </c>
      <c r="AF363" t="s">
        <v>3198</v>
      </c>
      <c r="AI363" s="76" t="s">
        <v>7781</v>
      </c>
      <c r="AJ363" s="2">
        <v>44936</v>
      </c>
      <c r="AL363"/>
      <c r="AM363" s="74"/>
      <c r="AS363"/>
      <c r="AT363" s="1"/>
    </row>
    <row r="364" spans="1:46">
      <c r="A364" s="1">
        <v>362</v>
      </c>
      <c r="B364" t="s">
        <v>1242</v>
      </c>
      <c r="C364" s="2">
        <v>44909</v>
      </c>
      <c r="D364" s="1" t="s">
        <v>7237</v>
      </c>
      <c r="E364" s="1"/>
      <c r="F364" t="s">
        <v>7238</v>
      </c>
      <c r="G364" s="61" t="s">
        <v>7239</v>
      </c>
      <c r="H364" s="6" t="s">
        <v>221</v>
      </c>
      <c r="I364" s="1" t="s">
        <v>34</v>
      </c>
      <c r="K364" s="8" t="s">
        <v>5905</v>
      </c>
      <c r="L364" t="s">
        <v>1250</v>
      </c>
      <c r="M364" s="3">
        <v>44926</v>
      </c>
      <c r="N364" s="1" t="s">
        <v>35</v>
      </c>
      <c r="O364" s="1"/>
      <c r="P364" s="14" t="s">
        <v>7782</v>
      </c>
      <c r="Q364" s="187">
        <v>132.22999999999999</v>
      </c>
      <c r="R364" s="1">
        <v>1</v>
      </c>
      <c r="S364" s="128">
        <v>0.21</v>
      </c>
      <c r="T364" s="128">
        <v>0.2</v>
      </c>
      <c r="V364" s="95">
        <f t="shared" si="12"/>
        <v>127.99863999999999</v>
      </c>
      <c r="W364" t="s">
        <v>7908</v>
      </c>
      <c r="X364" s="5" t="s">
        <v>7909</v>
      </c>
      <c r="Y364" s="2">
        <v>31200</v>
      </c>
      <c r="Z364" s="2">
        <v>44909</v>
      </c>
      <c r="AA364" s="284" t="s">
        <v>8021</v>
      </c>
      <c r="AB364" s="3">
        <v>44967</v>
      </c>
      <c r="AC364" s="80" t="s">
        <v>1339</v>
      </c>
      <c r="AF364" t="s">
        <v>3198</v>
      </c>
      <c r="AI364" t="s">
        <v>6492</v>
      </c>
      <c r="AJ364" s="2">
        <v>44936</v>
      </c>
      <c r="AL364"/>
      <c r="AM364" s="74">
        <v>44944</v>
      </c>
      <c r="AS364"/>
      <c r="AT364" s="1"/>
    </row>
    <row r="365" spans="1:46">
      <c r="A365" s="1">
        <v>363</v>
      </c>
      <c r="B365" s="61" t="s">
        <v>37</v>
      </c>
      <c r="C365" s="2">
        <v>44910</v>
      </c>
      <c r="D365" s="1" t="s">
        <v>7314</v>
      </c>
      <c r="E365" s="1"/>
      <c r="F365" t="s">
        <v>7315</v>
      </c>
      <c r="G365" s="61" t="s">
        <v>7316</v>
      </c>
      <c r="H365" s="6" t="s">
        <v>219</v>
      </c>
      <c r="I365" s="1" t="s">
        <v>38</v>
      </c>
      <c r="J365" s="8">
        <v>641492436</v>
      </c>
      <c r="K365" s="8"/>
      <c r="L365" t="s">
        <v>7314</v>
      </c>
      <c r="M365" s="3">
        <v>44926</v>
      </c>
      <c r="N365" s="1" t="s">
        <v>35</v>
      </c>
      <c r="O365" s="1"/>
      <c r="P365" t="s">
        <v>7787</v>
      </c>
      <c r="Q365" s="92">
        <v>132.22999999999999</v>
      </c>
      <c r="R365" s="1">
        <v>1</v>
      </c>
      <c r="S365" s="128">
        <v>0.21</v>
      </c>
      <c r="T365" s="128">
        <v>0.2</v>
      </c>
      <c r="V365" s="95">
        <f t="shared" si="12"/>
        <v>127.99863999999999</v>
      </c>
      <c r="W365" t="s">
        <v>7871</v>
      </c>
      <c r="X365" s="5" t="s">
        <v>7872</v>
      </c>
      <c r="Y365" s="2">
        <v>44455</v>
      </c>
      <c r="Z365" s="2">
        <v>44910</v>
      </c>
      <c r="AA365" s="284" t="s">
        <v>8126</v>
      </c>
      <c r="AB365" s="3">
        <v>44979</v>
      </c>
      <c r="AC365" s="80" t="s">
        <v>1339</v>
      </c>
      <c r="AF365" t="s">
        <v>3198</v>
      </c>
      <c r="AI365" t="s">
        <v>3108</v>
      </c>
      <c r="AJ365" s="2">
        <v>44923</v>
      </c>
      <c r="AL365"/>
      <c r="AM365" s="74">
        <v>44924</v>
      </c>
      <c r="AS365"/>
      <c r="AT365" s="1"/>
    </row>
    <row r="366" spans="1:46">
      <c r="A366" s="1">
        <v>364</v>
      </c>
      <c r="B366" t="s">
        <v>4321</v>
      </c>
      <c r="C366" s="2">
        <v>44910</v>
      </c>
      <c r="D366" s="1" t="s">
        <v>772</v>
      </c>
      <c r="E366" s="1"/>
      <c r="F366" s="14" t="s">
        <v>773</v>
      </c>
      <c r="G366" t="s">
        <v>1872</v>
      </c>
      <c r="H366" s="6" t="s">
        <v>239</v>
      </c>
      <c r="I366" s="1" t="s">
        <v>2585</v>
      </c>
      <c r="J366" s="8">
        <v>629246817</v>
      </c>
      <c r="K366" s="8" t="s">
        <v>5991</v>
      </c>
      <c r="L366" t="s">
        <v>772</v>
      </c>
      <c r="M366" s="3">
        <v>44926</v>
      </c>
      <c r="N366" s="1" t="s">
        <v>35</v>
      </c>
      <c r="O366" s="1"/>
      <c r="P366" s="14" t="s">
        <v>7097</v>
      </c>
      <c r="Q366" s="187">
        <v>132.22999999999999</v>
      </c>
      <c r="R366" s="1">
        <v>1</v>
      </c>
      <c r="S366" s="128">
        <v>0.21</v>
      </c>
      <c r="T366" s="128">
        <v>0.2</v>
      </c>
      <c r="V366" s="95">
        <f t="shared" si="12"/>
        <v>127.99863999999999</v>
      </c>
      <c r="W366" t="s">
        <v>7096</v>
      </c>
      <c r="X366" s="5" t="s">
        <v>7944</v>
      </c>
      <c r="Y366" s="2">
        <v>34515</v>
      </c>
      <c r="Z366" s="2">
        <v>44910</v>
      </c>
      <c r="AA366" s="284" t="s">
        <v>8052</v>
      </c>
      <c r="AB366" s="3">
        <v>44968</v>
      </c>
      <c r="AC366" s="80" t="s">
        <v>1339</v>
      </c>
      <c r="AF366" t="s">
        <v>3198</v>
      </c>
      <c r="AI366" t="s">
        <v>3221</v>
      </c>
      <c r="AJ366" s="2">
        <v>44942</v>
      </c>
      <c r="AL366"/>
      <c r="AM366" s="74">
        <v>44949</v>
      </c>
      <c r="AS366"/>
      <c r="AT366" s="1"/>
    </row>
    <row r="367" spans="1:46">
      <c r="A367" s="1">
        <v>365</v>
      </c>
      <c r="B367" t="s">
        <v>37</v>
      </c>
      <c r="C367" s="2">
        <v>44910</v>
      </c>
      <c r="D367" s="1" t="s">
        <v>2968</v>
      </c>
      <c r="E367" s="1"/>
      <c r="F367" t="s">
        <v>2969</v>
      </c>
      <c r="G367" t="s">
        <v>7788</v>
      </c>
      <c r="H367" s="6" t="s">
        <v>221</v>
      </c>
      <c r="I367" s="1" t="s">
        <v>34</v>
      </c>
      <c r="J367" s="8">
        <v>643329695</v>
      </c>
      <c r="K367" s="8"/>
      <c r="L367" s="1" t="s">
        <v>2968</v>
      </c>
      <c r="M367" s="3">
        <v>44926</v>
      </c>
      <c r="N367" s="1" t="s">
        <v>35</v>
      </c>
      <c r="O367" s="1"/>
      <c r="P367" s="14" t="s">
        <v>4495</v>
      </c>
      <c r="Q367" s="187">
        <v>78.510000000000005</v>
      </c>
      <c r="R367" s="1">
        <v>1</v>
      </c>
      <c r="S367" s="128">
        <v>0.21</v>
      </c>
      <c r="T367" s="128">
        <v>0</v>
      </c>
      <c r="V367" s="95">
        <f t="shared" si="12"/>
        <v>94.997100000000003</v>
      </c>
      <c r="W367" s="1" t="s">
        <v>2968</v>
      </c>
      <c r="X367" s="5" t="s">
        <v>7920</v>
      </c>
      <c r="Y367" s="2">
        <v>32978</v>
      </c>
      <c r="Z367" s="2">
        <v>44910</v>
      </c>
      <c r="AA367" s="284" t="s">
        <v>7970</v>
      </c>
      <c r="AB367" s="64">
        <v>44946</v>
      </c>
      <c r="AC367" s="80" t="s">
        <v>1339</v>
      </c>
      <c r="AI367" s="2"/>
      <c r="AJ367" s="2"/>
      <c r="AL367"/>
      <c r="AM367" s="74"/>
      <c r="AS367"/>
      <c r="AT367" s="1"/>
    </row>
    <row r="368" spans="1:46">
      <c r="A368" s="1">
        <v>366</v>
      </c>
      <c r="B368" s="61" t="s">
        <v>1414</v>
      </c>
      <c r="C368" s="2">
        <v>44911</v>
      </c>
      <c r="D368" s="1" t="s">
        <v>1079</v>
      </c>
      <c r="E368" s="1"/>
      <c r="F368" t="s">
        <v>41</v>
      </c>
      <c r="G368" s="61" t="s">
        <v>2115</v>
      </c>
      <c r="H368" s="1" t="s">
        <v>230</v>
      </c>
      <c r="I368" t="s">
        <v>1262</v>
      </c>
      <c r="J368" s="8">
        <v>631212115</v>
      </c>
      <c r="K368" s="8" t="s">
        <v>6306</v>
      </c>
      <c r="L368" t="s">
        <v>1079</v>
      </c>
      <c r="M368" s="3">
        <v>44926</v>
      </c>
      <c r="N368" s="1" t="s">
        <v>35</v>
      </c>
      <c r="O368" s="1"/>
      <c r="P368" s="14" t="s">
        <v>7793</v>
      </c>
      <c r="Q368" s="144">
        <v>132.22999999999999</v>
      </c>
      <c r="R368" s="1">
        <v>1</v>
      </c>
      <c r="S368" s="90">
        <v>0.21</v>
      </c>
      <c r="T368" s="90">
        <v>0.2</v>
      </c>
      <c r="U368" s="1"/>
      <c r="V368" s="95">
        <f t="shared" si="12"/>
        <v>127.99863999999999</v>
      </c>
      <c r="W368" t="s">
        <v>7942</v>
      </c>
      <c r="X368" s="5" t="s">
        <v>7943</v>
      </c>
      <c r="Y368" s="2">
        <v>38331</v>
      </c>
      <c r="Z368" s="2">
        <v>44911</v>
      </c>
      <c r="AA368" s="284" t="s">
        <v>8021</v>
      </c>
      <c r="AB368" s="3">
        <v>44964</v>
      </c>
      <c r="AC368" s="80" t="s">
        <v>1339</v>
      </c>
      <c r="AF368" t="s">
        <v>3198</v>
      </c>
      <c r="AI368" t="s">
        <v>3221</v>
      </c>
      <c r="AJ368" s="2">
        <v>44942</v>
      </c>
      <c r="AK368" s="1"/>
      <c r="AL368"/>
      <c r="AM368" s="74">
        <v>44944</v>
      </c>
      <c r="AS368"/>
      <c r="AT368" s="1"/>
    </row>
    <row r="369" spans="1:46">
      <c r="A369" s="1">
        <v>367</v>
      </c>
      <c r="B369" t="s">
        <v>37</v>
      </c>
      <c r="C369" s="2">
        <v>44913</v>
      </c>
      <c r="D369" t="s">
        <v>5762</v>
      </c>
      <c r="F369" t="s">
        <v>5651</v>
      </c>
      <c r="G369" t="s">
        <v>5652</v>
      </c>
      <c r="H369" s="1">
        <v>4140</v>
      </c>
      <c r="I369" s="1" t="s">
        <v>48</v>
      </c>
      <c r="J369" s="1">
        <v>658541350</v>
      </c>
      <c r="L369" t="s">
        <v>5762</v>
      </c>
      <c r="M369" s="3">
        <v>44926</v>
      </c>
      <c r="N369" s="1" t="s">
        <v>35</v>
      </c>
      <c r="O369" s="1"/>
      <c r="P369" s="14" t="s">
        <v>7795</v>
      </c>
      <c r="Q369" s="187">
        <v>78.510000000000005</v>
      </c>
      <c r="R369" s="1">
        <v>1</v>
      </c>
      <c r="S369" s="90">
        <v>0.21</v>
      </c>
      <c r="T369" s="90">
        <v>0</v>
      </c>
      <c r="V369" s="95">
        <f t="shared" si="12"/>
        <v>94.997100000000003</v>
      </c>
      <c r="W369" s="1" t="s">
        <v>5762</v>
      </c>
      <c r="X369" s="5" t="s">
        <v>7796</v>
      </c>
      <c r="Y369" s="2">
        <v>32888</v>
      </c>
      <c r="Z369" s="2">
        <v>44913</v>
      </c>
      <c r="AA369" s="284" t="s">
        <v>9873</v>
      </c>
      <c r="AB369" s="64">
        <v>44950</v>
      </c>
      <c r="AC369" s="80" t="s">
        <v>1339</v>
      </c>
      <c r="AF369" t="s">
        <v>3198</v>
      </c>
      <c r="AI369"/>
      <c r="AJ369" s="2"/>
      <c r="AL369"/>
      <c r="AM369" s="3"/>
      <c r="AS369"/>
      <c r="AT369" s="1"/>
    </row>
    <row r="370" spans="1:46">
      <c r="A370" s="1">
        <v>368</v>
      </c>
      <c r="B370" t="s">
        <v>5635</v>
      </c>
      <c r="C370" s="2">
        <v>44913</v>
      </c>
      <c r="D370" s="1" t="s">
        <v>7797</v>
      </c>
      <c r="E370" s="1"/>
      <c r="F370" t="s">
        <v>7798</v>
      </c>
      <c r="G370" t="s">
        <v>7799</v>
      </c>
      <c r="H370" s="6" t="s">
        <v>2273</v>
      </c>
      <c r="I370" s="1" t="s">
        <v>2274</v>
      </c>
      <c r="J370" s="1"/>
      <c r="K370" t="s">
        <v>7800</v>
      </c>
      <c r="L370" s="1" t="s">
        <v>7797</v>
      </c>
      <c r="M370" s="3">
        <v>44926</v>
      </c>
      <c r="N370" s="1" t="s">
        <v>35</v>
      </c>
      <c r="O370" s="1"/>
      <c r="P370" s="14" t="s">
        <v>7801</v>
      </c>
      <c r="Q370" s="187">
        <v>132.22999999999999</v>
      </c>
      <c r="R370" s="1">
        <v>1</v>
      </c>
      <c r="S370" s="90">
        <v>0.21</v>
      </c>
      <c r="T370" s="90">
        <v>0.2</v>
      </c>
      <c r="V370" s="95">
        <f t="shared" si="12"/>
        <v>127.99863999999999</v>
      </c>
      <c r="W370" t="s">
        <v>7973</v>
      </c>
      <c r="X370" s="5" t="s">
        <v>7974</v>
      </c>
      <c r="Y370" s="2">
        <v>34779</v>
      </c>
      <c r="Z370" s="2">
        <v>44913</v>
      </c>
      <c r="AA370" s="284" t="s">
        <v>8052</v>
      </c>
      <c r="AB370" s="3">
        <v>44968</v>
      </c>
      <c r="AC370" s="80" t="s">
        <v>1339</v>
      </c>
      <c r="AF370" t="s">
        <v>3198</v>
      </c>
      <c r="AI370" t="s">
        <v>3108</v>
      </c>
      <c r="AJ370" s="2">
        <v>44949</v>
      </c>
      <c r="AL370"/>
      <c r="AM370" s="3">
        <v>44951</v>
      </c>
      <c r="AS370"/>
      <c r="AT370" s="1"/>
    </row>
    <row r="371" spans="1:46">
      <c r="A371" s="1">
        <v>369</v>
      </c>
      <c r="B371" t="s">
        <v>5635</v>
      </c>
      <c r="C371" s="2">
        <v>44913</v>
      </c>
      <c r="D371" s="1" t="s">
        <v>7802</v>
      </c>
      <c r="E371" s="1"/>
      <c r="F371" t="s">
        <v>7803</v>
      </c>
      <c r="G371" t="s">
        <v>7804</v>
      </c>
      <c r="H371" s="6" t="s">
        <v>1424</v>
      </c>
      <c r="I371" s="1" t="s">
        <v>1425</v>
      </c>
      <c r="J371" s="1">
        <v>670650000</v>
      </c>
      <c r="K371" t="s">
        <v>7805</v>
      </c>
      <c r="L371" s="1" t="s">
        <v>7802</v>
      </c>
      <c r="M371" s="3">
        <v>44926</v>
      </c>
      <c r="N371" s="1" t="s">
        <v>35</v>
      </c>
      <c r="O371" s="1"/>
      <c r="P371" s="14" t="s">
        <v>7806</v>
      </c>
      <c r="Q371" s="187">
        <v>41.32</v>
      </c>
      <c r="R371" s="1">
        <v>1</v>
      </c>
      <c r="S371" s="90">
        <v>0.21</v>
      </c>
      <c r="T371" s="90">
        <v>0</v>
      </c>
      <c r="V371" s="95">
        <f t="shared" si="12"/>
        <v>49.997199999999999</v>
      </c>
      <c r="W371" t="s">
        <v>7940</v>
      </c>
      <c r="X371" s="5" t="s">
        <v>7941</v>
      </c>
      <c r="Y371" s="2">
        <v>30326</v>
      </c>
      <c r="Z371" s="2">
        <v>44913</v>
      </c>
      <c r="AA371" s="284" t="s">
        <v>8021</v>
      </c>
      <c r="AB371" s="3">
        <v>44964</v>
      </c>
      <c r="AC371" s="80" t="s">
        <v>1339</v>
      </c>
      <c r="AF371" t="s">
        <v>3198</v>
      </c>
      <c r="AI371" t="s">
        <v>3221</v>
      </c>
      <c r="AJ371" s="2">
        <v>44942</v>
      </c>
      <c r="AL371"/>
      <c r="AM371" s="3"/>
      <c r="AS371"/>
      <c r="AT371" s="1"/>
    </row>
    <row r="372" spans="1:46">
      <c r="A372" s="1">
        <v>370</v>
      </c>
      <c r="B372" t="s">
        <v>37</v>
      </c>
      <c r="C372" s="2">
        <v>44916</v>
      </c>
      <c r="D372" s="1" t="s">
        <v>7998</v>
      </c>
      <c r="E372" s="1"/>
      <c r="F372" t="s">
        <v>7807</v>
      </c>
      <c r="G372" t="s">
        <v>7819</v>
      </c>
      <c r="H372" s="6" t="s">
        <v>220</v>
      </c>
      <c r="I372" s="1" t="s">
        <v>39</v>
      </c>
      <c r="J372" s="1">
        <v>632358322</v>
      </c>
      <c r="L372" s="1" t="s">
        <v>7998</v>
      </c>
      <c r="M372" s="3">
        <v>44926</v>
      </c>
      <c r="N372" s="1" t="s">
        <v>35</v>
      </c>
      <c r="O372" s="1"/>
      <c r="P372" s="14" t="s">
        <v>7820</v>
      </c>
      <c r="Q372" s="187">
        <v>132.22999999999999</v>
      </c>
      <c r="R372" s="1">
        <v>1</v>
      </c>
      <c r="S372" s="128">
        <v>0.21</v>
      </c>
      <c r="T372" s="128">
        <v>0</v>
      </c>
      <c r="V372" s="95">
        <f t="shared" si="12"/>
        <v>159.99829999999997</v>
      </c>
      <c r="W372" t="s">
        <v>7998</v>
      </c>
      <c r="X372" s="6" t="s">
        <v>7999</v>
      </c>
      <c r="Y372" s="2">
        <v>35365</v>
      </c>
      <c r="Z372" s="2">
        <v>44916</v>
      </c>
      <c r="AA372" s="284" t="s">
        <v>8330</v>
      </c>
      <c r="AB372" s="64">
        <v>45014</v>
      </c>
      <c r="AC372" s="80" t="s">
        <v>1339</v>
      </c>
      <c r="AE372" s="162">
        <v>44994</v>
      </c>
      <c r="AI372" t="s">
        <v>3108</v>
      </c>
      <c r="AJ372" s="2">
        <v>44958</v>
      </c>
      <c r="AK372" t="s">
        <v>7461</v>
      </c>
      <c r="AL372"/>
      <c r="AM372" s="3">
        <v>44960</v>
      </c>
      <c r="AS372"/>
      <c r="AT372" s="1"/>
    </row>
    <row r="373" spans="1:46">
      <c r="A373" s="1">
        <v>371</v>
      </c>
      <c r="B373" t="s">
        <v>40</v>
      </c>
      <c r="C373" s="2">
        <v>44918</v>
      </c>
      <c r="D373" s="1" t="s">
        <v>7809</v>
      </c>
      <c r="E373" s="1"/>
      <c r="F373" t="s">
        <v>7810</v>
      </c>
      <c r="G373" t="s">
        <v>7811</v>
      </c>
      <c r="H373" s="6" t="s">
        <v>236</v>
      </c>
      <c r="I373" s="1" t="s">
        <v>6619</v>
      </c>
      <c r="J373">
        <v>622686260</v>
      </c>
      <c r="K373" s="114" t="s">
        <v>7815</v>
      </c>
      <c r="L373" s="1" t="s">
        <v>7809</v>
      </c>
      <c r="M373" s="3">
        <v>44926</v>
      </c>
      <c r="N373" s="1" t="s">
        <v>35</v>
      </c>
      <c r="O373" s="1"/>
      <c r="P373" s="14" t="s">
        <v>7812</v>
      </c>
      <c r="Q373" s="187">
        <v>132.22999999999999</v>
      </c>
      <c r="R373" s="1">
        <v>1</v>
      </c>
      <c r="S373" s="90">
        <v>0.21</v>
      </c>
      <c r="T373" s="90">
        <v>0.2</v>
      </c>
      <c r="V373" s="95">
        <f t="shared" si="12"/>
        <v>127.99863999999999</v>
      </c>
      <c r="W373" t="s">
        <v>8009</v>
      </c>
      <c r="X373" s="5" t="s">
        <v>8010</v>
      </c>
      <c r="Y373" s="2">
        <v>24765</v>
      </c>
      <c r="Z373" s="2">
        <v>44918</v>
      </c>
      <c r="AA373" s="284" t="s">
        <v>8191</v>
      </c>
      <c r="AB373" s="64">
        <v>44995</v>
      </c>
      <c r="AC373" s="80" t="s">
        <v>1339</v>
      </c>
      <c r="AF373" t="s">
        <v>3198</v>
      </c>
      <c r="AI373" t="s">
        <v>6757</v>
      </c>
      <c r="AJ373" s="2">
        <v>44960</v>
      </c>
      <c r="AL373"/>
      <c r="AM373" s="3">
        <v>44965</v>
      </c>
      <c r="AS373"/>
      <c r="AT373" s="1"/>
    </row>
    <row r="374" spans="1:46">
      <c r="A374" s="1">
        <v>372</v>
      </c>
      <c r="B374" t="s">
        <v>37</v>
      </c>
      <c r="C374" s="2">
        <v>44921</v>
      </c>
      <c r="D374" s="1" t="s">
        <v>8008</v>
      </c>
      <c r="E374" s="1"/>
      <c r="F374" t="s">
        <v>7816</v>
      </c>
      <c r="G374" t="s">
        <v>7817</v>
      </c>
      <c r="H374" s="6" t="s">
        <v>220</v>
      </c>
      <c r="I374" s="1" t="s">
        <v>39</v>
      </c>
      <c r="J374" s="1">
        <v>632575031</v>
      </c>
      <c r="L374" s="1" t="s">
        <v>8008</v>
      </c>
      <c r="M374" s="3">
        <v>44926</v>
      </c>
      <c r="N374" s="1" t="s">
        <v>35</v>
      </c>
      <c r="O374" s="1"/>
      <c r="P374" s="14" t="s">
        <v>7818</v>
      </c>
      <c r="Q374" s="187">
        <v>132.22999999999999</v>
      </c>
      <c r="R374" s="1">
        <v>1</v>
      </c>
      <c r="S374" s="128">
        <v>0.21</v>
      </c>
      <c r="T374" s="128">
        <v>0</v>
      </c>
      <c r="V374" s="95">
        <f t="shared" si="12"/>
        <v>159.99829999999997</v>
      </c>
      <c r="W374" t="s">
        <v>8008</v>
      </c>
      <c r="X374" s="5" t="s">
        <v>8007</v>
      </c>
      <c r="Y374" s="2">
        <v>35418</v>
      </c>
      <c r="Z374" s="2">
        <v>44921</v>
      </c>
      <c r="AA374" s="284" t="s">
        <v>8372</v>
      </c>
      <c r="AB374" s="64">
        <v>45026</v>
      </c>
      <c r="AC374" s="80" t="s">
        <v>1339</v>
      </c>
      <c r="AE374" s="162">
        <v>45000</v>
      </c>
      <c r="AF374" t="s">
        <v>3198</v>
      </c>
      <c r="AI374" t="s">
        <v>3108</v>
      </c>
      <c r="AJ374" s="2">
        <v>44960</v>
      </c>
      <c r="AK374" s="76" t="s">
        <v>7461</v>
      </c>
      <c r="AL374"/>
      <c r="AM374" s="3">
        <v>44960</v>
      </c>
      <c r="AS374"/>
      <c r="AT374" s="1"/>
    </row>
    <row r="375" spans="1:46">
      <c r="A375" s="1">
        <v>373</v>
      </c>
      <c r="B375" t="s">
        <v>37</v>
      </c>
      <c r="C375" s="2">
        <v>44917</v>
      </c>
      <c r="D375" s="1" t="s">
        <v>212</v>
      </c>
      <c r="E375" s="1"/>
      <c r="F375" t="s">
        <v>213</v>
      </c>
      <c r="G375" t="s">
        <v>7821</v>
      </c>
      <c r="H375" s="6" t="s">
        <v>238</v>
      </c>
      <c r="I375" s="1" t="s">
        <v>48</v>
      </c>
      <c r="J375" s="1">
        <v>631442637</v>
      </c>
      <c r="L375" s="1" t="s">
        <v>212</v>
      </c>
      <c r="M375" s="3">
        <v>44926</v>
      </c>
      <c r="N375" s="1" t="s">
        <v>35</v>
      </c>
      <c r="O375" s="1"/>
      <c r="P375" s="14" t="s">
        <v>7858</v>
      </c>
      <c r="Q375" s="187">
        <v>41.32</v>
      </c>
      <c r="R375" s="1">
        <v>1</v>
      </c>
      <c r="S375" s="90">
        <v>0.21</v>
      </c>
      <c r="T375" s="90">
        <v>0</v>
      </c>
      <c r="V375" s="95">
        <f t="shared" si="12"/>
        <v>49.997199999999999</v>
      </c>
      <c r="W375"/>
      <c r="X375" s="6"/>
      <c r="Y375" s="2"/>
      <c r="Z375" s="2"/>
      <c r="AA375" s="284" t="s">
        <v>1326</v>
      </c>
      <c r="AB375" s="193" t="s">
        <v>4073</v>
      </c>
      <c r="AC375" s="345"/>
      <c r="AI375"/>
      <c r="AJ375" s="2"/>
      <c r="AL375"/>
      <c r="AM375" s="3"/>
      <c r="AS375"/>
      <c r="AT375" s="1"/>
    </row>
    <row r="376" spans="1:46">
      <c r="A376" s="1">
        <v>374</v>
      </c>
      <c r="B376" t="s">
        <v>33</v>
      </c>
      <c r="C376" s="2">
        <v>44922</v>
      </c>
      <c r="D376" s="1" t="s">
        <v>5309</v>
      </c>
      <c r="E376" s="1"/>
      <c r="F376" t="s">
        <v>5310</v>
      </c>
      <c r="G376" t="s">
        <v>7842</v>
      </c>
      <c r="H376" s="6" t="s">
        <v>219</v>
      </c>
      <c r="I376" s="1" t="s">
        <v>34</v>
      </c>
      <c r="J376" s="1"/>
      <c r="K376" t="s">
        <v>8186</v>
      </c>
      <c r="L376" s="1" t="s">
        <v>237</v>
      </c>
      <c r="M376" s="3">
        <v>44926</v>
      </c>
      <c r="N376" s="1" t="s">
        <v>35</v>
      </c>
      <c r="O376" s="1"/>
      <c r="P376" s="14" t="s">
        <v>7843</v>
      </c>
      <c r="Q376" s="187">
        <v>132.22999999999999</v>
      </c>
      <c r="R376" s="1">
        <v>1</v>
      </c>
      <c r="S376" s="90">
        <v>0.21</v>
      </c>
      <c r="T376" s="90">
        <v>0.2</v>
      </c>
      <c r="V376" s="95">
        <f t="shared" si="12"/>
        <v>127.99863999999999</v>
      </c>
      <c r="W376" t="s">
        <v>8028</v>
      </c>
      <c r="X376" s="5" t="s">
        <v>8029</v>
      </c>
      <c r="Y376" s="2">
        <v>35392</v>
      </c>
      <c r="Z376" s="2">
        <v>44922</v>
      </c>
      <c r="AA376" s="284" t="s">
        <v>8189</v>
      </c>
      <c r="AB376" s="64">
        <v>44991</v>
      </c>
      <c r="AC376" s="80" t="s">
        <v>1339</v>
      </c>
      <c r="AF376" t="s">
        <v>3198</v>
      </c>
      <c r="AI376" t="s">
        <v>3108</v>
      </c>
      <c r="AJ376" s="2">
        <v>44964</v>
      </c>
      <c r="AL376"/>
      <c r="AM376" s="3">
        <v>44967</v>
      </c>
      <c r="AS376"/>
      <c r="AT376" s="1"/>
    </row>
    <row r="377" spans="1:46">
      <c r="A377" s="1">
        <v>375</v>
      </c>
      <c r="B377" s="61" t="s">
        <v>1414</v>
      </c>
      <c r="C377" s="2">
        <v>44922</v>
      </c>
      <c r="D377" s="1" t="s">
        <v>3559</v>
      </c>
      <c r="E377" s="1"/>
      <c r="F377" s="61" t="s">
        <v>3560</v>
      </c>
      <c r="G377" s="61" t="s">
        <v>3561</v>
      </c>
      <c r="H377" s="6" t="s">
        <v>230</v>
      </c>
      <c r="I377" s="1" t="s">
        <v>1262</v>
      </c>
      <c r="J377" s="1">
        <v>607536828</v>
      </c>
      <c r="K377" t="s">
        <v>7850</v>
      </c>
      <c r="L377" t="s">
        <v>3559</v>
      </c>
      <c r="M377" s="3">
        <v>44926</v>
      </c>
      <c r="N377" s="1" t="s">
        <v>35</v>
      </c>
      <c r="O377" s="1"/>
      <c r="P377" s="14" t="s">
        <v>7845</v>
      </c>
      <c r="Q377" s="187">
        <v>132.22999999999999</v>
      </c>
      <c r="R377" s="1">
        <v>1</v>
      </c>
      <c r="S377" s="90">
        <v>0.21</v>
      </c>
      <c r="T377" s="90">
        <v>0.2</v>
      </c>
      <c r="U377" s="1"/>
      <c r="V377" s="95">
        <f t="shared" si="12"/>
        <v>127.99863999999999</v>
      </c>
      <c r="W377" t="s">
        <v>7971</v>
      </c>
      <c r="X377" s="5" t="s">
        <v>7972</v>
      </c>
      <c r="Y377" s="2">
        <v>36699</v>
      </c>
      <c r="Z377" s="2">
        <v>44922</v>
      </c>
      <c r="AA377" s="284" t="s">
        <v>8109</v>
      </c>
      <c r="AB377" s="3">
        <v>44977</v>
      </c>
      <c r="AC377" s="80" t="s">
        <v>1339</v>
      </c>
      <c r="AF377" t="s">
        <v>3198</v>
      </c>
      <c r="AG377" t="s">
        <v>3413</v>
      </c>
      <c r="AI377" t="s">
        <v>3221</v>
      </c>
      <c r="AJ377" s="2">
        <v>44945</v>
      </c>
      <c r="AK377" s="2"/>
      <c r="AL377"/>
      <c r="AM377" s="2">
        <v>44964</v>
      </c>
      <c r="AS377"/>
      <c r="AT377" s="1"/>
    </row>
    <row r="378" spans="1:46">
      <c r="A378" s="1">
        <v>376</v>
      </c>
      <c r="B378" s="61" t="s">
        <v>3526</v>
      </c>
      <c r="C378" s="2">
        <v>44922</v>
      </c>
      <c r="D378" s="1" t="s">
        <v>7846</v>
      </c>
      <c r="E378" s="1"/>
      <c r="F378" s="61" t="s">
        <v>7847</v>
      </c>
      <c r="G378" s="61" t="s">
        <v>7848</v>
      </c>
      <c r="H378" s="6" t="s">
        <v>219</v>
      </c>
      <c r="I378" s="1" t="s">
        <v>38</v>
      </c>
      <c r="J378" s="347">
        <v>607538996</v>
      </c>
      <c r="K378" s="114" t="s">
        <v>7857</v>
      </c>
      <c r="L378" s="1" t="s">
        <v>7846</v>
      </c>
      <c r="M378" s="3">
        <v>44926</v>
      </c>
      <c r="N378" s="1" t="s">
        <v>35</v>
      </c>
      <c r="O378" s="1"/>
      <c r="P378" s="14" t="s">
        <v>7849</v>
      </c>
      <c r="Q378" s="187">
        <v>132.22999999999999</v>
      </c>
      <c r="R378" s="1">
        <v>1</v>
      </c>
      <c r="S378" s="90">
        <v>0.21</v>
      </c>
      <c r="T378" s="90">
        <v>0.2</v>
      </c>
      <c r="U378" s="1"/>
      <c r="V378" s="95">
        <f t="shared" si="12"/>
        <v>127.99863999999999</v>
      </c>
      <c r="W378" t="s">
        <v>8026</v>
      </c>
      <c r="X378" s="5" t="s">
        <v>8027</v>
      </c>
      <c r="Y378" s="2">
        <v>36136</v>
      </c>
      <c r="Z378" s="2">
        <v>44922</v>
      </c>
      <c r="AA378" s="284" t="s">
        <v>8190</v>
      </c>
      <c r="AB378" s="64">
        <v>44991</v>
      </c>
      <c r="AC378" s="80" t="s">
        <v>1339</v>
      </c>
      <c r="AF378" t="s">
        <v>3198</v>
      </c>
      <c r="AI378" t="s">
        <v>3108</v>
      </c>
      <c r="AJ378" s="2">
        <v>44964</v>
      </c>
      <c r="AK378" s="2"/>
      <c r="AL378"/>
      <c r="AM378" s="2">
        <v>44973</v>
      </c>
      <c r="AS378"/>
      <c r="AT378" s="1"/>
    </row>
    <row r="379" spans="1:46">
      <c r="A379" s="1">
        <v>377</v>
      </c>
      <c r="B379" s="61" t="s">
        <v>5635</v>
      </c>
      <c r="C379" s="2">
        <v>44923</v>
      </c>
      <c r="D379" s="1" t="s">
        <v>7852</v>
      </c>
      <c r="E379" s="1"/>
      <c r="F379" s="61" t="s">
        <v>7853</v>
      </c>
      <c r="G379" s="61" t="s">
        <v>7854</v>
      </c>
      <c r="H379" s="6" t="s">
        <v>233</v>
      </c>
      <c r="I379" s="1" t="s">
        <v>34</v>
      </c>
      <c r="J379" s="1"/>
      <c r="K379" t="s">
        <v>7800</v>
      </c>
      <c r="L379" s="1" t="s">
        <v>7852</v>
      </c>
      <c r="M379" s="3">
        <v>44926</v>
      </c>
      <c r="N379" s="1" t="s">
        <v>35</v>
      </c>
      <c r="O379" s="1"/>
      <c r="P379" s="14" t="s">
        <v>7855</v>
      </c>
      <c r="Q379" s="187">
        <v>132.22999999999999</v>
      </c>
      <c r="R379" s="1">
        <v>1</v>
      </c>
      <c r="S379" s="90">
        <v>0.21</v>
      </c>
      <c r="T379" s="90">
        <v>0.2</v>
      </c>
      <c r="U379" s="1"/>
      <c r="V379" s="95">
        <f t="shared" si="12"/>
        <v>127.99863999999999</v>
      </c>
      <c r="W379" t="s">
        <v>8041</v>
      </c>
      <c r="X379" s="87" t="s">
        <v>8042</v>
      </c>
      <c r="Y379" s="2">
        <v>31110</v>
      </c>
      <c r="Z379" s="2">
        <v>44923</v>
      </c>
      <c r="AA379" s="284" t="s">
        <v>8521</v>
      </c>
      <c r="AB379" s="64">
        <v>45051</v>
      </c>
      <c r="AC379" s="80" t="s">
        <v>1339</v>
      </c>
      <c r="AE379" s="162">
        <v>45029</v>
      </c>
      <c r="AF379" t="s">
        <v>3198</v>
      </c>
      <c r="AI379" t="s">
        <v>7856</v>
      </c>
      <c r="AJ379" s="2">
        <v>44965</v>
      </c>
      <c r="AK379" s="2"/>
      <c r="AL379"/>
      <c r="AM379" s="2">
        <v>44971</v>
      </c>
      <c r="AS379"/>
      <c r="AT379" s="1"/>
    </row>
    <row r="380" spans="1:46">
      <c r="A380" s="1">
        <v>378</v>
      </c>
      <c r="B380" s="61" t="s">
        <v>119</v>
      </c>
      <c r="C380" s="2">
        <v>44921</v>
      </c>
      <c r="D380" s="1" t="s">
        <v>7878</v>
      </c>
      <c r="E380" s="1"/>
      <c r="F380" s="61" t="s">
        <v>7879</v>
      </c>
      <c r="G380" s="61" t="s">
        <v>7880</v>
      </c>
      <c r="H380" s="6" t="s">
        <v>239</v>
      </c>
      <c r="I380" s="1" t="s">
        <v>86</v>
      </c>
      <c r="J380" s="1"/>
      <c r="K380" s="1" t="s">
        <v>8094</v>
      </c>
      <c r="L380" s="31" t="s">
        <v>174</v>
      </c>
      <c r="M380" s="3">
        <v>44926</v>
      </c>
      <c r="N380" s="1" t="s">
        <v>35</v>
      </c>
      <c r="O380" s="1"/>
      <c r="P380" s="14" t="s">
        <v>7757</v>
      </c>
      <c r="Q380" s="187">
        <v>100</v>
      </c>
      <c r="R380" s="1">
        <v>1</v>
      </c>
      <c r="S380" s="90">
        <v>0.21</v>
      </c>
      <c r="T380" s="90">
        <v>0</v>
      </c>
      <c r="U380" s="1"/>
      <c r="V380" s="95">
        <f t="shared" si="12"/>
        <v>121</v>
      </c>
      <c r="W380"/>
      <c r="X380" s="87"/>
      <c r="Y380" s="2"/>
      <c r="Z380" s="2"/>
      <c r="AA380" s="284" t="s">
        <v>1326</v>
      </c>
      <c r="AB380" s="345"/>
      <c r="AC380" s="345"/>
      <c r="AI380"/>
      <c r="AJ380" s="2"/>
      <c r="AK380" s="2"/>
      <c r="AL380"/>
      <c r="AM380" s="2"/>
      <c r="AS380"/>
      <c r="AT380" s="1"/>
    </row>
    <row r="381" spans="1:46">
      <c r="A381" s="1">
        <v>379</v>
      </c>
      <c r="B381" s="61" t="s">
        <v>6684</v>
      </c>
      <c r="C381" s="2">
        <v>44923</v>
      </c>
      <c r="D381" s="1" t="s">
        <v>7873</v>
      </c>
      <c r="E381" s="1"/>
      <c r="F381" s="61" t="s">
        <v>7874</v>
      </c>
      <c r="G381" s="61" t="s">
        <v>7875</v>
      </c>
      <c r="H381" s="6" t="s">
        <v>2579</v>
      </c>
      <c r="I381" s="1" t="s">
        <v>2580</v>
      </c>
      <c r="J381" s="1"/>
      <c r="K381" s="1" t="s">
        <v>7339</v>
      </c>
      <c r="L381" s="1" t="s">
        <v>7873</v>
      </c>
      <c r="M381" s="3">
        <v>44926</v>
      </c>
      <c r="N381" s="1" t="s">
        <v>35</v>
      </c>
      <c r="O381" s="1"/>
      <c r="P381" s="14" t="s">
        <v>7876</v>
      </c>
      <c r="Q381" s="187">
        <v>132.22999999999999</v>
      </c>
      <c r="R381" s="1">
        <v>1</v>
      </c>
      <c r="S381" s="90">
        <v>0.21</v>
      </c>
      <c r="T381" s="90">
        <v>0.2</v>
      </c>
      <c r="U381" s="1"/>
      <c r="V381" s="95">
        <f t="shared" si="12"/>
        <v>127.99863999999999</v>
      </c>
      <c r="W381" t="s">
        <v>8046</v>
      </c>
      <c r="X381" s="87" t="s">
        <v>8047</v>
      </c>
      <c r="Y381" s="2">
        <v>32194</v>
      </c>
      <c r="Z381" s="2">
        <v>44923</v>
      </c>
      <c r="AA381" s="284" t="s">
        <v>8330</v>
      </c>
      <c r="AB381" s="64">
        <v>45014</v>
      </c>
      <c r="AC381" s="80" t="s">
        <v>1339</v>
      </c>
      <c r="AF381" t="s">
        <v>3198</v>
      </c>
      <c r="AI381" t="s">
        <v>7877</v>
      </c>
      <c r="AJ381" s="2">
        <v>44968</v>
      </c>
      <c r="AK381" s="2"/>
      <c r="AL381"/>
      <c r="AM381" s="2">
        <v>44973</v>
      </c>
      <c r="AS381"/>
      <c r="AT381" s="1"/>
    </row>
    <row r="382" spans="1:46">
      <c r="A382" s="337" t="s">
        <v>18</v>
      </c>
      <c r="B382" s="338"/>
      <c r="C382" s="338"/>
      <c r="D382" s="337"/>
      <c r="E382" s="337"/>
      <c r="F382" s="338"/>
      <c r="G382" s="338"/>
      <c r="H382" s="337"/>
      <c r="I382" s="338"/>
      <c r="J382" s="338"/>
      <c r="K382" s="338"/>
      <c r="L382" s="338"/>
      <c r="M382" s="338"/>
      <c r="N382" s="337"/>
      <c r="O382" s="337"/>
      <c r="P382" s="338"/>
      <c r="Q382" s="338"/>
      <c r="R382" s="338"/>
      <c r="S382" s="339"/>
      <c r="T382" s="339"/>
      <c r="U382" s="338"/>
      <c r="V382" s="340">
        <f>SUBTOTAL(109,Tabla1[Total])</f>
        <v>40904.975799999993</v>
      </c>
      <c r="W382" s="338"/>
      <c r="X382" s="337"/>
      <c r="Y382" s="337"/>
      <c r="Z382" s="337"/>
      <c r="AA382" s="341"/>
      <c r="AB382" s="341"/>
      <c r="AC382" s="341"/>
      <c r="AD382" s="338"/>
      <c r="AE382" s="338"/>
      <c r="AF382" s="338"/>
      <c r="AG382" s="338"/>
      <c r="AH382" s="338"/>
      <c r="AI382" s="338"/>
      <c r="AJ382" s="338"/>
      <c r="AK382" s="338"/>
      <c r="AL382" s="338"/>
      <c r="AM382" s="338"/>
      <c r="AS382"/>
      <c r="AT382" s="1"/>
    </row>
    <row r="383" spans="1:46">
      <c r="C383" s="2"/>
      <c r="G383" s="6"/>
      <c r="L383" s="2"/>
      <c r="M383" s="1"/>
      <c r="N383" s="1"/>
      <c r="O383" s="14"/>
      <c r="R383" s="128"/>
      <c r="S383" s="128"/>
      <c r="U383" s="95"/>
      <c r="V383"/>
      <c r="W383" s="6"/>
      <c r="X383" s="2"/>
      <c r="Y383" s="2"/>
      <c r="AI383" s="2"/>
      <c r="AL383" s="74"/>
    </row>
    <row r="384" spans="1:46">
      <c r="C384" s="2"/>
      <c r="F384" s="61"/>
      <c r="G384" s="6"/>
      <c r="L384" s="2"/>
      <c r="M384" s="1"/>
      <c r="N384" s="1"/>
      <c r="R384" s="128"/>
      <c r="S384" s="128"/>
      <c r="T384" s="133"/>
      <c r="U384" s="95"/>
      <c r="W384" s="218"/>
      <c r="X384" s="2"/>
      <c r="Y384" s="2"/>
    </row>
    <row r="387" spans="2:38">
      <c r="C387" s="2"/>
      <c r="E387" s="61"/>
      <c r="F387" s="61"/>
      <c r="G387" s="6"/>
      <c r="L387" s="2"/>
      <c r="O387" s="14"/>
      <c r="R387" s="128"/>
      <c r="S387" s="128"/>
      <c r="U387" s="95"/>
      <c r="W387" s="6"/>
      <c r="X387" s="2"/>
      <c r="Y387" s="3"/>
      <c r="AI387" s="2"/>
      <c r="AL387" s="74"/>
    </row>
    <row r="388" spans="2:38">
      <c r="C388" s="2"/>
      <c r="G388" s="6"/>
      <c r="L388" s="2"/>
      <c r="M388" s="1"/>
      <c r="N388" s="1"/>
      <c r="O388" s="14"/>
      <c r="R388" s="128"/>
      <c r="S388" s="128"/>
      <c r="U388" s="95"/>
      <c r="V388"/>
      <c r="W388" s="6"/>
      <c r="X388" s="2"/>
      <c r="Y388" s="2"/>
      <c r="Z388" s="291"/>
      <c r="AI388" s="2"/>
      <c r="AL388" s="74"/>
    </row>
    <row r="389" spans="2:38">
      <c r="C389" s="2"/>
      <c r="D389"/>
      <c r="F389" s="61"/>
      <c r="G389" s="6"/>
      <c r="L389" s="3"/>
      <c r="M389" s="1"/>
      <c r="N389" s="1"/>
      <c r="O389" s="14"/>
      <c r="R389" s="128"/>
      <c r="S389" s="128"/>
      <c r="U389" s="95"/>
      <c r="V389"/>
      <c r="W389" s="6"/>
      <c r="X389" s="2"/>
      <c r="Y389" s="2"/>
      <c r="AI389" s="2"/>
    </row>
    <row r="390" spans="2:38">
      <c r="C390" s="2"/>
      <c r="G390" s="6"/>
      <c r="K390" s="31"/>
      <c r="L390" s="3"/>
      <c r="M390" s="1"/>
      <c r="N390" s="1"/>
      <c r="R390" s="128"/>
      <c r="S390" s="128"/>
      <c r="U390" s="95"/>
    </row>
    <row r="391" spans="2:38">
      <c r="C391" s="2"/>
      <c r="F391" s="61"/>
      <c r="G391" s="6"/>
      <c r="L391" s="3"/>
      <c r="M391" s="1"/>
      <c r="N391" s="1"/>
      <c r="O391" s="14"/>
      <c r="R391" s="128"/>
      <c r="S391" s="128"/>
      <c r="U391" s="95"/>
      <c r="W391" s="6"/>
      <c r="X391" s="2"/>
      <c r="Y391" s="2"/>
      <c r="AI391" s="2"/>
      <c r="AL391" s="74"/>
    </row>
    <row r="392" spans="2:38">
      <c r="C392" s="2"/>
      <c r="G392" s="6"/>
      <c r="I392" s="295"/>
      <c r="L392" s="3"/>
      <c r="M392" s="1"/>
      <c r="N392" s="1"/>
      <c r="O392" s="14"/>
      <c r="R392" s="128"/>
      <c r="S392" s="128"/>
      <c r="T392" s="133"/>
      <c r="U392" s="95"/>
      <c r="V392"/>
      <c r="W392" s="6"/>
      <c r="X392" s="2"/>
      <c r="Y392" s="2"/>
      <c r="AI392" s="2"/>
      <c r="AL392" s="74"/>
    </row>
    <row r="393" spans="2:38">
      <c r="C393" s="2"/>
      <c r="L393" s="3"/>
      <c r="M393" s="1"/>
      <c r="N393" s="1"/>
      <c r="O393" s="14"/>
      <c r="P393" s="92"/>
      <c r="R393" s="128"/>
      <c r="S393" s="128"/>
      <c r="T393" s="133"/>
      <c r="U393" s="95"/>
      <c r="V393"/>
      <c r="W393" s="6"/>
      <c r="X393" s="2"/>
      <c r="Y393" s="2"/>
      <c r="AI393" s="2"/>
      <c r="AJ393" s="1"/>
      <c r="AL393" s="74"/>
    </row>
    <row r="394" spans="2:38">
      <c r="B394" s="61"/>
      <c r="C394" s="2"/>
      <c r="E394" s="61"/>
      <c r="G394" s="6"/>
      <c r="L394" s="3"/>
      <c r="O394" s="14"/>
      <c r="R394" s="128"/>
      <c r="S394" s="128"/>
      <c r="U394" s="95"/>
      <c r="V394"/>
      <c r="W394" s="6"/>
      <c r="X394" s="2"/>
      <c r="Y394" s="2"/>
      <c r="AI394" s="2"/>
      <c r="AL394" s="74"/>
    </row>
    <row r="395" spans="2:38">
      <c r="C395" s="2"/>
      <c r="E395" s="61"/>
      <c r="F395" s="61"/>
      <c r="G395" s="6"/>
      <c r="K395" s="31"/>
      <c r="L395" s="3"/>
      <c r="M395" s="1"/>
      <c r="N395" s="1"/>
      <c r="O395" s="14"/>
      <c r="P395" s="92"/>
      <c r="R395" s="128"/>
      <c r="S395" s="128"/>
      <c r="U395" s="95"/>
      <c r="V395"/>
      <c r="W395" s="6"/>
      <c r="X395" s="2"/>
      <c r="Y395" s="2"/>
      <c r="AA395" s="3"/>
      <c r="AB395" s="80"/>
      <c r="AJ395" s="1"/>
    </row>
    <row r="396" spans="2:38">
      <c r="B396" s="61"/>
      <c r="C396" s="2"/>
      <c r="D396"/>
      <c r="G396" s="6"/>
      <c r="L396" s="3"/>
      <c r="M396" s="1"/>
      <c r="N396" s="1"/>
      <c r="O396" s="14"/>
      <c r="R396" s="128"/>
      <c r="S396" s="128"/>
      <c r="T396" s="133"/>
      <c r="U396" s="95"/>
      <c r="V396"/>
      <c r="W396" s="6"/>
      <c r="X396" s="2"/>
      <c r="Y396" s="2"/>
      <c r="AA396" s="3"/>
      <c r="AB396" s="80"/>
      <c r="AI396" s="3"/>
      <c r="AL396" s="74"/>
    </row>
    <row r="397" spans="2:38">
      <c r="C397" s="2"/>
      <c r="G397" s="6"/>
      <c r="L397" s="3"/>
      <c r="M397" s="1"/>
      <c r="N397" s="1"/>
      <c r="O397" s="14"/>
      <c r="R397" s="128"/>
      <c r="S397" s="128"/>
      <c r="U397" s="95"/>
      <c r="V397"/>
      <c r="W397" s="6"/>
      <c r="X397" s="2"/>
      <c r="Y397" s="2"/>
      <c r="AA397" s="3"/>
      <c r="AB397" s="80"/>
      <c r="AI397" s="2"/>
      <c r="AL397" s="74"/>
    </row>
    <row r="398" spans="2:38">
      <c r="C398" s="2"/>
      <c r="D398"/>
      <c r="G398" s="6"/>
      <c r="L398" s="3"/>
      <c r="O398" s="14"/>
      <c r="R398" s="128"/>
      <c r="S398" s="128"/>
      <c r="U398" s="95"/>
      <c r="V398"/>
      <c r="W398" s="6"/>
      <c r="X398" s="2"/>
      <c r="Y398" s="2"/>
      <c r="AA398" s="3"/>
      <c r="AB398" s="80"/>
      <c r="AI398" s="3"/>
      <c r="AL398" s="74"/>
    </row>
    <row r="399" spans="2:38">
      <c r="C399" s="2"/>
      <c r="E399" s="14"/>
      <c r="G399" s="6"/>
      <c r="L399" s="3"/>
      <c r="M399" s="1"/>
      <c r="N399" s="1"/>
      <c r="O399" s="14"/>
      <c r="R399" s="128"/>
      <c r="S399" s="128"/>
      <c r="U399" s="95"/>
      <c r="V399"/>
      <c r="W399" s="6"/>
      <c r="X399" s="2"/>
      <c r="Y399" s="2"/>
      <c r="AI399" s="2"/>
      <c r="AL399" s="74"/>
    </row>
    <row r="400" spans="2:38">
      <c r="C400" s="2"/>
      <c r="L400" s="3"/>
      <c r="O400" s="14"/>
      <c r="P400" s="92"/>
      <c r="R400" s="128"/>
      <c r="S400" s="128"/>
      <c r="U400" s="95"/>
      <c r="V400"/>
      <c r="W400" s="6"/>
      <c r="X400" s="2"/>
      <c r="Y400" s="2"/>
      <c r="AI400" s="3"/>
      <c r="AJ400" s="1"/>
      <c r="AK400" s="1"/>
    </row>
    <row r="401" spans="2:38">
      <c r="C401" s="2"/>
      <c r="E401" s="61"/>
      <c r="F401" s="61"/>
      <c r="G401" s="6"/>
      <c r="L401" s="3"/>
      <c r="O401" s="14"/>
      <c r="R401" s="128"/>
      <c r="S401" s="128"/>
      <c r="U401" s="95"/>
      <c r="W401" s="6"/>
      <c r="X401" s="2"/>
      <c r="Y401" s="2"/>
    </row>
    <row r="402" spans="2:38">
      <c r="C402" s="2"/>
      <c r="L402" s="3"/>
      <c r="M402" s="1"/>
      <c r="N402" s="1"/>
      <c r="O402" s="14"/>
      <c r="R402" s="128"/>
      <c r="S402" s="128"/>
      <c r="U402" s="95"/>
      <c r="V402"/>
      <c r="W402" s="6"/>
      <c r="X402" s="2"/>
      <c r="Y402" s="2"/>
      <c r="AI402" s="2"/>
      <c r="AL402" s="74"/>
    </row>
    <row r="403" spans="2:38">
      <c r="C403" s="2"/>
      <c r="G403" s="6"/>
      <c r="K403" s="31"/>
      <c r="L403" s="3"/>
      <c r="M403" s="1"/>
      <c r="N403" s="1"/>
      <c r="O403" s="14"/>
      <c r="R403" s="128"/>
      <c r="S403" s="128"/>
      <c r="U403" s="95"/>
      <c r="W403" s="6"/>
      <c r="Y403" s="2"/>
    </row>
    <row r="404" spans="2:38">
      <c r="C404" s="2"/>
      <c r="G404" s="6"/>
      <c r="L404" s="3"/>
      <c r="M404" s="1"/>
      <c r="N404" s="1"/>
      <c r="O404" s="14"/>
      <c r="R404" s="128"/>
      <c r="S404" s="128"/>
      <c r="U404" s="95"/>
      <c r="V404"/>
      <c r="W404" s="6"/>
      <c r="X404" s="2"/>
      <c r="Y404" s="2"/>
      <c r="AI404" s="2"/>
      <c r="AL404" s="74"/>
    </row>
    <row r="405" spans="2:38">
      <c r="C405" s="2"/>
      <c r="L405" s="3"/>
      <c r="M405" s="1"/>
      <c r="N405" s="1"/>
      <c r="O405" s="14"/>
      <c r="R405" s="128"/>
      <c r="S405" s="128"/>
      <c r="U405" s="95"/>
      <c r="W405" s="6"/>
      <c r="X405" s="2"/>
      <c r="Y405" s="2"/>
      <c r="AI405" s="2"/>
      <c r="AL405" s="74"/>
    </row>
    <row r="406" spans="2:38">
      <c r="C406" s="2"/>
      <c r="G406" s="6"/>
      <c r="L406" s="3"/>
      <c r="M406" s="1"/>
      <c r="N406" s="1"/>
      <c r="R406" s="128"/>
      <c r="S406" s="128"/>
      <c r="U406" s="95"/>
      <c r="X406" s="2"/>
      <c r="Y406" s="2"/>
    </row>
    <row r="407" spans="2:38">
      <c r="C407" s="2"/>
      <c r="G407" s="6"/>
      <c r="L407" s="3"/>
      <c r="M407" s="1"/>
      <c r="N407" s="1"/>
      <c r="O407" s="14"/>
      <c r="R407" s="128"/>
      <c r="S407" s="128"/>
      <c r="U407" s="95"/>
      <c r="V407"/>
      <c r="W407" s="6"/>
      <c r="X407" s="2"/>
      <c r="Y407" s="2"/>
      <c r="AI407" s="2"/>
    </row>
    <row r="408" spans="2:38">
      <c r="C408" s="2"/>
      <c r="D408"/>
      <c r="G408" s="6"/>
      <c r="L408" s="3"/>
      <c r="M408" s="1"/>
      <c r="N408" s="1"/>
      <c r="O408" s="14"/>
      <c r="R408" s="128"/>
      <c r="S408" s="128"/>
      <c r="U408" s="95"/>
      <c r="X408" s="2"/>
      <c r="Y408" s="2"/>
    </row>
    <row r="409" spans="2:38">
      <c r="C409" s="2"/>
      <c r="G409" s="6"/>
      <c r="L409" s="3"/>
      <c r="M409" s="1"/>
      <c r="N409" s="1"/>
      <c r="O409" s="14"/>
      <c r="P409" s="163"/>
      <c r="R409" s="128"/>
      <c r="S409" s="128"/>
      <c r="U409" s="95"/>
      <c r="W409" s="161"/>
      <c r="X409" s="2"/>
      <c r="Y409" s="2"/>
      <c r="AI409" s="2"/>
      <c r="AJ409" s="1"/>
      <c r="AL409" s="74"/>
    </row>
    <row r="410" spans="2:38">
      <c r="B410" s="61"/>
      <c r="C410" s="2"/>
      <c r="D410"/>
      <c r="G410" s="6"/>
      <c r="L410" s="3"/>
      <c r="M410" s="1"/>
      <c r="N410" s="1"/>
      <c r="R410" s="128"/>
      <c r="S410" s="128"/>
      <c r="U410" s="95"/>
      <c r="X410" s="2"/>
      <c r="Y410" s="2"/>
    </row>
    <row r="411" spans="2:38">
      <c r="C411" s="2"/>
      <c r="G411" s="6"/>
      <c r="L411" s="3"/>
      <c r="M411" s="1"/>
      <c r="N411" s="1"/>
      <c r="O411" s="14"/>
      <c r="R411" s="128"/>
      <c r="S411" s="128"/>
      <c r="U411" s="95"/>
      <c r="W411" s="6"/>
      <c r="X411" s="2"/>
      <c r="Y411" s="2"/>
    </row>
    <row r="412" spans="2:38">
      <c r="C412" s="2"/>
      <c r="G412" s="6"/>
      <c r="L412" s="3"/>
      <c r="M412" s="1"/>
      <c r="N412" s="1"/>
      <c r="O412" s="14"/>
      <c r="R412" s="128"/>
      <c r="S412" s="128"/>
      <c r="U412" s="95"/>
      <c r="X412" s="2"/>
      <c r="Y412" s="2"/>
    </row>
    <row r="413" spans="2:38">
      <c r="C413" s="2"/>
      <c r="G413" s="6"/>
      <c r="I413" s="295"/>
      <c r="L413" s="3"/>
      <c r="M413" s="1"/>
      <c r="N413" s="1"/>
      <c r="O413" s="14"/>
      <c r="R413" s="128"/>
      <c r="S413" s="128"/>
      <c r="U413" s="95"/>
      <c r="X413" s="2"/>
      <c r="Y413" s="2"/>
    </row>
    <row r="414" spans="2:38">
      <c r="C414" s="2"/>
      <c r="D414"/>
      <c r="E414" s="14"/>
      <c r="G414" s="6"/>
      <c r="L414" s="3"/>
      <c r="M414" s="1"/>
      <c r="N414" s="1"/>
      <c r="O414" s="14"/>
      <c r="R414" s="128"/>
      <c r="S414" s="128"/>
      <c r="U414" s="95"/>
      <c r="X414" s="2"/>
      <c r="Y414" s="2"/>
    </row>
    <row r="415" spans="2:38">
      <c r="C415" s="2"/>
      <c r="G415" s="6"/>
      <c r="J415" s="305"/>
      <c r="L415" s="3"/>
      <c r="M415" s="1"/>
      <c r="N415" s="1"/>
      <c r="O415" s="14"/>
      <c r="R415" s="128"/>
      <c r="S415" s="128"/>
      <c r="U415" s="95"/>
      <c r="X415" s="2"/>
      <c r="Y415" s="2"/>
    </row>
    <row r="416" spans="2:38">
      <c r="C416" s="2"/>
      <c r="G416" s="6"/>
      <c r="L416" s="3"/>
      <c r="M416" s="1"/>
      <c r="N416" s="1"/>
      <c r="O416" s="14"/>
      <c r="R416" s="128"/>
      <c r="S416" s="128"/>
      <c r="U416" s="95"/>
      <c r="X416" s="2"/>
      <c r="Y416" s="2"/>
    </row>
    <row r="417" spans="2:38">
      <c r="C417" s="2"/>
      <c r="G417" s="6"/>
      <c r="L417" s="3"/>
      <c r="M417" s="1"/>
      <c r="N417" s="1"/>
      <c r="O417" s="14"/>
      <c r="R417" s="128"/>
      <c r="S417" s="128"/>
      <c r="U417" s="95"/>
      <c r="X417" s="2"/>
      <c r="Y417" s="2"/>
    </row>
    <row r="418" spans="2:38">
      <c r="C418" s="2"/>
      <c r="G418" s="6"/>
      <c r="L418" s="3"/>
      <c r="M418" s="1"/>
      <c r="N418" s="1"/>
      <c r="R418" s="128"/>
      <c r="S418" s="128"/>
      <c r="T418" s="133"/>
      <c r="U418" s="95"/>
      <c r="X418" s="2"/>
      <c r="Y418" s="2"/>
    </row>
    <row r="419" spans="2:38">
      <c r="C419" s="2"/>
      <c r="G419" s="6"/>
      <c r="L419" s="3"/>
      <c r="M419" s="1"/>
      <c r="N419" s="1"/>
      <c r="O419" s="14"/>
      <c r="R419" s="128"/>
      <c r="S419" s="128"/>
      <c r="U419" s="95"/>
      <c r="X419" s="2"/>
      <c r="Y419" s="2"/>
    </row>
    <row r="420" spans="2:38">
      <c r="C420" s="2"/>
      <c r="G420" s="6"/>
      <c r="I420" s="295"/>
      <c r="L420" s="3"/>
      <c r="M420" s="1"/>
      <c r="N420" s="1"/>
      <c r="O420" s="14"/>
      <c r="R420" s="128"/>
      <c r="S420" s="128"/>
      <c r="U420" s="95"/>
      <c r="X420" s="2"/>
      <c r="Y420" s="2"/>
    </row>
    <row r="421" spans="2:38">
      <c r="C421" s="2"/>
      <c r="F421" s="61"/>
      <c r="L421" s="3"/>
      <c r="M421" s="1"/>
      <c r="N421" s="1"/>
      <c r="O421" s="14"/>
      <c r="R421" s="128"/>
      <c r="S421" s="128"/>
      <c r="U421" s="95"/>
      <c r="X421" s="2"/>
      <c r="Y421" s="2"/>
    </row>
    <row r="422" spans="2:38">
      <c r="C422" s="2"/>
      <c r="F422" s="61"/>
      <c r="L422" s="3"/>
      <c r="M422" s="1"/>
      <c r="N422" s="1"/>
      <c r="O422" s="14"/>
      <c r="R422" s="128"/>
      <c r="S422" s="128"/>
      <c r="U422" s="95"/>
      <c r="X422" s="2"/>
      <c r="Y422" s="2"/>
    </row>
    <row r="423" spans="2:38">
      <c r="C423" s="2"/>
      <c r="F423" s="61"/>
      <c r="L423" s="3"/>
      <c r="M423" s="1"/>
      <c r="N423" s="1"/>
      <c r="O423" s="14"/>
      <c r="R423" s="128"/>
      <c r="S423" s="128"/>
      <c r="U423" s="95"/>
      <c r="X423" s="2"/>
      <c r="Y423" s="2"/>
    </row>
    <row r="424" spans="2:38">
      <c r="C424" s="2"/>
      <c r="F424" s="61"/>
      <c r="L424" s="3"/>
      <c r="M424" s="1"/>
      <c r="N424" s="1"/>
      <c r="O424" s="14"/>
      <c r="P424" s="163"/>
      <c r="R424" s="128"/>
      <c r="S424" s="128"/>
      <c r="U424" s="95"/>
      <c r="W424" s="161"/>
      <c r="X424" s="2"/>
      <c r="Y424" s="2"/>
      <c r="AI424"/>
      <c r="AJ424" s="1"/>
      <c r="AL424" s="74"/>
    </row>
    <row r="425" spans="2:38">
      <c r="B425" s="61"/>
      <c r="C425" s="2"/>
      <c r="E425" s="61"/>
      <c r="F425" s="61"/>
      <c r="G425" s="6"/>
      <c r="L425" s="3"/>
      <c r="M425" s="1"/>
      <c r="N425" s="1"/>
      <c r="O425" s="14"/>
      <c r="R425" s="128"/>
      <c r="S425" s="128"/>
      <c r="U425" s="95"/>
      <c r="X425" s="2"/>
      <c r="Y425" s="2"/>
    </row>
    <row r="426" spans="2:38">
      <c r="C426" s="2"/>
      <c r="F426" s="61"/>
      <c r="G426" s="6"/>
      <c r="L426" s="3"/>
      <c r="M426" s="1"/>
      <c r="N426" s="1"/>
      <c r="O426" s="14"/>
      <c r="R426" s="128"/>
      <c r="S426" s="128"/>
      <c r="U426" s="95"/>
      <c r="W426" s="6"/>
      <c r="X426" s="2"/>
      <c r="Y426" s="2"/>
      <c r="AI426" s="2"/>
      <c r="AL426" s="74"/>
    </row>
    <row r="427" spans="2:38">
      <c r="C427" s="2"/>
      <c r="F427" s="61"/>
      <c r="L427" s="3"/>
      <c r="M427" s="1"/>
      <c r="N427" s="1"/>
      <c r="O427" s="14"/>
      <c r="R427" s="128"/>
      <c r="S427" s="128"/>
      <c r="U427" s="95"/>
      <c r="X427" s="2"/>
      <c r="Y427" s="2"/>
    </row>
    <row r="428" spans="2:38">
      <c r="C428" s="2"/>
      <c r="F428" s="61"/>
      <c r="G428" s="6"/>
      <c r="L428" s="3"/>
      <c r="M428" s="1"/>
      <c r="N428" s="1"/>
      <c r="O428" s="14"/>
      <c r="R428" s="128"/>
      <c r="S428" s="128"/>
      <c r="U428" s="95"/>
      <c r="X428" s="2"/>
      <c r="Y428" s="2"/>
    </row>
    <row r="429" spans="2:38">
      <c r="C429" s="2"/>
      <c r="F429" s="61"/>
      <c r="G429" s="6"/>
      <c r="K429" s="31"/>
      <c r="L429" s="3"/>
      <c r="M429" s="1"/>
      <c r="N429" s="1"/>
      <c r="O429" s="14"/>
      <c r="R429" s="128"/>
      <c r="S429" s="128"/>
      <c r="U429" s="95"/>
      <c r="W429" s="6"/>
      <c r="X429" s="2"/>
      <c r="Y429" s="2"/>
    </row>
    <row r="430" spans="2:38">
      <c r="C430" s="2"/>
      <c r="F430" s="61"/>
      <c r="G430" s="6"/>
      <c r="L430" s="3"/>
      <c r="M430" s="1"/>
      <c r="N430" s="1"/>
      <c r="O430" s="14"/>
      <c r="R430" s="128"/>
      <c r="S430" s="128"/>
      <c r="U430" s="95"/>
      <c r="X430" s="2"/>
      <c r="Y430" s="2"/>
    </row>
    <row r="431" spans="2:38">
      <c r="C431" s="2"/>
      <c r="F431" s="61"/>
      <c r="G431" s="6"/>
      <c r="L431" s="3"/>
      <c r="M431" s="1"/>
      <c r="N431" s="1"/>
      <c r="O431" s="14"/>
      <c r="R431" s="128"/>
      <c r="S431" s="128"/>
      <c r="U431" s="95"/>
      <c r="X431" s="2"/>
      <c r="Y431" s="2"/>
    </row>
    <row r="432" spans="2:38">
      <c r="C432" s="2"/>
      <c r="F432" s="61"/>
      <c r="L432" s="3"/>
      <c r="M432" s="1"/>
      <c r="N432" s="1"/>
      <c r="O432" s="14"/>
      <c r="R432" s="128"/>
      <c r="S432" s="128"/>
      <c r="U432" s="95"/>
      <c r="X432" s="2"/>
      <c r="Y432" s="2"/>
    </row>
    <row r="433" spans="3:9">
      <c r="C433" s="2"/>
      <c r="F433" s="61"/>
      <c r="I433" s="295"/>
    </row>
  </sheetData>
  <dataValidations count="1">
    <dataValidation type="list" allowBlank="1" showInputMessage="1" showErrorMessage="1" sqref="O2:O381" xr:uid="{46228AC0-8A62-4848-9760-15042659BD80}">
      <formula1>$AT$4:$AT$15</formula1>
    </dataValidation>
  </dataValidations>
  <hyperlinks>
    <hyperlink ref="K16" r:id="rId1" display="mailto:mnlhernandezgonzalez63@gmail.com" xr:uid="{00000000-0004-0000-0500-000000000000}"/>
    <hyperlink ref="K42" r:id="rId2" display="mailto:mnlhernandezgonzalez63@gmail.com" xr:uid="{00000000-0004-0000-0500-000001000000}"/>
    <hyperlink ref="K8" r:id="rId3" xr:uid="{00000000-0004-0000-0500-000002000000}"/>
    <hyperlink ref="K84" r:id="rId4" display="mailto:juagrisa@gmail.com" xr:uid="{00000000-0004-0000-0500-000003000000}"/>
    <hyperlink ref="K85" r:id="rId5" display="mailto:juanmegane87@gmail.com" xr:uid="{00000000-0004-0000-0500-000004000000}"/>
    <hyperlink ref="K86" r:id="rId6" display="mailto:castillocruzagustin@gmail.com" xr:uid="{00000000-0004-0000-0500-000005000000}"/>
    <hyperlink ref="K145" r:id="rId7" display="mailto:juagrisa@gmail.com" xr:uid="{00000000-0004-0000-0500-000006000000}"/>
    <hyperlink ref="K171" r:id="rId8" xr:uid="{00000000-0004-0000-0500-000007000000}"/>
    <hyperlink ref="K246" r:id="rId9" xr:uid="{00000000-0004-0000-0500-000008000000}"/>
    <hyperlink ref="K253" r:id="rId10" xr:uid="{00000000-0004-0000-0500-000009000000}"/>
    <hyperlink ref="K263" r:id="rId11" xr:uid="{00000000-0004-0000-0500-00000A000000}"/>
    <hyperlink ref="K313" r:id="rId12" xr:uid="{00000000-0004-0000-0500-00000B000000}"/>
    <hyperlink ref="K294" r:id="rId13" display="mailto:ruben_mc95@hotmail.com" xr:uid="{00000000-0004-0000-0500-00000C000000}"/>
    <hyperlink ref="K337" r:id="rId14" xr:uid="{00000000-0004-0000-0500-00000D000000}"/>
    <hyperlink ref="K331" r:id="rId15" xr:uid="{00000000-0004-0000-0500-00000E000000}"/>
    <hyperlink ref="K342" r:id="rId16" xr:uid="{00000000-0004-0000-0500-00000F000000}"/>
    <hyperlink ref="K378" r:id="rId17" xr:uid="{3C34DEF4-5A57-4CF3-BFFC-64183C27D553}"/>
    <hyperlink ref="K373" r:id="rId18" xr:uid="{15EC6EE0-4528-49D2-97E3-8C166DBA84C3}"/>
  </hyperlinks>
  <pageMargins left="0.7" right="0.7" top="0.75" bottom="0.75" header="0.3" footer="0.3"/>
  <pageSetup paperSize="9" scale="17" fitToHeight="0" orientation="landscape" r:id="rId19"/>
  <drawing r:id="rId20"/>
  <tableParts count="2">
    <tablePart r:id="rId21"/>
    <tablePart r:id="rId2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2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EI434"/>
  <sheetViews>
    <sheetView topLeftCell="A371" zoomScale="85" zoomScaleNormal="85" workbookViewId="0">
      <pane xSplit="2" topLeftCell="C1" activePane="topRight" state="frozen"/>
      <selection pane="topRight" activeCell="G397" sqref="G397"/>
    </sheetView>
  </sheetViews>
  <sheetFormatPr baseColWidth="10" defaultRowHeight="15"/>
  <cols>
    <col min="1" max="1" width="5.7109375" style="1" customWidth="1"/>
    <col min="2" max="2" width="22.140625" bestFit="1" customWidth="1"/>
    <col min="3" max="3" width="14.7109375" style="1" customWidth="1"/>
    <col min="4" max="4" width="5.5703125" style="1" customWidth="1"/>
    <col min="5" max="5" width="10.42578125" style="1" bestFit="1" customWidth="1"/>
    <col min="6" max="6" width="48.85546875" customWidth="1"/>
    <col min="7" max="7" width="47.140625" bestFit="1" customWidth="1"/>
    <col min="8" max="8" width="15.42578125" style="1" bestFit="1" customWidth="1"/>
    <col min="9" max="9" width="23.42578125" style="1" customWidth="1"/>
    <col min="10" max="10" width="13.5703125" style="1" bestFit="1" customWidth="1"/>
    <col min="11" max="11" width="37.85546875" bestFit="1" customWidth="1"/>
    <col min="12" max="12" width="14.140625" style="1" bestFit="1" customWidth="1"/>
    <col min="13" max="13" width="17.5703125" style="1" bestFit="1" customWidth="1"/>
    <col min="14" max="14" width="31.7109375" bestFit="1" customWidth="1"/>
    <col min="15" max="15" width="23.140625" style="61" bestFit="1" customWidth="1"/>
    <col min="16" max="16" width="71" bestFit="1" customWidth="1"/>
    <col min="17" max="17" width="11.5703125" bestFit="1" customWidth="1"/>
    <col min="18" max="18" width="13.42578125" bestFit="1" customWidth="1"/>
    <col min="19" max="19" width="8.7109375" bestFit="1" customWidth="1"/>
    <col min="20" max="20" width="15" bestFit="1" customWidth="1"/>
    <col min="21" max="21" width="12.5703125" bestFit="1" customWidth="1"/>
    <col min="22" max="22" width="12" customWidth="1"/>
    <col min="23" max="23" width="11.28515625" bestFit="1" customWidth="1"/>
    <col min="24" max="24" width="17.42578125" customWidth="1"/>
    <col min="25" max="25" width="11" bestFit="1" customWidth="1"/>
    <col min="26" max="26" width="16.7109375" style="1" bestFit="1" customWidth="1"/>
    <col min="27" max="27" width="27.7109375" customWidth="1"/>
    <col min="28" max="28" width="15.140625" bestFit="1" customWidth="1"/>
    <col min="29" max="29" width="6.5703125" customWidth="1"/>
    <col min="30" max="30" width="23.140625" bestFit="1" customWidth="1"/>
    <col min="31" max="31" width="13.85546875" bestFit="1" customWidth="1"/>
    <col min="32" max="32" width="9.28515625" customWidth="1"/>
    <col min="33" max="33" width="14.85546875" bestFit="1" customWidth="1"/>
    <col min="34" max="34" width="13.28515625" bestFit="1" customWidth="1"/>
    <col min="35" max="35" width="19" bestFit="1" customWidth="1"/>
    <col min="36" max="36" width="15.85546875" customWidth="1"/>
    <col min="37" max="37" width="11.85546875" bestFit="1" customWidth="1"/>
    <col min="38" max="38" width="21.28515625" bestFit="1" customWidth="1"/>
    <col min="39" max="39" width="16.5703125" bestFit="1" customWidth="1"/>
    <col min="40" max="40" width="17.7109375" bestFit="1" customWidth="1"/>
    <col min="41" max="41" width="26" bestFit="1" customWidth="1"/>
    <col min="45" max="45" width="23.140625" bestFit="1" customWidth="1"/>
  </cols>
  <sheetData>
    <row r="1" spans="1:45" s="14" customFormat="1" ht="47.25" customHeight="1">
      <c r="A1" s="348"/>
      <c r="B1" s="348" t="s">
        <v>9774</v>
      </c>
      <c r="C1" s="349" t="s">
        <v>1</v>
      </c>
      <c r="D1" s="349" t="s">
        <v>7772</v>
      </c>
      <c r="E1" s="326" t="s">
        <v>2</v>
      </c>
      <c r="F1" s="350" t="s">
        <v>3</v>
      </c>
      <c r="G1" s="350" t="s">
        <v>4</v>
      </c>
      <c r="H1" s="351" t="s">
        <v>5</v>
      </c>
      <c r="I1" s="326" t="s">
        <v>6</v>
      </c>
      <c r="J1" s="326" t="s">
        <v>7</v>
      </c>
      <c r="K1" s="326" t="s">
        <v>8</v>
      </c>
      <c r="L1" s="326" t="s">
        <v>9</v>
      </c>
      <c r="M1" s="352" t="s">
        <v>10</v>
      </c>
      <c r="N1" s="326" t="s">
        <v>11</v>
      </c>
      <c r="O1" s="350" t="s">
        <v>7927</v>
      </c>
      <c r="P1" s="326" t="s">
        <v>12</v>
      </c>
      <c r="Q1" s="353" t="s">
        <v>13</v>
      </c>
      <c r="R1" s="326" t="s">
        <v>14</v>
      </c>
      <c r="S1" s="328" t="s">
        <v>15</v>
      </c>
      <c r="T1" s="329" t="s">
        <v>16</v>
      </c>
      <c r="U1" s="326" t="s">
        <v>7923</v>
      </c>
      <c r="V1" s="354" t="s">
        <v>18</v>
      </c>
      <c r="W1" s="355" t="s">
        <v>19</v>
      </c>
      <c r="X1" s="356" t="s">
        <v>20</v>
      </c>
      <c r="Y1" s="357" t="s">
        <v>21</v>
      </c>
      <c r="Z1" s="349" t="s">
        <v>7773</v>
      </c>
      <c r="AA1" s="358" t="s">
        <v>22</v>
      </c>
      <c r="AB1" s="359" t="s">
        <v>1338</v>
      </c>
      <c r="AC1" s="355" t="s">
        <v>7889</v>
      </c>
      <c r="AD1" s="359" t="s">
        <v>1490</v>
      </c>
      <c r="AE1" s="355" t="s">
        <v>153</v>
      </c>
      <c r="AF1" s="355" t="s">
        <v>218</v>
      </c>
      <c r="AG1" s="360" t="s">
        <v>3382</v>
      </c>
      <c r="AH1" s="355" t="s">
        <v>1359</v>
      </c>
      <c r="AI1" s="355" t="s">
        <v>25</v>
      </c>
      <c r="AJ1" s="357" t="s">
        <v>26</v>
      </c>
      <c r="AK1" s="357" t="s">
        <v>27</v>
      </c>
      <c r="AL1" s="357" t="s">
        <v>28</v>
      </c>
      <c r="AM1" s="357" t="s">
        <v>29</v>
      </c>
      <c r="AN1" s="361" t="s">
        <v>31</v>
      </c>
      <c r="AO1" s="362" t="s">
        <v>32</v>
      </c>
    </row>
    <row r="2" spans="1:45">
      <c r="A2" s="1">
        <v>1</v>
      </c>
      <c r="B2" s="61" t="s">
        <v>33</v>
      </c>
      <c r="C2" s="2">
        <v>44925</v>
      </c>
      <c r="D2" s="2"/>
      <c r="E2" s="1" t="s">
        <v>4330</v>
      </c>
      <c r="F2" s="61" t="s">
        <v>4331</v>
      </c>
      <c r="G2" s="61" t="s">
        <v>4333</v>
      </c>
      <c r="H2" s="6" t="s">
        <v>219</v>
      </c>
      <c r="I2" s="1" t="s">
        <v>4334</v>
      </c>
      <c r="K2" s="114" t="s">
        <v>11744</v>
      </c>
      <c r="L2" s="1" t="s">
        <v>237</v>
      </c>
      <c r="M2" s="2">
        <v>44957</v>
      </c>
      <c r="N2" s="1" t="s">
        <v>35</v>
      </c>
      <c r="O2" s="61" t="s">
        <v>7925</v>
      </c>
      <c r="P2" s="14" t="s">
        <v>7885</v>
      </c>
      <c r="Q2" s="187">
        <v>132.22999999999999</v>
      </c>
      <c r="R2" s="1">
        <v>1</v>
      </c>
      <c r="S2" s="128">
        <v>0.21</v>
      </c>
      <c r="T2" s="128">
        <v>0.2</v>
      </c>
      <c r="U2" s="363"/>
      <c r="V2" s="95">
        <f t="shared" ref="V2:V65" si="0">SUM(Q2-(Q2*T2))*S2+(Q2-(Q2*T2))</f>
        <v>127.99863999999999</v>
      </c>
      <c r="W2" t="s">
        <v>8024</v>
      </c>
      <c r="X2" s="5" t="s">
        <v>8025</v>
      </c>
      <c r="Y2" s="2">
        <v>32488</v>
      </c>
      <c r="Z2" s="2">
        <v>44925</v>
      </c>
      <c r="AA2" s="11" t="s">
        <v>8294</v>
      </c>
      <c r="AB2" s="2">
        <v>45008</v>
      </c>
      <c r="AC2" s="345" t="s">
        <v>1339</v>
      </c>
      <c r="AD2" s="61" t="s">
        <v>8063</v>
      </c>
      <c r="AF2" t="s">
        <v>3198</v>
      </c>
      <c r="AI2" t="s">
        <v>3108</v>
      </c>
      <c r="AJ2" s="2">
        <v>44964</v>
      </c>
      <c r="AM2" s="3">
        <v>44970</v>
      </c>
    </row>
    <row r="3" spans="1:45">
      <c r="A3" s="1">
        <v>2</v>
      </c>
      <c r="B3" t="s">
        <v>37</v>
      </c>
      <c r="C3" s="2">
        <v>44925</v>
      </c>
      <c r="D3" s="2"/>
      <c r="E3" s="1" t="s">
        <v>7355</v>
      </c>
      <c r="F3" t="s">
        <v>7356</v>
      </c>
      <c r="G3" t="s">
        <v>7357</v>
      </c>
      <c r="H3" s="6" t="s">
        <v>7358</v>
      </c>
      <c r="I3" s="1" t="s">
        <v>7359</v>
      </c>
      <c r="J3" s="8">
        <v>602174812</v>
      </c>
      <c r="K3" s="8"/>
      <c r="L3" s="1" t="s">
        <v>7355</v>
      </c>
      <c r="M3" s="2">
        <v>44957</v>
      </c>
      <c r="N3" s="1" t="s">
        <v>35</v>
      </c>
      <c r="O3" s="61" t="s">
        <v>7939</v>
      </c>
      <c r="P3" s="14" t="s">
        <v>7360</v>
      </c>
      <c r="Q3" s="187">
        <v>0</v>
      </c>
      <c r="R3" s="1">
        <v>1</v>
      </c>
      <c r="S3" s="128">
        <v>0</v>
      </c>
      <c r="T3" s="128">
        <v>0</v>
      </c>
      <c r="U3" s="363"/>
      <c r="V3" s="95">
        <f t="shared" si="0"/>
        <v>0</v>
      </c>
      <c r="W3" t="s">
        <v>7355</v>
      </c>
      <c r="X3" s="5" t="s">
        <v>7921</v>
      </c>
      <c r="Y3" s="2">
        <v>36918</v>
      </c>
      <c r="Z3" s="2">
        <v>44925</v>
      </c>
      <c r="AA3" s="284" t="s">
        <v>1326</v>
      </c>
      <c r="AB3" s="2"/>
      <c r="AC3" s="80"/>
      <c r="AF3" t="s">
        <v>3198</v>
      </c>
      <c r="AI3" t="s">
        <v>3108</v>
      </c>
      <c r="AJ3" s="3">
        <v>44951</v>
      </c>
      <c r="AM3" s="74">
        <v>44956</v>
      </c>
      <c r="AS3" s="1" t="s">
        <v>7938</v>
      </c>
    </row>
    <row r="4" spans="1:45">
      <c r="A4" s="1">
        <v>3</v>
      </c>
      <c r="B4" t="s">
        <v>4321</v>
      </c>
      <c r="C4" s="2">
        <v>44925</v>
      </c>
      <c r="D4" s="2"/>
      <c r="E4" s="1" t="s">
        <v>772</v>
      </c>
      <c r="F4" s="14" t="s">
        <v>773</v>
      </c>
      <c r="G4" t="s">
        <v>1872</v>
      </c>
      <c r="H4" s="6" t="s">
        <v>239</v>
      </c>
      <c r="I4" s="1" t="s">
        <v>2585</v>
      </c>
      <c r="J4" s="1">
        <v>629246817</v>
      </c>
      <c r="K4" s="1"/>
      <c r="L4" s="1" t="s">
        <v>772</v>
      </c>
      <c r="M4" s="2">
        <v>44957</v>
      </c>
      <c r="N4" s="1" t="s">
        <v>35</v>
      </c>
      <c r="O4" s="61" t="s">
        <v>7934</v>
      </c>
      <c r="P4" s="14" t="s">
        <v>7886</v>
      </c>
      <c r="Q4" s="92">
        <v>78.510000000000005</v>
      </c>
      <c r="R4" s="1">
        <v>1</v>
      </c>
      <c r="S4" s="128">
        <v>0.21</v>
      </c>
      <c r="T4" s="128">
        <v>0.2</v>
      </c>
      <c r="U4" s="95"/>
      <c r="V4" s="95">
        <f t="shared" si="0"/>
        <v>75.997680000000003</v>
      </c>
      <c r="W4" s="1" t="s">
        <v>5496</v>
      </c>
      <c r="X4" s="5" t="s">
        <v>7887</v>
      </c>
      <c r="Y4" s="2">
        <v>27316</v>
      </c>
      <c r="Z4" s="2">
        <v>44925</v>
      </c>
      <c r="AA4" s="284" t="s">
        <v>7995</v>
      </c>
      <c r="AB4" s="2">
        <v>44958</v>
      </c>
      <c r="AC4" s="345" t="s">
        <v>1339</v>
      </c>
      <c r="AF4" t="s">
        <v>3198</v>
      </c>
      <c r="AJ4" s="2"/>
      <c r="AK4" s="2"/>
      <c r="AM4" s="2"/>
      <c r="AS4" s="1" t="s">
        <v>7925</v>
      </c>
    </row>
    <row r="5" spans="1:45">
      <c r="A5" s="1">
        <v>4</v>
      </c>
      <c r="B5" t="s">
        <v>33</v>
      </c>
      <c r="C5" s="2">
        <v>44935</v>
      </c>
      <c r="D5" s="2"/>
      <c r="E5" s="1" t="s">
        <v>5854</v>
      </c>
      <c r="F5" t="s">
        <v>5855</v>
      </c>
      <c r="G5" s="61" t="s">
        <v>5856</v>
      </c>
      <c r="H5" s="6" t="s">
        <v>219</v>
      </c>
      <c r="I5" s="1" t="s">
        <v>38</v>
      </c>
      <c r="K5" s="114" t="s">
        <v>11744</v>
      </c>
      <c r="L5" s="30" t="s">
        <v>237</v>
      </c>
      <c r="M5" s="2">
        <v>44957</v>
      </c>
      <c r="N5" s="1" t="s">
        <v>35</v>
      </c>
      <c r="O5" s="61" t="s">
        <v>7934</v>
      </c>
      <c r="P5" s="14" t="s">
        <v>7891</v>
      </c>
      <c r="Q5" s="187">
        <v>78.510000000000005</v>
      </c>
      <c r="R5" s="1">
        <v>1</v>
      </c>
      <c r="S5" s="90">
        <v>0.21</v>
      </c>
      <c r="T5" s="90">
        <v>0.2</v>
      </c>
      <c r="U5" s="363"/>
      <c r="V5" s="95">
        <f t="shared" si="0"/>
        <v>75.997680000000003</v>
      </c>
      <c r="W5" s="1" t="s">
        <v>5871</v>
      </c>
      <c r="X5" s="5" t="s">
        <v>7892</v>
      </c>
      <c r="Y5" s="2">
        <v>36240</v>
      </c>
      <c r="Z5" s="2">
        <v>44935</v>
      </c>
      <c r="AA5" s="284" t="s">
        <v>8021</v>
      </c>
      <c r="AB5" s="2">
        <v>44964</v>
      </c>
      <c r="AC5" s="345" t="s">
        <v>1339</v>
      </c>
      <c r="AF5" t="s">
        <v>3198</v>
      </c>
      <c r="AJ5" s="2"/>
      <c r="AM5" s="3"/>
      <c r="AS5" s="1" t="s">
        <v>7928</v>
      </c>
    </row>
    <row r="6" spans="1:45">
      <c r="A6" s="1">
        <v>5</v>
      </c>
      <c r="B6" t="s">
        <v>7036</v>
      </c>
      <c r="C6" s="2">
        <v>44935</v>
      </c>
      <c r="D6" s="2"/>
      <c r="E6" s="1" t="s">
        <v>6375</v>
      </c>
      <c r="F6" t="s">
        <v>6376</v>
      </c>
      <c r="G6" s="61" t="s">
        <v>6377</v>
      </c>
      <c r="H6" s="6" t="s">
        <v>294</v>
      </c>
      <c r="I6" s="1" t="s">
        <v>103</v>
      </c>
      <c r="J6" s="8">
        <v>660744167</v>
      </c>
      <c r="K6" s="8" t="s">
        <v>6332</v>
      </c>
      <c r="L6" s="1" t="s">
        <v>6375</v>
      </c>
      <c r="M6" s="2">
        <v>44957</v>
      </c>
      <c r="N6" s="1" t="s">
        <v>35</v>
      </c>
      <c r="O6" s="61" t="s">
        <v>7925</v>
      </c>
      <c r="P6" s="14" t="s">
        <v>7894</v>
      </c>
      <c r="Q6" s="187">
        <v>132.22999999999999</v>
      </c>
      <c r="R6" s="1">
        <v>1</v>
      </c>
      <c r="S6" s="128">
        <v>0.21</v>
      </c>
      <c r="T6" s="128">
        <v>0.2</v>
      </c>
      <c r="U6" s="209"/>
      <c r="V6" s="95">
        <f t="shared" si="0"/>
        <v>127.99863999999999</v>
      </c>
      <c r="W6" t="s">
        <v>8039</v>
      </c>
      <c r="X6" s="5" t="s">
        <v>8040</v>
      </c>
      <c r="Y6" s="211">
        <v>36369</v>
      </c>
      <c r="Z6" s="2">
        <v>44935</v>
      </c>
      <c r="AA6" s="11" t="s">
        <v>8711</v>
      </c>
      <c r="AB6" s="2">
        <v>45089</v>
      </c>
      <c r="AC6" s="345" t="s">
        <v>1339</v>
      </c>
      <c r="AF6" t="s">
        <v>3198</v>
      </c>
      <c r="AI6" s="76" t="s">
        <v>3108</v>
      </c>
      <c r="AJ6" s="3">
        <v>44965</v>
      </c>
      <c r="AM6" s="74"/>
      <c r="AS6" s="1" t="s">
        <v>7929</v>
      </c>
    </row>
    <row r="7" spans="1:45">
      <c r="A7" s="1">
        <v>6</v>
      </c>
      <c r="B7" t="s">
        <v>3526</v>
      </c>
      <c r="C7" s="2">
        <v>44936</v>
      </c>
      <c r="D7" s="2"/>
      <c r="E7" s="1" t="s">
        <v>7896</v>
      </c>
      <c r="F7" t="s">
        <v>7897</v>
      </c>
      <c r="G7" t="s">
        <v>7898</v>
      </c>
      <c r="H7" s="6" t="s">
        <v>219</v>
      </c>
      <c r="I7" s="1" t="s">
        <v>4334</v>
      </c>
      <c r="K7" s="1"/>
      <c r="L7" s="1" t="s">
        <v>7896</v>
      </c>
      <c r="M7" s="2">
        <v>44957</v>
      </c>
      <c r="N7" s="1" t="s">
        <v>35</v>
      </c>
      <c r="O7" s="61" t="s">
        <v>7925</v>
      </c>
      <c r="P7" s="14" t="s">
        <v>7899</v>
      </c>
      <c r="Q7" s="187">
        <v>132.22999999999999</v>
      </c>
      <c r="R7" s="1">
        <v>1</v>
      </c>
      <c r="S7" s="128">
        <v>0.21</v>
      </c>
      <c r="T7" s="128">
        <v>0.2</v>
      </c>
      <c r="U7" s="363"/>
      <c r="V7" s="186">
        <f t="shared" si="0"/>
        <v>127.99863999999999</v>
      </c>
      <c r="W7" t="s">
        <v>8048</v>
      </c>
      <c r="X7" s="5" t="s">
        <v>8049</v>
      </c>
      <c r="Y7" s="3">
        <v>32464</v>
      </c>
      <c r="Z7" s="2">
        <v>44936</v>
      </c>
      <c r="AA7" s="11" t="s">
        <v>8273</v>
      </c>
      <c r="AB7" s="2">
        <v>45006</v>
      </c>
      <c r="AC7" s="345" t="s">
        <v>1339</v>
      </c>
      <c r="AD7" t="s">
        <v>7900</v>
      </c>
      <c r="AF7" t="s">
        <v>3198</v>
      </c>
      <c r="AI7" t="s">
        <v>3108</v>
      </c>
      <c r="AJ7" s="3">
        <v>44968</v>
      </c>
      <c r="AM7" s="3">
        <v>44970</v>
      </c>
      <c r="AS7" s="1" t="s">
        <v>7926</v>
      </c>
    </row>
    <row r="8" spans="1:45">
      <c r="A8" s="1">
        <v>7</v>
      </c>
      <c r="B8" s="61" t="s">
        <v>119</v>
      </c>
      <c r="C8" s="2">
        <v>44936</v>
      </c>
      <c r="D8" s="2"/>
      <c r="E8" s="1" t="s">
        <v>2443</v>
      </c>
      <c r="F8" s="61" t="s">
        <v>2343</v>
      </c>
      <c r="G8" s="61" t="s">
        <v>7576</v>
      </c>
      <c r="H8" s="6" t="s">
        <v>239</v>
      </c>
      <c r="I8" s="1" t="s">
        <v>86</v>
      </c>
      <c r="K8" s="1" t="s">
        <v>8094</v>
      </c>
      <c r="L8" s="30" t="s">
        <v>174</v>
      </c>
      <c r="M8" s="2">
        <v>44957</v>
      </c>
      <c r="N8" s="1" t="s">
        <v>35</v>
      </c>
      <c r="O8" s="61" t="s">
        <v>7925</v>
      </c>
      <c r="P8" s="14" t="s">
        <v>7577</v>
      </c>
      <c r="Q8" s="187">
        <v>0</v>
      </c>
      <c r="R8" s="1">
        <v>1</v>
      </c>
      <c r="S8" s="90">
        <v>0.21</v>
      </c>
      <c r="T8" s="90">
        <v>0.2</v>
      </c>
      <c r="U8" s="95"/>
      <c r="V8" s="95">
        <f t="shared" si="0"/>
        <v>0</v>
      </c>
      <c r="W8" t="s">
        <v>7639</v>
      </c>
      <c r="X8" s="5" t="s">
        <v>8055</v>
      </c>
      <c r="Y8" s="2">
        <v>33857</v>
      </c>
      <c r="Z8" s="2">
        <v>44936</v>
      </c>
      <c r="AA8" s="11" t="s">
        <v>8273</v>
      </c>
      <c r="AB8" s="2">
        <v>45006</v>
      </c>
      <c r="AC8" s="345" t="s">
        <v>1339</v>
      </c>
      <c r="AF8" t="s">
        <v>3198</v>
      </c>
      <c r="AI8" t="s">
        <v>7901</v>
      </c>
      <c r="AJ8" s="2">
        <v>44968</v>
      </c>
      <c r="AK8" s="2"/>
      <c r="AM8" s="2">
        <v>44978</v>
      </c>
      <c r="AS8" s="1" t="s">
        <v>7934</v>
      </c>
    </row>
    <row r="9" spans="1:45">
      <c r="A9" s="149">
        <v>8</v>
      </c>
      <c r="B9" s="153" t="s">
        <v>37</v>
      </c>
      <c r="C9" s="151">
        <v>44936</v>
      </c>
      <c r="D9" s="151"/>
      <c r="E9" s="149"/>
      <c r="F9" s="153" t="s">
        <v>7902</v>
      </c>
      <c r="G9" s="153" t="s">
        <v>7903</v>
      </c>
      <c r="H9" s="152" t="s">
        <v>702</v>
      </c>
      <c r="I9" s="149" t="s">
        <v>3681</v>
      </c>
      <c r="J9" s="149">
        <v>641403657</v>
      </c>
      <c r="K9" s="149"/>
      <c r="L9" s="149"/>
      <c r="M9" s="151">
        <v>44957</v>
      </c>
      <c r="N9" s="149" t="s">
        <v>35</v>
      </c>
      <c r="O9" s="61" t="s">
        <v>7925</v>
      </c>
      <c r="P9" s="191" t="s">
        <v>7904</v>
      </c>
      <c r="Q9" s="222">
        <v>0</v>
      </c>
      <c r="R9" s="149">
        <v>1</v>
      </c>
      <c r="S9" s="156">
        <v>0.21</v>
      </c>
      <c r="T9" s="156">
        <v>0</v>
      </c>
      <c r="U9" s="364"/>
      <c r="V9" s="157">
        <f t="shared" si="0"/>
        <v>0</v>
      </c>
      <c r="W9" t="s">
        <v>8050</v>
      </c>
      <c r="X9" s="5" t="s">
        <v>8051</v>
      </c>
      <c r="Y9" s="154">
        <v>31731</v>
      </c>
      <c r="Z9" s="151">
        <v>44936</v>
      </c>
      <c r="AA9" s="11" t="s">
        <v>8278</v>
      </c>
      <c r="AB9" s="2">
        <v>45008</v>
      </c>
      <c r="AC9" s="345" t="s">
        <v>1339</v>
      </c>
      <c r="AF9" t="s">
        <v>3198</v>
      </c>
      <c r="AI9" t="s">
        <v>3108</v>
      </c>
      <c r="AJ9" s="3">
        <v>44968</v>
      </c>
      <c r="AM9" s="3">
        <v>44971</v>
      </c>
      <c r="AS9" s="1" t="s">
        <v>7935</v>
      </c>
    </row>
    <row r="10" spans="1:45">
      <c r="A10" s="1">
        <v>9</v>
      </c>
      <c r="B10" t="s">
        <v>3526</v>
      </c>
      <c r="C10" s="2">
        <v>44936</v>
      </c>
      <c r="D10" s="2"/>
      <c r="E10" s="1" t="s">
        <v>6365</v>
      </c>
      <c r="F10" s="61" t="s">
        <v>6366</v>
      </c>
      <c r="G10" s="61" t="s">
        <v>6367</v>
      </c>
      <c r="H10" s="6" t="s">
        <v>5141</v>
      </c>
      <c r="I10" s="1" t="s">
        <v>5142</v>
      </c>
      <c r="J10" s="8">
        <v>649920354</v>
      </c>
      <c r="K10" s="1" t="s">
        <v>5908</v>
      </c>
      <c r="L10" s="1" t="s">
        <v>6365</v>
      </c>
      <c r="M10" s="2">
        <v>44957</v>
      </c>
      <c r="N10" s="1" t="s">
        <v>35</v>
      </c>
      <c r="O10" s="61" t="s">
        <v>7926</v>
      </c>
      <c r="P10" s="14" t="s">
        <v>6369</v>
      </c>
      <c r="Q10" s="187">
        <v>132.22999999999999</v>
      </c>
      <c r="R10" s="1">
        <v>1</v>
      </c>
      <c r="S10" s="128">
        <v>0.21</v>
      </c>
      <c r="T10" s="128">
        <v>0.2</v>
      </c>
      <c r="U10" s="363"/>
      <c r="V10" s="95">
        <f t="shared" si="0"/>
        <v>127.99863999999999</v>
      </c>
      <c r="W10" t="s">
        <v>6479</v>
      </c>
      <c r="X10" s="5" t="s">
        <v>7996</v>
      </c>
      <c r="Y10" s="2">
        <v>30915</v>
      </c>
      <c r="Z10" s="2">
        <v>44936</v>
      </c>
      <c r="AA10" s="11" t="s">
        <v>8156</v>
      </c>
      <c r="AB10" s="2">
        <v>44991</v>
      </c>
      <c r="AC10" s="345" t="s">
        <v>1339</v>
      </c>
      <c r="AE10" s="3"/>
      <c r="AF10" t="s">
        <v>3198</v>
      </c>
      <c r="AI10" t="s">
        <v>3221</v>
      </c>
      <c r="AJ10" s="2">
        <v>44958</v>
      </c>
      <c r="AK10" s="3"/>
      <c r="AM10" s="74">
        <v>44960</v>
      </c>
      <c r="AS10" s="1" t="s">
        <v>7931</v>
      </c>
    </row>
    <row r="11" spans="1:45">
      <c r="A11" s="149">
        <v>10</v>
      </c>
      <c r="B11" s="153" t="s">
        <v>37</v>
      </c>
      <c r="C11" s="151">
        <v>44937</v>
      </c>
      <c r="D11" s="151"/>
      <c r="E11" s="149"/>
      <c r="F11" s="153" t="s">
        <v>7912</v>
      </c>
      <c r="G11" s="153"/>
      <c r="H11" s="152"/>
      <c r="I11" s="149"/>
      <c r="J11" s="149"/>
      <c r="K11" s="1" t="s">
        <v>8353</v>
      </c>
      <c r="L11" s="149"/>
      <c r="M11" s="151">
        <v>44957</v>
      </c>
      <c r="N11" s="149" t="s">
        <v>35</v>
      </c>
      <c r="O11" s="61" t="s">
        <v>7929</v>
      </c>
      <c r="P11" s="191" t="s">
        <v>7913</v>
      </c>
      <c r="Q11" s="192">
        <v>0</v>
      </c>
      <c r="R11" s="149">
        <v>1</v>
      </c>
      <c r="S11" s="156">
        <v>0.21</v>
      </c>
      <c r="T11" s="156">
        <v>0</v>
      </c>
      <c r="U11" s="364"/>
      <c r="V11" s="370">
        <f t="shared" si="0"/>
        <v>0</v>
      </c>
      <c r="W11" s="153" t="s">
        <v>8013</v>
      </c>
      <c r="X11" s="225" t="s">
        <v>8014</v>
      </c>
      <c r="Y11" s="154">
        <v>35046</v>
      </c>
      <c r="Z11" s="151">
        <v>44937</v>
      </c>
      <c r="AA11" s="11" t="s">
        <v>8447</v>
      </c>
      <c r="AB11" s="2">
        <v>45034</v>
      </c>
      <c r="AC11" s="345" t="s">
        <v>1339</v>
      </c>
      <c r="AD11" t="s">
        <v>7914</v>
      </c>
      <c r="AE11" s="162">
        <v>45018</v>
      </c>
      <c r="AF11" t="s">
        <v>3198</v>
      </c>
      <c r="AI11" t="s">
        <v>3108</v>
      </c>
      <c r="AJ11" s="3">
        <v>44960</v>
      </c>
      <c r="AM11" s="3">
        <v>44965</v>
      </c>
      <c r="AS11" s="1" t="s">
        <v>7930</v>
      </c>
    </row>
    <row r="12" spans="1:45">
      <c r="A12" s="1">
        <v>11</v>
      </c>
      <c r="B12" t="s">
        <v>33</v>
      </c>
      <c r="C12" s="2">
        <v>44938</v>
      </c>
      <c r="D12" s="2"/>
      <c r="E12" s="1" t="s">
        <v>3327</v>
      </c>
      <c r="F12" t="s">
        <v>3328</v>
      </c>
      <c r="G12" t="s">
        <v>3329</v>
      </c>
      <c r="H12" s="6" t="s">
        <v>304</v>
      </c>
      <c r="I12" s="1" t="s">
        <v>68</v>
      </c>
      <c r="J12" s="8"/>
      <c r="K12" s="114" t="s">
        <v>11744</v>
      </c>
      <c r="L12" s="30" t="s">
        <v>237</v>
      </c>
      <c r="M12" s="2">
        <v>44957</v>
      </c>
      <c r="N12" s="1" t="s">
        <v>35</v>
      </c>
      <c r="O12" s="61" t="s">
        <v>7925</v>
      </c>
      <c r="P12" s="14" t="s">
        <v>1835</v>
      </c>
      <c r="Q12" s="187">
        <v>132.22999999999999</v>
      </c>
      <c r="R12" s="1">
        <v>1</v>
      </c>
      <c r="S12" s="90">
        <v>0.21</v>
      </c>
      <c r="T12" s="90">
        <v>0.2</v>
      </c>
      <c r="U12" s="363"/>
      <c r="V12" s="95">
        <f t="shared" si="0"/>
        <v>127.99863999999999</v>
      </c>
      <c r="W12" t="s">
        <v>8053</v>
      </c>
      <c r="X12" s="5" t="s">
        <v>8054</v>
      </c>
      <c r="Y12" s="2">
        <v>31477</v>
      </c>
      <c r="Z12" s="2">
        <v>44938</v>
      </c>
      <c r="AA12" s="11" t="s">
        <v>8274</v>
      </c>
      <c r="AB12" s="2">
        <v>45008</v>
      </c>
      <c r="AC12" s="345" t="s">
        <v>1339</v>
      </c>
      <c r="AF12" t="s">
        <v>3198</v>
      </c>
      <c r="AI12" s="76" t="s">
        <v>3108</v>
      </c>
      <c r="AJ12" s="2">
        <v>44968</v>
      </c>
      <c r="AM12" s="74"/>
      <c r="AS12" s="1" t="s">
        <v>7937</v>
      </c>
    </row>
    <row r="13" spans="1:45">
      <c r="A13" s="1">
        <v>12</v>
      </c>
      <c r="B13" t="s">
        <v>3526</v>
      </c>
      <c r="C13" s="2">
        <v>44938</v>
      </c>
      <c r="D13" s="2"/>
      <c r="E13" s="1" t="s">
        <v>4512</v>
      </c>
      <c r="F13" t="s">
        <v>4613</v>
      </c>
      <c r="G13" t="s">
        <v>4614</v>
      </c>
      <c r="H13" s="6" t="s">
        <v>242</v>
      </c>
      <c r="I13" s="1" t="s">
        <v>86</v>
      </c>
      <c r="J13" s="1">
        <v>673821555</v>
      </c>
      <c r="K13" s="8" t="s">
        <v>7157</v>
      </c>
      <c r="L13" s="1" t="s">
        <v>6215</v>
      </c>
      <c r="M13" s="2">
        <v>44957</v>
      </c>
      <c r="N13" s="1" t="s">
        <v>35</v>
      </c>
      <c r="O13" s="61" t="s">
        <v>7925</v>
      </c>
      <c r="P13" s="14" t="s">
        <v>8001</v>
      </c>
      <c r="Q13" s="187">
        <v>132.22999999999999</v>
      </c>
      <c r="R13" s="1">
        <v>1</v>
      </c>
      <c r="S13" s="90">
        <v>0.21</v>
      </c>
      <c r="T13" s="90">
        <v>0.2</v>
      </c>
      <c r="U13" s="363"/>
      <c r="V13" s="95">
        <f t="shared" si="0"/>
        <v>127.99863999999999</v>
      </c>
      <c r="W13" t="s">
        <v>8000</v>
      </c>
      <c r="X13" s="5" t="s">
        <v>7997</v>
      </c>
      <c r="Y13" s="2">
        <v>33615</v>
      </c>
      <c r="Z13" s="2">
        <v>44938</v>
      </c>
      <c r="AA13" s="11" t="s">
        <v>8192</v>
      </c>
      <c r="AB13" s="2">
        <v>44991</v>
      </c>
      <c r="AC13" s="345" t="s">
        <v>1339</v>
      </c>
      <c r="AF13" t="s">
        <v>3198</v>
      </c>
      <c r="AI13" t="s">
        <v>7919</v>
      </c>
      <c r="AJ13" s="3">
        <v>44958</v>
      </c>
      <c r="AM13" s="3">
        <v>44958</v>
      </c>
      <c r="AS13" s="1" t="s">
        <v>7936</v>
      </c>
    </row>
    <row r="14" spans="1:45">
      <c r="A14" s="1">
        <v>13</v>
      </c>
      <c r="B14" t="s">
        <v>37</v>
      </c>
      <c r="C14" s="2">
        <v>44942</v>
      </c>
      <c r="D14" s="2"/>
      <c r="E14" s="1" t="s">
        <v>5724</v>
      </c>
      <c r="F14" t="s">
        <v>5579</v>
      </c>
      <c r="G14" s="61" t="s">
        <v>5580</v>
      </c>
      <c r="H14" s="6" t="s">
        <v>245</v>
      </c>
      <c r="I14" s="1" t="s">
        <v>54</v>
      </c>
      <c r="J14" s="1">
        <v>642059736</v>
      </c>
      <c r="K14" s="1"/>
      <c r="L14" s="1" t="s">
        <v>5724</v>
      </c>
      <c r="M14" s="2">
        <v>44957</v>
      </c>
      <c r="N14" t="s">
        <v>35</v>
      </c>
      <c r="O14" s="61" t="s">
        <v>7934</v>
      </c>
      <c r="P14" s="14" t="s">
        <v>7922</v>
      </c>
      <c r="Q14" s="187">
        <v>78.510000000000005</v>
      </c>
      <c r="R14" s="1">
        <v>1</v>
      </c>
      <c r="S14" s="90">
        <v>0.21</v>
      </c>
      <c r="T14" s="90">
        <v>0.2</v>
      </c>
      <c r="U14" s="368" t="s">
        <v>4073</v>
      </c>
      <c r="V14" s="95">
        <f t="shared" si="0"/>
        <v>75.997680000000003</v>
      </c>
      <c r="W14" t="s">
        <v>5724</v>
      </c>
      <c r="X14" s="5" t="s">
        <v>7924</v>
      </c>
      <c r="Y14" s="2">
        <v>31777</v>
      </c>
      <c r="Z14" s="2">
        <v>44942</v>
      </c>
      <c r="AA14" s="11" t="s">
        <v>8052</v>
      </c>
      <c r="AB14" s="2">
        <v>44968</v>
      </c>
      <c r="AC14" s="345" t="s">
        <v>1339</v>
      </c>
      <c r="AF14" t="s">
        <v>3198</v>
      </c>
      <c r="AI14" s="2"/>
      <c r="AL14" s="3"/>
      <c r="AS14" s="1" t="s">
        <v>7933</v>
      </c>
    </row>
    <row r="15" spans="1:45">
      <c r="A15" s="1">
        <v>14</v>
      </c>
      <c r="B15" t="s">
        <v>40</v>
      </c>
      <c r="C15" s="2">
        <v>44942</v>
      </c>
      <c r="D15" s="2"/>
      <c r="E15" s="1" t="s">
        <v>7947</v>
      </c>
      <c r="F15" t="s">
        <v>7948</v>
      </c>
      <c r="G15" t="s">
        <v>7949</v>
      </c>
      <c r="H15" s="6" t="s">
        <v>221</v>
      </c>
      <c r="I15" s="1" t="s">
        <v>34</v>
      </c>
      <c r="K15" s="1"/>
      <c r="L15" s="1" t="s">
        <v>7947</v>
      </c>
      <c r="M15" s="2">
        <v>44957</v>
      </c>
      <c r="N15" t="s">
        <v>35</v>
      </c>
      <c r="O15" s="61" t="s">
        <v>7931</v>
      </c>
      <c r="P15" t="s">
        <v>7950</v>
      </c>
      <c r="Q15" s="187">
        <v>95.04</v>
      </c>
      <c r="R15" s="1">
        <v>1</v>
      </c>
      <c r="S15" s="128">
        <v>0.21</v>
      </c>
      <c r="T15" s="128">
        <v>0.2</v>
      </c>
      <c r="U15" s="363"/>
      <c r="V15" s="186">
        <f t="shared" si="0"/>
        <v>91.99872000000002</v>
      </c>
      <c r="AA15" s="284" t="s">
        <v>1326</v>
      </c>
      <c r="AB15" s="1"/>
      <c r="AS15" s="1" t="s">
        <v>23</v>
      </c>
    </row>
    <row r="16" spans="1:45">
      <c r="A16" s="1">
        <v>15</v>
      </c>
      <c r="B16" t="s">
        <v>52</v>
      </c>
      <c r="C16" s="2">
        <v>44942</v>
      </c>
      <c r="D16" s="2"/>
      <c r="E16" s="1" t="s">
        <v>256</v>
      </c>
      <c r="F16" s="31" t="s">
        <v>155</v>
      </c>
      <c r="G16" s="31" t="s">
        <v>138</v>
      </c>
      <c r="H16" s="33" t="s">
        <v>227</v>
      </c>
      <c r="I16" s="30" t="s">
        <v>203</v>
      </c>
      <c r="J16" s="30">
        <v>631130911</v>
      </c>
      <c r="K16" s="44" t="s">
        <v>5906</v>
      </c>
      <c r="L16" s="1" t="s">
        <v>4432</v>
      </c>
      <c r="M16" s="2">
        <v>44957</v>
      </c>
      <c r="N16" s="1" t="s">
        <v>35</v>
      </c>
      <c r="O16" s="61" t="s">
        <v>7934</v>
      </c>
      <c r="P16" s="14" t="s">
        <v>7951</v>
      </c>
      <c r="Q16" s="187">
        <v>78.510000000000005</v>
      </c>
      <c r="R16" s="1">
        <v>1</v>
      </c>
      <c r="S16" s="90">
        <v>0.21</v>
      </c>
      <c r="T16" s="90">
        <v>0.2</v>
      </c>
      <c r="U16" s="363"/>
      <c r="V16" s="95">
        <f t="shared" si="0"/>
        <v>75.997680000000003</v>
      </c>
      <c r="W16" s="1" t="s">
        <v>5840</v>
      </c>
      <c r="X16" s="5" t="s">
        <v>7952</v>
      </c>
      <c r="Y16" s="2">
        <v>32927</v>
      </c>
      <c r="Z16" s="2">
        <v>44942</v>
      </c>
      <c r="AA16" s="11" t="s">
        <v>8052</v>
      </c>
      <c r="AB16" s="2">
        <v>44968</v>
      </c>
      <c r="AC16" s="345" t="s">
        <v>1339</v>
      </c>
      <c r="AE16" s="3">
        <v>44963</v>
      </c>
      <c r="AF16" t="s">
        <v>3198</v>
      </c>
      <c r="AJ16" s="2"/>
      <c r="AM16" s="3"/>
      <c r="AS16" t="s">
        <v>7968</v>
      </c>
    </row>
    <row r="17" spans="1:46">
      <c r="A17" s="1">
        <v>16</v>
      </c>
      <c r="B17" t="s">
        <v>33</v>
      </c>
      <c r="C17" s="2">
        <v>44944</v>
      </c>
      <c r="D17" s="2"/>
      <c r="E17" s="1" t="s">
        <v>7955</v>
      </c>
      <c r="F17" t="s">
        <v>7956</v>
      </c>
      <c r="H17" s="6" t="s">
        <v>7358</v>
      </c>
      <c r="I17" s="1" t="s">
        <v>7359</v>
      </c>
      <c r="J17" s="1">
        <v>669853152</v>
      </c>
      <c r="K17" s="1"/>
      <c r="L17" s="1" t="s">
        <v>7957</v>
      </c>
      <c r="M17" s="2">
        <v>44957</v>
      </c>
      <c r="N17" s="1" t="s">
        <v>35</v>
      </c>
      <c r="O17" s="61" t="s">
        <v>7931</v>
      </c>
      <c r="P17" t="s">
        <v>7960</v>
      </c>
      <c r="Q17" s="187">
        <v>41.32</v>
      </c>
      <c r="R17" s="1">
        <v>1</v>
      </c>
      <c r="S17" s="128">
        <v>0.21</v>
      </c>
      <c r="T17" s="128">
        <v>0</v>
      </c>
      <c r="U17" s="363"/>
      <c r="V17" s="186">
        <f t="shared" si="0"/>
        <v>49.997199999999999</v>
      </c>
      <c r="AA17" s="284" t="s">
        <v>1326</v>
      </c>
      <c r="AB17" s="1"/>
      <c r="AS17" s="1" t="s">
        <v>7977</v>
      </c>
    </row>
    <row r="18" spans="1:46">
      <c r="A18" s="1">
        <v>17</v>
      </c>
      <c r="B18" t="s">
        <v>33</v>
      </c>
      <c r="C18" s="2">
        <v>44944</v>
      </c>
      <c r="D18" s="2"/>
      <c r="E18" s="1" t="s">
        <v>7957</v>
      </c>
      <c r="F18" t="s">
        <v>7958</v>
      </c>
      <c r="G18" t="s">
        <v>7959</v>
      </c>
      <c r="H18" s="6" t="s">
        <v>7358</v>
      </c>
      <c r="I18" s="1" t="s">
        <v>7359</v>
      </c>
      <c r="J18" s="1">
        <v>669853152</v>
      </c>
      <c r="K18" s="1"/>
      <c r="L18" s="1" t="s">
        <v>7957</v>
      </c>
      <c r="M18" s="2">
        <v>44957</v>
      </c>
      <c r="N18" s="1" t="s">
        <v>35</v>
      </c>
      <c r="O18" s="61" t="s">
        <v>7931</v>
      </c>
      <c r="P18" t="s">
        <v>7961</v>
      </c>
      <c r="Q18" s="187">
        <v>41.32</v>
      </c>
      <c r="R18" s="1">
        <v>1</v>
      </c>
      <c r="S18" s="128">
        <v>0.21</v>
      </c>
      <c r="T18" s="128">
        <v>0</v>
      </c>
      <c r="U18" s="363"/>
      <c r="V18" s="186">
        <f t="shared" si="0"/>
        <v>49.997199999999999</v>
      </c>
      <c r="AA18" s="284" t="s">
        <v>1326</v>
      </c>
      <c r="AB18" s="1"/>
      <c r="AS18" s="1" t="s">
        <v>8060</v>
      </c>
    </row>
    <row r="19" spans="1:46">
      <c r="A19" s="1">
        <v>19</v>
      </c>
      <c r="B19" s="61" t="s">
        <v>7475</v>
      </c>
      <c r="C19" s="2">
        <v>44944</v>
      </c>
      <c r="D19" s="2"/>
      <c r="E19" s="1" t="s">
        <v>7476</v>
      </c>
      <c r="F19" t="s">
        <v>7477</v>
      </c>
      <c r="G19" s="61" t="s">
        <v>7478</v>
      </c>
      <c r="H19" s="6" t="s">
        <v>241</v>
      </c>
      <c r="I19" s="1" t="s">
        <v>60</v>
      </c>
      <c r="J19" s="44">
        <v>679088389</v>
      </c>
      <c r="K19" s="44" t="s">
        <v>7480</v>
      </c>
      <c r="L19" s="1" t="s">
        <v>7476</v>
      </c>
      <c r="M19" s="2">
        <v>44957</v>
      </c>
      <c r="N19" s="1" t="s">
        <v>35</v>
      </c>
      <c r="O19" s="61" t="s">
        <v>7925</v>
      </c>
      <c r="P19" s="14" t="s">
        <v>7962</v>
      </c>
      <c r="Q19" s="187">
        <v>132.22999999999999</v>
      </c>
      <c r="R19" s="1">
        <v>1</v>
      </c>
      <c r="S19" s="128">
        <v>0.21</v>
      </c>
      <c r="T19" s="128">
        <v>0.2</v>
      </c>
      <c r="U19" s="133"/>
      <c r="V19" s="95">
        <f t="shared" si="0"/>
        <v>127.99863999999999</v>
      </c>
      <c r="W19" t="s">
        <v>8058</v>
      </c>
      <c r="X19" s="5" t="s">
        <v>8059</v>
      </c>
      <c r="Y19" s="2">
        <v>34335</v>
      </c>
      <c r="Z19" s="2">
        <v>44944</v>
      </c>
      <c r="AA19" s="11" t="s">
        <v>8330</v>
      </c>
      <c r="AB19" s="2">
        <v>45014</v>
      </c>
      <c r="AC19" s="345" t="s">
        <v>1339</v>
      </c>
      <c r="AF19" t="s">
        <v>3198</v>
      </c>
      <c r="AI19" t="s">
        <v>3108</v>
      </c>
      <c r="AJ19" s="2">
        <v>44968</v>
      </c>
      <c r="AM19" s="3">
        <v>44970</v>
      </c>
      <c r="AS19" s="1" t="s">
        <v>8174</v>
      </c>
      <c r="AT19" s="1"/>
    </row>
    <row r="20" spans="1:46">
      <c r="A20" s="1">
        <v>19</v>
      </c>
      <c r="B20" t="s">
        <v>37</v>
      </c>
      <c r="C20" s="2">
        <v>44945</v>
      </c>
      <c r="D20" s="2"/>
      <c r="E20" t="s">
        <v>8044</v>
      </c>
      <c r="F20" t="s">
        <v>7963</v>
      </c>
      <c r="G20" t="s">
        <v>7964</v>
      </c>
      <c r="H20" s="6" t="s">
        <v>7966</v>
      </c>
      <c r="I20" s="1" t="s">
        <v>7965</v>
      </c>
      <c r="J20" s="1">
        <v>631230186</v>
      </c>
      <c r="K20" s="1"/>
      <c r="L20" t="s">
        <v>8044</v>
      </c>
      <c r="M20" s="2">
        <v>44957</v>
      </c>
      <c r="N20" s="1" t="s">
        <v>35</v>
      </c>
      <c r="O20" s="61" t="s">
        <v>7925</v>
      </c>
      <c r="P20" s="14" t="s">
        <v>7967</v>
      </c>
      <c r="Q20" s="187">
        <v>132.22999999999999</v>
      </c>
      <c r="R20" s="1">
        <v>1</v>
      </c>
      <c r="S20" s="128">
        <v>0.21</v>
      </c>
      <c r="T20" s="128">
        <v>0</v>
      </c>
      <c r="U20" s="368" t="s">
        <v>4073</v>
      </c>
      <c r="V20" s="186">
        <f t="shared" si="0"/>
        <v>159.99829999999997</v>
      </c>
      <c r="W20" t="s">
        <v>8044</v>
      </c>
      <c r="X20" s="5" t="s">
        <v>8045</v>
      </c>
      <c r="Y20" s="3">
        <v>34466</v>
      </c>
      <c r="Z20" s="2">
        <v>44945</v>
      </c>
      <c r="AA20" s="13" t="s">
        <v>8331</v>
      </c>
      <c r="AB20" s="2">
        <v>45014</v>
      </c>
      <c r="AC20" s="345" t="s">
        <v>1339</v>
      </c>
      <c r="AF20" t="s">
        <v>3198</v>
      </c>
      <c r="AI20" t="s">
        <v>3108</v>
      </c>
      <c r="AJ20" s="3">
        <v>44968</v>
      </c>
      <c r="AM20" s="3">
        <v>44970</v>
      </c>
      <c r="AS20" s="1" t="s">
        <v>9218</v>
      </c>
    </row>
    <row r="21" spans="1:46" ht="14.25" customHeight="1">
      <c r="A21" s="1">
        <v>20</v>
      </c>
      <c r="B21" t="s">
        <v>40</v>
      </c>
      <c r="C21" s="2">
        <v>44945</v>
      </c>
      <c r="D21" s="2"/>
      <c r="E21" s="1" t="s">
        <v>7713</v>
      </c>
      <c r="F21" t="s">
        <v>7714</v>
      </c>
      <c r="G21" s="61" t="s">
        <v>7715</v>
      </c>
      <c r="H21" s="6" t="s">
        <v>221</v>
      </c>
      <c r="I21" s="1" t="s">
        <v>34</v>
      </c>
      <c r="J21">
        <v>647611187</v>
      </c>
      <c r="K21" s="315" t="s">
        <v>7717</v>
      </c>
      <c r="L21" s="1" t="s">
        <v>7713</v>
      </c>
      <c r="M21" s="2">
        <v>44957</v>
      </c>
      <c r="N21" t="s">
        <v>35</v>
      </c>
      <c r="O21" s="61" t="s">
        <v>7968</v>
      </c>
      <c r="P21" s="14" t="s">
        <v>7969</v>
      </c>
      <c r="Q21" s="187">
        <v>132.22999999999999</v>
      </c>
      <c r="R21" s="1">
        <v>1</v>
      </c>
      <c r="S21" s="128">
        <v>0.21</v>
      </c>
      <c r="T21" s="128">
        <v>0.2</v>
      </c>
      <c r="V21" s="95">
        <f t="shared" si="0"/>
        <v>127.99863999999999</v>
      </c>
      <c r="W21" t="s">
        <v>8011</v>
      </c>
      <c r="X21" s="5" t="s">
        <v>8012</v>
      </c>
      <c r="Y21" s="2">
        <v>38615</v>
      </c>
      <c r="Z21" s="2">
        <v>44945</v>
      </c>
      <c r="AA21" s="11" t="s">
        <v>8274</v>
      </c>
      <c r="AB21" s="2">
        <v>45012</v>
      </c>
      <c r="AC21" s="345" t="s">
        <v>1339</v>
      </c>
      <c r="AF21" t="s">
        <v>3198</v>
      </c>
      <c r="AI21" t="s">
        <v>3108</v>
      </c>
      <c r="AJ21" s="2">
        <v>44960</v>
      </c>
      <c r="AM21" s="74">
        <v>44963</v>
      </c>
      <c r="AS21" s="1" t="s">
        <v>9511</v>
      </c>
      <c r="AT21" s="1"/>
    </row>
    <row r="22" spans="1:46">
      <c r="A22" s="1">
        <v>21</v>
      </c>
      <c r="B22" t="s">
        <v>37</v>
      </c>
      <c r="C22" s="2">
        <v>44949</v>
      </c>
      <c r="D22" s="2"/>
      <c r="E22" s="1" t="s">
        <v>7975</v>
      </c>
      <c r="F22" t="s">
        <v>7976</v>
      </c>
      <c r="K22" s="1"/>
      <c r="L22" s="1" t="s">
        <v>7975</v>
      </c>
      <c r="M22" s="2">
        <v>44957</v>
      </c>
      <c r="N22" t="s">
        <v>35</v>
      </c>
      <c r="O22" s="61" t="s">
        <v>7977</v>
      </c>
      <c r="P22" s="14" t="s">
        <v>7978</v>
      </c>
      <c r="Q22" s="187">
        <v>41.32</v>
      </c>
      <c r="R22" s="1">
        <v>1</v>
      </c>
      <c r="S22" s="128">
        <v>0.21</v>
      </c>
      <c r="T22" s="128">
        <v>0</v>
      </c>
      <c r="U22" s="363"/>
      <c r="V22" s="186">
        <f t="shared" si="0"/>
        <v>49.997199999999999</v>
      </c>
      <c r="AA22" s="284" t="s">
        <v>1326</v>
      </c>
      <c r="AB22" s="1"/>
      <c r="AS22" s="1"/>
    </row>
    <row r="23" spans="1:46">
      <c r="A23" s="1">
        <v>22</v>
      </c>
      <c r="B23" t="s">
        <v>37</v>
      </c>
      <c r="C23" s="2">
        <v>44949</v>
      </c>
      <c r="D23" s="2"/>
      <c r="E23" t="s">
        <v>7980</v>
      </c>
      <c r="F23" t="s">
        <v>5796</v>
      </c>
      <c r="G23" s="61" t="s">
        <v>7979</v>
      </c>
      <c r="H23" s="6" t="s">
        <v>1402</v>
      </c>
      <c r="I23" s="1" t="s">
        <v>3681</v>
      </c>
      <c r="J23">
        <v>643587766</v>
      </c>
      <c r="K23" s="1"/>
      <c r="L23" t="s">
        <v>7980</v>
      </c>
      <c r="M23" s="2">
        <v>44957</v>
      </c>
      <c r="N23" s="1" t="s">
        <v>35</v>
      </c>
      <c r="O23" s="14" t="s">
        <v>7934</v>
      </c>
      <c r="P23" s="187" t="s">
        <v>7981</v>
      </c>
      <c r="Q23" s="187">
        <v>78.510000000000005</v>
      </c>
      <c r="R23" s="1">
        <v>1</v>
      </c>
      <c r="S23" s="90">
        <v>0.21</v>
      </c>
      <c r="T23" s="128">
        <v>0</v>
      </c>
      <c r="U23" s="95"/>
      <c r="V23" s="186">
        <f t="shared" si="0"/>
        <v>94.997100000000003</v>
      </c>
      <c r="W23" t="s">
        <v>7980</v>
      </c>
      <c r="X23" s="5" t="s">
        <v>7982</v>
      </c>
      <c r="Y23" s="2">
        <v>35292</v>
      </c>
      <c r="Z23" s="2">
        <v>44949</v>
      </c>
      <c r="AA23" s="284" t="s">
        <v>1326</v>
      </c>
      <c r="AB23" s="80"/>
      <c r="AF23" t="s">
        <v>3198</v>
      </c>
      <c r="AI23" s="2"/>
      <c r="AL23" s="3"/>
    </row>
    <row r="24" spans="1:46">
      <c r="A24" s="1">
        <v>23</v>
      </c>
      <c r="B24" t="s">
        <v>37</v>
      </c>
      <c r="C24" s="2">
        <v>44950</v>
      </c>
      <c r="D24" s="2"/>
      <c r="E24" t="s">
        <v>8056</v>
      </c>
      <c r="F24" t="s">
        <v>7983</v>
      </c>
      <c r="G24" t="s">
        <v>7984</v>
      </c>
      <c r="H24" s="6" t="s">
        <v>245</v>
      </c>
      <c r="I24" s="1" t="s">
        <v>54</v>
      </c>
      <c r="J24" s="1">
        <v>632239554</v>
      </c>
      <c r="K24" s="1"/>
      <c r="L24" t="s">
        <v>8056</v>
      </c>
      <c r="M24" s="2">
        <v>44957</v>
      </c>
      <c r="N24" s="1" t="s">
        <v>35</v>
      </c>
      <c r="O24" s="61" t="s">
        <v>7925</v>
      </c>
      <c r="P24" s="14" t="s">
        <v>7985</v>
      </c>
      <c r="Q24" s="187">
        <v>132.22999999999999</v>
      </c>
      <c r="R24" s="1">
        <v>1</v>
      </c>
      <c r="S24" s="90">
        <v>0.21</v>
      </c>
      <c r="T24" s="128">
        <v>0</v>
      </c>
      <c r="U24" s="363"/>
      <c r="V24" s="186">
        <f t="shared" si="0"/>
        <v>159.99829999999997</v>
      </c>
      <c r="W24" t="s">
        <v>8056</v>
      </c>
      <c r="X24" s="5" t="s">
        <v>8057</v>
      </c>
      <c r="Y24" s="3">
        <v>28781</v>
      </c>
      <c r="Z24" s="2">
        <v>44950</v>
      </c>
      <c r="AA24" s="11" t="s">
        <v>8295</v>
      </c>
      <c r="AB24" s="2">
        <v>45014</v>
      </c>
      <c r="AC24" s="345" t="s">
        <v>1339</v>
      </c>
      <c r="AF24" t="s">
        <v>3198</v>
      </c>
      <c r="AI24" t="s">
        <v>3108</v>
      </c>
      <c r="AJ24" s="3">
        <v>44968</v>
      </c>
      <c r="AM24" s="3">
        <v>44970</v>
      </c>
    </row>
    <row r="25" spans="1:46">
      <c r="A25" s="1">
        <v>24</v>
      </c>
      <c r="B25" t="s">
        <v>33</v>
      </c>
      <c r="C25" s="2">
        <v>44950</v>
      </c>
      <c r="D25" s="2"/>
      <c r="E25" s="1" t="s">
        <v>4245</v>
      </c>
      <c r="F25" t="s">
        <v>4246</v>
      </c>
      <c r="G25" s="61" t="s">
        <v>6304</v>
      </c>
      <c r="H25" s="6" t="s">
        <v>230</v>
      </c>
      <c r="I25" s="1" t="s">
        <v>4719</v>
      </c>
      <c r="K25" s="114" t="s">
        <v>11744</v>
      </c>
      <c r="L25" s="1" t="s">
        <v>237</v>
      </c>
      <c r="M25" s="2">
        <v>44957</v>
      </c>
      <c r="N25" s="164" t="s">
        <v>35</v>
      </c>
      <c r="O25" s="61" t="s">
        <v>7934</v>
      </c>
      <c r="P25" s="14" t="s">
        <v>7986</v>
      </c>
      <c r="Q25" s="187">
        <v>78.510000000000005</v>
      </c>
      <c r="R25" s="1">
        <v>1</v>
      </c>
      <c r="S25" s="90">
        <v>0.21</v>
      </c>
      <c r="T25" s="90">
        <v>0.2</v>
      </c>
      <c r="U25" s="363"/>
      <c r="V25" s="95">
        <f t="shared" si="0"/>
        <v>75.997680000000003</v>
      </c>
      <c r="W25" t="s">
        <v>6460</v>
      </c>
      <c r="X25" s="5" t="s">
        <v>7987</v>
      </c>
      <c r="Y25" s="2">
        <v>34770</v>
      </c>
      <c r="Z25" s="2">
        <v>44950</v>
      </c>
      <c r="AA25" s="11" t="s">
        <v>8274</v>
      </c>
      <c r="AB25" s="2">
        <v>45006</v>
      </c>
      <c r="AC25" s="345" t="s">
        <v>1339</v>
      </c>
      <c r="AD25" t="s">
        <v>25</v>
      </c>
      <c r="AE25" s="274">
        <v>44980</v>
      </c>
      <c r="AF25" t="s">
        <v>3198</v>
      </c>
      <c r="AJ25" s="2"/>
      <c r="AL25" s="3"/>
    </row>
    <row r="26" spans="1:46">
      <c r="A26" s="1">
        <v>25</v>
      </c>
      <c r="B26" t="s">
        <v>37</v>
      </c>
      <c r="C26" s="2">
        <v>44956</v>
      </c>
      <c r="D26" s="2"/>
      <c r="E26" s="1" t="s">
        <v>7436</v>
      </c>
      <c r="F26" t="s">
        <v>7988</v>
      </c>
      <c r="G26" t="s">
        <v>7989</v>
      </c>
      <c r="H26" s="1">
        <v>4800</v>
      </c>
      <c r="I26" s="1" t="s">
        <v>7965</v>
      </c>
      <c r="J26" s="1">
        <v>632373818</v>
      </c>
      <c r="K26" s="1"/>
      <c r="L26" s="1" t="s">
        <v>7436</v>
      </c>
      <c r="M26" s="2">
        <v>44957</v>
      </c>
      <c r="N26" s="164" t="s">
        <v>35</v>
      </c>
      <c r="O26" s="61" t="s">
        <v>7937</v>
      </c>
      <c r="P26" t="s">
        <v>7990</v>
      </c>
      <c r="Q26" s="187">
        <v>132.22999999999999</v>
      </c>
      <c r="R26" s="1">
        <v>1</v>
      </c>
      <c r="S26" s="90">
        <v>0.21</v>
      </c>
      <c r="T26" s="90">
        <v>0.2</v>
      </c>
      <c r="U26" s="363"/>
      <c r="V26" s="186">
        <f t="shared" si="0"/>
        <v>127.99863999999999</v>
      </c>
      <c r="W26" t="s">
        <v>8145</v>
      </c>
      <c r="X26" s="5" t="s">
        <v>8146</v>
      </c>
      <c r="Y26" s="3">
        <v>43779</v>
      </c>
      <c r="Z26" s="2" t="s">
        <v>4957</v>
      </c>
      <c r="AA26" s="11" t="s">
        <v>8190</v>
      </c>
      <c r="AB26" s="2">
        <v>45006</v>
      </c>
      <c r="AC26" s="345" t="s">
        <v>1339</v>
      </c>
      <c r="AF26" t="s">
        <v>3198</v>
      </c>
      <c r="AI26" t="s">
        <v>3108</v>
      </c>
      <c r="AJ26" s="3">
        <v>44980</v>
      </c>
      <c r="AM26" s="3">
        <v>44981</v>
      </c>
    </row>
    <row r="27" spans="1:46">
      <c r="A27" s="1">
        <v>26</v>
      </c>
      <c r="B27" s="61" t="s">
        <v>6684</v>
      </c>
      <c r="C27" s="2">
        <v>44956</v>
      </c>
      <c r="D27" s="2"/>
      <c r="E27" t="s">
        <v>6685</v>
      </c>
      <c r="F27" t="s">
        <v>6686</v>
      </c>
      <c r="G27" t="s">
        <v>6687</v>
      </c>
      <c r="H27" s="6" t="s">
        <v>2579</v>
      </c>
      <c r="I27" t="s">
        <v>2580</v>
      </c>
      <c r="J27" s="8"/>
      <c r="K27" s="1" t="s">
        <v>7339</v>
      </c>
      <c r="L27" t="s">
        <v>6685</v>
      </c>
      <c r="M27" s="2">
        <v>44957</v>
      </c>
      <c r="N27" s="1" t="s">
        <v>35</v>
      </c>
      <c r="O27" s="61" t="s">
        <v>7925</v>
      </c>
      <c r="P27" s="14" t="s">
        <v>7991</v>
      </c>
      <c r="Q27" s="187">
        <v>132.22999999999999</v>
      </c>
      <c r="R27" s="1">
        <v>1</v>
      </c>
      <c r="S27" s="90">
        <v>0.21</v>
      </c>
      <c r="T27" s="90">
        <v>0.2</v>
      </c>
      <c r="V27" s="95">
        <f t="shared" si="0"/>
        <v>127.99863999999999</v>
      </c>
      <c r="W27" t="s">
        <v>8097</v>
      </c>
      <c r="X27" s="5" t="s">
        <v>8098</v>
      </c>
      <c r="Y27" s="2">
        <v>32153</v>
      </c>
      <c r="Z27" s="2">
        <v>44956</v>
      </c>
      <c r="AA27" s="284" t="s">
        <v>1326</v>
      </c>
      <c r="AB27" s="2"/>
      <c r="AC27" s="80"/>
      <c r="AF27" t="s">
        <v>3198</v>
      </c>
      <c r="AI27" t="s">
        <v>3108</v>
      </c>
      <c r="AJ27" s="2">
        <v>44974</v>
      </c>
      <c r="AM27" s="3">
        <v>44979</v>
      </c>
      <c r="AT27" s="1"/>
    </row>
    <row r="28" spans="1:46">
      <c r="A28" s="1">
        <v>27</v>
      </c>
      <c r="B28" t="s">
        <v>45</v>
      </c>
      <c r="C28" s="2">
        <v>44958</v>
      </c>
      <c r="D28" s="2"/>
      <c r="E28" s="1" t="s">
        <v>6084</v>
      </c>
      <c r="F28" t="s">
        <v>6085</v>
      </c>
      <c r="G28" t="s">
        <v>6086</v>
      </c>
      <c r="H28" s="6" t="s">
        <v>220</v>
      </c>
      <c r="I28" s="1" t="s">
        <v>39</v>
      </c>
      <c r="J28">
        <v>699523346</v>
      </c>
      <c r="K28" s="1" t="s">
        <v>6094</v>
      </c>
      <c r="L28" s="1" t="s">
        <v>6084</v>
      </c>
      <c r="M28" s="2">
        <v>44985</v>
      </c>
      <c r="N28" s="1" t="s">
        <v>35</v>
      </c>
      <c r="O28" s="61" t="s">
        <v>7934</v>
      </c>
      <c r="P28" s="14" t="s">
        <v>8002</v>
      </c>
      <c r="Q28" s="187">
        <v>78.510000000000005</v>
      </c>
      <c r="R28" s="1">
        <v>1</v>
      </c>
      <c r="S28" s="90">
        <v>0.21</v>
      </c>
      <c r="T28" s="90">
        <v>0.2</v>
      </c>
      <c r="V28" s="95">
        <f t="shared" si="0"/>
        <v>75.997680000000003</v>
      </c>
      <c r="W28" t="s">
        <v>6134</v>
      </c>
      <c r="X28" s="5" t="s">
        <v>8003</v>
      </c>
      <c r="Y28" s="2">
        <v>29678</v>
      </c>
      <c r="Z28" s="2">
        <v>44958</v>
      </c>
      <c r="AA28" s="11" t="s">
        <v>8127</v>
      </c>
      <c r="AB28" s="2">
        <v>44980</v>
      </c>
      <c r="AC28" s="133" t="s">
        <v>1339</v>
      </c>
      <c r="AF28" t="s">
        <v>3198</v>
      </c>
      <c r="AJ28" s="2"/>
    </row>
    <row r="29" spans="1:46">
      <c r="A29" s="1">
        <v>28</v>
      </c>
      <c r="B29" t="s">
        <v>37</v>
      </c>
      <c r="C29" s="2">
        <v>44958</v>
      </c>
      <c r="D29" s="2"/>
      <c r="E29" t="s">
        <v>8099</v>
      </c>
      <c r="F29" t="s">
        <v>8004</v>
      </c>
      <c r="G29" t="s">
        <v>8005</v>
      </c>
      <c r="H29" s="1">
        <v>4740</v>
      </c>
      <c r="I29" s="1" t="s">
        <v>4334</v>
      </c>
      <c r="J29" s="1">
        <v>603198496</v>
      </c>
      <c r="K29" s="1"/>
      <c r="L29" t="s">
        <v>8099</v>
      </c>
      <c r="M29" s="2">
        <v>44985</v>
      </c>
      <c r="N29" s="1" t="s">
        <v>35</v>
      </c>
      <c r="O29" s="61" t="s">
        <v>7925</v>
      </c>
      <c r="P29" s="14" t="s">
        <v>8006</v>
      </c>
      <c r="Q29" s="187">
        <v>132.22999999999999</v>
      </c>
      <c r="R29" s="1">
        <v>1</v>
      </c>
      <c r="S29" s="90">
        <v>0.21</v>
      </c>
      <c r="T29" s="90">
        <v>0</v>
      </c>
      <c r="U29" s="363"/>
      <c r="V29" s="186">
        <f t="shared" si="0"/>
        <v>159.99829999999997</v>
      </c>
      <c r="W29" t="s">
        <v>8099</v>
      </c>
      <c r="X29" s="5" t="s">
        <v>8100</v>
      </c>
      <c r="Y29" s="3">
        <v>35067</v>
      </c>
      <c r="Z29" s="2">
        <v>44958</v>
      </c>
      <c r="AA29" s="11" t="s">
        <v>8332</v>
      </c>
      <c r="AB29" s="2">
        <v>45014</v>
      </c>
      <c r="AC29" s="133" t="s">
        <v>1339</v>
      </c>
      <c r="AF29" t="s">
        <v>3198</v>
      </c>
      <c r="AI29" t="s">
        <v>7877</v>
      </c>
      <c r="AJ29" s="3">
        <v>44974</v>
      </c>
      <c r="AM29" s="3">
        <v>44977</v>
      </c>
    </row>
    <row r="30" spans="1:46" ht="14.25" customHeight="1">
      <c r="A30" s="1">
        <v>29</v>
      </c>
      <c r="B30" t="s">
        <v>7036</v>
      </c>
      <c r="C30" s="2">
        <v>44960</v>
      </c>
      <c r="D30" s="2"/>
      <c r="E30" s="1" t="s">
        <v>6375</v>
      </c>
      <c r="F30" t="s">
        <v>6376</v>
      </c>
      <c r="G30" s="61" t="s">
        <v>6377</v>
      </c>
      <c r="H30" s="6" t="s">
        <v>294</v>
      </c>
      <c r="I30" s="1" t="s">
        <v>103</v>
      </c>
      <c r="J30" s="8">
        <v>660744167</v>
      </c>
      <c r="K30" s="8" t="s">
        <v>6332</v>
      </c>
      <c r="L30" s="1" t="s">
        <v>6375</v>
      </c>
      <c r="M30" s="2">
        <v>44985</v>
      </c>
      <c r="N30" s="1" t="s">
        <v>35</v>
      </c>
      <c r="O30" s="61" t="s">
        <v>7926</v>
      </c>
      <c r="P30" s="14" t="s">
        <v>8166</v>
      </c>
      <c r="Q30" s="187">
        <v>132.22999999999999</v>
      </c>
      <c r="R30" s="1">
        <v>1</v>
      </c>
      <c r="S30" s="128">
        <v>0.21</v>
      </c>
      <c r="T30" s="128">
        <v>0.2</v>
      </c>
      <c r="U30" s="209"/>
      <c r="V30" s="95">
        <f t="shared" si="0"/>
        <v>127.99863999999999</v>
      </c>
      <c r="W30" t="s">
        <v>8167</v>
      </c>
      <c r="X30" s="5" t="s">
        <v>8168</v>
      </c>
      <c r="Y30" s="211">
        <v>38285</v>
      </c>
      <c r="Z30" s="2">
        <v>44960</v>
      </c>
      <c r="AA30" s="285" t="s">
        <v>8302</v>
      </c>
      <c r="AB30" s="2">
        <v>45012</v>
      </c>
      <c r="AC30" s="133" t="s">
        <v>1339</v>
      </c>
      <c r="AF30" t="s">
        <v>3198</v>
      </c>
      <c r="AI30" s="76" t="s">
        <v>3221</v>
      </c>
      <c r="AJ30" s="3">
        <v>44984</v>
      </c>
      <c r="AM30" s="74"/>
    </row>
    <row r="31" spans="1:46">
      <c r="A31" s="1">
        <v>30</v>
      </c>
      <c r="B31" t="s">
        <v>3526</v>
      </c>
      <c r="C31" s="2">
        <v>44960</v>
      </c>
      <c r="D31" s="2"/>
      <c r="E31" s="1" t="s">
        <v>4512</v>
      </c>
      <c r="F31" t="s">
        <v>4613</v>
      </c>
      <c r="G31" t="s">
        <v>4614</v>
      </c>
      <c r="H31" s="6" t="s">
        <v>242</v>
      </c>
      <c r="I31" s="1" t="s">
        <v>86</v>
      </c>
      <c r="J31" s="1">
        <v>673821555</v>
      </c>
      <c r="K31" s="8" t="s">
        <v>7157</v>
      </c>
      <c r="L31" s="1" t="s">
        <v>6215</v>
      </c>
      <c r="M31" s="2">
        <v>44985</v>
      </c>
      <c r="N31" s="1" t="s">
        <v>35</v>
      </c>
      <c r="O31" s="61" t="s">
        <v>7930</v>
      </c>
      <c r="P31" s="14" t="s">
        <v>8015</v>
      </c>
      <c r="Q31" s="187">
        <v>132.22999999999999</v>
      </c>
      <c r="R31" s="1">
        <v>1</v>
      </c>
      <c r="S31" s="90">
        <v>0.21</v>
      </c>
      <c r="T31" s="90">
        <v>0.2</v>
      </c>
      <c r="U31" s="363"/>
      <c r="V31" s="95">
        <f t="shared" si="0"/>
        <v>127.99863999999999</v>
      </c>
      <c r="W31" t="s">
        <v>8103</v>
      </c>
      <c r="X31" s="5" t="s">
        <v>8104</v>
      </c>
      <c r="Y31" s="2">
        <v>38209</v>
      </c>
      <c r="Z31" s="2">
        <v>44960</v>
      </c>
      <c r="AA31" s="11" t="s">
        <v>8294</v>
      </c>
      <c r="AB31" s="2">
        <v>45008</v>
      </c>
      <c r="AC31" s="133" t="s">
        <v>1339</v>
      </c>
      <c r="AF31" t="s">
        <v>3198</v>
      </c>
      <c r="AJ31" s="3"/>
      <c r="AM31" s="3"/>
      <c r="AS31" s="1" t="s">
        <v>7929</v>
      </c>
    </row>
    <row r="32" spans="1:46">
      <c r="A32" s="1">
        <v>31</v>
      </c>
      <c r="B32" t="s">
        <v>3526</v>
      </c>
      <c r="C32" s="2">
        <v>44963</v>
      </c>
      <c r="D32" s="2"/>
      <c r="E32" s="1" t="s">
        <v>6138</v>
      </c>
      <c r="F32" t="s">
        <v>8016</v>
      </c>
      <c r="G32" s="61" t="s">
        <v>8017</v>
      </c>
      <c r="H32" s="6" t="s">
        <v>2451</v>
      </c>
      <c r="I32" s="1" t="s">
        <v>3681</v>
      </c>
      <c r="J32" s="1" t="s">
        <v>8018</v>
      </c>
      <c r="K32" s="1"/>
      <c r="L32" s="1" t="s">
        <v>6138</v>
      </c>
      <c r="M32" s="2">
        <v>44985</v>
      </c>
      <c r="N32" s="1" t="s">
        <v>35</v>
      </c>
      <c r="O32" s="61" t="s">
        <v>7934</v>
      </c>
      <c r="P32" s="14" t="s">
        <v>8019</v>
      </c>
      <c r="Q32" s="187">
        <v>78.510000000000005</v>
      </c>
      <c r="R32" s="1">
        <v>1</v>
      </c>
      <c r="S32" s="90">
        <v>0.21</v>
      </c>
      <c r="T32" s="90">
        <v>0.2</v>
      </c>
      <c r="U32" s="363"/>
      <c r="V32" s="95">
        <f t="shared" si="0"/>
        <v>75.997680000000003</v>
      </c>
      <c r="W32" s="1" t="s">
        <v>6138</v>
      </c>
      <c r="X32" s="5" t="s">
        <v>8020</v>
      </c>
      <c r="Y32" s="2">
        <v>28887</v>
      </c>
      <c r="Z32" s="2">
        <v>44963</v>
      </c>
      <c r="AA32" s="11" t="s">
        <v>8138</v>
      </c>
      <c r="AB32" s="2">
        <v>44980</v>
      </c>
      <c r="AC32" s="133" t="s">
        <v>1339</v>
      </c>
      <c r="AF32" t="s">
        <v>3198</v>
      </c>
      <c r="AI32" s="2"/>
      <c r="AL32" s="3"/>
      <c r="AS32" s="1" t="s">
        <v>7936</v>
      </c>
    </row>
    <row r="33" spans="1:46">
      <c r="A33" s="1">
        <v>32</v>
      </c>
      <c r="B33" t="s">
        <v>40</v>
      </c>
      <c r="C33" s="2">
        <v>44963</v>
      </c>
      <c r="D33" s="2"/>
      <c r="E33" s="1" t="s">
        <v>1392</v>
      </c>
      <c r="F33" t="s">
        <v>4838</v>
      </c>
      <c r="G33" t="s">
        <v>4839</v>
      </c>
      <c r="H33" s="6" t="s">
        <v>221</v>
      </c>
      <c r="I33" s="1" t="s">
        <v>34</v>
      </c>
      <c r="J33" s="14">
        <v>661604087</v>
      </c>
      <c r="K33" s="1"/>
      <c r="L33" s="1" t="s">
        <v>1392</v>
      </c>
      <c r="M33" s="2">
        <v>44985</v>
      </c>
      <c r="N33" s="1" t="s">
        <v>35</v>
      </c>
      <c r="O33" s="61" t="s">
        <v>7926</v>
      </c>
      <c r="P33" s="14" t="s">
        <v>8163</v>
      </c>
      <c r="Q33" s="187">
        <v>132.22999999999999</v>
      </c>
      <c r="R33" s="1">
        <v>1</v>
      </c>
      <c r="S33" s="90">
        <v>0.21</v>
      </c>
      <c r="T33" s="90">
        <v>0.2</v>
      </c>
      <c r="U33" s="363"/>
      <c r="V33" s="95">
        <f t="shared" si="0"/>
        <v>127.99863999999999</v>
      </c>
      <c r="W33" t="s">
        <v>8164</v>
      </c>
      <c r="X33" s="5" t="s">
        <v>8165</v>
      </c>
      <c r="Y33" s="2">
        <v>37798</v>
      </c>
      <c r="Z33" s="2">
        <v>44963</v>
      </c>
      <c r="AA33" s="11" t="s">
        <v>8516</v>
      </c>
      <c r="AB33" s="2">
        <v>45051</v>
      </c>
      <c r="AC33" s="133" t="s">
        <v>1339</v>
      </c>
      <c r="AE33" s="274">
        <v>45029</v>
      </c>
      <c r="AF33" t="s">
        <v>3198</v>
      </c>
      <c r="AI33" t="s">
        <v>3221</v>
      </c>
      <c r="AJ33" s="2">
        <v>44984</v>
      </c>
      <c r="AM33" s="3">
        <v>44991</v>
      </c>
    </row>
    <row r="34" spans="1:46">
      <c r="A34" s="1">
        <v>33</v>
      </c>
      <c r="B34" t="s">
        <v>33</v>
      </c>
      <c r="C34" s="2">
        <v>44964</v>
      </c>
      <c r="D34" s="2"/>
      <c r="E34" s="1" t="s">
        <v>3327</v>
      </c>
      <c r="F34" t="s">
        <v>3328</v>
      </c>
      <c r="G34" t="s">
        <v>3329</v>
      </c>
      <c r="H34" s="6" t="s">
        <v>304</v>
      </c>
      <c r="I34" s="1" t="s">
        <v>68</v>
      </c>
      <c r="J34" s="8"/>
      <c r="K34" s="114" t="s">
        <v>11744</v>
      </c>
      <c r="L34" s="30" t="s">
        <v>237</v>
      </c>
      <c r="M34" s="2">
        <v>44985</v>
      </c>
      <c r="N34" s="1" t="s">
        <v>35</v>
      </c>
      <c r="O34" s="61" t="s">
        <v>7925</v>
      </c>
      <c r="P34" s="14" t="s">
        <v>8159</v>
      </c>
      <c r="Q34" s="187">
        <v>132.22999999999999</v>
      </c>
      <c r="R34" s="1">
        <v>1</v>
      </c>
      <c r="S34" s="90">
        <v>0.21</v>
      </c>
      <c r="T34" s="90">
        <v>0.2</v>
      </c>
      <c r="U34" s="363"/>
      <c r="V34" s="95">
        <f t="shared" si="0"/>
        <v>127.99863999999999</v>
      </c>
      <c r="W34" t="s">
        <v>8161</v>
      </c>
      <c r="X34" s="5" t="s">
        <v>8160</v>
      </c>
      <c r="Y34" s="2">
        <v>31810</v>
      </c>
      <c r="Z34" s="2">
        <v>44964</v>
      </c>
      <c r="AA34" s="11" t="s">
        <v>8375</v>
      </c>
      <c r="AB34" s="2">
        <v>45026</v>
      </c>
      <c r="AC34" s="133" t="s">
        <v>1339</v>
      </c>
      <c r="AF34" t="s">
        <v>3198</v>
      </c>
      <c r="AI34" t="s">
        <v>3108</v>
      </c>
      <c r="AJ34" s="2">
        <v>44984</v>
      </c>
      <c r="AM34" s="74">
        <v>44994</v>
      </c>
    </row>
    <row r="35" spans="1:46">
      <c r="A35" s="1">
        <v>34</v>
      </c>
      <c r="B35" t="s">
        <v>37</v>
      </c>
      <c r="C35" s="2">
        <v>44965</v>
      </c>
      <c r="D35" s="2"/>
      <c r="E35" t="s">
        <v>8105</v>
      </c>
      <c r="F35" t="s">
        <v>8030</v>
      </c>
      <c r="G35" t="s">
        <v>8031</v>
      </c>
      <c r="H35" s="6" t="s">
        <v>219</v>
      </c>
      <c r="I35" s="1" t="s">
        <v>4334</v>
      </c>
      <c r="K35" s="1"/>
      <c r="L35" t="s">
        <v>8105</v>
      </c>
      <c r="M35" s="2">
        <v>44985</v>
      </c>
      <c r="N35" s="1" t="s">
        <v>35</v>
      </c>
      <c r="O35" s="61" t="s">
        <v>7925</v>
      </c>
      <c r="P35" s="14" t="s">
        <v>8032</v>
      </c>
      <c r="Q35" s="187">
        <v>132.22999999999999</v>
      </c>
      <c r="R35" s="1">
        <v>1</v>
      </c>
      <c r="S35" s="90">
        <v>0.21</v>
      </c>
      <c r="T35" s="90">
        <v>0</v>
      </c>
      <c r="U35" s="363"/>
      <c r="V35" s="95">
        <f t="shared" si="0"/>
        <v>159.99829999999997</v>
      </c>
      <c r="W35" t="s">
        <v>8105</v>
      </c>
      <c r="X35" s="5" t="s">
        <v>8106</v>
      </c>
      <c r="Y35" s="3">
        <v>33734</v>
      </c>
      <c r="Z35" s="2">
        <v>44965</v>
      </c>
      <c r="AA35" s="11" t="s">
        <v>8374</v>
      </c>
      <c r="AB35" s="2">
        <v>45033</v>
      </c>
      <c r="AC35" s="133" t="s">
        <v>1339</v>
      </c>
      <c r="AF35" t="s">
        <v>3198</v>
      </c>
      <c r="AI35" t="s">
        <v>3108</v>
      </c>
      <c r="AJ35" s="3">
        <v>44977</v>
      </c>
      <c r="AM35" s="3">
        <v>44978</v>
      </c>
      <c r="AS35" s="1" t="s">
        <v>7937</v>
      </c>
    </row>
    <row r="36" spans="1:46">
      <c r="A36" s="1">
        <v>35</v>
      </c>
      <c r="B36" t="s">
        <v>83</v>
      </c>
      <c r="C36" s="2">
        <v>44965</v>
      </c>
      <c r="D36" s="2"/>
      <c r="E36" t="s">
        <v>8107</v>
      </c>
      <c r="F36" t="s">
        <v>8034</v>
      </c>
      <c r="G36" t="s">
        <v>8035</v>
      </c>
      <c r="H36" s="6" t="s">
        <v>219</v>
      </c>
      <c r="I36" s="1" t="s">
        <v>4334</v>
      </c>
      <c r="J36" s="1">
        <v>631838050</v>
      </c>
      <c r="K36" s="1"/>
      <c r="L36" t="s">
        <v>8107</v>
      </c>
      <c r="M36" s="2">
        <v>44985</v>
      </c>
      <c r="N36" s="1" t="s">
        <v>35</v>
      </c>
      <c r="O36" s="61" t="s">
        <v>7925</v>
      </c>
      <c r="P36" s="14" t="s">
        <v>8033</v>
      </c>
      <c r="Q36" s="187">
        <v>132.22999999999999</v>
      </c>
      <c r="R36" s="1">
        <v>1</v>
      </c>
      <c r="S36" s="90">
        <v>0.21</v>
      </c>
      <c r="T36" s="90">
        <v>0.2</v>
      </c>
      <c r="U36" s="368" t="s">
        <v>4073</v>
      </c>
      <c r="V36" s="186">
        <f t="shared" si="0"/>
        <v>127.99863999999999</v>
      </c>
      <c r="W36" t="s">
        <v>8107</v>
      </c>
      <c r="X36" s="5" t="s">
        <v>8108</v>
      </c>
      <c r="Y36" s="3">
        <v>32409</v>
      </c>
      <c r="Z36" s="2">
        <v>44965</v>
      </c>
      <c r="AA36" s="11" t="s">
        <v>8437</v>
      </c>
      <c r="AB36" s="2">
        <v>45033</v>
      </c>
      <c r="AC36" s="133" t="s">
        <v>1339</v>
      </c>
      <c r="AF36" t="s">
        <v>3198</v>
      </c>
      <c r="AI36" t="s">
        <v>3108</v>
      </c>
      <c r="AJ36" s="3">
        <v>44977</v>
      </c>
      <c r="AM36" s="3">
        <v>44977</v>
      </c>
    </row>
    <row r="37" spans="1:46">
      <c r="A37" s="1">
        <v>36</v>
      </c>
      <c r="B37" t="s">
        <v>37</v>
      </c>
      <c r="C37" s="2">
        <v>44965</v>
      </c>
      <c r="D37" s="2"/>
      <c r="E37" s="1" t="s">
        <v>6169</v>
      </c>
      <c r="F37" t="s">
        <v>6102</v>
      </c>
      <c r="G37" t="s">
        <v>8036</v>
      </c>
      <c r="H37" s="6" t="s">
        <v>6104</v>
      </c>
      <c r="I37" s="1" t="s">
        <v>6105</v>
      </c>
      <c r="J37" s="1">
        <v>643736160</v>
      </c>
      <c r="K37" s="1"/>
      <c r="L37" s="1" t="s">
        <v>6169</v>
      </c>
      <c r="M37" s="2">
        <v>44985</v>
      </c>
      <c r="N37" s="1" t="s">
        <v>35</v>
      </c>
      <c r="O37" s="61" t="s">
        <v>7934</v>
      </c>
      <c r="P37" s="14" t="s">
        <v>8037</v>
      </c>
      <c r="Q37" s="187">
        <v>78.510000000000005</v>
      </c>
      <c r="R37" s="1">
        <v>1</v>
      </c>
      <c r="S37" s="90">
        <v>0.21</v>
      </c>
      <c r="T37" s="90">
        <v>0</v>
      </c>
      <c r="U37" s="368" t="s">
        <v>4073</v>
      </c>
      <c r="V37" s="186">
        <f t="shared" si="0"/>
        <v>94.997100000000003</v>
      </c>
      <c r="W37" s="1" t="s">
        <v>6169</v>
      </c>
      <c r="X37" s="5" t="s">
        <v>8038</v>
      </c>
      <c r="Y37" s="3">
        <v>32186</v>
      </c>
      <c r="Z37" s="2">
        <v>44965</v>
      </c>
      <c r="AA37" s="11" t="s">
        <v>8190</v>
      </c>
      <c r="AB37" s="2">
        <v>44991</v>
      </c>
      <c r="AC37" s="133" t="s">
        <v>1339</v>
      </c>
      <c r="AF37" t="s">
        <v>3198</v>
      </c>
    </row>
    <row r="38" spans="1:46">
      <c r="A38" s="1">
        <v>37</v>
      </c>
      <c r="B38" t="s">
        <v>37</v>
      </c>
      <c r="C38" s="2">
        <v>44966</v>
      </c>
      <c r="D38" s="2"/>
      <c r="E38" s="1" t="s">
        <v>7975</v>
      </c>
      <c r="F38" t="s">
        <v>7976</v>
      </c>
      <c r="K38" s="1"/>
      <c r="L38" s="1" t="s">
        <v>7975</v>
      </c>
      <c r="M38" s="2">
        <v>44985</v>
      </c>
      <c r="N38" t="s">
        <v>35</v>
      </c>
      <c r="O38" s="61" t="s">
        <v>7931</v>
      </c>
      <c r="P38" s="14" t="s">
        <v>8043</v>
      </c>
      <c r="Q38" s="187">
        <v>41.32</v>
      </c>
      <c r="R38" s="1">
        <v>1</v>
      </c>
      <c r="S38" s="128">
        <v>0.21</v>
      </c>
      <c r="T38" s="128">
        <v>0</v>
      </c>
      <c r="U38" s="363"/>
      <c r="V38" s="186">
        <f t="shared" si="0"/>
        <v>49.997199999999999</v>
      </c>
      <c r="AA38" s="284" t="s">
        <v>1326</v>
      </c>
      <c r="AB38" s="1"/>
    </row>
    <row r="39" spans="1:46">
      <c r="A39" s="1">
        <v>38</v>
      </c>
      <c r="B39" s="61" t="s">
        <v>33</v>
      </c>
      <c r="C39" s="2">
        <v>44967</v>
      </c>
      <c r="D39" s="2"/>
      <c r="E39" s="1" t="s">
        <v>4245</v>
      </c>
      <c r="F39" t="s">
        <v>4246</v>
      </c>
      <c r="G39" s="61" t="s">
        <v>7517</v>
      </c>
      <c r="H39" s="6" t="s">
        <v>227</v>
      </c>
      <c r="I39" s="1" t="s">
        <v>4719</v>
      </c>
      <c r="J39" s="44"/>
      <c r="K39" s="114" t="s">
        <v>11744</v>
      </c>
      <c r="L39" t="s">
        <v>237</v>
      </c>
      <c r="M39" s="2">
        <v>44985</v>
      </c>
      <c r="N39" s="1" t="s">
        <v>35</v>
      </c>
      <c r="O39" s="61" t="s">
        <v>7926</v>
      </c>
      <c r="P39" s="14" t="s">
        <v>8144</v>
      </c>
      <c r="Q39" s="92">
        <v>132.22999999999999</v>
      </c>
      <c r="R39" s="1">
        <v>1</v>
      </c>
      <c r="S39" s="128">
        <v>0.21</v>
      </c>
      <c r="T39" s="128">
        <v>0.2</v>
      </c>
      <c r="U39" s="1"/>
      <c r="V39" s="95">
        <f t="shared" si="0"/>
        <v>127.99863999999999</v>
      </c>
      <c r="W39" t="s">
        <v>8142</v>
      </c>
      <c r="X39" s="5" t="s">
        <v>8143</v>
      </c>
      <c r="Y39" s="2">
        <v>38277</v>
      </c>
      <c r="Z39" s="2">
        <v>44967</v>
      </c>
      <c r="AA39" s="11" t="s">
        <v>8295</v>
      </c>
      <c r="AB39" s="2">
        <v>45012</v>
      </c>
      <c r="AC39" s="133" t="s">
        <v>1339</v>
      </c>
      <c r="AI39" t="s">
        <v>8119</v>
      </c>
      <c r="AJ39" s="2">
        <v>44980</v>
      </c>
      <c r="AK39" s="2"/>
      <c r="AL39" s="3"/>
      <c r="AM39" s="74"/>
      <c r="AT39" s="1"/>
    </row>
    <row r="40" spans="1:46" s="96" customFormat="1">
      <c r="A40" s="1">
        <v>39</v>
      </c>
      <c r="B40" s="96" t="s">
        <v>4189</v>
      </c>
      <c r="C40" s="97">
        <v>44944</v>
      </c>
      <c r="D40" s="97"/>
      <c r="E40" s="99" t="s">
        <v>4948</v>
      </c>
      <c r="F40" s="96" t="s">
        <v>4189</v>
      </c>
      <c r="G40" s="310" t="s">
        <v>188</v>
      </c>
      <c r="H40" s="311" t="s">
        <v>220</v>
      </c>
      <c r="I40" s="312" t="s">
        <v>92</v>
      </c>
      <c r="J40" s="310"/>
      <c r="K40" s="312"/>
      <c r="L40" s="99" t="s">
        <v>4948</v>
      </c>
      <c r="M40" s="2">
        <v>44985</v>
      </c>
      <c r="N40" s="99" t="s">
        <v>35</v>
      </c>
      <c r="O40" s="61" t="s">
        <v>8060</v>
      </c>
      <c r="P40" s="98" t="s">
        <v>2510</v>
      </c>
      <c r="Q40" s="92">
        <v>132.22999999999999</v>
      </c>
      <c r="R40" s="1">
        <v>1</v>
      </c>
      <c r="S40" s="128">
        <v>0.21</v>
      </c>
      <c r="T40" s="128">
        <v>0.2</v>
      </c>
      <c r="U40" s="5"/>
      <c r="V40" s="95">
        <f t="shared" si="0"/>
        <v>127.99863999999999</v>
      </c>
      <c r="W40" t="s">
        <v>128</v>
      </c>
      <c r="X40" s="5" t="s">
        <v>8061</v>
      </c>
      <c r="Y40" s="2">
        <v>29961</v>
      </c>
      <c r="Z40" s="2">
        <v>44944</v>
      </c>
      <c r="AA40" s="11" t="s">
        <v>8330</v>
      </c>
      <c r="AB40" s="2">
        <v>45016</v>
      </c>
      <c r="AC40"/>
      <c r="AD40"/>
      <c r="AE40"/>
      <c r="AF40" t="s">
        <v>3198</v>
      </c>
      <c r="AG40"/>
      <c r="AH40"/>
      <c r="AI40" t="s">
        <v>4951</v>
      </c>
      <c r="AJ40" s="2">
        <v>44974</v>
      </c>
      <c r="AK40"/>
      <c r="AL40"/>
      <c r="AM40" s="3">
        <v>44998</v>
      </c>
      <c r="AN40"/>
      <c r="AO40"/>
      <c r="AP40"/>
      <c r="AS40"/>
      <c r="AT40" s="99"/>
    </row>
    <row r="41" spans="1:46" s="96" customFormat="1">
      <c r="A41" s="1">
        <v>40</v>
      </c>
      <c r="B41" s="96" t="s">
        <v>4189</v>
      </c>
      <c r="C41" s="97">
        <v>44944</v>
      </c>
      <c r="D41" s="97"/>
      <c r="E41" s="99" t="s">
        <v>4948</v>
      </c>
      <c r="F41" s="96" t="s">
        <v>4189</v>
      </c>
      <c r="G41" s="310" t="s">
        <v>188</v>
      </c>
      <c r="H41" s="311" t="s">
        <v>220</v>
      </c>
      <c r="I41" s="312" t="s">
        <v>92</v>
      </c>
      <c r="J41" s="310"/>
      <c r="K41" s="312"/>
      <c r="L41" s="99" t="s">
        <v>4948</v>
      </c>
      <c r="M41" s="2">
        <v>44985</v>
      </c>
      <c r="N41" s="99" t="s">
        <v>35</v>
      </c>
      <c r="O41" s="61" t="s">
        <v>8060</v>
      </c>
      <c r="P41" s="96" t="s">
        <v>2540</v>
      </c>
      <c r="Q41" s="92">
        <v>132.22999999999999</v>
      </c>
      <c r="R41" s="1">
        <v>1</v>
      </c>
      <c r="S41" s="128">
        <v>0.21</v>
      </c>
      <c r="T41" s="128">
        <v>0.2</v>
      </c>
      <c r="U41" s="1"/>
      <c r="V41" s="95">
        <f t="shared" si="0"/>
        <v>127.99863999999999</v>
      </c>
      <c r="W41" t="s">
        <v>280</v>
      </c>
      <c r="X41" s="5" t="s">
        <v>8203</v>
      </c>
      <c r="Y41" s="2">
        <v>34815</v>
      </c>
      <c r="Z41" s="2">
        <v>44944</v>
      </c>
      <c r="AA41" s="11" t="s">
        <v>8330</v>
      </c>
      <c r="AB41" s="2">
        <v>45021</v>
      </c>
      <c r="AC41" s="133" t="s">
        <v>1339</v>
      </c>
      <c r="AD41"/>
      <c r="AE41"/>
      <c r="AF41" t="s">
        <v>3198</v>
      </c>
      <c r="AG41"/>
      <c r="AH41"/>
      <c r="AI41" t="s">
        <v>4951</v>
      </c>
      <c r="AJ41" s="3">
        <v>44998</v>
      </c>
      <c r="AK41"/>
      <c r="AL41"/>
      <c r="AM41" s="3">
        <v>44998</v>
      </c>
      <c r="AN41"/>
      <c r="AO41"/>
      <c r="AP41"/>
      <c r="AT41" s="99"/>
    </row>
    <row r="42" spans="1:46" s="96" customFormat="1" ht="14.25" customHeight="1">
      <c r="A42" s="1">
        <v>41</v>
      </c>
      <c r="B42" s="96" t="s">
        <v>4189</v>
      </c>
      <c r="C42" s="97">
        <v>44944</v>
      </c>
      <c r="D42" s="97"/>
      <c r="E42" s="99" t="s">
        <v>4948</v>
      </c>
      <c r="F42" s="96" t="s">
        <v>4189</v>
      </c>
      <c r="G42" s="310" t="s">
        <v>188</v>
      </c>
      <c r="H42" s="311" t="s">
        <v>220</v>
      </c>
      <c r="I42" s="312" t="s">
        <v>92</v>
      </c>
      <c r="J42" s="310"/>
      <c r="K42" s="312"/>
      <c r="L42" s="99" t="s">
        <v>4948</v>
      </c>
      <c r="M42" s="2">
        <v>44985</v>
      </c>
      <c r="N42" s="99" t="s">
        <v>35</v>
      </c>
      <c r="O42" s="61" t="s">
        <v>8060</v>
      </c>
      <c r="P42" s="96" t="s">
        <v>2512</v>
      </c>
      <c r="Q42" s="92">
        <v>132.22999999999999</v>
      </c>
      <c r="R42" s="1">
        <v>1</v>
      </c>
      <c r="S42" s="128">
        <v>0.21</v>
      </c>
      <c r="T42" s="128">
        <v>0.2</v>
      </c>
      <c r="U42" s="1"/>
      <c r="V42" s="95">
        <f t="shared" si="0"/>
        <v>127.99863999999999</v>
      </c>
      <c r="W42" s="3" t="s">
        <v>191</v>
      </c>
      <c r="X42" s="5" t="s">
        <v>8202</v>
      </c>
      <c r="Y42" s="3">
        <v>32608</v>
      </c>
      <c r="Z42" s="2">
        <v>44944</v>
      </c>
      <c r="AA42" s="11" t="s">
        <v>8330</v>
      </c>
      <c r="AB42" s="2">
        <v>45016</v>
      </c>
      <c r="AC42" s="133" t="s">
        <v>1339</v>
      </c>
      <c r="AD42"/>
      <c r="AE42"/>
      <c r="AF42" t="s">
        <v>3198</v>
      </c>
      <c r="AG42"/>
      <c r="AH42"/>
      <c r="AI42" t="s">
        <v>4951</v>
      </c>
      <c r="AJ42" s="3">
        <v>44998</v>
      </c>
      <c r="AK42"/>
      <c r="AL42"/>
      <c r="AM42" s="3">
        <v>44998</v>
      </c>
      <c r="AN42"/>
      <c r="AO42"/>
      <c r="AP42"/>
      <c r="AT42" s="99"/>
    </row>
    <row r="43" spans="1:46">
      <c r="A43" s="1">
        <v>42</v>
      </c>
      <c r="B43" t="s">
        <v>52</v>
      </c>
      <c r="C43" s="2">
        <v>44968</v>
      </c>
      <c r="D43" s="2"/>
      <c r="E43" s="1" t="s">
        <v>62</v>
      </c>
      <c r="F43" s="61" t="s">
        <v>63</v>
      </c>
      <c r="G43" s="61" t="s">
        <v>214</v>
      </c>
      <c r="H43" s="6" t="s">
        <v>219</v>
      </c>
      <c r="I43" s="1" t="s">
        <v>38</v>
      </c>
      <c r="J43" s="8">
        <v>607281764</v>
      </c>
      <c r="K43" s="8"/>
      <c r="L43" t="s">
        <v>4432</v>
      </c>
      <c r="M43" s="2">
        <v>44985</v>
      </c>
      <c r="N43" t="s">
        <v>35</v>
      </c>
      <c r="O43" s="61" t="s">
        <v>7926</v>
      </c>
      <c r="P43" s="14" t="s">
        <v>8062</v>
      </c>
      <c r="Q43" s="92">
        <v>132.22999999999999</v>
      </c>
      <c r="R43" s="1">
        <v>1</v>
      </c>
      <c r="S43" s="128">
        <v>0.21</v>
      </c>
      <c r="T43" s="128">
        <v>0.2</v>
      </c>
      <c r="U43" s="1"/>
      <c r="V43" s="95">
        <f t="shared" si="0"/>
        <v>127.99863999999999</v>
      </c>
      <c r="W43" t="s">
        <v>8140</v>
      </c>
      <c r="X43" s="5" t="s">
        <v>8141</v>
      </c>
      <c r="Y43" s="2">
        <v>36160</v>
      </c>
      <c r="Z43" s="2">
        <v>44968</v>
      </c>
      <c r="AA43" s="11" t="s">
        <v>8295</v>
      </c>
      <c r="AB43" s="2">
        <v>45012</v>
      </c>
      <c r="AC43" s="133" t="s">
        <v>1339</v>
      </c>
      <c r="AF43" t="s">
        <v>3198</v>
      </c>
      <c r="AI43" t="s">
        <v>3221</v>
      </c>
      <c r="AJ43" s="2">
        <v>44980</v>
      </c>
      <c r="AM43" s="74">
        <v>44984</v>
      </c>
      <c r="AS43" s="96"/>
      <c r="AT43" s="1"/>
    </row>
    <row r="44" spans="1:46">
      <c r="A44" s="1">
        <v>43</v>
      </c>
      <c r="B44" t="s">
        <v>33</v>
      </c>
      <c r="C44" s="2">
        <v>44970</v>
      </c>
      <c r="D44" s="2"/>
      <c r="E44" s="1" t="s">
        <v>8064</v>
      </c>
      <c r="F44" t="s">
        <v>8065</v>
      </c>
      <c r="G44" t="s">
        <v>8066</v>
      </c>
      <c r="H44" s="6" t="s">
        <v>219</v>
      </c>
      <c r="I44" s="1" t="s">
        <v>4334</v>
      </c>
      <c r="K44" s="114" t="s">
        <v>11744</v>
      </c>
      <c r="L44" t="s">
        <v>237</v>
      </c>
      <c r="M44" s="2">
        <v>44985</v>
      </c>
      <c r="N44" t="s">
        <v>35</v>
      </c>
      <c r="O44" s="61" t="s">
        <v>7925</v>
      </c>
      <c r="P44" s="14" t="s">
        <v>8067</v>
      </c>
      <c r="Q44" s="92">
        <v>132.22999999999999</v>
      </c>
      <c r="R44" s="1">
        <v>1</v>
      </c>
      <c r="S44" s="128">
        <v>0.21</v>
      </c>
      <c r="T44" s="128">
        <v>0.2</v>
      </c>
      <c r="U44" s="1"/>
      <c r="V44" s="95">
        <f t="shared" si="0"/>
        <v>127.99863999999999</v>
      </c>
      <c r="W44" t="s">
        <v>8162</v>
      </c>
      <c r="X44" s="5" t="s">
        <v>8185</v>
      </c>
      <c r="Y44" s="3">
        <v>33616</v>
      </c>
      <c r="Z44" s="2">
        <v>44970</v>
      </c>
      <c r="AA44" s="11" t="s">
        <v>8481</v>
      </c>
      <c r="AB44" s="2">
        <v>45040</v>
      </c>
      <c r="AC44" s="133" t="s">
        <v>1339</v>
      </c>
      <c r="AF44" t="s">
        <v>3198</v>
      </c>
      <c r="AI44" t="s">
        <v>3108</v>
      </c>
      <c r="AJ44" s="3">
        <v>44984</v>
      </c>
      <c r="AM44" s="3">
        <v>44988</v>
      </c>
    </row>
    <row r="45" spans="1:46">
      <c r="A45" s="1">
        <v>44</v>
      </c>
      <c r="B45" s="61" t="s">
        <v>3526</v>
      </c>
      <c r="C45" s="2">
        <v>44971</v>
      </c>
      <c r="D45" s="2"/>
      <c r="E45" s="1" t="s">
        <v>5962</v>
      </c>
      <c r="F45" s="61" t="s">
        <v>5963</v>
      </c>
      <c r="G45" s="61" t="s">
        <v>5964</v>
      </c>
      <c r="H45" s="6" t="s">
        <v>294</v>
      </c>
      <c r="I45" s="1" t="s">
        <v>3681</v>
      </c>
      <c r="J45" s="1">
        <v>649440825</v>
      </c>
      <c r="K45" s="1" t="s">
        <v>6353</v>
      </c>
      <c r="L45" s="1" t="s">
        <v>5962</v>
      </c>
      <c r="M45" s="2">
        <v>44985</v>
      </c>
      <c r="N45" s="1" t="s">
        <v>35</v>
      </c>
      <c r="O45" s="61" t="s">
        <v>7925</v>
      </c>
      <c r="P45" s="14" t="s">
        <v>8068</v>
      </c>
      <c r="Q45" s="92">
        <v>78.510000000000005</v>
      </c>
      <c r="R45" s="1">
        <v>1</v>
      </c>
      <c r="S45" s="128">
        <v>0.21</v>
      </c>
      <c r="T45" s="128">
        <v>0.2</v>
      </c>
      <c r="U45" s="1"/>
      <c r="V45" s="95">
        <f t="shared" si="0"/>
        <v>75.997680000000003</v>
      </c>
      <c r="W45" t="s">
        <v>6065</v>
      </c>
      <c r="X45" s="5" t="s">
        <v>8069</v>
      </c>
      <c r="Y45" s="2">
        <v>32441</v>
      </c>
      <c r="Z45" s="2">
        <v>44971</v>
      </c>
      <c r="AA45" s="11" t="s">
        <v>8190</v>
      </c>
      <c r="AB45" s="2">
        <v>44991</v>
      </c>
      <c r="AC45" s="133" t="s">
        <v>1339</v>
      </c>
      <c r="AF45" t="s">
        <v>3198</v>
      </c>
      <c r="AI45" s="2"/>
      <c r="AL45" s="3"/>
    </row>
    <row r="46" spans="1:46">
      <c r="A46" s="1">
        <v>45</v>
      </c>
      <c r="B46" t="s">
        <v>7475</v>
      </c>
      <c r="C46" s="2">
        <v>44971</v>
      </c>
      <c r="D46" s="2"/>
      <c r="E46" s="1" t="s">
        <v>8070</v>
      </c>
      <c r="F46" t="s">
        <v>8071</v>
      </c>
      <c r="G46" t="s">
        <v>8072</v>
      </c>
      <c r="H46" s="6" t="s">
        <v>8073</v>
      </c>
      <c r="I46" s="1" t="s">
        <v>2274</v>
      </c>
      <c r="K46" s="1" t="s">
        <v>8083</v>
      </c>
      <c r="L46" s="1" t="s">
        <v>8070</v>
      </c>
      <c r="M46" s="2">
        <v>44985</v>
      </c>
      <c r="N46" s="1" t="s">
        <v>35</v>
      </c>
      <c r="O46" s="61" t="s">
        <v>7933</v>
      </c>
      <c r="P46" t="s">
        <v>8074</v>
      </c>
      <c r="Q46" s="92">
        <v>100</v>
      </c>
      <c r="R46" s="1">
        <v>1</v>
      </c>
      <c r="S46" s="128">
        <v>0.21</v>
      </c>
      <c r="T46" s="128">
        <v>0</v>
      </c>
      <c r="U46" s="1"/>
      <c r="V46" s="95">
        <f t="shared" si="0"/>
        <v>121</v>
      </c>
      <c r="AA46" s="284" t="s">
        <v>1326</v>
      </c>
      <c r="AB46" s="1"/>
    </row>
    <row r="47" spans="1:46">
      <c r="A47" s="1">
        <v>46</v>
      </c>
      <c r="B47" t="s">
        <v>1242</v>
      </c>
      <c r="C47" s="2">
        <v>44971</v>
      </c>
      <c r="D47" s="2"/>
      <c r="E47" s="1" t="s">
        <v>1003</v>
      </c>
      <c r="F47" t="s">
        <v>1004</v>
      </c>
      <c r="G47" s="61" t="s">
        <v>8075</v>
      </c>
      <c r="H47" s="6" t="s">
        <v>221</v>
      </c>
      <c r="I47" s="1" t="s">
        <v>34</v>
      </c>
      <c r="K47" s="8" t="s">
        <v>5905</v>
      </c>
      <c r="L47" s="31" t="s">
        <v>1250</v>
      </c>
      <c r="M47" s="2">
        <v>44985</v>
      </c>
      <c r="N47" s="1" t="s">
        <v>35</v>
      </c>
      <c r="O47" s="61" t="s">
        <v>7926</v>
      </c>
      <c r="P47" s="14" t="s">
        <v>8327</v>
      </c>
      <c r="Q47" s="92">
        <v>132.22999999999999</v>
      </c>
      <c r="R47" s="1">
        <v>1</v>
      </c>
      <c r="S47" s="128">
        <v>0.21</v>
      </c>
      <c r="T47" s="128">
        <v>0.2</v>
      </c>
      <c r="U47" s="1"/>
      <c r="V47" s="95">
        <f t="shared" si="0"/>
        <v>127.99863999999999</v>
      </c>
      <c r="W47" t="s">
        <v>8157</v>
      </c>
      <c r="X47" s="5" t="s">
        <v>8158</v>
      </c>
      <c r="Y47" s="3">
        <v>35794</v>
      </c>
      <c r="Z47" s="2">
        <v>44971</v>
      </c>
      <c r="AA47" s="11" t="s">
        <v>8328</v>
      </c>
      <c r="AB47" s="2">
        <v>45014</v>
      </c>
      <c r="AC47" s="133" t="s">
        <v>1339</v>
      </c>
      <c r="AF47" t="s">
        <v>3198</v>
      </c>
      <c r="AI47" t="s">
        <v>3221</v>
      </c>
      <c r="AJ47" s="3">
        <v>44984</v>
      </c>
      <c r="AM47" s="3">
        <v>44994</v>
      </c>
    </row>
    <row r="48" spans="1:46">
      <c r="A48" s="1">
        <v>47</v>
      </c>
      <c r="B48" t="s">
        <v>4321</v>
      </c>
      <c r="C48" s="2">
        <v>44971</v>
      </c>
      <c r="D48" s="2"/>
      <c r="E48" s="1" t="s">
        <v>7226</v>
      </c>
      <c r="F48" s="61" t="s">
        <v>7162</v>
      </c>
      <c r="G48" s="61" t="s">
        <v>7163</v>
      </c>
      <c r="H48" s="6" t="s">
        <v>239</v>
      </c>
      <c r="I48" s="1" t="s">
        <v>86</v>
      </c>
      <c r="J48" s="8"/>
      <c r="K48" s="8" t="s">
        <v>5991</v>
      </c>
      <c r="L48" t="s">
        <v>7161</v>
      </c>
      <c r="M48" s="2">
        <v>44985</v>
      </c>
      <c r="N48" s="1" t="s">
        <v>35</v>
      </c>
      <c r="O48" s="61" t="s">
        <v>7925</v>
      </c>
      <c r="P48" s="14" t="s">
        <v>8076</v>
      </c>
      <c r="Q48" s="92">
        <v>132.22999999999999</v>
      </c>
      <c r="R48" s="1">
        <v>1</v>
      </c>
      <c r="S48" s="128">
        <v>0.21</v>
      </c>
      <c r="T48" s="128">
        <v>0.2</v>
      </c>
      <c r="U48" s="1"/>
      <c r="V48" s="95">
        <f t="shared" si="0"/>
        <v>127.99863999999999</v>
      </c>
      <c r="W48" t="s">
        <v>8113</v>
      </c>
      <c r="X48" s="5" t="s">
        <v>8114</v>
      </c>
      <c r="Y48" s="3">
        <v>30893</v>
      </c>
      <c r="Z48" s="2">
        <v>44971</v>
      </c>
      <c r="AA48" s="13" t="s">
        <v>8480</v>
      </c>
      <c r="AB48" s="2">
        <v>45040</v>
      </c>
      <c r="AC48" s="133" t="s">
        <v>1339</v>
      </c>
      <c r="AF48" t="s">
        <v>3198</v>
      </c>
      <c r="AI48" t="s">
        <v>5986</v>
      </c>
      <c r="AJ48" s="3">
        <v>44977</v>
      </c>
      <c r="AM48" s="3">
        <v>44978</v>
      </c>
    </row>
    <row r="49" spans="1:139">
      <c r="A49" s="1">
        <v>48</v>
      </c>
      <c r="B49" t="s">
        <v>4321</v>
      </c>
      <c r="C49" s="2">
        <v>44971</v>
      </c>
      <c r="D49" s="2"/>
      <c r="E49" s="1" t="s">
        <v>8077</v>
      </c>
      <c r="F49" t="s">
        <v>8078</v>
      </c>
      <c r="G49" t="s">
        <v>8079</v>
      </c>
      <c r="H49" s="6" t="s">
        <v>238</v>
      </c>
      <c r="I49" s="1" t="s">
        <v>48</v>
      </c>
      <c r="K49" s="8" t="s">
        <v>5991</v>
      </c>
      <c r="L49" s="1" t="s">
        <v>8077</v>
      </c>
      <c r="M49" s="2">
        <v>44985</v>
      </c>
      <c r="N49" s="1" t="s">
        <v>35</v>
      </c>
      <c r="O49" s="61" t="s">
        <v>7934</v>
      </c>
      <c r="P49" s="14" t="s">
        <v>8128</v>
      </c>
      <c r="Q49" s="92">
        <v>78.510000000000005</v>
      </c>
      <c r="R49" s="1">
        <v>1</v>
      </c>
      <c r="S49" s="128">
        <v>0.21</v>
      </c>
      <c r="T49" s="128">
        <v>0.2</v>
      </c>
      <c r="U49" s="1"/>
      <c r="V49" s="95">
        <f t="shared" si="0"/>
        <v>75.997680000000003</v>
      </c>
      <c r="W49" t="s">
        <v>8129</v>
      </c>
      <c r="X49" s="5" t="s">
        <v>8082</v>
      </c>
      <c r="Y49" s="3">
        <v>32818</v>
      </c>
      <c r="Z49" s="2">
        <v>44971</v>
      </c>
      <c r="AA49" s="11" t="s">
        <v>8190</v>
      </c>
      <c r="AB49" s="2">
        <v>44991</v>
      </c>
      <c r="AC49" s="133" t="s">
        <v>1339</v>
      </c>
      <c r="AF49" t="s">
        <v>3198</v>
      </c>
    </row>
    <row r="50" spans="1:139">
      <c r="A50" s="1">
        <v>49</v>
      </c>
      <c r="B50" t="s">
        <v>6452</v>
      </c>
      <c r="C50" s="2">
        <v>44973</v>
      </c>
      <c r="D50" s="2"/>
      <c r="E50" s="1" t="s">
        <v>8084</v>
      </c>
      <c r="F50" t="s">
        <v>8085</v>
      </c>
      <c r="G50" t="s">
        <v>8086</v>
      </c>
      <c r="H50" s="6" t="s">
        <v>4929</v>
      </c>
      <c r="I50" s="1" t="s">
        <v>6537</v>
      </c>
      <c r="K50" s="1"/>
      <c r="L50" s="1" t="s">
        <v>8084</v>
      </c>
      <c r="M50" s="2">
        <v>44985</v>
      </c>
      <c r="N50" s="1" t="s">
        <v>35</v>
      </c>
      <c r="O50" s="61" t="s">
        <v>7931</v>
      </c>
      <c r="P50" t="s">
        <v>8087</v>
      </c>
      <c r="Q50" s="92">
        <v>76.03</v>
      </c>
      <c r="R50" s="1">
        <v>1</v>
      </c>
      <c r="S50" s="128">
        <v>0.21</v>
      </c>
      <c r="T50" s="128">
        <v>0</v>
      </c>
      <c r="U50" s="368" t="s">
        <v>4073</v>
      </c>
      <c r="V50" s="95">
        <f t="shared" si="0"/>
        <v>91.996300000000005</v>
      </c>
      <c r="AA50" s="284" t="s">
        <v>1326</v>
      </c>
      <c r="AB50" s="1"/>
      <c r="AF50" t="s">
        <v>3198</v>
      </c>
    </row>
    <row r="51" spans="1:139">
      <c r="A51" s="1">
        <v>50</v>
      </c>
      <c r="B51" t="s">
        <v>33</v>
      </c>
      <c r="C51" s="2">
        <v>44973</v>
      </c>
      <c r="D51" s="2"/>
      <c r="E51" s="1" t="s">
        <v>5773</v>
      </c>
      <c r="F51" t="s">
        <v>5774</v>
      </c>
      <c r="G51" s="61" t="s">
        <v>5775</v>
      </c>
      <c r="H51" s="6" t="s">
        <v>220</v>
      </c>
      <c r="I51" s="1" t="s">
        <v>39</v>
      </c>
      <c r="K51" s="114" t="s">
        <v>11744</v>
      </c>
      <c r="L51" t="s">
        <v>237</v>
      </c>
      <c r="M51" s="2">
        <v>44985</v>
      </c>
      <c r="N51" s="1" t="s">
        <v>35</v>
      </c>
      <c r="O51" s="14" t="s">
        <v>7925</v>
      </c>
      <c r="P51" s="14" t="s">
        <v>8088</v>
      </c>
      <c r="Q51" s="92">
        <v>132.22999999999999</v>
      </c>
      <c r="R51" s="1">
        <v>1</v>
      </c>
      <c r="S51" s="128">
        <v>0.21</v>
      </c>
      <c r="T51" s="128">
        <v>0.2</v>
      </c>
      <c r="U51" s="363"/>
      <c r="V51" s="95">
        <f t="shared" si="0"/>
        <v>127.99863999999999</v>
      </c>
      <c r="W51" s="5" t="s">
        <v>8182</v>
      </c>
      <c r="X51" s="5" t="s">
        <v>8337</v>
      </c>
      <c r="Y51" s="2">
        <v>32381</v>
      </c>
      <c r="Z51" s="2">
        <v>44987</v>
      </c>
      <c r="AA51" s="11" t="s">
        <v>8543</v>
      </c>
      <c r="AB51" s="2">
        <v>45055</v>
      </c>
      <c r="AC51" s="133" t="s">
        <v>1339</v>
      </c>
      <c r="AF51" t="s">
        <v>3198</v>
      </c>
      <c r="AI51" t="s">
        <v>3108</v>
      </c>
      <c r="AJ51" s="3">
        <v>45014</v>
      </c>
      <c r="AL51" s="3"/>
      <c r="AM51" s="3">
        <v>45020</v>
      </c>
    </row>
    <row r="52" spans="1:139">
      <c r="A52" s="1">
        <v>51</v>
      </c>
      <c r="B52" t="s">
        <v>33</v>
      </c>
      <c r="C52" s="2">
        <v>44973</v>
      </c>
      <c r="D52" s="2"/>
      <c r="E52" s="1" t="s">
        <v>5021</v>
      </c>
      <c r="F52" t="s">
        <v>5014</v>
      </c>
      <c r="G52" t="s">
        <v>5020</v>
      </c>
      <c r="H52" s="6" t="s">
        <v>219</v>
      </c>
      <c r="I52" s="1" t="s">
        <v>38</v>
      </c>
      <c r="K52" s="114" t="s">
        <v>11744</v>
      </c>
      <c r="L52" s="1" t="s">
        <v>237</v>
      </c>
      <c r="M52" s="2">
        <v>44985</v>
      </c>
      <c r="N52" s="1" t="s">
        <v>35</v>
      </c>
      <c r="O52" s="14" t="s">
        <v>7925</v>
      </c>
      <c r="P52" s="14" t="s">
        <v>8089</v>
      </c>
      <c r="Q52" s="92">
        <v>132.22999999999999</v>
      </c>
      <c r="R52" s="1">
        <v>1</v>
      </c>
      <c r="S52" s="128">
        <v>0.21</v>
      </c>
      <c r="T52" s="128">
        <v>0.2</v>
      </c>
      <c r="U52" s="363"/>
      <c r="V52" s="95">
        <f t="shared" si="0"/>
        <v>127.99863999999999</v>
      </c>
      <c r="W52" t="s">
        <v>8149</v>
      </c>
      <c r="X52" s="5" t="s">
        <v>8150</v>
      </c>
      <c r="Y52" s="2">
        <v>30316</v>
      </c>
      <c r="Z52" s="2">
        <v>44973</v>
      </c>
      <c r="AA52" s="11" t="s">
        <v>8511</v>
      </c>
      <c r="AB52" s="2">
        <v>45048</v>
      </c>
      <c r="AC52" s="133" t="s">
        <v>1339</v>
      </c>
      <c r="AD52" s="61"/>
      <c r="AE52" s="61"/>
      <c r="AF52" t="s">
        <v>3198</v>
      </c>
      <c r="AI52" t="s">
        <v>3108</v>
      </c>
      <c r="AJ52" s="2">
        <v>44981</v>
      </c>
      <c r="AM52" s="3">
        <v>44984</v>
      </c>
      <c r="AT52" s="1"/>
    </row>
    <row r="53" spans="1:139">
      <c r="A53" s="1">
        <v>52</v>
      </c>
      <c r="B53" t="s">
        <v>33</v>
      </c>
      <c r="C53" s="2">
        <v>44973</v>
      </c>
      <c r="D53" s="2"/>
      <c r="E53" s="1" t="s">
        <v>5773</v>
      </c>
      <c r="F53" t="s">
        <v>5774</v>
      </c>
      <c r="G53" s="61" t="s">
        <v>5775</v>
      </c>
      <c r="H53" s="6" t="s">
        <v>220</v>
      </c>
      <c r="I53" s="1" t="s">
        <v>39</v>
      </c>
      <c r="K53" s="114" t="s">
        <v>11744</v>
      </c>
      <c r="L53" t="s">
        <v>237</v>
      </c>
      <c r="M53" s="2">
        <v>44985</v>
      </c>
      <c r="N53" s="1" t="s">
        <v>35</v>
      </c>
      <c r="O53" s="14" t="s">
        <v>7925</v>
      </c>
      <c r="P53" s="14" t="s">
        <v>8090</v>
      </c>
      <c r="Q53" s="92">
        <v>132.22999999999999</v>
      </c>
      <c r="R53" s="1">
        <v>1</v>
      </c>
      <c r="S53" s="128">
        <v>0.21</v>
      </c>
      <c r="T53" s="128">
        <v>0.2</v>
      </c>
      <c r="U53" s="363"/>
      <c r="V53" s="95">
        <f t="shared" si="0"/>
        <v>127.99863999999999</v>
      </c>
      <c r="W53" t="s">
        <v>8147</v>
      </c>
      <c r="X53" s="5" t="s">
        <v>8148</v>
      </c>
      <c r="Y53" s="2">
        <v>34085</v>
      </c>
      <c r="Z53" s="2">
        <v>44973</v>
      </c>
      <c r="AA53" s="11" t="s">
        <v>8512</v>
      </c>
      <c r="AB53" s="2">
        <v>45048</v>
      </c>
      <c r="AC53" s="133" t="s">
        <v>1339</v>
      </c>
      <c r="AF53" t="s">
        <v>3198</v>
      </c>
      <c r="AI53" t="s">
        <v>3108</v>
      </c>
      <c r="AJ53" s="3">
        <v>44981</v>
      </c>
      <c r="AL53" s="3"/>
      <c r="AM53" s="3">
        <v>44984</v>
      </c>
    </row>
    <row r="54" spans="1:139">
      <c r="A54" s="1">
        <v>53</v>
      </c>
      <c r="B54" t="s">
        <v>1242</v>
      </c>
      <c r="C54" s="2">
        <v>44974</v>
      </c>
      <c r="D54" s="2"/>
      <c r="E54" s="1" t="s">
        <v>3103</v>
      </c>
      <c r="F54" s="61" t="s">
        <v>3581</v>
      </c>
      <c r="G54" s="61" t="s">
        <v>7441</v>
      </c>
      <c r="H54" s="6" t="s">
        <v>221</v>
      </c>
      <c r="I54" s="1" t="s">
        <v>34</v>
      </c>
      <c r="J54" s="8"/>
      <c r="K54" s="8" t="s">
        <v>5905</v>
      </c>
      <c r="L54" s="31" t="s">
        <v>1250</v>
      </c>
      <c r="M54" s="2">
        <v>44985</v>
      </c>
      <c r="N54" s="1" t="s">
        <v>35</v>
      </c>
      <c r="O54" s="14" t="s">
        <v>7933</v>
      </c>
      <c r="P54" s="14" t="s">
        <v>8091</v>
      </c>
      <c r="Q54" s="163">
        <v>100</v>
      </c>
      <c r="R54" s="1">
        <v>1</v>
      </c>
      <c r="S54" s="128">
        <v>0.21</v>
      </c>
      <c r="T54" s="128">
        <v>0</v>
      </c>
      <c r="V54" s="95">
        <f t="shared" si="0"/>
        <v>121</v>
      </c>
      <c r="W54" t="s">
        <v>8092</v>
      </c>
      <c r="X54" s="5" t="s">
        <v>8093</v>
      </c>
      <c r="Y54" s="2">
        <v>35296</v>
      </c>
      <c r="Z54" s="2">
        <v>44974</v>
      </c>
      <c r="AA54" s="284" t="s">
        <v>1326</v>
      </c>
      <c r="AB54" s="2"/>
      <c r="AC54" s="80"/>
      <c r="AF54" t="s">
        <v>3198</v>
      </c>
      <c r="AJ54" s="2"/>
      <c r="AK54" s="1"/>
      <c r="AM54" s="74"/>
      <c r="AT54" s="1"/>
    </row>
    <row r="55" spans="1:139" s="197" customFormat="1">
      <c r="A55" s="1">
        <v>54</v>
      </c>
      <c r="B55" s="61" t="s">
        <v>4321</v>
      </c>
      <c r="C55" s="2">
        <v>44974</v>
      </c>
      <c r="D55" s="2"/>
      <c r="E55" s="1" t="s">
        <v>3427</v>
      </c>
      <c r="F55" s="61" t="s">
        <v>3428</v>
      </c>
      <c r="G55" s="61" t="s">
        <v>3433</v>
      </c>
      <c r="H55" s="6" t="s">
        <v>3429</v>
      </c>
      <c r="I55" s="1" t="s">
        <v>86</v>
      </c>
      <c r="J55" s="1">
        <v>650379091</v>
      </c>
      <c r="K55" s="8" t="s">
        <v>5991</v>
      </c>
      <c r="L55" s="1" t="s">
        <v>3427</v>
      </c>
      <c r="M55" s="2">
        <v>44985</v>
      </c>
      <c r="N55" t="s">
        <v>35</v>
      </c>
      <c r="O55" s="14" t="s">
        <v>7926</v>
      </c>
      <c r="P55" s="14" t="s">
        <v>8095</v>
      </c>
      <c r="Q55" s="187">
        <v>132.22999999999999</v>
      </c>
      <c r="R55" s="1">
        <v>1</v>
      </c>
      <c r="S55" s="128">
        <v>0.21</v>
      </c>
      <c r="T55" s="128">
        <v>0.2</v>
      </c>
      <c r="U55"/>
      <c r="V55" s="95">
        <f t="shared" si="0"/>
        <v>127.99863999999999</v>
      </c>
      <c r="W55" t="s">
        <v>8193</v>
      </c>
      <c r="X55" s="5" t="s">
        <v>8194</v>
      </c>
      <c r="Y55" s="2">
        <v>29696</v>
      </c>
      <c r="Z55" s="2">
        <v>44974</v>
      </c>
      <c r="AA55" s="11" t="s">
        <v>8543</v>
      </c>
      <c r="AB55" s="2">
        <v>45062</v>
      </c>
      <c r="AC55" s="133" t="s">
        <v>1339</v>
      </c>
      <c r="AD55"/>
      <c r="AE55" s="162">
        <v>45041</v>
      </c>
      <c r="AF55" t="s">
        <v>3198</v>
      </c>
      <c r="AG55"/>
      <c r="AH55"/>
      <c r="AI55" t="s">
        <v>3221</v>
      </c>
      <c r="AJ55" s="2">
        <v>44991</v>
      </c>
      <c r="AK55"/>
      <c r="AL55"/>
      <c r="AM55" s="3">
        <v>45015</v>
      </c>
      <c r="AN55"/>
      <c r="AO55"/>
      <c r="AP55"/>
      <c r="AQ55"/>
      <c r="AR55"/>
      <c r="AS55"/>
      <c r="AT55" s="1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</row>
    <row r="56" spans="1:139">
      <c r="A56" s="1">
        <v>55</v>
      </c>
      <c r="B56" t="s">
        <v>7245</v>
      </c>
      <c r="C56" s="2">
        <v>44974</v>
      </c>
      <c r="D56" s="2"/>
      <c r="E56" t="s">
        <v>1522</v>
      </c>
      <c r="F56" t="s">
        <v>3233</v>
      </c>
      <c r="G56" t="s">
        <v>3241</v>
      </c>
      <c r="H56" s="6" t="s">
        <v>3234</v>
      </c>
      <c r="I56" t="s">
        <v>3235</v>
      </c>
      <c r="J56" s="8">
        <v>680761760</v>
      </c>
      <c r="K56" s="8" t="s">
        <v>6232</v>
      </c>
      <c r="L56" t="s">
        <v>1522</v>
      </c>
      <c r="M56" s="2">
        <v>44985</v>
      </c>
      <c r="N56" s="1" t="s">
        <v>35</v>
      </c>
      <c r="O56" s="14" t="s">
        <v>7926</v>
      </c>
      <c r="P56" s="14" t="s">
        <v>8096</v>
      </c>
      <c r="Q56" s="187">
        <v>132.22999999999999</v>
      </c>
      <c r="R56" s="1">
        <v>1</v>
      </c>
      <c r="S56" s="128">
        <v>0.21</v>
      </c>
      <c r="T56" s="128">
        <v>0.2</v>
      </c>
      <c r="V56" s="95">
        <f t="shared" si="0"/>
        <v>127.99863999999999</v>
      </c>
      <c r="W56" t="s">
        <v>8213</v>
      </c>
      <c r="X56" s="5" t="s">
        <v>8214</v>
      </c>
      <c r="Y56" s="2">
        <v>35977</v>
      </c>
      <c r="Z56" s="2">
        <v>44974</v>
      </c>
      <c r="AA56" s="11" t="s">
        <v>8374</v>
      </c>
      <c r="AB56" s="2">
        <v>45028</v>
      </c>
      <c r="AC56" s="133" t="s">
        <v>1339</v>
      </c>
      <c r="AE56" s="3"/>
      <c r="AF56" t="s">
        <v>3198</v>
      </c>
      <c r="AI56" t="s">
        <v>8124</v>
      </c>
      <c r="AJ56" s="2">
        <v>44994</v>
      </c>
      <c r="AM56" s="74">
        <v>44995</v>
      </c>
      <c r="AT56" s="1"/>
    </row>
    <row r="57" spans="1:139">
      <c r="A57" s="1">
        <v>56</v>
      </c>
      <c r="B57" t="s">
        <v>33</v>
      </c>
      <c r="C57" s="2">
        <v>44977</v>
      </c>
      <c r="D57" s="2"/>
      <c r="E57" s="1" t="s">
        <v>5021</v>
      </c>
      <c r="F57" t="s">
        <v>5014</v>
      </c>
      <c r="G57" t="s">
        <v>5020</v>
      </c>
      <c r="H57" s="6" t="s">
        <v>219</v>
      </c>
      <c r="I57" s="1" t="s">
        <v>38</v>
      </c>
      <c r="K57" s="114" t="s">
        <v>11744</v>
      </c>
      <c r="L57" s="1" t="s">
        <v>237</v>
      </c>
      <c r="M57" s="2">
        <v>44985</v>
      </c>
      <c r="N57" s="1" t="s">
        <v>35</v>
      </c>
      <c r="O57" s="14" t="s">
        <v>7925</v>
      </c>
      <c r="P57" s="14" t="s">
        <v>8110</v>
      </c>
      <c r="Q57" s="92">
        <v>132.22999999999999</v>
      </c>
      <c r="R57" s="1">
        <v>1</v>
      </c>
      <c r="S57" s="128">
        <v>0.21</v>
      </c>
      <c r="T57" s="128">
        <v>0.2</v>
      </c>
      <c r="U57" s="363"/>
      <c r="V57" s="95">
        <f t="shared" si="0"/>
        <v>127.99863999999999</v>
      </c>
      <c r="W57" t="s">
        <v>8183</v>
      </c>
      <c r="X57" s="5" t="s">
        <v>8184</v>
      </c>
      <c r="Y57" s="2">
        <v>34674</v>
      </c>
      <c r="Z57" s="2">
        <v>44977</v>
      </c>
      <c r="AA57" s="13" t="s">
        <v>8643</v>
      </c>
      <c r="AB57" s="2">
        <v>45075</v>
      </c>
      <c r="AC57" s="133" t="s">
        <v>1339</v>
      </c>
      <c r="AD57" s="61" t="s">
        <v>3765</v>
      </c>
      <c r="AE57" s="374">
        <v>45063</v>
      </c>
      <c r="AF57" t="s">
        <v>3198</v>
      </c>
      <c r="AI57" s="76" t="s">
        <v>6665</v>
      </c>
      <c r="AJ57" s="2">
        <v>44987</v>
      </c>
      <c r="AM57" s="3"/>
      <c r="AT57" s="1"/>
    </row>
    <row r="58" spans="1:139">
      <c r="A58" s="1">
        <v>57</v>
      </c>
      <c r="B58" t="s">
        <v>37</v>
      </c>
      <c r="C58" s="2">
        <v>44977</v>
      </c>
      <c r="D58" s="2"/>
      <c r="E58" t="s">
        <v>6180</v>
      </c>
      <c r="F58" t="s">
        <v>6149</v>
      </c>
      <c r="G58" s="61" t="s">
        <v>5797</v>
      </c>
      <c r="H58" s="6" t="s">
        <v>270</v>
      </c>
      <c r="I58" s="1" t="s">
        <v>3681</v>
      </c>
      <c r="J58" s="1">
        <v>642443690</v>
      </c>
      <c r="K58" s="1"/>
      <c r="L58" t="s">
        <v>6180</v>
      </c>
      <c r="M58" s="2">
        <v>44985</v>
      </c>
      <c r="N58" s="1" t="s">
        <v>35</v>
      </c>
      <c r="O58" s="14" t="s">
        <v>7934</v>
      </c>
      <c r="P58" s="14" t="s">
        <v>8111</v>
      </c>
      <c r="Q58" s="92">
        <v>78.510000000000005</v>
      </c>
      <c r="R58" s="1">
        <v>1</v>
      </c>
      <c r="S58" s="128">
        <v>0.21</v>
      </c>
      <c r="T58" s="128">
        <v>0</v>
      </c>
      <c r="U58" s="363"/>
      <c r="V58" s="95">
        <f t="shared" si="0"/>
        <v>94.997100000000003</v>
      </c>
      <c r="W58" t="s">
        <v>6180</v>
      </c>
      <c r="X58" s="5" t="s">
        <v>8112</v>
      </c>
      <c r="Y58" s="2">
        <v>32058</v>
      </c>
      <c r="Z58" s="2">
        <v>44977</v>
      </c>
      <c r="AA58" s="11" t="s">
        <v>8199</v>
      </c>
      <c r="AB58" s="2">
        <v>44991</v>
      </c>
      <c r="AC58" s="133" t="s">
        <v>1339</v>
      </c>
      <c r="AF58" t="s">
        <v>3198</v>
      </c>
      <c r="AI58" s="2"/>
      <c r="AL58" s="3"/>
    </row>
    <row r="59" spans="1:139">
      <c r="A59" s="1">
        <v>58</v>
      </c>
      <c r="B59" t="s">
        <v>1242</v>
      </c>
      <c r="C59" s="2">
        <v>44978</v>
      </c>
      <c r="D59" s="2"/>
      <c r="E59" s="1" t="s">
        <v>8115</v>
      </c>
      <c r="F59" t="s">
        <v>8116</v>
      </c>
      <c r="G59" t="s">
        <v>8117</v>
      </c>
      <c r="H59" s="6" t="s">
        <v>221</v>
      </c>
      <c r="I59" s="1" t="s">
        <v>34</v>
      </c>
      <c r="K59" s="8" t="s">
        <v>5905</v>
      </c>
      <c r="L59" s="31" t="s">
        <v>1250</v>
      </c>
      <c r="M59" s="2">
        <v>44985</v>
      </c>
      <c r="N59" s="1" t="s">
        <v>35</v>
      </c>
      <c r="O59" s="61" t="s">
        <v>7926</v>
      </c>
      <c r="P59" s="14" t="s">
        <v>8118</v>
      </c>
      <c r="Q59" s="92">
        <v>132.22999999999999</v>
      </c>
      <c r="R59" s="1">
        <v>1</v>
      </c>
      <c r="S59" s="128">
        <v>0.21</v>
      </c>
      <c r="T59" s="128">
        <v>0.2</v>
      </c>
      <c r="U59" s="363"/>
      <c r="V59" s="95">
        <f t="shared" si="0"/>
        <v>127.99863999999999</v>
      </c>
      <c r="W59" t="s">
        <v>8227</v>
      </c>
      <c r="X59" s="5" t="s">
        <v>8228</v>
      </c>
      <c r="Y59" s="3">
        <v>38126</v>
      </c>
      <c r="Z59" s="2">
        <v>44978</v>
      </c>
      <c r="AA59" s="11" t="s">
        <v>8411</v>
      </c>
      <c r="AB59" s="2">
        <v>45028</v>
      </c>
      <c r="AC59" s="133" t="s">
        <v>1339</v>
      </c>
      <c r="AF59" t="s">
        <v>3198</v>
      </c>
      <c r="AI59" t="s">
        <v>8119</v>
      </c>
      <c r="AJ59" s="3">
        <v>44998</v>
      </c>
      <c r="AM59" s="3">
        <v>45005</v>
      </c>
    </row>
    <row r="60" spans="1:139">
      <c r="A60" s="1">
        <v>59</v>
      </c>
      <c r="B60" t="s">
        <v>1414</v>
      </c>
      <c r="C60" s="2">
        <v>44978</v>
      </c>
      <c r="D60" s="2"/>
      <c r="E60" t="s">
        <v>113</v>
      </c>
      <c r="F60" s="14" t="s">
        <v>99</v>
      </c>
      <c r="G60" t="s">
        <v>114</v>
      </c>
      <c r="H60" s="6" t="s">
        <v>221</v>
      </c>
      <c r="I60" t="s">
        <v>34</v>
      </c>
      <c r="J60">
        <v>695720650</v>
      </c>
      <c r="K60" s="1" t="s">
        <v>8122</v>
      </c>
      <c r="L60" t="s">
        <v>2688</v>
      </c>
      <c r="M60" s="2">
        <v>44985</v>
      </c>
      <c r="N60" s="1" t="s">
        <v>35</v>
      </c>
      <c r="O60" s="61" t="s">
        <v>7933</v>
      </c>
      <c r="P60" t="s">
        <v>8170</v>
      </c>
      <c r="Q60" s="92">
        <v>100</v>
      </c>
      <c r="R60" s="1">
        <v>1</v>
      </c>
      <c r="S60" s="128">
        <v>0.21</v>
      </c>
      <c r="T60" s="128">
        <v>0</v>
      </c>
      <c r="U60" s="363"/>
      <c r="V60" s="95">
        <f t="shared" si="0"/>
        <v>121</v>
      </c>
      <c r="W60" t="s">
        <v>8120</v>
      </c>
      <c r="X60" s="5" t="s">
        <v>8121</v>
      </c>
      <c r="Y60" s="3">
        <v>36636</v>
      </c>
      <c r="Z60" s="2">
        <v>44978</v>
      </c>
      <c r="AA60" s="11" t="s">
        <v>8294</v>
      </c>
      <c r="AB60" s="2">
        <v>45008</v>
      </c>
      <c r="AC60" s="133" t="s">
        <v>1339</v>
      </c>
      <c r="AF60" t="s">
        <v>3198</v>
      </c>
    </row>
    <row r="61" spans="1:139">
      <c r="A61" s="1">
        <v>60</v>
      </c>
      <c r="B61" t="s">
        <v>7245</v>
      </c>
      <c r="C61" s="2">
        <v>44978</v>
      </c>
      <c r="D61" s="2"/>
      <c r="E61" t="s">
        <v>1522</v>
      </c>
      <c r="F61" t="s">
        <v>3233</v>
      </c>
      <c r="G61" t="s">
        <v>3241</v>
      </c>
      <c r="H61" s="6" t="s">
        <v>3234</v>
      </c>
      <c r="I61" t="s">
        <v>3235</v>
      </c>
      <c r="J61" s="8">
        <v>680761760</v>
      </c>
      <c r="K61" s="8" t="s">
        <v>6232</v>
      </c>
      <c r="L61" t="s">
        <v>1522</v>
      </c>
      <c r="M61" s="2">
        <v>44985</v>
      </c>
      <c r="N61" s="1" t="s">
        <v>35</v>
      </c>
      <c r="O61" s="14" t="s">
        <v>7926</v>
      </c>
      <c r="P61" s="14" t="s">
        <v>8123</v>
      </c>
      <c r="Q61" s="187">
        <v>132.22999999999999</v>
      </c>
      <c r="R61" s="1">
        <v>1</v>
      </c>
      <c r="S61" s="128">
        <v>0.21</v>
      </c>
      <c r="T61" s="128">
        <v>0.2</v>
      </c>
      <c r="V61" s="95">
        <f t="shared" si="0"/>
        <v>127.99863999999999</v>
      </c>
      <c r="W61" t="s">
        <v>8229</v>
      </c>
      <c r="X61" s="5" t="s">
        <v>8230</v>
      </c>
      <c r="Y61" s="2">
        <v>37959</v>
      </c>
      <c r="Z61" s="2">
        <v>44978</v>
      </c>
      <c r="AA61" s="11" t="s">
        <v>8374</v>
      </c>
      <c r="AB61" s="2">
        <v>45028</v>
      </c>
      <c r="AC61" s="133" t="s">
        <v>1339</v>
      </c>
      <c r="AE61" s="3"/>
      <c r="AF61" t="s">
        <v>3198</v>
      </c>
      <c r="AI61" t="s">
        <v>8125</v>
      </c>
      <c r="AJ61" s="2">
        <v>44998</v>
      </c>
      <c r="AM61" s="74">
        <v>44999</v>
      </c>
      <c r="AT61" s="1"/>
    </row>
    <row r="62" spans="1:139">
      <c r="A62" s="1">
        <v>61</v>
      </c>
      <c r="B62" t="s">
        <v>4321</v>
      </c>
      <c r="C62" s="2">
        <v>44979</v>
      </c>
      <c r="D62" s="2"/>
      <c r="E62" s="1" t="s">
        <v>8077</v>
      </c>
      <c r="F62" t="s">
        <v>8078</v>
      </c>
      <c r="G62" t="s">
        <v>8079</v>
      </c>
      <c r="H62" s="6" t="s">
        <v>238</v>
      </c>
      <c r="I62" s="1" t="s">
        <v>48</v>
      </c>
      <c r="K62" s="8" t="s">
        <v>5991</v>
      </c>
      <c r="L62" s="1" t="s">
        <v>8077</v>
      </c>
      <c r="M62" s="2">
        <v>44985</v>
      </c>
      <c r="N62" s="1" t="s">
        <v>35</v>
      </c>
      <c r="O62" s="61" t="s">
        <v>7934</v>
      </c>
      <c r="P62" s="14" t="s">
        <v>8080</v>
      </c>
      <c r="Q62" s="92">
        <v>78.510000000000005</v>
      </c>
      <c r="R62" s="1">
        <v>1</v>
      </c>
      <c r="S62" s="128">
        <v>0.21</v>
      </c>
      <c r="T62" s="128">
        <v>0.2</v>
      </c>
      <c r="U62" s="1"/>
      <c r="V62" s="95">
        <f t="shared" si="0"/>
        <v>75.997680000000003</v>
      </c>
      <c r="W62" t="s">
        <v>8081</v>
      </c>
      <c r="X62" s="5" t="s">
        <v>8130</v>
      </c>
      <c r="Y62" s="3">
        <v>33406</v>
      </c>
      <c r="Z62" s="2">
        <v>44979</v>
      </c>
      <c r="AA62" s="11" t="s">
        <v>8220</v>
      </c>
      <c r="AB62" s="2">
        <v>44995</v>
      </c>
      <c r="AC62" s="133" t="s">
        <v>1339</v>
      </c>
      <c r="AF62" t="s">
        <v>3198</v>
      </c>
    </row>
    <row r="63" spans="1:139">
      <c r="A63" s="1">
        <v>62</v>
      </c>
      <c r="B63" t="s">
        <v>33</v>
      </c>
      <c r="C63" s="2">
        <v>44979</v>
      </c>
      <c r="D63" s="2"/>
      <c r="E63" s="1" t="s">
        <v>8131</v>
      </c>
      <c r="F63" t="s">
        <v>8132</v>
      </c>
      <c r="G63" t="s">
        <v>8133</v>
      </c>
      <c r="H63" s="6" t="s">
        <v>219</v>
      </c>
      <c r="I63" s="1" t="s">
        <v>4334</v>
      </c>
      <c r="K63" s="114" t="s">
        <v>11744</v>
      </c>
      <c r="L63" s="1" t="s">
        <v>237</v>
      </c>
      <c r="M63" s="2">
        <v>44985</v>
      </c>
      <c r="N63" s="1" t="s">
        <v>35</v>
      </c>
      <c r="O63" s="61" t="s">
        <v>7925</v>
      </c>
      <c r="P63" s="14" t="s">
        <v>8221</v>
      </c>
      <c r="Q63" s="92">
        <v>132.22999999999999</v>
      </c>
      <c r="R63" s="1">
        <v>1</v>
      </c>
      <c r="S63" s="128">
        <v>0.21</v>
      </c>
      <c r="T63" s="128">
        <v>0.2</v>
      </c>
      <c r="U63" s="1"/>
      <c r="V63" s="95">
        <f t="shared" si="0"/>
        <v>127.99863999999999</v>
      </c>
      <c r="W63" t="s">
        <v>8222</v>
      </c>
      <c r="X63" s="5" t="s">
        <v>8223</v>
      </c>
      <c r="Y63" s="3">
        <v>36989</v>
      </c>
      <c r="Z63" s="2">
        <v>44979</v>
      </c>
      <c r="AA63" s="11" t="s">
        <v>8374</v>
      </c>
      <c r="AB63" s="2">
        <v>45028</v>
      </c>
      <c r="AC63" s="133" t="s">
        <v>1339</v>
      </c>
      <c r="AF63" t="s">
        <v>3198</v>
      </c>
      <c r="AI63" t="s">
        <v>8134</v>
      </c>
      <c r="AJ63" s="3">
        <v>44995</v>
      </c>
      <c r="AM63" s="3">
        <v>45015</v>
      </c>
    </row>
    <row r="64" spans="1:139">
      <c r="A64" s="1">
        <v>63</v>
      </c>
      <c r="B64" t="s">
        <v>4321</v>
      </c>
      <c r="C64" s="2">
        <v>44980</v>
      </c>
      <c r="D64" s="2"/>
      <c r="E64" s="1" t="s">
        <v>6120</v>
      </c>
      <c r="F64" t="s">
        <v>6121</v>
      </c>
      <c r="G64" t="s">
        <v>6122</v>
      </c>
      <c r="H64" s="6" t="s">
        <v>238</v>
      </c>
      <c r="I64" s="1" t="s">
        <v>48</v>
      </c>
      <c r="J64" s="14">
        <v>637544943</v>
      </c>
      <c r="K64" s="72" t="s">
        <v>6124</v>
      </c>
      <c r="L64" s="1" t="s">
        <v>6120</v>
      </c>
      <c r="M64" s="2">
        <v>44985</v>
      </c>
      <c r="N64" s="1" t="s">
        <v>35</v>
      </c>
      <c r="O64" s="61" t="s">
        <v>7934</v>
      </c>
      <c r="P64" s="14" t="s">
        <v>8135</v>
      </c>
      <c r="Q64" s="92">
        <v>78.510000000000005</v>
      </c>
      <c r="R64" s="1">
        <v>1</v>
      </c>
      <c r="S64" s="128">
        <v>0.21</v>
      </c>
      <c r="T64" s="128">
        <v>0.2</v>
      </c>
      <c r="U64" s="1"/>
      <c r="V64" s="95">
        <f t="shared" si="0"/>
        <v>75.997680000000003</v>
      </c>
      <c r="W64" t="s">
        <v>6172</v>
      </c>
      <c r="X64" s="5" t="s">
        <v>8136</v>
      </c>
      <c r="Y64" s="2">
        <v>34356</v>
      </c>
      <c r="Z64" s="2">
        <v>44980</v>
      </c>
      <c r="AA64" s="11" t="s">
        <v>8219</v>
      </c>
      <c r="AB64" s="2">
        <v>44995</v>
      </c>
      <c r="AC64" s="133" t="s">
        <v>1339</v>
      </c>
      <c r="AF64" t="s">
        <v>3198</v>
      </c>
      <c r="AI64" s="2"/>
      <c r="AL64" s="3"/>
    </row>
    <row r="65" spans="1:139">
      <c r="A65" s="1">
        <v>64</v>
      </c>
      <c r="B65" t="s">
        <v>1414</v>
      </c>
      <c r="C65" s="2">
        <v>44981</v>
      </c>
      <c r="D65" s="2"/>
      <c r="E65" s="1" t="s">
        <v>1079</v>
      </c>
      <c r="F65" t="s">
        <v>41</v>
      </c>
      <c r="G65" s="61" t="s">
        <v>2115</v>
      </c>
      <c r="H65" s="1" t="s">
        <v>230</v>
      </c>
      <c r="I65" s="1" t="s">
        <v>1262</v>
      </c>
      <c r="J65" s="1">
        <v>631212115</v>
      </c>
      <c r="K65" s="8" t="s">
        <v>6306</v>
      </c>
      <c r="L65" s="1" t="s">
        <v>1079</v>
      </c>
      <c r="M65" s="2">
        <v>44985</v>
      </c>
      <c r="N65" s="1" t="s">
        <v>35</v>
      </c>
      <c r="O65" s="61" t="s">
        <v>7934</v>
      </c>
      <c r="P65" s="14" t="s">
        <v>8151</v>
      </c>
      <c r="Q65" s="92">
        <v>78.510000000000005</v>
      </c>
      <c r="R65" s="1">
        <v>1</v>
      </c>
      <c r="S65" s="128">
        <v>0.21</v>
      </c>
      <c r="T65" s="128">
        <v>0.2</v>
      </c>
      <c r="U65" s="1"/>
      <c r="V65" s="95">
        <f t="shared" si="0"/>
        <v>75.997680000000003</v>
      </c>
      <c r="W65" s="1" t="s">
        <v>5866</v>
      </c>
      <c r="X65" s="5" t="s">
        <v>8152</v>
      </c>
      <c r="Y65" s="2">
        <v>36160</v>
      </c>
      <c r="Z65" s="2">
        <v>44981</v>
      </c>
      <c r="AA65" s="11" t="s">
        <v>8218</v>
      </c>
      <c r="AB65" s="2">
        <v>44995</v>
      </c>
      <c r="AC65" s="133" t="s">
        <v>1339</v>
      </c>
      <c r="AF65" t="s">
        <v>3198</v>
      </c>
      <c r="AI65" s="2"/>
      <c r="AL65" s="3"/>
    </row>
    <row r="66" spans="1:139">
      <c r="A66" s="1">
        <v>65</v>
      </c>
      <c r="B66" s="61" t="s">
        <v>37</v>
      </c>
      <c r="C66" s="2">
        <v>44981</v>
      </c>
      <c r="D66" s="2"/>
      <c r="E66" s="1" t="s">
        <v>7054</v>
      </c>
      <c r="F66" t="s">
        <v>7055</v>
      </c>
      <c r="G66" s="61" t="s">
        <v>7056</v>
      </c>
      <c r="H66" s="6" t="s">
        <v>221</v>
      </c>
      <c r="I66" s="1" t="s">
        <v>34</v>
      </c>
      <c r="J66" s="8">
        <v>632885957</v>
      </c>
      <c r="K66" s="8"/>
      <c r="L66" t="s">
        <v>7054</v>
      </c>
      <c r="M66" s="2">
        <v>44985</v>
      </c>
      <c r="N66" s="1" t="s">
        <v>35</v>
      </c>
      <c r="O66" s="61" t="s">
        <v>7926</v>
      </c>
      <c r="P66" s="14" t="s">
        <v>7057</v>
      </c>
      <c r="Q66" s="187">
        <v>132.22999999999999</v>
      </c>
      <c r="R66" s="1">
        <v>1</v>
      </c>
      <c r="S66" s="128">
        <v>0.21</v>
      </c>
      <c r="T66" s="128">
        <v>0</v>
      </c>
      <c r="U66" s="1"/>
      <c r="V66" s="95">
        <f t="shared" ref="V66:V129" si="1">SUM(Q66-(Q66*T66))*S66+(Q66-(Q66*T66))</f>
        <v>159.99829999999997</v>
      </c>
      <c r="W66" t="s">
        <v>7133</v>
      </c>
      <c r="X66" s="5" t="s">
        <v>8259</v>
      </c>
      <c r="Y66" s="2">
        <v>38416</v>
      </c>
      <c r="Z66" s="2">
        <v>44981</v>
      </c>
      <c r="AA66" s="13" t="s">
        <v>8410</v>
      </c>
      <c r="AB66" s="2">
        <v>45028</v>
      </c>
      <c r="AC66" s="133" t="s">
        <v>1339</v>
      </c>
      <c r="AF66" t="s">
        <v>3198</v>
      </c>
      <c r="AI66" t="s">
        <v>8153</v>
      </c>
      <c r="AJ66" s="2">
        <v>45000</v>
      </c>
      <c r="AM66" s="74">
        <v>45009</v>
      </c>
      <c r="AT66" s="1"/>
    </row>
    <row r="67" spans="1:139">
      <c r="A67" s="1">
        <v>66</v>
      </c>
      <c r="B67" t="s">
        <v>6684</v>
      </c>
      <c r="C67" s="2">
        <v>44984</v>
      </c>
      <c r="D67" s="2"/>
      <c r="E67" t="s">
        <v>6685</v>
      </c>
      <c r="F67" t="s">
        <v>6686</v>
      </c>
      <c r="G67" t="s">
        <v>6687</v>
      </c>
      <c r="H67" s="6" t="s">
        <v>2579</v>
      </c>
      <c r="I67" t="s">
        <v>2580</v>
      </c>
      <c r="J67" s="8"/>
      <c r="K67" s="1" t="s">
        <v>7339</v>
      </c>
      <c r="L67" t="s">
        <v>6685</v>
      </c>
      <c r="M67" s="2">
        <v>44985</v>
      </c>
      <c r="N67" s="1" t="s">
        <v>35</v>
      </c>
      <c r="O67" s="61" t="s">
        <v>7934</v>
      </c>
      <c r="P67" s="14" t="s">
        <v>8154</v>
      </c>
      <c r="Q67" s="187">
        <v>78.510000000000005</v>
      </c>
      <c r="R67" s="1">
        <v>1</v>
      </c>
      <c r="S67" s="128">
        <v>0.21</v>
      </c>
      <c r="T67" s="128">
        <v>0.2</v>
      </c>
      <c r="V67" s="95">
        <f t="shared" si="1"/>
        <v>75.997680000000003</v>
      </c>
      <c r="W67" t="s">
        <v>5737</v>
      </c>
      <c r="X67" s="5" t="s">
        <v>8155</v>
      </c>
      <c r="Y67" s="3">
        <v>32312</v>
      </c>
      <c r="Z67" s="2">
        <v>44984</v>
      </c>
      <c r="AA67" s="11" t="s">
        <v>8274</v>
      </c>
      <c r="AB67" s="2">
        <v>45008</v>
      </c>
      <c r="AC67" s="133" t="s">
        <v>1339</v>
      </c>
      <c r="AF67" t="s">
        <v>3198</v>
      </c>
    </row>
    <row r="68" spans="1:139">
      <c r="A68" s="1">
        <v>67</v>
      </c>
      <c r="B68" t="s">
        <v>33</v>
      </c>
      <c r="C68" s="2">
        <v>44984</v>
      </c>
      <c r="D68" s="2"/>
      <c r="E68" s="1" t="s">
        <v>2669</v>
      </c>
      <c r="F68" s="61" t="s">
        <v>2670</v>
      </c>
      <c r="G68" s="61" t="s">
        <v>3850</v>
      </c>
      <c r="H68" s="6" t="s">
        <v>304</v>
      </c>
      <c r="I68" s="1" t="s">
        <v>3851</v>
      </c>
      <c r="J68" s="8" t="s">
        <v>5048</v>
      </c>
      <c r="K68" s="114" t="s">
        <v>11744</v>
      </c>
      <c r="L68" s="31" t="s">
        <v>237</v>
      </c>
      <c r="M68" s="2">
        <v>44985</v>
      </c>
      <c r="N68" s="1" t="s">
        <v>35</v>
      </c>
      <c r="O68" s="61" t="s">
        <v>7925</v>
      </c>
      <c r="P68" s="14" t="s">
        <v>8169</v>
      </c>
      <c r="Q68" s="187">
        <v>132.22999999999999</v>
      </c>
      <c r="R68" s="1">
        <v>1</v>
      </c>
      <c r="S68" s="128">
        <v>0.21</v>
      </c>
      <c r="T68" s="128">
        <v>0.2</v>
      </c>
      <c r="V68" s="95">
        <f t="shared" si="1"/>
        <v>127.99863999999999</v>
      </c>
      <c r="W68" t="s">
        <v>8247</v>
      </c>
      <c r="X68" s="5" t="s">
        <v>8248</v>
      </c>
      <c r="Y68" s="2">
        <v>35708</v>
      </c>
      <c r="Z68" s="2">
        <v>44984</v>
      </c>
      <c r="AA68" s="11" t="s">
        <v>8712</v>
      </c>
      <c r="AB68" s="2">
        <v>45091</v>
      </c>
      <c r="AC68" s="133" t="s">
        <v>1339</v>
      </c>
      <c r="AF68" t="s">
        <v>3198</v>
      </c>
      <c r="AI68" t="s">
        <v>4492</v>
      </c>
      <c r="AJ68" s="2">
        <v>44999</v>
      </c>
      <c r="AM68" s="74">
        <v>45005</v>
      </c>
      <c r="AT68" s="1"/>
    </row>
    <row r="69" spans="1:139">
      <c r="A69" s="1">
        <v>68</v>
      </c>
      <c r="B69" t="s">
        <v>1511</v>
      </c>
      <c r="C69" s="2">
        <v>44986</v>
      </c>
      <c r="D69" s="2"/>
      <c r="E69" t="s">
        <v>8275</v>
      </c>
      <c r="F69" t="s">
        <v>8171</v>
      </c>
      <c r="G69" t="s">
        <v>8172</v>
      </c>
      <c r="H69" s="1">
        <v>4740</v>
      </c>
      <c r="I69" s="1" t="s">
        <v>4334</v>
      </c>
      <c r="J69" s="1">
        <v>631948001</v>
      </c>
      <c r="K69" s="1"/>
      <c r="L69" t="s">
        <v>8275</v>
      </c>
      <c r="M69" s="2">
        <v>45016</v>
      </c>
      <c r="N69" s="1" t="s">
        <v>35</v>
      </c>
      <c r="O69" s="61" t="s">
        <v>7925</v>
      </c>
      <c r="P69" s="14" t="s">
        <v>8173</v>
      </c>
      <c r="Q69" s="187">
        <v>132.22999999999999</v>
      </c>
      <c r="R69" s="1">
        <v>1</v>
      </c>
      <c r="S69" s="128">
        <v>0.21</v>
      </c>
      <c r="T69" s="128">
        <v>0.2</v>
      </c>
      <c r="U69" s="363"/>
      <c r="V69" s="186">
        <f t="shared" si="1"/>
        <v>127.99863999999999</v>
      </c>
      <c r="W69" t="s">
        <v>8275</v>
      </c>
      <c r="X69" s="5" t="s">
        <v>8276</v>
      </c>
      <c r="Y69" s="3">
        <v>32912</v>
      </c>
      <c r="Z69" s="2">
        <v>44986</v>
      </c>
      <c r="AA69" s="11" t="s">
        <v>8515</v>
      </c>
      <c r="AB69" s="2">
        <v>45051</v>
      </c>
      <c r="AC69" s="133" t="s">
        <v>1339</v>
      </c>
      <c r="AF69" t="s">
        <v>3198</v>
      </c>
      <c r="AI69" t="s">
        <v>3108</v>
      </c>
      <c r="AJ69" s="3">
        <v>45006</v>
      </c>
      <c r="AM69" s="3">
        <v>45008</v>
      </c>
    </row>
    <row r="70" spans="1:139">
      <c r="A70" s="1">
        <v>69</v>
      </c>
      <c r="B70" t="s">
        <v>8181</v>
      </c>
      <c r="C70" s="2">
        <v>44986</v>
      </c>
      <c r="D70" s="2"/>
      <c r="E70" s="1" t="s">
        <v>8176</v>
      </c>
      <c r="F70" t="s">
        <v>8178</v>
      </c>
      <c r="G70" t="s">
        <v>8179</v>
      </c>
      <c r="H70" s="1">
        <v>28909</v>
      </c>
      <c r="I70" s="1" t="s">
        <v>8180</v>
      </c>
      <c r="K70" s="1"/>
      <c r="L70" s="1" t="s">
        <v>8176</v>
      </c>
      <c r="M70" s="2">
        <v>45016</v>
      </c>
      <c r="N70" s="1" t="s">
        <v>35</v>
      </c>
      <c r="O70" s="61" t="s">
        <v>8174</v>
      </c>
      <c r="P70" t="s">
        <v>8175</v>
      </c>
      <c r="Q70" s="187">
        <v>78.510000000000005</v>
      </c>
      <c r="R70" s="1">
        <v>1</v>
      </c>
      <c r="S70" s="128">
        <v>0.21</v>
      </c>
      <c r="T70" s="128">
        <v>0.2</v>
      </c>
      <c r="U70" s="363"/>
      <c r="V70" s="186">
        <f t="shared" si="1"/>
        <v>75.997680000000003</v>
      </c>
      <c r="W70" t="s">
        <v>8176</v>
      </c>
      <c r="X70" s="5" t="s">
        <v>8177</v>
      </c>
      <c r="Y70" s="3">
        <v>35331</v>
      </c>
      <c r="Z70" s="2">
        <v>44986</v>
      </c>
      <c r="AA70" s="11" t="s">
        <v>8642</v>
      </c>
      <c r="AB70" s="2">
        <v>45075</v>
      </c>
      <c r="AC70" s="133" t="s">
        <v>1339</v>
      </c>
      <c r="AF70" t="s">
        <v>3198</v>
      </c>
    </row>
    <row r="71" spans="1:139">
      <c r="A71" s="1">
        <v>70</v>
      </c>
      <c r="B71" t="s">
        <v>33</v>
      </c>
      <c r="C71" s="2">
        <v>44991</v>
      </c>
      <c r="D71" s="2"/>
      <c r="E71" s="1" t="s">
        <v>3248</v>
      </c>
      <c r="F71" t="s">
        <v>8195</v>
      </c>
      <c r="G71" t="s">
        <v>8196</v>
      </c>
      <c r="H71" s="1">
        <v>4717</v>
      </c>
      <c r="I71" s="1" t="s">
        <v>3851</v>
      </c>
      <c r="K71" s="114" t="s">
        <v>11744</v>
      </c>
      <c r="L71" s="31" t="s">
        <v>237</v>
      </c>
      <c r="M71" s="2">
        <v>45016</v>
      </c>
      <c r="N71" s="1" t="s">
        <v>35</v>
      </c>
      <c r="O71" s="61" t="s">
        <v>7926</v>
      </c>
      <c r="P71" s="14" t="s">
        <v>8197</v>
      </c>
      <c r="Q71" s="187">
        <v>132.22999999999999</v>
      </c>
      <c r="R71" s="1">
        <v>1</v>
      </c>
      <c r="S71" s="128">
        <v>0.21</v>
      </c>
      <c r="T71" s="128">
        <v>0.2</v>
      </c>
      <c r="U71" s="363"/>
      <c r="V71" s="186">
        <f t="shared" si="1"/>
        <v>127.99863999999999</v>
      </c>
      <c r="W71" t="s">
        <v>8269</v>
      </c>
      <c r="X71" s="5" t="s">
        <v>8270</v>
      </c>
      <c r="Y71" s="3">
        <v>33313</v>
      </c>
      <c r="Z71" s="2">
        <v>44991</v>
      </c>
      <c r="AA71" s="11" t="s">
        <v>8374</v>
      </c>
      <c r="AB71" s="2">
        <v>45028</v>
      </c>
      <c r="AC71" s="133" t="s">
        <v>1339</v>
      </c>
      <c r="AF71" t="s">
        <v>3198</v>
      </c>
      <c r="AI71" t="s">
        <v>8198</v>
      </c>
      <c r="AJ71" s="3">
        <v>45006</v>
      </c>
      <c r="AM71" s="3">
        <v>45018</v>
      </c>
    </row>
    <row r="72" spans="1:139">
      <c r="A72" s="1">
        <v>71</v>
      </c>
      <c r="B72" t="s">
        <v>7245</v>
      </c>
      <c r="C72" s="2">
        <v>44992</v>
      </c>
      <c r="D72" s="2"/>
      <c r="E72" t="s">
        <v>1522</v>
      </c>
      <c r="F72" t="s">
        <v>3233</v>
      </c>
      <c r="G72" t="s">
        <v>3241</v>
      </c>
      <c r="H72" s="6" t="s">
        <v>3234</v>
      </c>
      <c r="I72" t="s">
        <v>3235</v>
      </c>
      <c r="J72" s="8">
        <v>680761760</v>
      </c>
      <c r="K72" s="1" t="s">
        <v>6232</v>
      </c>
      <c r="L72" t="s">
        <v>1522</v>
      </c>
      <c r="M72" s="2">
        <v>45016</v>
      </c>
      <c r="N72" s="1" t="s">
        <v>35</v>
      </c>
      <c r="O72" s="14" t="s">
        <v>7926</v>
      </c>
      <c r="P72" s="14" t="s">
        <v>8200</v>
      </c>
      <c r="Q72" s="187">
        <v>132.22999999999999</v>
      </c>
      <c r="R72" s="1">
        <v>1</v>
      </c>
      <c r="S72" s="128">
        <v>0.21</v>
      </c>
      <c r="T72" s="128">
        <v>0.2</v>
      </c>
      <c r="V72" s="95">
        <f t="shared" si="1"/>
        <v>127.99863999999999</v>
      </c>
      <c r="W72" t="s">
        <v>6360</v>
      </c>
      <c r="X72" s="5" t="s">
        <v>8267</v>
      </c>
      <c r="Y72" s="2">
        <v>36030</v>
      </c>
      <c r="Z72" s="2">
        <v>44992</v>
      </c>
      <c r="AA72" s="11" t="s">
        <v>8374</v>
      </c>
      <c r="AB72" s="2">
        <v>45028</v>
      </c>
      <c r="AC72" s="133" t="s">
        <v>1339</v>
      </c>
      <c r="AE72" s="3"/>
      <c r="AF72" t="s">
        <v>3198</v>
      </c>
      <c r="AI72" t="s">
        <v>8201</v>
      </c>
      <c r="AJ72" s="2">
        <v>45006</v>
      </c>
      <c r="AM72" s="74">
        <v>45008</v>
      </c>
      <c r="AT72" s="1"/>
    </row>
    <row r="73" spans="1:139">
      <c r="A73" s="1">
        <v>72</v>
      </c>
      <c r="B73" t="s">
        <v>4321</v>
      </c>
      <c r="C73" s="2">
        <v>44993</v>
      </c>
      <c r="D73" s="2"/>
      <c r="E73" s="1" t="s">
        <v>8263</v>
      </c>
      <c r="F73" t="s">
        <v>8204</v>
      </c>
      <c r="K73" s="1" t="s">
        <v>8354</v>
      </c>
      <c r="L73" s="1" t="s">
        <v>8263</v>
      </c>
      <c r="M73" s="2">
        <v>45016</v>
      </c>
      <c r="N73" s="1" t="s">
        <v>35</v>
      </c>
      <c r="O73" s="61" t="s">
        <v>7931</v>
      </c>
      <c r="P73" s="14" t="s">
        <v>8207</v>
      </c>
      <c r="Q73" s="187">
        <v>41.32</v>
      </c>
      <c r="R73" s="1">
        <v>1</v>
      </c>
      <c r="S73" s="128">
        <v>0.21</v>
      </c>
      <c r="T73" s="128">
        <v>0</v>
      </c>
      <c r="V73" s="95">
        <f t="shared" si="1"/>
        <v>49.997199999999999</v>
      </c>
      <c r="W73" s="1" t="s">
        <v>8263</v>
      </c>
      <c r="Z73" s="2">
        <v>44993</v>
      </c>
      <c r="AA73" s="284" t="s">
        <v>1326</v>
      </c>
      <c r="AB73" s="1"/>
      <c r="AF73" t="s">
        <v>3198</v>
      </c>
    </row>
    <row r="74" spans="1:139">
      <c r="A74" s="1">
        <v>73</v>
      </c>
      <c r="B74" t="s">
        <v>4321</v>
      </c>
      <c r="C74" s="2">
        <v>44993</v>
      </c>
      <c r="D74" s="2"/>
      <c r="E74" s="1" t="s">
        <v>8262</v>
      </c>
      <c r="F74" t="s">
        <v>8205</v>
      </c>
      <c r="K74" s="1" t="s">
        <v>8354</v>
      </c>
      <c r="L74" s="1" t="s">
        <v>8262</v>
      </c>
      <c r="M74" s="2">
        <v>45016</v>
      </c>
      <c r="N74" s="1" t="s">
        <v>35</v>
      </c>
      <c r="O74" s="61" t="s">
        <v>7931</v>
      </c>
      <c r="P74" s="14" t="s">
        <v>8206</v>
      </c>
      <c r="Q74" s="187">
        <v>41.32</v>
      </c>
      <c r="R74" s="1">
        <v>1</v>
      </c>
      <c r="S74" s="128">
        <v>0.21</v>
      </c>
      <c r="T74" s="128">
        <v>0</v>
      </c>
      <c r="V74" s="95">
        <f t="shared" si="1"/>
        <v>49.997199999999999</v>
      </c>
      <c r="W74" t="s">
        <v>8262</v>
      </c>
      <c r="Z74" s="2">
        <v>44993</v>
      </c>
      <c r="AA74" s="284" t="s">
        <v>1326</v>
      </c>
      <c r="AB74" s="1"/>
      <c r="AF74" t="s">
        <v>3198</v>
      </c>
    </row>
    <row r="75" spans="1:139" s="197" customFormat="1">
      <c r="A75" s="1">
        <v>74</v>
      </c>
      <c r="B75" s="61" t="s">
        <v>4321</v>
      </c>
      <c r="C75" s="2">
        <v>44993</v>
      </c>
      <c r="D75" s="2"/>
      <c r="E75" s="1" t="s">
        <v>3427</v>
      </c>
      <c r="F75" s="61" t="s">
        <v>3428</v>
      </c>
      <c r="G75" s="61" t="s">
        <v>3433</v>
      </c>
      <c r="H75" s="6" t="s">
        <v>3429</v>
      </c>
      <c r="I75" s="1" t="s">
        <v>86</v>
      </c>
      <c r="J75" s="1">
        <v>650379091</v>
      </c>
      <c r="K75" s="8" t="s">
        <v>5991</v>
      </c>
      <c r="L75" s="1" t="s">
        <v>3427</v>
      </c>
      <c r="M75" s="2">
        <v>45016</v>
      </c>
      <c r="N75" t="s">
        <v>35</v>
      </c>
      <c r="O75" s="14" t="s">
        <v>7925</v>
      </c>
      <c r="P75" s="14" t="s">
        <v>8208</v>
      </c>
      <c r="Q75" s="187">
        <v>132.22999999999999</v>
      </c>
      <c r="R75" s="1">
        <v>1</v>
      </c>
      <c r="S75" s="128">
        <v>0.21</v>
      </c>
      <c r="T75" s="128">
        <v>0.2</v>
      </c>
      <c r="U75"/>
      <c r="V75" s="95">
        <f t="shared" si="1"/>
        <v>127.99863999999999</v>
      </c>
      <c r="W75" t="s">
        <v>8359</v>
      </c>
      <c r="X75" s="5" t="s">
        <v>8360</v>
      </c>
      <c r="Y75" s="2">
        <v>33604</v>
      </c>
      <c r="Z75" s="2">
        <v>44993</v>
      </c>
      <c r="AA75" s="11" t="s">
        <v>8685</v>
      </c>
      <c r="AB75" s="2">
        <v>45086</v>
      </c>
      <c r="AC75" s="133" t="s">
        <v>1339</v>
      </c>
      <c r="AD75"/>
      <c r="AE75"/>
      <c r="AF75" t="s">
        <v>3198</v>
      </c>
      <c r="AG75"/>
      <c r="AH75"/>
      <c r="AI75" t="s">
        <v>8268</v>
      </c>
      <c r="AJ75" s="2">
        <v>45007</v>
      </c>
      <c r="AK75"/>
      <c r="AL75"/>
      <c r="AM75" s="2">
        <v>45007</v>
      </c>
      <c r="AN75"/>
      <c r="AO75"/>
      <c r="AP75"/>
      <c r="AQ75"/>
      <c r="AR75"/>
      <c r="AS75"/>
      <c r="AT75" s="1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</row>
    <row r="76" spans="1:139">
      <c r="A76" s="1">
        <v>75</v>
      </c>
      <c r="B76" t="s">
        <v>33</v>
      </c>
      <c r="C76" s="2">
        <v>44993</v>
      </c>
      <c r="D76" s="2"/>
      <c r="E76" s="1" t="s">
        <v>5773</v>
      </c>
      <c r="F76" t="s">
        <v>5774</v>
      </c>
      <c r="G76" s="61" t="s">
        <v>5775</v>
      </c>
      <c r="H76" s="6" t="s">
        <v>220</v>
      </c>
      <c r="I76" s="1" t="s">
        <v>39</v>
      </c>
      <c r="K76" s="114" t="s">
        <v>11744</v>
      </c>
      <c r="L76" t="s">
        <v>237</v>
      </c>
      <c r="M76" s="2">
        <v>45016</v>
      </c>
      <c r="N76" s="1" t="s">
        <v>35</v>
      </c>
      <c r="O76" s="14" t="s">
        <v>7934</v>
      </c>
      <c r="P76" s="14" t="s">
        <v>8209</v>
      </c>
      <c r="Q76" s="92">
        <v>78.510000000000005</v>
      </c>
      <c r="R76" s="1">
        <v>1</v>
      </c>
      <c r="S76" s="128">
        <v>0.21</v>
      </c>
      <c r="T76" s="128">
        <v>0.2</v>
      </c>
      <c r="U76" s="363"/>
      <c r="V76" s="95">
        <f t="shared" si="1"/>
        <v>75.997680000000003</v>
      </c>
      <c r="W76" s="5" t="s">
        <v>3743</v>
      </c>
      <c r="X76" s="5" t="s">
        <v>8210</v>
      </c>
      <c r="Y76" s="2">
        <v>32981</v>
      </c>
      <c r="Z76" s="2">
        <v>44993</v>
      </c>
      <c r="AA76" s="11" t="s">
        <v>8295</v>
      </c>
      <c r="AB76" s="2">
        <v>45008</v>
      </c>
      <c r="AC76" s="133" t="s">
        <v>1339</v>
      </c>
      <c r="AF76" t="s">
        <v>3198</v>
      </c>
      <c r="AL76" s="3"/>
    </row>
    <row r="77" spans="1:139">
      <c r="A77" s="1">
        <v>76</v>
      </c>
      <c r="B77" t="s">
        <v>33</v>
      </c>
      <c r="C77" s="2">
        <v>44994</v>
      </c>
      <c r="D77" s="2"/>
      <c r="E77" s="1" t="s">
        <v>5773</v>
      </c>
      <c r="F77" t="s">
        <v>2811</v>
      </c>
      <c r="G77" s="61" t="s">
        <v>8211</v>
      </c>
      <c r="H77" s="6" t="s">
        <v>304</v>
      </c>
      <c r="I77" s="1" t="s">
        <v>39</v>
      </c>
      <c r="K77" s="114" t="s">
        <v>11744</v>
      </c>
      <c r="L77" t="s">
        <v>237</v>
      </c>
      <c r="M77" s="2">
        <v>45016</v>
      </c>
      <c r="N77" s="1" t="s">
        <v>35</v>
      </c>
      <c r="O77" s="14" t="s">
        <v>7925</v>
      </c>
      <c r="P77" s="14" t="s">
        <v>8212</v>
      </c>
      <c r="Q77" s="92">
        <v>132.22999999999999</v>
      </c>
      <c r="R77" s="1">
        <v>1</v>
      </c>
      <c r="S77" s="128">
        <v>0.21</v>
      </c>
      <c r="T77" s="128">
        <v>0.2</v>
      </c>
      <c r="U77" s="363"/>
      <c r="V77" s="95">
        <f t="shared" si="1"/>
        <v>127.99863999999999</v>
      </c>
      <c r="W77" t="s">
        <v>8277</v>
      </c>
      <c r="X77" s="5" t="s">
        <v>8307</v>
      </c>
      <c r="Y77" s="2">
        <v>29953</v>
      </c>
      <c r="Z77" s="2">
        <v>44994</v>
      </c>
      <c r="AA77" s="11" t="s">
        <v>8688</v>
      </c>
      <c r="AB77" s="2">
        <v>45086</v>
      </c>
      <c r="AC77" s="133" t="s">
        <v>1339</v>
      </c>
      <c r="AF77" t="s">
        <v>3198</v>
      </c>
      <c r="AI77" t="s">
        <v>3108</v>
      </c>
      <c r="AJ77" s="3">
        <v>45012</v>
      </c>
      <c r="AL77" s="3"/>
      <c r="AM77" s="3">
        <v>45012</v>
      </c>
    </row>
    <row r="78" spans="1:139">
      <c r="A78" s="1">
        <v>77</v>
      </c>
      <c r="B78" t="s">
        <v>37</v>
      </c>
      <c r="C78" s="2">
        <v>44994</v>
      </c>
      <c r="D78" s="2"/>
      <c r="E78" t="s">
        <v>8296</v>
      </c>
      <c r="F78" t="s">
        <v>8265</v>
      </c>
      <c r="G78" t="s">
        <v>8215</v>
      </c>
      <c r="H78" s="1">
        <v>4738</v>
      </c>
      <c r="I78" s="1" t="s">
        <v>39</v>
      </c>
      <c r="J78" s="1">
        <v>643799855</v>
      </c>
      <c r="K78" s="1"/>
      <c r="L78" t="s">
        <v>8296</v>
      </c>
      <c r="M78" s="2">
        <v>45016</v>
      </c>
      <c r="N78" s="1" t="s">
        <v>35</v>
      </c>
      <c r="O78" s="14" t="s">
        <v>7925</v>
      </c>
      <c r="P78" s="14" t="s">
        <v>8266</v>
      </c>
      <c r="Q78" s="92">
        <v>132.22999999999999</v>
      </c>
      <c r="R78" s="1">
        <v>1</v>
      </c>
      <c r="S78" s="128">
        <v>0.21</v>
      </c>
      <c r="T78" s="128">
        <v>0</v>
      </c>
      <c r="U78" s="363"/>
      <c r="V78" s="95">
        <f t="shared" si="1"/>
        <v>159.99829999999997</v>
      </c>
      <c r="W78" t="s">
        <v>8296</v>
      </c>
      <c r="X78" s="5" t="s">
        <v>8297</v>
      </c>
      <c r="Y78" s="3">
        <v>35606</v>
      </c>
      <c r="Z78" s="2">
        <v>44994</v>
      </c>
      <c r="AA78" s="11" t="s">
        <v>9038</v>
      </c>
      <c r="AB78" s="2">
        <v>45170</v>
      </c>
      <c r="AC78" s="133" t="s">
        <v>1339</v>
      </c>
      <c r="AF78" t="s">
        <v>3198</v>
      </c>
      <c r="AI78" t="s">
        <v>3108</v>
      </c>
      <c r="AJ78" s="3">
        <v>45008</v>
      </c>
      <c r="AM78" s="3">
        <v>45008</v>
      </c>
    </row>
    <row r="79" spans="1:139">
      <c r="A79" s="1">
        <v>78</v>
      </c>
      <c r="B79" t="s">
        <v>119</v>
      </c>
      <c r="C79" s="2">
        <v>44994</v>
      </c>
      <c r="D79" s="2"/>
      <c r="E79" s="1" t="s">
        <v>494</v>
      </c>
      <c r="F79" t="s">
        <v>495</v>
      </c>
      <c r="G79" s="61" t="s">
        <v>5059</v>
      </c>
      <c r="H79" s="6" t="s">
        <v>242</v>
      </c>
      <c r="I79" s="1" t="s">
        <v>86</v>
      </c>
      <c r="K79" s="1" t="s">
        <v>5904</v>
      </c>
      <c r="L79" s="1" t="s">
        <v>174</v>
      </c>
      <c r="M79" s="2">
        <v>45016</v>
      </c>
      <c r="N79" s="1" t="s">
        <v>35</v>
      </c>
      <c r="O79" s="14" t="s">
        <v>7934</v>
      </c>
      <c r="P79" s="14" t="s">
        <v>8217</v>
      </c>
      <c r="Q79" s="92">
        <v>78.510000000000005</v>
      </c>
      <c r="R79" s="1">
        <v>1</v>
      </c>
      <c r="S79" s="128">
        <v>0.21</v>
      </c>
      <c r="T79" s="128">
        <v>0.2</v>
      </c>
      <c r="U79" s="363"/>
      <c r="V79" s="95">
        <f t="shared" si="1"/>
        <v>75.997680000000003</v>
      </c>
      <c r="W79" t="s">
        <v>6144</v>
      </c>
      <c r="X79" s="5" t="s">
        <v>8216</v>
      </c>
      <c r="Y79" s="2">
        <v>34953</v>
      </c>
      <c r="Z79" s="2">
        <v>44994</v>
      </c>
      <c r="AA79" s="11" t="s">
        <v>8295</v>
      </c>
      <c r="AB79" s="2">
        <v>45014</v>
      </c>
      <c r="AC79" s="133" t="s">
        <v>1339</v>
      </c>
      <c r="AF79" t="s">
        <v>3198</v>
      </c>
      <c r="AI79" s="2"/>
      <c r="AL79" s="3"/>
    </row>
    <row r="80" spans="1:139">
      <c r="A80" s="1">
        <v>79</v>
      </c>
      <c r="B80" t="s">
        <v>7036</v>
      </c>
      <c r="C80" s="2">
        <v>44995</v>
      </c>
      <c r="D80" s="2"/>
      <c r="E80" s="1" t="s">
        <v>6375</v>
      </c>
      <c r="F80" t="s">
        <v>6376</v>
      </c>
      <c r="G80" s="61" t="s">
        <v>6377</v>
      </c>
      <c r="H80" s="6" t="s">
        <v>294</v>
      </c>
      <c r="I80" s="1" t="s">
        <v>103</v>
      </c>
      <c r="J80" s="8">
        <v>660744167</v>
      </c>
      <c r="K80" s="8" t="s">
        <v>6332</v>
      </c>
      <c r="L80" s="1" t="s">
        <v>6375</v>
      </c>
      <c r="M80" s="2">
        <v>45016</v>
      </c>
      <c r="N80" s="1" t="s">
        <v>35</v>
      </c>
      <c r="O80" s="61" t="s">
        <v>7925</v>
      </c>
      <c r="P80" s="14" t="s">
        <v>7894</v>
      </c>
      <c r="Q80" s="92">
        <v>0</v>
      </c>
      <c r="R80" s="1">
        <v>1</v>
      </c>
      <c r="S80" s="128">
        <v>0.21</v>
      </c>
      <c r="T80" s="128">
        <v>0.2</v>
      </c>
      <c r="U80" s="363"/>
      <c r="V80" s="95">
        <f t="shared" si="1"/>
        <v>0</v>
      </c>
      <c r="W80" t="s">
        <v>8039</v>
      </c>
      <c r="X80" s="5" t="s">
        <v>8298</v>
      </c>
      <c r="Y80" s="211">
        <v>36369</v>
      </c>
      <c r="Z80" s="2">
        <v>44995</v>
      </c>
      <c r="AA80" s="284" t="s">
        <v>1326</v>
      </c>
      <c r="AB80" s="2"/>
      <c r="AC80" s="345"/>
      <c r="AF80" t="s">
        <v>3198</v>
      </c>
      <c r="AI80" t="s">
        <v>3108</v>
      </c>
      <c r="AJ80" s="3">
        <v>45008</v>
      </c>
      <c r="AM80" s="74">
        <v>45008</v>
      </c>
    </row>
    <row r="81" spans="1:46">
      <c r="A81" s="1">
        <v>80</v>
      </c>
      <c r="B81" t="s">
        <v>52</v>
      </c>
      <c r="C81" s="2">
        <v>44998</v>
      </c>
      <c r="D81" s="2"/>
      <c r="E81" s="1" t="s">
        <v>256</v>
      </c>
      <c r="F81" s="31" t="s">
        <v>155</v>
      </c>
      <c r="G81" s="31" t="s">
        <v>138</v>
      </c>
      <c r="H81" s="33" t="s">
        <v>227</v>
      </c>
      <c r="I81" s="30" t="s">
        <v>203</v>
      </c>
      <c r="J81" s="30">
        <v>631130911</v>
      </c>
      <c r="K81" s="44" t="s">
        <v>5906</v>
      </c>
      <c r="L81" s="1" t="s">
        <v>4432</v>
      </c>
      <c r="M81" s="2">
        <v>45016</v>
      </c>
      <c r="N81" s="1" t="s">
        <v>35</v>
      </c>
      <c r="O81" s="61" t="s">
        <v>7934</v>
      </c>
      <c r="P81" s="14" t="s">
        <v>8225</v>
      </c>
      <c r="Q81" s="187">
        <v>78.510000000000005</v>
      </c>
      <c r="R81" s="1">
        <v>1</v>
      </c>
      <c r="S81" s="90">
        <v>0.21</v>
      </c>
      <c r="T81" s="90">
        <v>0.2</v>
      </c>
      <c r="U81" s="363"/>
      <c r="V81" s="95">
        <f t="shared" si="1"/>
        <v>75.997680000000003</v>
      </c>
      <c r="W81" s="1" t="s">
        <v>5732</v>
      </c>
      <c r="X81" s="5" t="s">
        <v>8226</v>
      </c>
      <c r="Y81" s="2">
        <v>32549</v>
      </c>
      <c r="Z81" s="2">
        <v>44998</v>
      </c>
      <c r="AA81" s="11" t="s">
        <v>8424</v>
      </c>
      <c r="AB81" s="2">
        <v>45029</v>
      </c>
      <c r="AC81" s="133" t="s">
        <v>1339</v>
      </c>
      <c r="AD81" t="s">
        <v>5598</v>
      </c>
      <c r="AE81" s="162">
        <v>45014</v>
      </c>
      <c r="AF81" t="s">
        <v>3198</v>
      </c>
      <c r="AJ81" s="2"/>
      <c r="AM81" s="3"/>
      <c r="AS81" s="1" t="s">
        <v>7929</v>
      </c>
    </row>
    <row r="82" spans="1:46">
      <c r="A82" s="1">
        <v>81</v>
      </c>
      <c r="B82" t="s">
        <v>40</v>
      </c>
      <c r="C82" s="2">
        <v>44998</v>
      </c>
      <c r="D82" s="2"/>
      <c r="E82" s="1" t="s">
        <v>8231</v>
      </c>
      <c r="F82" t="s">
        <v>8232</v>
      </c>
      <c r="G82" t="s">
        <v>8233</v>
      </c>
      <c r="H82" s="6" t="s">
        <v>221</v>
      </c>
      <c r="I82" s="1" t="s">
        <v>34</v>
      </c>
      <c r="J82" s="30"/>
      <c r="K82" s="1" t="s">
        <v>8357</v>
      </c>
      <c r="L82" s="1" t="s">
        <v>8231</v>
      </c>
      <c r="M82" s="2">
        <v>45016</v>
      </c>
      <c r="N82" s="1" t="s">
        <v>35</v>
      </c>
      <c r="O82" s="61" t="s">
        <v>7933</v>
      </c>
      <c r="P82" s="14" t="s">
        <v>8234</v>
      </c>
      <c r="Q82" s="187">
        <v>100</v>
      </c>
      <c r="R82" s="1">
        <v>1</v>
      </c>
      <c r="S82" s="90">
        <v>0.21</v>
      </c>
      <c r="T82" s="90">
        <v>0</v>
      </c>
      <c r="U82" s="363"/>
      <c r="V82" s="95">
        <f t="shared" si="1"/>
        <v>121</v>
      </c>
      <c r="W82" s="1"/>
      <c r="X82" s="5"/>
      <c r="Y82" s="2"/>
      <c r="Z82" s="2"/>
      <c r="AA82" s="284" t="s">
        <v>1326</v>
      </c>
      <c r="AB82" s="2"/>
      <c r="AC82" s="345"/>
      <c r="AE82" s="3"/>
      <c r="AJ82" s="2"/>
      <c r="AM82" s="3"/>
      <c r="AS82" t="s">
        <v>7968</v>
      </c>
    </row>
    <row r="83" spans="1:46">
      <c r="A83" s="1">
        <v>82</v>
      </c>
      <c r="B83" t="s">
        <v>423</v>
      </c>
      <c r="C83" s="2">
        <v>44998</v>
      </c>
      <c r="D83" s="2"/>
      <c r="E83" t="s">
        <v>3217</v>
      </c>
      <c r="F83" t="s">
        <v>91</v>
      </c>
      <c r="G83" t="s">
        <v>3218</v>
      </c>
      <c r="H83" s="6" t="s">
        <v>219</v>
      </c>
      <c r="I83" s="1" t="s">
        <v>38</v>
      </c>
      <c r="J83" s="8">
        <v>629562761</v>
      </c>
      <c r="K83" s="8" t="s">
        <v>6182</v>
      </c>
      <c r="L83" t="s">
        <v>3217</v>
      </c>
      <c r="M83" s="2">
        <v>45016</v>
      </c>
      <c r="N83" s="1" t="s">
        <v>35</v>
      </c>
      <c r="O83" s="61" t="s">
        <v>7926</v>
      </c>
      <c r="P83" s="14" t="s">
        <v>6445</v>
      </c>
      <c r="Q83" s="92">
        <v>132.22999999999999</v>
      </c>
      <c r="R83" s="1">
        <v>1</v>
      </c>
      <c r="S83" s="90">
        <v>0.21</v>
      </c>
      <c r="T83" s="90">
        <v>0.2</v>
      </c>
      <c r="V83" s="95">
        <f t="shared" si="1"/>
        <v>127.99863999999999</v>
      </c>
      <c r="W83" t="s">
        <v>6566</v>
      </c>
      <c r="X83" s="5" t="s">
        <v>8334</v>
      </c>
      <c r="Y83" s="2">
        <v>36602</v>
      </c>
      <c r="Z83" s="2">
        <v>44998</v>
      </c>
      <c r="AA83" s="285" t="s">
        <v>8487</v>
      </c>
      <c r="AB83" s="2">
        <v>45040</v>
      </c>
      <c r="AC83" s="133" t="s">
        <v>1339</v>
      </c>
      <c r="AF83" t="s">
        <v>3198</v>
      </c>
      <c r="AI83" t="s">
        <v>8235</v>
      </c>
      <c r="AJ83" s="2">
        <v>45014</v>
      </c>
      <c r="AL83" s="3"/>
      <c r="AM83" s="74">
        <v>45026</v>
      </c>
      <c r="AT83" s="1"/>
    </row>
    <row r="84" spans="1:46">
      <c r="A84" s="1">
        <v>83</v>
      </c>
      <c r="B84" t="s">
        <v>5635</v>
      </c>
      <c r="C84" s="2">
        <v>44998</v>
      </c>
      <c r="D84" s="2"/>
      <c r="E84" s="1" t="s">
        <v>8236</v>
      </c>
      <c r="F84" t="s">
        <v>8258</v>
      </c>
      <c r="G84" t="s">
        <v>8237</v>
      </c>
      <c r="H84" s="6" t="s">
        <v>236</v>
      </c>
      <c r="I84" s="1" t="s">
        <v>34</v>
      </c>
      <c r="J84" s="8"/>
      <c r="K84" s="1" t="s">
        <v>7805</v>
      </c>
      <c r="L84" s="1" t="s">
        <v>8236</v>
      </c>
      <c r="M84" s="2">
        <v>45016</v>
      </c>
      <c r="N84" s="1" t="s">
        <v>35</v>
      </c>
      <c r="O84" s="61" t="s">
        <v>7926</v>
      </c>
      <c r="P84" s="14" t="s">
        <v>8238</v>
      </c>
      <c r="Q84" s="92">
        <v>132.22999999999999</v>
      </c>
      <c r="R84" s="1">
        <v>1</v>
      </c>
      <c r="S84" s="90">
        <v>0.21</v>
      </c>
      <c r="T84" s="90">
        <v>0.2</v>
      </c>
      <c r="V84" s="95">
        <f t="shared" si="1"/>
        <v>127.99863999999999</v>
      </c>
      <c r="W84" t="s">
        <v>8335</v>
      </c>
      <c r="X84" s="5" t="s">
        <v>8336</v>
      </c>
      <c r="Y84" s="2">
        <v>32540</v>
      </c>
      <c r="Z84" s="2">
        <v>44998</v>
      </c>
      <c r="AA84" s="11" t="s">
        <v>8510</v>
      </c>
      <c r="AB84" s="2">
        <v>45051</v>
      </c>
      <c r="AC84" s="133" t="s">
        <v>1339</v>
      </c>
      <c r="AF84" t="s">
        <v>3198</v>
      </c>
      <c r="AI84" s="76" t="s">
        <v>8119</v>
      </c>
      <c r="AJ84" s="2">
        <v>45014</v>
      </c>
      <c r="AL84" s="3"/>
      <c r="AM84" s="74">
        <v>45034</v>
      </c>
      <c r="AT84" s="1"/>
    </row>
    <row r="85" spans="1:46">
      <c r="A85" s="1">
        <v>84</v>
      </c>
      <c r="B85" t="s">
        <v>5635</v>
      </c>
      <c r="C85" s="2">
        <v>44998</v>
      </c>
      <c r="D85" s="2"/>
      <c r="E85" s="1" t="s">
        <v>8239</v>
      </c>
      <c r="F85" t="s">
        <v>8240</v>
      </c>
      <c r="G85" t="s">
        <v>8241</v>
      </c>
      <c r="H85" s="6" t="s">
        <v>2273</v>
      </c>
      <c r="I85" s="1" t="s">
        <v>2274</v>
      </c>
      <c r="J85" s="8"/>
      <c r="K85" s="1" t="s">
        <v>7805</v>
      </c>
      <c r="L85" s="1" t="s">
        <v>8239</v>
      </c>
      <c r="M85" s="2">
        <v>45016</v>
      </c>
      <c r="N85" s="1" t="s">
        <v>35</v>
      </c>
      <c r="O85" s="61" t="s">
        <v>7925</v>
      </c>
      <c r="P85" s="14" t="s">
        <v>8242</v>
      </c>
      <c r="Q85" s="92">
        <v>132.22999999999999</v>
      </c>
      <c r="R85" s="1">
        <v>1</v>
      </c>
      <c r="S85" s="90">
        <v>0.21</v>
      </c>
      <c r="T85" s="90">
        <v>0.2</v>
      </c>
      <c r="V85" s="95">
        <f t="shared" si="1"/>
        <v>127.99863999999999</v>
      </c>
      <c r="W85" t="s">
        <v>8326</v>
      </c>
      <c r="X85" s="5" t="s">
        <v>8325</v>
      </c>
      <c r="Y85" s="2">
        <v>32916</v>
      </c>
      <c r="Z85" s="2">
        <v>44998</v>
      </c>
      <c r="AA85" s="11" t="s">
        <v>8746</v>
      </c>
      <c r="AB85" s="2">
        <v>45096</v>
      </c>
      <c r="AC85" s="133" t="s">
        <v>1339</v>
      </c>
      <c r="AF85" t="s">
        <v>3198</v>
      </c>
      <c r="AI85" t="s">
        <v>3108</v>
      </c>
      <c r="AJ85" s="2">
        <v>45014</v>
      </c>
      <c r="AL85" s="3"/>
      <c r="AM85" s="74">
        <v>45016</v>
      </c>
      <c r="AT85" s="1"/>
    </row>
    <row r="86" spans="1:46">
      <c r="A86" s="1">
        <v>85</v>
      </c>
      <c r="B86" t="s">
        <v>37</v>
      </c>
      <c r="C86" s="2">
        <v>44998</v>
      </c>
      <c r="D86" s="2"/>
      <c r="E86" s="1" t="s">
        <v>8243</v>
      </c>
      <c r="F86" t="s">
        <v>8244</v>
      </c>
      <c r="G86" t="s">
        <v>8245</v>
      </c>
      <c r="H86" s="6" t="s">
        <v>238</v>
      </c>
      <c r="I86" s="1" t="s">
        <v>48</v>
      </c>
      <c r="J86" s="8">
        <v>632649569</v>
      </c>
      <c r="K86" s="8"/>
      <c r="L86" s="1" t="s">
        <v>8243</v>
      </c>
      <c r="M86" s="2">
        <v>45016</v>
      </c>
      <c r="N86" s="1" t="s">
        <v>35</v>
      </c>
      <c r="O86" s="61" t="s">
        <v>7925</v>
      </c>
      <c r="P86" s="14" t="s">
        <v>8246</v>
      </c>
      <c r="Q86" s="92">
        <v>132.22999999999999</v>
      </c>
      <c r="R86" s="1">
        <v>1</v>
      </c>
      <c r="S86" s="90">
        <v>0.21</v>
      </c>
      <c r="T86" s="90">
        <v>0</v>
      </c>
      <c r="V86" s="95">
        <f t="shared" si="1"/>
        <v>159.99829999999997</v>
      </c>
      <c r="W86" s="1" t="s">
        <v>8243</v>
      </c>
      <c r="X86" s="5" t="s">
        <v>8324</v>
      </c>
      <c r="Y86" s="2">
        <v>35279</v>
      </c>
      <c r="Z86" s="2">
        <v>44998</v>
      </c>
      <c r="AA86" s="11" t="s">
        <v>8805</v>
      </c>
      <c r="AB86" s="2">
        <v>45112</v>
      </c>
      <c r="AC86" s="133" t="s">
        <v>1339</v>
      </c>
      <c r="AF86" t="s">
        <v>3198</v>
      </c>
      <c r="AI86" t="s">
        <v>3108</v>
      </c>
      <c r="AJ86" s="2">
        <v>45014</v>
      </c>
      <c r="AL86" s="3"/>
      <c r="AM86" s="74">
        <v>45018</v>
      </c>
      <c r="AT86" s="1"/>
    </row>
    <row r="87" spans="1:46">
      <c r="A87" s="1">
        <v>86</v>
      </c>
      <c r="B87" t="s">
        <v>37</v>
      </c>
      <c r="C87" s="2">
        <v>44999</v>
      </c>
      <c r="D87" s="2"/>
      <c r="E87" s="1" t="s">
        <v>8249</v>
      </c>
      <c r="F87" t="s">
        <v>8250</v>
      </c>
      <c r="G87" t="s">
        <v>8251</v>
      </c>
      <c r="H87" s="6" t="s">
        <v>220</v>
      </c>
      <c r="I87" s="1" t="s">
        <v>39</v>
      </c>
      <c r="J87" s="8">
        <v>642856007</v>
      </c>
      <c r="K87" s="8"/>
      <c r="L87" s="1" t="s">
        <v>8249</v>
      </c>
      <c r="M87" s="2">
        <v>45016</v>
      </c>
      <c r="N87" s="1" t="s">
        <v>35</v>
      </c>
      <c r="O87" s="61" t="s">
        <v>7934</v>
      </c>
      <c r="P87" s="14" t="s">
        <v>8252</v>
      </c>
      <c r="Q87" s="92">
        <v>78.510000000000005</v>
      </c>
      <c r="R87" s="1">
        <v>1</v>
      </c>
      <c r="S87" s="90">
        <v>0.21</v>
      </c>
      <c r="T87" s="90">
        <v>0</v>
      </c>
      <c r="V87" s="95">
        <f t="shared" si="1"/>
        <v>94.997100000000003</v>
      </c>
      <c r="W87" s="1" t="s">
        <v>8249</v>
      </c>
      <c r="X87" s="5" t="s">
        <v>8253</v>
      </c>
      <c r="Y87" s="2">
        <v>32517</v>
      </c>
      <c r="Z87" s="2">
        <v>44999</v>
      </c>
      <c r="AA87" s="11" t="s">
        <v>8423</v>
      </c>
      <c r="AB87" s="2">
        <v>45029</v>
      </c>
      <c r="AC87" s="133" t="s">
        <v>1339</v>
      </c>
      <c r="AF87" t="s">
        <v>3198</v>
      </c>
      <c r="AJ87" s="2"/>
      <c r="AL87" s="3"/>
      <c r="AM87" s="74"/>
      <c r="AT87" s="1"/>
    </row>
    <row r="88" spans="1:46">
      <c r="A88" s="1">
        <v>87</v>
      </c>
      <c r="B88" t="s">
        <v>45</v>
      </c>
      <c r="C88" s="2">
        <v>44999</v>
      </c>
      <c r="D88" s="2"/>
      <c r="E88" s="1" t="s">
        <v>3287</v>
      </c>
      <c r="F88" t="s">
        <v>3288</v>
      </c>
      <c r="G88" t="s">
        <v>6159</v>
      </c>
      <c r="H88" s="6" t="s">
        <v>221</v>
      </c>
      <c r="I88" s="1" t="s">
        <v>34</v>
      </c>
      <c r="J88" s="1">
        <v>615165042</v>
      </c>
      <c r="K88" s="396" t="s">
        <v>8356</v>
      </c>
      <c r="L88" s="1" t="s">
        <v>3287</v>
      </c>
      <c r="M88" s="2">
        <v>45016</v>
      </c>
      <c r="N88" s="1" t="s">
        <v>35</v>
      </c>
      <c r="O88" s="61" t="s">
        <v>7934</v>
      </c>
      <c r="P88" s="14" t="s">
        <v>8254</v>
      </c>
      <c r="Q88" s="92">
        <v>78.510000000000005</v>
      </c>
      <c r="R88" s="1">
        <v>1</v>
      </c>
      <c r="S88" s="90">
        <v>0.21</v>
      </c>
      <c r="T88" s="90">
        <v>0.2</v>
      </c>
      <c r="U88" s="372" t="s">
        <v>6163</v>
      </c>
      <c r="V88" s="95">
        <f t="shared" si="1"/>
        <v>75.997680000000003</v>
      </c>
      <c r="W88" t="s">
        <v>3290</v>
      </c>
      <c r="X88" s="5" t="s">
        <v>8256</v>
      </c>
      <c r="Y88" s="2">
        <v>32402</v>
      </c>
      <c r="Z88" s="2">
        <v>44999</v>
      </c>
      <c r="AA88" s="284" t="s">
        <v>8329</v>
      </c>
      <c r="AB88" s="2">
        <v>45014</v>
      </c>
      <c r="AC88" s="133" t="s">
        <v>1339</v>
      </c>
      <c r="AF88" t="s">
        <v>3198</v>
      </c>
      <c r="AJ88" s="2"/>
      <c r="AM88" s="3"/>
    </row>
    <row r="89" spans="1:46">
      <c r="A89" s="1">
        <v>88</v>
      </c>
      <c r="B89" s="61" t="s">
        <v>45</v>
      </c>
      <c r="C89" s="2">
        <v>44999</v>
      </c>
      <c r="D89" s="2"/>
      <c r="E89" s="1" t="s">
        <v>1965</v>
      </c>
      <c r="F89" s="61" t="s">
        <v>795</v>
      </c>
      <c r="G89" t="s">
        <v>6159</v>
      </c>
      <c r="H89" s="6" t="s">
        <v>221</v>
      </c>
      <c r="I89" s="1" t="s">
        <v>34</v>
      </c>
      <c r="J89" s="1">
        <v>615165042</v>
      </c>
      <c r="K89" s="396" t="s">
        <v>8356</v>
      </c>
      <c r="L89" s="1" t="s">
        <v>1965</v>
      </c>
      <c r="M89" s="2">
        <v>45016</v>
      </c>
      <c r="N89" s="1" t="s">
        <v>35</v>
      </c>
      <c r="O89" s="61" t="s">
        <v>7934</v>
      </c>
      <c r="P89" s="14" t="s">
        <v>8255</v>
      </c>
      <c r="Q89" s="92">
        <v>78.510000000000005</v>
      </c>
      <c r="R89" s="1">
        <v>1</v>
      </c>
      <c r="S89" s="90">
        <v>0.21</v>
      </c>
      <c r="T89" s="90">
        <v>0.2</v>
      </c>
      <c r="U89" s="372" t="s">
        <v>6164</v>
      </c>
      <c r="V89" s="95">
        <f t="shared" si="1"/>
        <v>75.997680000000003</v>
      </c>
      <c r="W89" t="s">
        <v>6210</v>
      </c>
      <c r="X89" s="5" t="s">
        <v>8257</v>
      </c>
      <c r="Y89" s="2">
        <v>35197</v>
      </c>
      <c r="Z89" s="2">
        <v>44999</v>
      </c>
      <c r="AA89" s="11" t="s">
        <v>8372</v>
      </c>
      <c r="AB89" s="2">
        <v>45020</v>
      </c>
      <c r="AC89" s="133" t="s">
        <v>1339</v>
      </c>
      <c r="AF89" t="s">
        <v>3198</v>
      </c>
      <c r="AJ89" s="2"/>
      <c r="AK89" s="1"/>
      <c r="AM89" s="3"/>
    </row>
    <row r="90" spans="1:46">
      <c r="A90" s="1">
        <v>89</v>
      </c>
      <c r="B90" t="s">
        <v>1242</v>
      </c>
      <c r="C90" s="2">
        <v>45000</v>
      </c>
      <c r="D90" s="2"/>
      <c r="E90" s="1" t="s">
        <v>6056</v>
      </c>
      <c r="F90" t="s">
        <v>6057</v>
      </c>
      <c r="G90" t="s">
        <v>6058</v>
      </c>
      <c r="H90" s="6" t="s">
        <v>230</v>
      </c>
      <c r="I90" s="1" t="s">
        <v>1262</v>
      </c>
      <c r="K90" s="8" t="s">
        <v>5905</v>
      </c>
      <c r="L90" s="31" t="s">
        <v>1250</v>
      </c>
      <c r="M90" s="2">
        <v>45016</v>
      </c>
      <c r="N90" s="1" t="s">
        <v>35</v>
      </c>
      <c r="O90" s="61" t="s">
        <v>7934</v>
      </c>
      <c r="P90" s="14" t="s">
        <v>8260</v>
      </c>
      <c r="Q90" s="92">
        <v>78.510000000000005</v>
      </c>
      <c r="R90" s="1">
        <v>1</v>
      </c>
      <c r="S90" s="90">
        <v>0.21</v>
      </c>
      <c r="T90" s="90">
        <v>0.2</v>
      </c>
      <c r="U90" s="363"/>
      <c r="V90" s="95">
        <f t="shared" si="1"/>
        <v>75.997680000000003</v>
      </c>
      <c r="W90" t="s">
        <v>6126</v>
      </c>
      <c r="X90" s="5" t="s">
        <v>8261</v>
      </c>
      <c r="Y90" s="2">
        <v>28126</v>
      </c>
      <c r="Z90" s="2">
        <v>45000</v>
      </c>
      <c r="AA90" s="11" t="s">
        <v>8372</v>
      </c>
      <c r="AB90" s="2">
        <v>45020</v>
      </c>
      <c r="AC90" s="133" t="s">
        <v>1339</v>
      </c>
      <c r="AF90" t="s">
        <v>3198</v>
      </c>
      <c r="AI90" s="2"/>
      <c r="AL90" s="3"/>
    </row>
    <row r="91" spans="1:46">
      <c r="A91" s="1">
        <v>90</v>
      </c>
      <c r="B91" t="s">
        <v>423</v>
      </c>
      <c r="C91" s="2">
        <v>45002</v>
      </c>
      <c r="D91" s="2"/>
      <c r="E91" t="s">
        <v>3217</v>
      </c>
      <c r="F91" t="s">
        <v>91</v>
      </c>
      <c r="G91" t="s">
        <v>3218</v>
      </c>
      <c r="H91" s="6" t="s">
        <v>219</v>
      </c>
      <c r="I91" s="1" t="s">
        <v>38</v>
      </c>
      <c r="J91" s="8">
        <v>629562761</v>
      </c>
      <c r="K91" s="1" t="s">
        <v>6182</v>
      </c>
      <c r="L91" t="s">
        <v>3217</v>
      </c>
      <c r="M91" s="2">
        <v>45016</v>
      </c>
      <c r="N91" s="1" t="s">
        <v>35</v>
      </c>
      <c r="O91" s="61" t="s">
        <v>7933</v>
      </c>
      <c r="P91" s="14" t="s">
        <v>8264</v>
      </c>
      <c r="Q91" s="187">
        <v>100</v>
      </c>
      <c r="R91" s="1">
        <v>1</v>
      </c>
      <c r="S91" s="90">
        <v>0.21</v>
      </c>
      <c r="T91" s="90">
        <v>0</v>
      </c>
      <c r="V91" s="95">
        <f t="shared" si="1"/>
        <v>121</v>
      </c>
      <c r="W91" t="s">
        <v>7910</v>
      </c>
      <c r="X91" s="5" t="s">
        <v>7911</v>
      </c>
      <c r="Y91" s="2">
        <v>36684</v>
      </c>
      <c r="Z91" s="2">
        <v>45002</v>
      </c>
      <c r="AA91" s="284" t="s">
        <v>1326</v>
      </c>
      <c r="AB91" s="2"/>
      <c r="AC91" s="80"/>
      <c r="AF91" t="s">
        <v>3198</v>
      </c>
      <c r="AI91" s="2"/>
      <c r="AJ91" s="2"/>
      <c r="AM91" s="74"/>
      <c r="AT91" s="1"/>
    </row>
    <row r="92" spans="1:46">
      <c r="A92" s="1">
        <v>91</v>
      </c>
      <c r="B92" t="s">
        <v>52</v>
      </c>
      <c r="C92" s="2">
        <v>45006</v>
      </c>
      <c r="D92" s="2"/>
      <c r="E92" s="1" t="s">
        <v>4942</v>
      </c>
      <c r="F92" t="s">
        <v>4943</v>
      </c>
      <c r="G92" t="s">
        <v>4944</v>
      </c>
      <c r="H92" s="6" t="s">
        <v>230</v>
      </c>
      <c r="I92" s="1" t="s">
        <v>1262</v>
      </c>
      <c r="K92" s="44" t="s">
        <v>5906</v>
      </c>
      <c r="L92" s="1" t="s">
        <v>4432</v>
      </c>
      <c r="M92" s="2">
        <v>45016</v>
      </c>
      <c r="N92" t="s">
        <v>35</v>
      </c>
      <c r="O92" s="61" t="s">
        <v>7926</v>
      </c>
      <c r="P92" s="14" t="s">
        <v>4945</v>
      </c>
      <c r="Q92" s="187">
        <v>132.22999999999999</v>
      </c>
      <c r="R92" s="1">
        <v>1</v>
      </c>
      <c r="S92" s="90">
        <v>0.21</v>
      </c>
      <c r="T92" s="90">
        <v>0.2</v>
      </c>
      <c r="U92" s="363"/>
      <c r="V92" s="95">
        <f t="shared" si="1"/>
        <v>127.99863999999999</v>
      </c>
      <c r="W92" s="1" t="s">
        <v>5155</v>
      </c>
      <c r="X92" s="5" t="s">
        <v>8386</v>
      </c>
      <c r="Y92" s="2">
        <v>36534</v>
      </c>
      <c r="Z92" s="2">
        <v>45006</v>
      </c>
      <c r="AA92" s="11" t="s">
        <v>8515</v>
      </c>
      <c r="AB92" s="2">
        <v>45051</v>
      </c>
      <c r="AC92" s="133" t="s">
        <v>1339</v>
      </c>
      <c r="AF92" t="s">
        <v>3198</v>
      </c>
      <c r="AI92" t="s">
        <v>8119</v>
      </c>
      <c r="AJ92" s="2">
        <v>45026</v>
      </c>
      <c r="AM92" s="3">
        <v>45034</v>
      </c>
    </row>
    <row r="93" spans="1:46">
      <c r="A93" s="1">
        <v>92</v>
      </c>
      <c r="B93" t="s">
        <v>6684</v>
      </c>
      <c r="C93" s="2">
        <v>45006</v>
      </c>
      <c r="D93" s="2"/>
      <c r="E93" t="s">
        <v>6685</v>
      </c>
      <c r="F93" t="s">
        <v>6686</v>
      </c>
      <c r="G93" t="s">
        <v>6687</v>
      </c>
      <c r="H93" s="6" t="s">
        <v>2579</v>
      </c>
      <c r="I93" t="s">
        <v>2580</v>
      </c>
      <c r="J93" s="8"/>
      <c r="K93" s="1" t="s">
        <v>7339</v>
      </c>
      <c r="L93" t="s">
        <v>6685</v>
      </c>
      <c r="M93" s="2">
        <v>45016</v>
      </c>
      <c r="N93" s="1" t="s">
        <v>35</v>
      </c>
      <c r="O93" s="61" t="s">
        <v>7925</v>
      </c>
      <c r="P93" s="14" t="s">
        <v>7373</v>
      </c>
      <c r="Q93" s="187">
        <v>132.22999999999999</v>
      </c>
      <c r="R93" s="1">
        <v>1</v>
      </c>
      <c r="S93" s="128">
        <v>0.21</v>
      </c>
      <c r="T93" s="128">
        <v>0.2</v>
      </c>
      <c r="V93" s="95">
        <f t="shared" si="1"/>
        <v>127.99863999999999</v>
      </c>
      <c r="W93" t="s">
        <v>7506</v>
      </c>
      <c r="X93" s="5" t="s">
        <v>8333</v>
      </c>
      <c r="Y93" s="3">
        <v>32874</v>
      </c>
      <c r="Z93" s="2">
        <v>45006</v>
      </c>
      <c r="AA93" s="11" t="s">
        <v>8825</v>
      </c>
      <c r="AB93" s="2">
        <v>45112</v>
      </c>
      <c r="AC93" s="133" t="s">
        <v>1339</v>
      </c>
      <c r="AF93" t="s">
        <v>3198</v>
      </c>
      <c r="AI93" t="s">
        <v>3108</v>
      </c>
      <c r="AJ93" s="3">
        <v>45014</v>
      </c>
      <c r="AM93" s="3">
        <v>45027</v>
      </c>
    </row>
    <row r="94" spans="1:46">
      <c r="A94" s="1">
        <v>93</v>
      </c>
      <c r="B94" s="61" t="s">
        <v>5635</v>
      </c>
      <c r="C94" s="2">
        <v>45006</v>
      </c>
      <c r="D94" s="2"/>
      <c r="E94" s="1" t="s">
        <v>8279</v>
      </c>
      <c r="F94" s="61" t="s">
        <v>8280</v>
      </c>
      <c r="G94" t="s">
        <v>8281</v>
      </c>
      <c r="H94" s="6" t="s">
        <v>2273</v>
      </c>
      <c r="I94" s="1" t="s">
        <v>2274</v>
      </c>
      <c r="K94" s="1" t="s">
        <v>8282</v>
      </c>
      <c r="L94" s="1" t="s">
        <v>8279</v>
      </c>
      <c r="M94" s="2">
        <v>45016</v>
      </c>
      <c r="N94" s="1" t="s">
        <v>35</v>
      </c>
      <c r="O94" s="61" t="s">
        <v>7934</v>
      </c>
      <c r="P94" s="14" t="s">
        <v>8283</v>
      </c>
      <c r="Q94" s="92">
        <v>78.510000000000005</v>
      </c>
      <c r="R94" s="1">
        <v>1</v>
      </c>
      <c r="S94" s="90">
        <v>0.21</v>
      </c>
      <c r="T94" s="90">
        <v>0.2</v>
      </c>
      <c r="U94" s="373"/>
      <c r="V94" s="95">
        <f t="shared" si="1"/>
        <v>75.997680000000003</v>
      </c>
      <c r="W94" s="1" t="s">
        <v>8279</v>
      </c>
      <c r="X94" s="5" t="s">
        <v>8373</v>
      </c>
      <c r="Y94" s="2">
        <v>25491</v>
      </c>
      <c r="Z94" s="2">
        <v>45006</v>
      </c>
      <c r="AA94" s="11" t="s">
        <v>8510</v>
      </c>
      <c r="AB94" s="2">
        <v>45048</v>
      </c>
      <c r="AC94" s="133" t="s">
        <v>1339</v>
      </c>
      <c r="AF94" t="s">
        <v>3198</v>
      </c>
      <c r="AJ94" s="2"/>
      <c r="AK94" s="1"/>
      <c r="AM94" s="3"/>
    </row>
    <row r="95" spans="1:46">
      <c r="A95" s="1">
        <v>94</v>
      </c>
      <c r="B95" s="61" t="s">
        <v>37</v>
      </c>
      <c r="C95" s="2">
        <v>45007</v>
      </c>
      <c r="D95" s="2"/>
      <c r="E95" s="1" t="s">
        <v>6463</v>
      </c>
      <c r="F95" s="61" t="s">
        <v>8284</v>
      </c>
      <c r="G95" t="s">
        <v>8285</v>
      </c>
      <c r="H95" s="6" t="s">
        <v>219</v>
      </c>
      <c r="I95" s="1" t="s">
        <v>4334</v>
      </c>
      <c r="J95" s="1">
        <v>624501286</v>
      </c>
      <c r="K95" s="1"/>
      <c r="L95" s="1" t="s">
        <v>6463</v>
      </c>
      <c r="M95" s="2">
        <v>45016</v>
      </c>
      <c r="N95" s="1" t="s">
        <v>35</v>
      </c>
      <c r="O95" s="61" t="s">
        <v>7934</v>
      </c>
      <c r="P95" s="14" t="s">
        <v>8286</v>
      </c>
      <c r="Q95" s="92">
        <v>78.510000000000005</v>
      </c>
      <c r="R95" s="1">
        <v>1</v>
      </c>
      <c r="S95" s="90">
        <v>0.21</v>
      </c>
      <c r="T95" s="90">
        <v>0.2</v>
      </c>
      <c r="U95" s="373"/>
      <c r="V95" s="95">
        <f t="shared" si="1"/>
        <v>75.997680000000003</v>
      </c>
      <c r="W95" s="1" t="s">
        <v>6463</v>
      </c>
      <c r="X95" s="5" t="s">
        <v>8287</v>
      </c>
      <c r="Y95" s="2">
        <v>32207</v>
      </c>
      <c r="Z95" s="2">
        <v>45007</v>
      </c>
      <c r="AA95" s="11" t="s">
        <v>8374</v>
      </c>
      <c r="AB95" s="2">
        <v>45026</v>
      </c>
      <c r="AC95" s="133" t="s">
        <v>1339</v>
      </c>
      <c r="AF95" t="s">
        <v>3198</v>
      </c>
      <c r="AJ95" s="2"/>
      <c r="AK95" s="1"/>
      <c r="AM95" s="3"/>
    </row>
    <row r="96" spans="1:46">
      <c r="A96" s="1">
        <v>95</v>
      </c>
      <c r="B96" s="61" t="s">
        <v>1414</v>
      </c>
      <c r="C96" s="2">
        <v>45007</v>
      </c>
      <c r="D96" s="2"/>
      <c r="E96" s="1" t="s">
        <v>1299</v>
      </c>
      <c r="F96" s="14" t="s">
        <v>2785</v>
      </c>
      <c r="G96" s="61" t="s">
        <v>1301</v>
      </c>
      <c r="H96" s="6" t="s">
        <v>221</v>
      </c>
      <c r="I96" t="s">
        <v>34</v>
      </c>
      <c r="J96" s="1">
        <v>630625427</v>
      </c>
      <c r="K96" s="396" t="s">
        <v>8355</v>
      </c>
      <c r="L96" t="s">
        <v>1299</v>
      </c>
      <c r="M96" s="2">
        <v>45016</v>
      </c>
      <c r="N96" s="1" t="s">
        <v>35</v>
      </c>
      <c r="O96" s="61" t="s">
        <v>7926</v>
      </c>
      <c r="P96" s="14" t="s">
        <v>8288</v>
      </c>
      <c r="Q96" s="187">
        <v>132.22999999999999</v>
      </c>
      <c r="R96" s="1">
        <v>1</v>
      </c>
      <c r="S96" s="90">
        <v>0.21</v>
      </c>
      <c r="T96" s="90">
        <v>0.2</v>
      </c>
      <c r="U96" s="373"/>
      <c r="V96" s="95">
        <f t="shared" si="1"/>
        <v>127.99863999999999</v>
      </c>
      <c r="W96" t="s">
        <v>8380</v>
      </c>
      <c r="X96" s="5" t="s">
        <v>8381</v>
      </c>
      <c r="Y96" s="2">
        <v>34825</v>
      </c>
      <c r="Z96" s="2">
        <v>45007</v>
      </c>
      <c r="AA96" s="285" t="s">
        <v>8517</v>
      </c>
      <c r="AB96" s="2">
        <v>45051</v>
      </c>
      <c r="AC96" s="133" t="s">
        <v>1339</v>
      </c>
      <c r="AF96" t="s">
        <v>3198</v>
      </c>
      <c r="AI96" s="76" t="s">
        <v>8289</v>
      </c>
      <c r="AJ96" s="2">
        <v>45026</v>
      </c>
      <c r="AK96" s="1"/>
      <c r="AM96" s="3"/>
    </row>
    <row r="97" spans="1:46">
      <c r="A97" s="1">
        <v>96</v>
      </c>
      <c r="B97" s="61" t="s">
        <v>1414</v>
      </c>
      <c r="C97" s="2">
        <v>45007</v>
      </c>
      <c r="D97" s="2"/>
      <c r="E97" s="1" t="s">
        <v>1299</v>
      </c>
      <c r="F97" s="14" t="s">
        <v>2785</v>
      </c>
      <c r="G97" s="61" t="s">
        <v>1301</v>
      </c>
      <c r="H97" s="6" t="s">
        <v>221</v>
      </c>
      <c r="I97" t="s">
        <v>34</v>
      </c>
      <c r="J97" s="1">
        <v>630625427</v>
      </c>
      <c r="K97" s="396" t="s">
        <v>8355</v>
      </c>
      <c r="L97" t="s">
        <v>1299</v>
      </c>
      <c r="M97" s="2">
        <v>45016</v>
      </c>
      <c r="N97" s="1" t="s">
        <v>35</v>
      </c>
      <c r="O97" s="61" t="s">
        <v>7926</v>
      </c>
      <c r="P97" s="14" t="s">
        <v>8290</v>
      </c>
      <c r="Q97" s="187">
        <v>132.22999999999999</v>
      </c>
      <c r="R97" s="1">
        <v>1</v>
      </c>
      <c r="S97" s="90">
        <v>0.21</v>
      </c>
      <c r="T97" s="90">
        <v>0.2</v>
      </c>
      <c r="U97" s="373"/>
      <c r="V97" s="95">
        <f t="shared" si="1"/>
        <v>127.99863999999999</v>
      </c>
      <c r="W97" t="s">
        <v>8384</v>
      </c>
      <c r="X97" s="5" t="s">
        <v>8385</v>
      </c>
      <c r="Y97" s="2">
        <v>36692</v>
      </c>
      <c r="Z97" s="2">
        <v>45007</v>
      </c>
      <c r="AA97" s="285" t="s">
        <v>8517</v>
      </c>
      <c r="AB97" s="2">
        <v>45051</v>
      </c>
      <c r="AC97" s="133" t="s">
        <v>1339</v>
      </c>
      <c r="AF97" t="s">
        <v>3198</v>
      </c>
      <c r="AI97" s="76" t="s">
        <v>8289</v>
      </c>
      <c r="AJ97" s="2">
        <v>45026</v>
      </c>
      <c r="AK97" s="1"/>
      <c r="AM97" s="3"/>
    </row>
    <row r="98" spans="1:46">
      <c r="A98" s="1">
        <v>96</v>
      </c>
      <c r="B98" s="61" t="s">
        <v>1414</v>
      </c>
      <c r="C98" s="2">
        <v>45007</v>
      </c>
      <c r="D98" s="2"/>
      <c r="E98" s="1" t="s">
        <v>1299</v>
      </c>
      <c r="F98" s="14" t="s">
        <v>2785</v>
      </c>
      <c r="G98" s="61" t="s">
        <v>1301</v>
      </c>
      <c r="H98" s="6" t="s">
        <v>221</v>
      </c>
      <c r="I98" t="s">
        <v>34</v>
      </c>
      <c r="J98" s="1">
        <v>630625427</v>
      </c>
      <c r="K98" s="396" t="s">
        <v>8355</v>
      </c>
      <c r="L98" t="s">
        <v>1299</v>
      </c>
      <c r="M98" s="2">
        <v>45016</v>
      </c>
      <c r="N98" s="1" t="s">
        <v>35</v>
      </c>
      <c r="O98" s="61" t="s">
        <v>7926</v>
      </c>
      <c r="P98" s="14" t="s">
        <v>8291</v>
      </c>
      <c r="Q98" s="187">
        <v>132.22999999999999</v>
      </c>
      <c r="R98" s="1">
        <v>1</v>
      </c>
      <c r="S98" s="90">
        <v>0.21</v>
      </c>
      <c r="T98" s="90">
        <v>0.2</v>
      </c>
      <c r="U98" s="373"/>
      <c r="V98" s="95">
        <f t="shared" si="1"/>
        <v>127.99863999999999</v>
      </c>
      <c r="W98" t="s">
        <v>8378</v>
      </c>
      <c r="X98" s="5" t="s">
        <v>8379</v>
      </c>
      <c r="Y98" s="2">
        <v>37400</v>
      </c>
      <c r="Z98" s="2">
        <v>45007</v>
      </c>
      <c r="AA98" s="285" t="s">
        <v>8518</v>
      </c>
      <c r="AB98" s="2">
        <v>45051</v>
      </c>
      <c r="AC98" s="133" t="s">
        <v>1339</v>
      </c>
      <c r="AF98" t="s">
        <v>3198</v>
      </c>
      <c r="AI98" s="76" t="s">
        <v>8289</v>
      </c>
      <c r="AJ98" s="2">
        <v>45026</v>
      </c>
      <c r="AK98" s="1"/>
      <c r="AM98" s="3"/>
    </row>
    <row r="99" spans="1:46" ht="15.75" customHeight="1">
      <c r="A99" s="1">
        <v>97</v>
      </c>
      <c r="B99" s="61" t="s">
        <v>52</v>
      </c>
      <c r="C99" s="2">
        <v>45007</v>
      </c>
      <c r="D99" s="2"/>
      <c r="E99" s="1" t="s">
        <v>458</v>
      </c>
      <c r="F99" t="s">
        <v>84</v>
      </c>
      <c r="G99" s="103" t="s">
        <v>138</v>
      </c>
      <c r="H99" s="30" t="s">
        <v>227</v>
      </c>
      <c r="I99" s="31" t="s">
        <v>203</v>
      </c>
      <c r="J99" s="44"/>
      <c r="K99" s="44" t="s">
        <v>5906</v>
      </c>
      <c r="L99" t="s">
        <v>4432</v>
      </c>
      <c r="M99" s="2">
        <v>45016</v>
      </c>
      <c r="N99" s="1" t="s">
        <v>35</v>
      </c>
      <c r="O99" s="61" t="s">
        <v>7925</v>
      </c>
      <c r="P99" s="14" t="s">
        <v>8292</v>
      </c>
      <c r="Q99" s="187">
        <v>132.22999999999999</v>
      </c>
      <c r="R99" s="1">
        <v>1</v>
      </c>
      <c r="S99" s="90">
        <v>0.21</v>
      </c>
      <c r="T99" s="90">
        <v>0.2</v>
      </c>
      <c r="V99" s="95">
        <f t="shared" si="1"/>
        <v>127.99863999999999</v>
      </c>
      <c r="W99" t="s">
        <v>8370</v>
      </c>
      <c r="X99" s="5" t="s">
        <v>8371</v>
      </c>
      <c r="Y99" s="2">
        <v>32443</v>
      </c>
      <c r="Z99" s="2">
        <v>45007</v>
      </c>
      <c r="AA99" s="11" t="s">
        <v>8856</v>
      </c>
      <c r="AB99" s="2">
        <v>45119</v>
      </c>
      <c r="AC99" s="133" t="s">
        <v>1339</v>
      </c>
      <c r="AD99" s="61" t="s">
        <v>8293</v>
      </c>
      <c r="AF99" t="s">
        <v>3198</v>
      </c>
      <c r="AI99" t="s">
        <v>3108</v>
      </c>
      <c r="AJ99" s="2">
        <v>45020</v>
      </c>
      <c r="AM99" s="2">
        <v>45026</v>
      </c>
      <c r="AT99" s="1"/>
    </row>
    <row r="100" spans="1:46">
      <c r="A100" s="1">
        <v>98</v>
      </c>
      <c r="B100" t="s">
        <v>6684</v>
      </c>
      <c r="C100" s="2">
        <v>45008</v>
      </c>
      <c r="D100" s="2"/>
      <c r="E100" t="s">
        <v>6685</v>
      </c>
      <c r="F100" t="s">
        <v>6686</v>
      </c>
      <c r="G100" t="s">
        <v>6687</v>
      </c>
      <c r="H100" s="6" t="s">
        <v>2579</v>
      </c>
      <c r="I100" t="s">
        <v>2580</v>
      </c>
      <c r="J100" s="8"/>
      <c r="K100" s="1" t="s">
        <v>7339</v>
      </c>
      <c r="L100" t="s">
        <v>6685</v>
      </c>
      <c r="M100" s="2">
        <v>45016</v>
      </c>
      <c r="N100" s="1" t="s">
        <v>35</v>
      </c>
      <c r="O100" s="61" t="s">
        <v>7928</v>
      </c>
      <c r="P100" s="14" t="s">
        <v>8300</v>
      </c>
      <c r="Q100" s="187">
        <v>132.22999999999999</v>
      </c>
      <c r="R100" s="1">
        <v>1</v>
      </c>
      <c r="S100" s="128">
        <v>0.21</v>
      </c>
      <c r="T100" s="128">
        <v>0.2</v>
      </c>
      <c r="V100" s="95">
        <f t="shared" si="1"/>
        <v>127.99863999999999</v>
      </c>
      <c r="W100" t="s">
        <v>8351</v>
      </c>
      <c r="X100" s="5" t="s">
        <v>8352</v>
      </c>
      <c r="Y100" s="3">
        <v>30167</v>
      </c>
      <c r="Z100" s="2">
        <v>45008</v>
      </c>
      <c r="AA100" s="13" t="s">
        <v>8774</v>
      </c>
      <c r="AB100" s="2">
        <v>45103</v>
      </c>
      <c r="AC100" s="133" t="s">
        <v>1339</v>
      </c>
      <c r="AF100" t="s">
        <v>3198</v>
      </c>
      <c r="AI100" t="s">
        <v>3108</v>
      </c>
      <c r="AJ100" s="3">
        <v>45015</v>
      </c>
      <c r="AM100" s="3">
        <v>45015</v>
      </c>
    </row>
    <row r="101" spans="1:46">
      <c r="A101" s="1">
        <v>99</v>
      </c>
      <c r="B101" t="s">
        <v>33</v>
      </c>
      <c r="C101" s="2">
        <v>45008</v>
      </c>
      <c r="D101" s="2"/>
      <c r="E101" s="1" t="s">
        <v>6327</v>
      </c>
      <c r="F101" t="s">
        <v>6328</v>
      </c>
      <c r="G101" s="61" t="s">
        <v>6329</v>
      </c>
      <c r="H101" s="6" t="s">
        <v>227</v>
      </c>
      <c r="I101" s="1" t="s">
        <v>4719</v>
      </c>
      <c r="K101" s="114" t="s">
        <v>11744</v>
      </c>
      <c r="L101" s="1" t="s">
        <v>237</v>
      </c>
      <c r="M101" s="2">
        <v>45016</v>
      </c>
      <c r="N101" s="164" t="s">
        <v>35</v>
      </c>
      <c r="O101" s="61" t="s">
        <v>7926</v>
      </c>
      <c r="P101" s="14" t="s">
        <v>8358</v>
      </c>
      <c r="Q101" s="187">
        <v>132.22999999999999</v>
      </c>
      <c r="R101" s="1">
        <v>1</v>
      </c>
      <c r="S101" s="90">
        <v>0.21</v>
      </c>
      <c r="T101" s="90">
        <v>0.2</v>
      </c>
      <c r="U101" s="363"/>
      <c r="V101" s="95">
        <f t="shared" si="1"/>
        <v>127.99863999999999</v>
      </c>
      <c r="W101" t="s">
        <v>6439</v>
      </c>
      <c r="X101" s="5" t="s">
        <v>8376</v>
      </c>
      <c r="Y101" s="2">
        <v>33045</v>
      </c>
      <c r="Z101" s="2">
        <v>45008</v>
      </c>
      <c r="AA101" s="371" t="s">
        <v>8829</v>
      </c>
      <c r="AB101" s="2">
        <v>45112</v>
      </c>
      <c r="AC101" s="133" t="s">
        <v>1339</v>
      </c>
      <c r="AE101" s="115">
        <v>45092</v>
      </c>
      <c r="AF101" t="s">
        <v>3198</v>
      </c>
      <c r="AI101" s="76" t="s">
        <v>8301</v>
      </c>
      <c r="AJ101" s="2">
        <v>45026</v>
      </c>
    </row>
    <row r="102" spans="1:46">
      <c r="A102" s="1">
        <v>100</v>
      </c>
      <c r="B102" t="s">
        <v>37</v>
      </c>
      <c r="C102" s="2">
        <v>45012</v>
      </c>
      <c r="D102" s="2"/>
      <c r="E102" s="1" t="s">
        <v>8303</v>
      </c>
      <c r="F102" t="s">
        <v>8304</v>
      </c>
      <c r="G102" s="61" t="s">
        <v>8305</v>
      </c>
      <c r="H102" s="6" t="s">
        <v>3429</v>
      </c>
      <c r="I102" s="1" t="s">
        <v>86</v>
      </c>
      <c r="J102" s="1">
        <v>650522371</v>
      </c>
      <c r="K102" s="1"/>
      <c r="L102" s="1" t="s">
        <v>8303</v>
      </c>
      <c r="M102" s="2">
        <v>45016</v>
      </c>
      <c r="N102" s="164" t="s">
        <v>35</v>
      </c>
      <c r="O102" s="61" t="s">
        <v>7977</v>
      </c>
      <c r="P102" s="187" t="s">
        <v>8306</v>
      </c>
      <c r="Q102" s="187">
        <v>41.32</v>
      </c>
      <c r="R102" s="1">
        <v>1</v>
      </c>
      <c r="S102" s="90">
        <v>0.21</v>
      </c>
      <c r="T102" s="90">
        <v>0</v>
      </c>
      <c r="U102" s="95"/>
      <c r="V102" s="95">
        <f t="shared" si="1"/>
        <v>49.997199999999999</v>
      </c>
      <c r="W102" s="5"/>
      <c r="X102" s="3"/>
      <c r="Y102" s="2"/>
      <c r="AA102" s="284" t="s">
        <v>1326</v>
      </c>
      <c r="AB102" s="80"/>
      <c r="AD102" s="3"/>
      <c r="AI102" s="2"/>
    </row>
    <row r="103" spans="1:46">
      <c r="A103" s="1">
        <v>101</v>
      </c>
      <c r="B103" t="s">
        <v>423</v>
      </c>
      <c r="C103" s="2">
        <v>45013</v>
      </c>
      <c r="D103" s="2"/>
      <c r="E103" t="s">
        <v>3217</v>
      </c>
      <c r="F103" t="s">
        <v>91</v>
      </c>
      <c r="G103" t="s">
        <v>3218</v>
      </c>
      <c r="H103" s="6" t="s">
        <v>219</v>
      </c>
      <c r="I103" s="1" t="s">
        <v>38</v>
      </c>
      <c r="J103" s="8">
        <v>629562761</v>
      </c>
      <c r="K103" s="8" t="s">
        <v>6182</v>
      </c>
      <c r="L103" t="s">
        <v>3217</v>
      </c>
      <c r="M103" s="2">
        <v>45016</v>
      </c>
      <c r="N103" s="1" t="s">
        <v>35</v>
      </c>
      <c r="O103" s="61" t="s">
        <v>7926</v>
      </c>
      <c r="P103" s="14" t="s">
        <v>8308</v>
      </c>
      <c r="Q103" s="92">
        <v>132.22999999999999</v>
      </c>
      <c r="R103" s="1">
        <v>1</v>
      </c>
      <c r="S103" s="90">
        <v>0.21</v>
      </c>
      <c r="T103" s="90">
        <v>0.2</v>
      </c>
      <c r="V103" s="95">
        <f t="shared" si="1"/>
        <v>127.99863999999999</v>
      </c>
      <c r="W103" t="s">
        <v>8446</v>
      </c>
      <c r="X103" s="5" t="s">
        <v>8436</v>
      </c>
      <c r="Y103" s="2">
        <v>36649</v>
      </c>
      <c r="Z103" s="2">
        <v>45013</v>
      </c>
      <c r="AA103" s="371" t="s">
        <v>8828</v>
      </c>
      <c r="AB103" s="2">
        <v>45112</v>
      </c>
      <c r="AC103" s="133" t="s">
        <v>1339</v>
      </c>
      <c r="AE103" s="115">
        <v>45091</v>
      </c>
      <c r="AF103" t="s">
        <v>3198</v>
      </c>
      <c r="AI103" t="s">
        <v>3221</v>
      </c>
      <c r="AJ103" s="2">
        <v>45033</v>
      </c>
      <c r="AL103" s="3"/>
      <c r="AM103" s="74">
        <v>45034</v>
      </c>
      <c r="AT103" s="1"/>
    </row>
    <row r="104" spans="1:46">
      <c r="A104" s="1">
        <v>102</v>
      </c>
      <c r="B104" t="s">
        <v>4321</v>
      </c>
      <c r="C104" s="2">
        <v>45013</v>
      </c>
      <c r="D104" s="2"/>
      <c r="E104" s="1" t="s">
        <v>5380</v>
      </c>
      <c r="F104" s="61" t="s">
        <v>3800</v>
      </c>
      <c r="G104" s="61" t="s">
        <v>3801</v>
      </c>
      <c r="H104" s="6" t="s">
        <v>2654</v>
      </c>
      <c r="I104" s="1" t="s">
        <v>2359</v>
      </c>
      <c r="J104" s="8">
        <v>627436272</v>
      </c>
      <c r="K104" s="396" t="s">
        <v>5991</v>
      </c>
      <c r="L104" t="s">
        <v>3965</v>
      </c>
      <c r="M104" s="2">
        <v>45016</v>
      </c>
      <c r="N104" s="1" t="s">
        <v>35</v>
      </c>
      <c r="O104" s="61" t="s">
        <v>7925</v>
      </c>
      <c r="P104" s="14" t="s">
        <v>6854</v>
      </c>
      <c r="Q104" s="92">
        <v>0</v>
      </c>
      <c r="R104" s="1">
        <v>1</v>
      </c>
      <c r="S104" s="90">
        <v>0.21</v>
      </c>
      <c r="T104" s="90">
        <v>0.2</v>
      </c>
      <c r="V104" s="95">
        <f t="shared" si="1"/>
        <v>0</v>
      </c>
      <c r="W104" t="s">
        <v>6905</v>
      </c>
      <c r="X104" s="5" t="s">
        <v>8309</v>
      </c>
      <c r="Y104" s="2">
        <v>32935</v>
      </c>
      <c r="Z104" s="2">
        <v>45013</v>
      </c>
      <c r="AA104" s="371" t="s">
        <v>8865</v>
      </c>
      <c r="AB104" s="2">
        <v>45124</v>
      </c>
      <c r="AC104" s="133" t="s">
        <v>1339</v>
      </c>
      <c r="AF104" t="s">
        <v>3198</v>
      </c>
      <c r="AI104" s="76" t="s">
        <v>3894</v>
      </c>
      <c r="AJ104" s="2"/>
      <c r="AM104" s="74"/>
      <c r="AT104" s="1"/>
    </row>
    <row r="105" spans="1:46">
      <c r="A105" s="1">
        <v>103</v>
      </c>
      <c r="B105" t="s">
        <v>37</v>
      </c>
      <c r="C105" s="2">
        <v>45013</v>
      </c>
      <c r="D105" s="2"/>
      <c r="E105" t="s">
        <v>8382</v>
      </c>
      <c r="F105" s="61" t="s">
        <v>8310</v>
      </c>
      <c r="G105" s="61" t="s">
        <v>8311</v>
      </c>
      <c r="H105" s="6" t="s">
        <v>245</v>
      </c>
      <c r="I105" s="1" t="s">
        <v>6839</v>
      </c>
      <c r="J105" s="8">
        <v>631061368</v>
      </c>
      <c r="K105" s="8"/>
      <c r="L105" t="s">
        <v>8382</v>
      </c>
      <c r="M105" s="2">
        <v>45016</v>
      </c>
      <c r="N105" s="1" t="s">
        <v>35</v>
      </c>
      <c r="O105" s="61" t="s">
        <v>7925</v>
      </c>
      <c r="P105" s="14" t="s">
        <v>8312</v>
      </c>
      <c r="Q105" s="92">
        <v>132.22999999999999</v>
      </c>
      <c r="R105" s="1">
        <v>1</v>
      </c>
      <c r="S105" s="90">
        <v>0.21</v>
      </c>
      <c r="T105" s="90">
        <v>0</v>
      </c>
      <c r="V105" s="95">
        <f t="shared" si="1"/>
        <v>159.99829999999997</v>
      </c>
      <c r="W105" t="s">
        <v>8382</v>
      </c>
      <c r="X105" s="5" t="s">
        <v>8383</v>
      </c>
      <c r="Y105" s="2">
        <v>30234</v>
      </c>
      <c r="Z105" s="2">
        <v>45013</v>
      </c>
      <c r="AA105" s="371" t="s">
        <v>8893</v>
      </c>
      <c r="AB105" s="2">
        <v>45128</v>
      </c>
      <c r="AC105" s="133" t="s">
        <v>1339</v>
      </c>
      <c r="AF105" t="s">
        <v>3198</v>
      </c>
      <c r="AI105" t="s">
        <v>8313</v>
      </c>
      <c r="AJ105" s="2">
        <v>45026</v>
      </c>
      <c r="AM105" s="74">
        <v>45027</v>
      </c>
      <c r="AT105" s="1"/>
    </row>
    <row r="106" spans="1:46">
      <c r="A106" s="1">
        <v>104</v>
      </c>
      <c r="B106" t="s">
        <v>8314</v>
      </c>
      <c r="C106" s="2">
        <v>45013</v>
      </c>
      <c r="D106" s="2"/>
      <c r="E106" s="1" t="s">
        <v>8315</v>
      </c>
      <c r="F106" s="61" t="s">
        <v>8316</v>
      </c>
      <c r="G106" s="61" t="s">
        <v>8317</v>
      </c>
      <c r="H106" s="6" t="s">
        <v>219</v>
      </c>
      <c r="I106" s="1" t="s">
        <v>4334</v>
      </c>
      <c r="J106" s="8">
        <v>635450026</v>
      </c>
      <c r="K106" s="1" t="s">
        <v>8318</v>
      </c>
      <c r="L106" s="1" t="s">
        <v>8315</v>
      </c>
      <c r="M106" s="2">
        <v>45016</v>
      </c>
      <c r="N106" s="1" t="s">
        <v>35</v>
      </c>
      <c r="O106" s="61" t="s">
        <v>7926</v>
      </c>
      <c r="P106" s="14" t="s">
        <v>8319</v>
      </c>
      <c r="Q106" s="92">
        <v>132.22999999999999</v>
      </c>
      <c r="R106" s="1">
        <v>1</v>
      </c>
      <c r="S106" s="90">
        <v>0.21</v>
      </c>
      <c r="T106" s="90">
        <v>0.2</v>
      </c>
      <c r="V106" s="95">
        <f t="shared" si="1"/>
        <v>127.99863999999999</v>
      </c>
      <c r="W106" t="s">
        <v>8431</v>
      </c>
      <c r="X106" s="5" t="s">
        <v>8432</v>
      </c>
      <c r="Y106" s="2">
        <v>37980</v>
      </c>
      <c r="Z106" s="2">
        <v>45013</v>
      </c>
      <c r="AA106" s="371" t="s">
        <v>8572</v>
      </c>
      <c r="AB106" s="2">
        <v>45062</v>
      </c>
      <c r="AC106" s="133" t="s">
        <v>1339</v>
      </c>
      <c r="AF106" t="s">
        <v>3198</v>
      </c>
      <c r="AI106" t="s">
        <v>3221</v>
      </c>
      <c r="AJ106" s="2">
        <v>45124</v>
      </c>
      <c r="AM106" s="74">
        <v>45037</v>
      </c>
      <c r="AT106" s="1"/>
    </row>
    <row r="107" spans="1:46">
      <c r="A107" s="1">
        <v>105</v>
      </c>
      <c r="B107" s="61" t="s">
        <v>1414</v>
      </c>
      <c r="C107" s="2">
        <v>45013</v>
      </c>
      <c r="D107" s="2"/>
      <c r="E107" s="1" t="s">
        <v>2963</v>
      </c>
      <c r="F107" s="14" t="s">
        <v>2964</v>
      </c>
      <c r="G107" t="s">
        <v>2115</v>
      </c>
      <c r="H107" s="6" t="s">
        <v>230</v>
      </c>
      <c r="I107" t="s">
        <v>1262</v>
      </c>
      <c r="J107"/>
      <c r="K107" s="396" t="s">
        <v>8355</v>
      </c>
      <c r="L107" t="s">
        <v>2963</v>
      </c>
      <c r="M107" s="2">
        <v>45016</v>
      </c>
      <c r="N107" s="1" t="s">
        <v>35</v>
      </c>
      <c r="O107" s="61" t="s">
        <v>7934</v>
      </c>
      <c r="P107" s="14" t="s">
        <v>8321</v>
      </c>
      <c r="Q107" s="92">
        <v>78.510000000000005</v>
      </c>
      <c r="R107" s="1">
        <v>1</v>
      </c>
      <c r="S107" s="90">
        <v>0.21</v>
      </c>
      <c r="T107" s="90">
        <v>0.2</v>
      </c>
      <c r="V107" s="95">
        <f t="shared" si="1"/>
        <v>75.997680000000003</v>
      </c>
      <c r="W107" s="1" t="s">
        <v>3639</v>
      </c>
      <c r="X107" s="401" t="s">
        <v>8320</v>
      </c>
      <c r="Y107" s="2">
        <v>34451</v>
      </c>
      <c r="Z107" s="2">
        <v>45013</v>
      </c>
      <c r="AA107" s="371" t="s">
        <v>8447</v>
      </c>
      <c r="AB107" s="2">
        <v>45034</v>
      </c>
      <c r="AC107" s="133" t="s">
        <v>1339</v>
      </c>
      <c r="AF107" t="s">
        <v>3198</v>
      </c>
      <c r="AH107" s="1"/>
      <c r="AI107" s="2"/>
      <c r="AJ107" s="2"/>
      <c r="AL107" s="2"/>
    </row>
    <row r="108" spans="1:46">
      <c r="A108" s="1">
        <v>106</v>
      </c>
      <c r="B108" t="s">
        <v>40</v>
      </c>
      <c r="C108" s="2">
        <v>45013</v>
      </c>
      <c r="D108" s="2"/>
      <c r="E108" s="1" t="s">
        <v>6289</v>
      </c>
      <c r="F108" t="s">
        <v>6290</v>
      </c>
      <c r="G108" t="s">
        <v>6291</v>
      </c>
      <c r="H108" s="6" t="s">
        <v>230</v>
      </c>
      <c r="I108" s="1" t="s">
        <v>1262</v>
      </c>
      <c r="J108" s="14">
        <v>629762110</v>
      </c>
      <c r="K108" s="1" t="s">
        <v>6293</v>
      </c>
      <c r="L108" s="1" t="s">
        <v>6289</v>
      </c>
      <c r="M108" s="2">
        <v>45016</v>
      </c>
      <c r="N108" s="1" t="s">
        <v>35</v>
      </c>
      <c r="O108" s="61" t="s">
        <v>7934</v>
      </c>
      <c r="P108" s="14" t="s">
        <v>8322</v>
      </c>
      <c r="Q108" s="92">
        <v>78.510000000000005</v>
      </c>
      <c r="R108" s="1">
        <v>1</v>
      </c>
      <c r="S108" s="90">
        <v>0.21</v>
      </c>
      <c r="T108" s="90">
        <v>0.2</v>
      </c>
      <c r="V108" s="95">
        <f t="shared" si="1"/>
        <v>75.997680000000003</v>
      </c>
      <c r="W108" s="1" t="s">
        <v>6510</v>
      </c>
      <c r="X108" s="5" t="s">
        <v>8323</v>
      </c>
      <c r="Y108" s="2">
        <v>36288</v>
      </c>
      <c r="Z108" s="2">
        <v>45013</v>
      </c>
      <c r="AA108" s="371" t="s">
        <v>8448</v>
      </c>
      <c r="AB108" s="2">
        <v>45034</v>
      </c>
      <c r="AC108" s="133" t="s">
        <v>1339</v>
      </c>
      <c r="AF108" t="s">
        <v>3198</v>
      </c>
    </row>
    <row r="109" spans="1:46">
      <c r="A109" s="1">
        <v>107</v>
      </c>
      <c r="B109" t="s">
        <v>3526</v>
      </c>
      <c r="C109" s="2">
        <v>45014</v>
      </c>
      <c r="D109" s="2"/>
      <c r="E109" s="1" t="s">
        <v>8338</v>
      </c>
      <c r="F109" s="61" t="s">
        <v>8339</v>
      </c>
      <c r="G109" s="61" t="s">
        <v>8340</v>
      </c>
      <c r="H109" s="6" t="s">
        <v>294</v>
      </c>
      <c r="I109" s="1" t="s">
        <v>103</v>
      </c>
      <c r="J109" s="8">
        <v>649920351</v>
      </c>
      <c r="K109" s="1" t="s">
        <v>8343</v>
      </c>
      <c r="L109" s="1" t="s">
        <v>8338</v>
      </c>
      <c r="M109" s="2">
        <v>45016</v>
      </c>
      <c r="N109" s="1" t="s">
        <v>35</v>
      </c>
      <c r="O109" s="61" t="s">
        <v>7926</v>
      </c>
      <c r="P109" s="14" t="s">
        <v>8341</v>
      </c>
      <c r="Q109" s="187">
        <v>132.22999999999999</v>
      </c>
      <c r="R109" s="1">
        <v>1</v>
      </c>
      <c r="S109" s="90">
        <v>0.21</v>
      </c>
      <c r="T109" s="90">
        <v>0.2</v>
      </c>
      <c r="U109" s="363"/>
      <c r="V109" s="95">
        <f t="shared" si="1"/>
        <v>127.99863999999999</v>
      </c>
      <c r="W109" t="s">
        <v>8425</v>
      </c>
      <c r="X109" s="5" t="s">
        <v>8426</v>
      </c>
      <c r="Y109" s="2">
        <v>33343</v>
      </c>
      <c r="Z109" s="2">
        <v>45014</v>
      </c>
      <c r="AA109" s="371" t="s">
        <v>8543</v>
      </c>
      <c r="AB109" s="2">
        <v>45062</v>
      </c>
      <c r="AC109" s="133" t="s">
        <v>1339</v>
      </c>
      <c r="AF109" t="s">
        <v>3198</v>
      </c>
      <c r="AI109" s="76" t="s">
        <v>3221</v>
      </c>
      <c r="AJ109" s="2">
        <v>45029</v>
      </c>
      <c r="AM109" s="74"/>
      <c r="AT109" s="1"/>
    </row>
    <row r="110" spans="1:46">
      <c r="A110" s="1">
        <v>108</v>
      </c>
      <c r="B110" t="s">
        <v>7475</v>
      </c>
      <c r="C110" s="2">
        <v>45015</v>
      </c>
      <c r="D110" s="2"/>
      <c r="E110" s="1" t="s">
        <v>8345</v>
      </c>
      <c r="F110" s="61" t="s">
        <v>8346</v>
      </c>
      <c r="G110" s="61" t="s">
        <v>8347</v>
      </c>
      <c r="H110" s="6" t="s">
        <v>220</v>
      </c>
      <c r="I110" s="1" t="s">
        <v>39</v>
      </c>
      <c r="J110" s="8" t="s">
        <v>8348</v>
      </c>
      <c r="K110" s="1" t="s">
        <v>8344</v>
      </c>
      <c r="L110" s="1" t="s">
        <v>8345</v>
      </c>
      <c r="M110" s="2">
        <v>45016</v>
      </c>
      <c r="N110" s="1" t="s">
        <v>35</v>
      </c>
      <c r="O110" s="61" t="s">
        <v>7926</v>
      </c>
      <c r="P110" s="14" t="s">
        <v>8349</v>
      </c>
      <c r="Q110" s="187">
        <v>132.22999999999999</v>
      </c>
      <c r="R110" s="1">
        <v>1</v>
      </c>
      <c r="S110" s="90">
        <v>0.21</v>
      </c>
      <c r="T110" s="90">
        <v>0.2</v>
      </c>
      <c r="U110" s="363"/>
      <c r="V110" s="95">
        <f t="shared" si="1"/>
        <v>127.99863999999999</v>
      </c>
      <c r="W110" t="s">
        <v>8429</v>
      </c>
      <c r="X110" s="5" t="s">
        <v>8430</v>
      </c>
      <c r="Y110" s="2">
        <v>37743</v>
      </c>
      <c r="Z110" s="2">
        <v>45015</v>
      </c>
      <c r="AA110" s="276" t="s">
        <v>8830</v>
      </c>
      <c r="AB110" s="2">
        <v>45062</v>
      </c>
      <c r="AC110" s="133" t="s">
        <v>1339</v>
      </c>
      <c r="AE110" s="292">
        <v>45092</v>
      </c>
      <c r="AF110" t="s">
        <v>3198</v>
      </c>
      <c r="AI110" s="76" t="s">
        <v>8350</v>
      </c>
      <c r="AJ110" s="2">
        <v>45124</v>
      </c>
      <c r="AM110" s="74"/>
      <c r="AT110" s="1"/>
    </row>
    <row r="111" spans="1:46">
      <c r="A111" s="1">
        <v>109</v>
      </c>
      <c r="B111" t="s">
        <v>3526</v>
      </c>
      <c r="C111" s="2">
        <v>45013</v>
      </c>
      <c r="D111" s="2"/>
      <c r="E111" s="1" t="s">
        <v>7468</v>
      </c>
      <c r="F111" t="s">
        <v>7469</v>
      </c>
      <c r="G111" s="61" t="s">
        <v>7470</v>
      </c>
      <c r="H111" s="6" t="s">
        <v>294</v>
      </c>
      <c r="I111" s="1" t="s">
        <v>103</v>
      </c>
      <c r="J111" s="8">
        <v>649440769</v>
      </c>
      <c r="K111" s="1" t="s">
        <v>7472</v>
      </c>
      <c r="L111" t="s">
        <v>7468</v>
      </c>
      <c r="M111" s="2">
        <v>45016</v>
      </c>
      <c r="N111" s="1" t="s">
        <v>35</v>
      </c>
      <c r="O111" s="61" t="s">
        <v>7925</v>
      </c>
      <c r="P111" s="14" t="s">
        <v>7471</v>
      </c>
      <c r="Q111" s="187">
        <v>0</v>
      </c>
      <c r="R111" s="1">
        <v>0</v>
      </c>
      <c r="S111" s="90">
        <v>0</v>
      </c>
      <c r="T111" s="90">
        <v>0</v>
      </c>
      <c r="V111" s="95">
        <f t="shared" si="1"/>
        <v>0</v>
      </c>
      <c r="W111" t="s">
        <v>7548</v>
      </c>
      <c r="X111" s="5" t="s">
        <v>8377</v>
      </c>
      <c r="Y111" s="2">
        <v>30036</v>
      </c>
      <c r="Z111" s="2">
        <v>45013</v>
      </c>
      <c r="AA111" s="371" t="s">
        <v>8865</v>
      </c>
      <c r="AB111" s="2">
        <v>45124</v>
      </c>
      <c r="AC111" s="133" t="s">
        <v>1339</v>
      </c>
      <c r="AF111" t="s">
        <v>3198</v>
      </c>
      <c r="AI111" t="s">
        <v>4017</v>
      </c>
      <c r="AJ111" s="2">
        <v>45026</v>
      </c>
      <c r="AM111" s="3">
        <v>45026</v>
      </c>
      <c r="AT111" s="1"/>
    </row>
    <row r="112" spans="1:46">
      <c r="A112" s="1">
        <v>110</v>
      </c>
      <c r="B112" t="s">
        <v>5635</v>
      </c>
      <c r="C112" s="2">
        <v>45019</v>
      </c>
      <c r="D112" s="2"/>
      <c r="E112" s="1" t="s">
        <v>8361</v>
      </c>
      <c r="F112" s="61" t="s">
        <v>8362</v>
      </c>
      <c r="G112" s="61" t="s">
        <v>8363</v>
      </c>
      <c r="H112" s="6" t="s">
        <v>219</v>
      </c>
      <c r="I112" s="1" t="s">
        <v>4334</v>
      </c>
      <c r="J112" s="8"/>
      <c r="K112" s="1" t="s">
        <v>7805</v>
      </c>
      <c r="L112" s="1" t="s">
        <v>8361</v>
      </c>
      <c r="M112" s="2">
        <v>45046</v>
      </c>
      <c r="N112" s="1" t="s">
        <v>35</v>
      </c>
      <c r="O112" s="61" t="s">
        <v>7925</v>
      </c>
      <c r="P112" s="14" t="s">
        <v>8364</v>
      </c>
      <c r="Q112" s="187">
        <v>132.22999999999999</v>
      </c>
      <c r="R112" s="1">
        <v>1</v>
      </c>
      <c r="S112" s="90">
        <v>0.21</v>
      </c>
      <c r="T112" s="90">
        <v>0.2</v>
      </c>
      <c r="U112" s="363"/>
      <c r="V112" s="95">
        <f t="shared" si="1"/>
        <v>127.99863999999999</v>
      </c>
      <c r="W112" t="s">
        <v>8440</v>
      </c>
      <c r="X112" s="5" t="s">
        <v>8441</v>
      </c>
      <c r="Y112" s="2">
        <v>36012</v>
      </c>
      <c r="Z112" s="2">
        <v>45019</v>
      </c>
      <c r="AA112" s="371" t="s">
        <v>8943</v>
      </c>
      <c r="AB112" s="2">
        <v>45141</v>
      </c>
      <c r="AC112" s="133" t="s">
        <v>1339</v>
      </c>
      <c r="AF112" t="s">
        <v>3198</v>
      </c>
      <c r="AI112" s="76" t="s">
        <v>3108</v>
      </c>
      <c r="AJ112" s="2">
        <v>45033</v>
      </c>
      <c r="AM112" s="74">
        <v>45048</v>
      </c>
      <c r="AT112" s="1"/>
    </row>
    <row r="113" spans="1:46">
      <c r="A113" s="1">
        <v>111</v>
      </c>
      <c r="B113" t="s">
        <v>6684</v>
      </c>
      <c r="C113" s="2">
        <v>45019</v>
      </c>
      <c r="D113" s="2"/>
      <c r="E113" t="s">
        <v>6685</v>
      </c>
      <c r="F113" t="s">
        <v>6686</v>
      </c>
      <c r="G113" t="s">
        <v>6687</v>
      </c>
      <c r="H113" s="6" t="s">
        <v>2579</v>
      </c>
      <c r="I113" t="s">
        <v>2580</v>
      </c>
      <c r="J113" s="8"/>
      <c r="K113" s="1" t="s">
        <v>7339</v>
      </c>
      <c r="L113" t="s">
        <v>6685</v>
      </c>
      <c r="M113" s="2">
        <v>45046</v>
      </c>
      <c r="N113" s="1" t="s">
        <v>35</v>
      </c>
      <c r="O113" s="61" t="s">
        <v>7925</v>
      </c>
      <c r="P113" s="14" t="s">
        <v>8365</v>
      </c>
      <c r="Q113" s="187">
        <v>132.22999999999999</v>
      </c>
      <c r="R113" s="1">
        <v>1</v>
      </c>
      <c r="S113" s="128">
        <v>0.21</v>
      </c>
      <c r="T113" s="128">
        <v>0.2</v>
      </c>
      <c r="V113" s="95">
        <f t="shared" si="1"/>
        <v>127.99863999999999</v>
      </c>
      <c r="W113" t="s">
        <v>8438</v>
      </c>
      <c r="X113" s="5" t="s">
        <v>8439</v>
      </c>
      <c r="Y113" s="3">
        <v>35750</v>
      </c>
      <c r="Z113" s="2">
        <v>45019</v>
      </c>
      <c r="AA113" s="371" t="s">
        <v>8943</v>
      </c>
      <c r="AB113" s="2">
        <v>45141</v>
      </c>
      <c r="AC113" s="133" t="s">
        <v>1339</v>
      </c>
      <c r="AF113" t="s">
        <v>3198</v>
      </c>
      <c r="AI113" t="s">
        <v>3108</v>
      </c>
      <c r="AJ113" s="3">
        <v>45033</v>
      </c>
      <c r="AM113" s="3">
        <v>45041</v>
      </c>
    </row>
    <row r="114" spans="1:46">
      <c r="A114" s="1">
        <v>112</v>
      </c>
      <c r="B114" t="s">
        <v>3526</v>
      </c>
      <c r="C114" s="2">
        <v>45020</v>
      </c>
      <c r="D114" s="2"/>
      <c r="E114" s="1" t="s">
        <v>6215</v>
      </c>
      <c r="F114" t="s">
        <v>6216</v>
      </c>
      <c r="G114" t="s">
        <v>6217</v>
      </c>
      <c r="H114" s="6" t="s">
        <v>242</v>
      </c>
      <c r="I114" s="1" t="s">
        <v>86</v>
      </c>
      <c r="J114" s="8">
        <v>647672066</v>
      </c>
      <c r="K114" s="8" t="s">
        <v>7157</v>
      </c>
      <c r="L114" t="s">
        <v>6215</v>
      </c>
      <c r="M114" s="2">
        <v>45046</v>
      </c>
      <c r="N114" s="1" t="s">
        <v>35</v>
      </c>
      <c r="O114" s="61" t="s">
        <v>7925</v>
      </c>
      <c r="P114" s="14" t="s">
        <v>8366</v>
      </c>
      <c r="Q114" s="187">
        <v>132.22999999999999</v>
      </c>
      <c r="R114" s="1">
        <v>1</v>
      </c>
      <c r="S114" s="128">
        <v>0.21</v>
      </c>
      <c r="T114" s="128">
        <v>0.2</v>
      </c>
      <c r="V114" s="95">
        <f t="shared" si="1"/>
        <v>127.99863999999999</v>
      </c>
      <c r="W114" t="s">
        <v>8433</v>
      </c>
      <c r="X114" s="5" t="s">
        <v>8434</v>
      </c>
      <c r="Y114" s="2">
        <v>34601</v>
      </c>
      <c r="Z114" s="2">
        <v>45020</v>
      </c>
      <c r="AA114" s="371" t="s">
        <v>8945</v>
      </c>
      <c r="AB114" s="2">
        <v>45141</v>
      </c>
      <c r="AC114" s="133" t="s">
        <v>1339</v>
      </c>
      <c r="AF114" t="s">
        <v>3198</v>
      </c>
      <c r="AI114" t="s">
        <v>8367</v>
      </c>
      <c r="AJ114" s="2">
        <v>45033</v>
      </c>
      <c r="AM114" s="74">
        <v>45037</v>
      </c>
      <c r="AT114" s="1"/>
    </row>
    <row r="115" spans="1:46">
      <c r="A115" s="1">
        <v>113</v>
      </c>
      <c r="B115" t="s">
        <v>423</v>
      </c>
      <c r="C115" s="2">
        <v>45020</v>
      </c>
      <c r="D115" s="2"/>
      <c r="E115" t="s">
        <v>3217</v>
      </c>
      <c r="F115" t="s">
        <v>91</v>
      </c>
      <c r="G115" t="s">
        <v>3218</v>
      </c>
      <c r="H115" s="6" t="s">
        <v>219</v>
      </c>
      <c r="I115" s="1" t="s">
        <v>38</v>
      </c>
      <c r="J115" s="8">
        <v>629562761</v>
      </c>
      <c r="K115" s="8" t="s">
        <v>6182</v>
      </c>
      <c r="L115" t="s">
        <v>3217</v>
      </c>
      <c r="M115" s="2">
        <v>45046</v>
      </c>
      <c r="N115" s="1" t="s">
        <v>35</v>
      </c>
      <c r="O115" s="61" t="s">
        <v>7925</v>
      </c>
      <c r="P115" s="14" t="s">
        <v>8368</v>
      </c>
      <c r="Q115" s="92">
        <v>132.22999999999999</v>
      </c>
      <c r="R115" s="1">
        <v>1</v>
      </c>
      <c r="S115" s="90">
        <v>0.21</v>
      </c>
      <c r="T115" s="90">
        <v>0.2</v>
      </c>
      <c r="V115" s="95">
        <f t="shared" si="1"/>
        <v>127.99863999999999</v>
      </c>
      <c r="W115" t="s">
        <v>8369</v>
      </c>
      <c r="X115" s="5" t="s">
        <v>8435</v>
      </c>
      <c r="Y115" s="2">
        <v>33644</v>
      </c>
      <c r="Z115" s="2">
        <v>45020</v>
      </c>
      <c r="AA115" s="371" t="s">
        <v>8982</v>
      </c>
      <c r="AB115" s="2">
        <v>45159</v>
      </c>
      <c r="AC115" s="133" t="s">
        <v>1339</v>
      </c>
      <c r="AF115" t="s">
        <v>3198</v>
      </c>
      <c r="AI115" t="s">
        <v>3108</v>
      </c>
      <c r="AJ115" s="2">
        <v>45033</v>
      </c>
      <c r="AL115" s="3"/>
      <c r="AM115" s="74">
        <v>45034</v>
      </c>
      <c r="AT115" s="1"/>
    </row>
    <row r="116" spans="1:46">
      <c r="A116" s="1">
        <v>114</v>
      </c>
      <c r="B116" t="s">
        <v>3526</v>
      </c>
      <c r="C116" s="2">
        <v>45026</v>
      </c>
      <c r="D116" s="2"/>
      <c r="E116" s="1" t="s">
        <v>8387</v>
      </c>
      <c r="F116" s="61" t="s">
        <v>8388</v>
      </c>
      <c r="G116" s="61" t="s">
        <v>8389</v>
      </c>
      <c r="H116" s="6" t="s">
        <v>294</v>
      </c>
      <c r="I116" s="1" t="s">
        <v>103</v>
      </c>
      <c r="J116">
        <v>618472979</v>
      </c>
      <c r="K116" s="1" t="s">
        <v>8391</v>
      </c>
      <c r="L116" s="1" t="s">
        <v>8387</v>
      </c>
      <c r="M116" s="2">
        <v>45046</v>
      </c>
      <c r="N116" s="1" t="s">
        <v>35</v>
      </c>
      <c r="O116" s="61" t="s">
        <v>7925</v>
      </c>
      <c r="P116" s="14" t="s">
        <v>8390</v>
      </c>
      <c r="Q116" s="187">
        <v>132.22999999999999</v>
      </c>
      <c r="R116" s="1">
        <v>1</v>
      </c>
      <c r="S116" s="90">
        <v>0.21</v>
      </c>
      <c r="T116" s="90">
        <v>0.2</v>
      </c>
      <c r="U116" s="363"/>
      <c r="V116" s="95">
        <f t="shared" si="1"/>
        <v>127.99863999999999</v>
      </c>
      <c r="W116" t="s">
        <v>8458</v>
      </c>
      <c r="X116" s="5" t="s">
        <v>8459</v>
      </c>
      <c r="Y116" s="2">
        <v>36422</v>
      </c>
      <c r="Z116" s="2">
        <v>45026</v>
      </c>
      <c r="AA116" s="371" t="s">
        <v>9014</v>
      </c>
      <c r="AB116" s="2">
        <v>45163</v>
      </c>
      <c r="AC116" s="133" t="s">
        <v>1339</v>
      </c>
      <c r="AF116" t="s">
        <v>3198</v>
      </c>
      <c r="AI116" t="s">
        <v>3108</v>
      </c>
      <c r="AJ116" s="2">
        <v>45035</v>
      </c>
      <c r="AK116" s="76" t="s">
        <v>1876</v>
      </c>
      <c r="AM116" s="74">
        <v>45036</v>
      </c>
      <c r="AT116" s="1"/>
    </row>
    <row r="117" spans="1:46">
      <c r="A117" s="1">
        <v>115</v>
      </c>
      <c r="B117" s="61" t="s">
        <v>37</v>
      </c>
      <c r="C117" s="2">
        <v>45026</v>
      </c>
      <c r="D117" s="2"/>
      <c r="E117" t="s">
        <v>7747</v>
      </c>
      <c r="F117" t="s">
        <v>7622</v>
      </c>
      <c r="G117" s="61" t="s">
        <v>7623</v>
      </c>
      <c r="H117" s="6" t="s">
        <v>270</v>
      </c>
      <c r="I117" s="1" t="s">
        <v>3681</v>
      </c>
      <c r="J117" s="8">
        <v>612554371</v>
      </c>
      <c r="K117" s="8"/>
      <c r="L117" s="1" t="s">
        <v>7747</v>
      </c>
      <c r="M117" s="2">
        <v>45046</v>
      </c>
      <c r="N117" s="1" t="s">
        <v>35</v>
      </c>
      <c r="O117" s="61" t="s">
        <v>7925</v>
      </c>
      <c r="P117" s="14" t="s">
        <v>7624</v>
      </c>
      <c r="Q117" s="163">
        <v>132.22999999999999</v>
      </c>
      <c r="R117" s="1">
        <v>1</v>
      </c>
      <c r="S117" s="128">
        <v>0.21</v>
      </c>
      <c r="T117" s="128">
        <v>0</v>
      </c>
      <c r="V117" s="95">
        <f t="shared" si="1"/>
        <v>159.99829999999997</v>
      </c>
      <c r="W117" t="s">
        <v>7747</v>
      </c>
      <c r="X117" s="5" t="s">
        <v>8460</v>
      </c>
      <c r="Y117" s="2">
        <v>33649</v>
      </c>
      <c r="Z117" s="2">
        <v>45026</v>
      </c>
      <c r="AA117" s="285" t="s">
        <v>9818</v>
      </c>
      <c r="AB117" s="2">
        <v>45209</v>
      </c>
      <c r="AC117" s="133" t="s">
        <v>1339</v>
      </c>
      <c r="AE117" s="292">
        <v>45188</v>
      </c>
      <c r="AF117" t="s">
        <v>3198</v>
      </c>
      <c r="AI117" t="s">
        <v>8392</v>
      </c>
      <c r="AJ117" s="2">
        <v>45035</v>
      </c>
      <c r="AK117" s="1"/>
      <c r="AM117" s="74">
        <v>45042</v>
      </c>
      <c r="AT117" s="1"/>
    </row>
    <row r="118" spans="1:46">
      <c r="A118" s="1">
        <v>116</v>
      </c>
      <c r="B118" t="s">
        <v>7036</v>
      </c>
      <c r="C118" s="2">
        <v>45026</v>
      </c>
      <c r="D118" s="2"/>
      <c r="E118" s="1" t="s">
        <v>6375</v>
      </c>
      <c r="F118" t="s">
        <v>6376</v>
      </c>
      <c r="G118" s="61" t="s">
        <v>6377</v>
      </c>
      <c r="H118" s="6" t="s">
        <v>294</v>
      </c>
      <c r="I118" s="1" t="s">
        <v>103</v>
      </c>
      <c r="J118" s="8">
        <v>660744167</v>
      </c>
      <c r="K118" s="301" t="s">
        <v>6332</v>
      </c>
      <c r="L118" s="1" t="s">
        <v>6375</v>
      </c>
      <c r="M118" s="2">
        <v>45046</v>
      </c>
      <c r="N118" s="1" t="s">
        <v>35</v>
      </c>
      <c r="O118" s="61" t="s">
        <v>7926</v>
      </c>
      <c r="P118" s="14" t="s">
        <v>8393</v>
      </c>
      <c r="Q118" s="187">
        <v>132.22999999999999</v>
      </c>
      <c r="R118" s="1">
        <v>1</v>
      </c>
      <c r="S118" s="90">
        <v>0.21</v>
      </c>
      <c r="T118" s="90">
        <v>0.2</v>
      </c>
      <c r="U118" s="363"/>
      <c r="V118" s="95">
        <f t="shared" si="1"/>
        <v>127.99863999999999</v>
      </c>
      <c r="W118" t="s">
        <v>8461</v>
      </c>
      <c r="X118" s="5" t="s">
        <v>8508</v>
      </c>
      <c r="Y118" s="2">
        <v>38049</v>
      </c>
      <c r="Z118" s="2">
        <v>45026</v>
      </c>
      <c r="AA118" s="371" t="s">
        <v>8573</v>
      </c>
      <c r="AB118" s="2">
        <v>45062</v>
      </c>
      <c r="AC118" s="133" t="s">
        <v>1339</v>
      </c>
      <c r="AF118" t="s">
        <v>3198</v>
      </c>
      <c r="AI118" t="s">
        <v>3221</v>
      </c>
      <c r="AJ118" s="2">
        <v>45035</v>
      </c>
      <c r="AM118" s="74">
        <v>45044</v>
      </c>
      <c r="AT118" s="1"/>
    </row>
    <row r="119" spans="1:46">
      <c r="A119" s="1">
        <v>117</v>
      </c>
      <c r="B119" t="s">
        <v>37</v>
      </c>
      <c r="C119" s="2">
        <v>45027</v>
      </c>
      <c r="D119" s="2"/>
      <c r="E119" s="1" t="s">
        <v>8394</v>
      </c>
      <c r="F119" s="61" t="s">
        <v>8395</v>
      </c>
      <c r="G119" s="61" t="s">
        <v>8396</v>
      </c>
      <c r="H119" s="6" t="s">
        <v>219</v>
      </c>
      <c r="I119" s="1" t="s">
        <v>4334</v>
      </c>
      <c r="J119" s="8" t="s">
        <v>8397</v>
      </c>
      <c r="K119" s="8"/>
      <c r="L119" s="1" t="s">
        <v>8394</v>
      </c>
      <c r="M119" s="2">
        <v>45046</v>
      </c>
      <c r="N119" s="1" t="s">
        <v>35</v>
      </c>
      <c r="O119" s="61" t="s">
        <v>7934</v>
      </c>
      <c r="P119" s="14" t="s">
        <v>8398</v>
      </c>
      <c r="Q119" s="187">
        <v>78.510000000000005</v>
      </c>
      <c r="R119" s="1">
        <v>1</v>
      </c>
      <c r="S119" s="90">
        <v>0.21</v>
      </c>
      <c r="T119" s="90">
        <v>0.2</v>
      </c>
      <c r="U119" s="363"/>
      <c r="V119" s="95">
        <f t="shared" si="1"/>
        <v>75.997680000000003</v>
      </c>
      <c r="W119" s="1" t="s">
        <v>8394</v>
      </c>
      <c r="X119" s="5" t="s">
        <v>8399</v>
      </c>
      <c r="Y119" s="2">
        <v>33222</v>
      </c>
      <c r="Z119" s="2">
        <v>45027</v>
      </c>
      <c r="AA119" s="371" t="s">
        <v>8515</v>
      </c>
      <c r="AB119" s="2">
        <v>45051</v>
      </c>
      <c r="AC119" s="133" t="s">
        <v>1339</v>
      </c>
      <c r="AF119" t="s">
        <v>3198</v>
      </c>
      <c r="AJ119" s="2"/>
      <c r="AM119" s="74"/>
      <c r="AT119" s="1"/>
    </row>
    <row r="120" spans="1:46">
      <c r="A120" s="1">
        <v>118</v>
      </c>
      <c r="B120" t="s">
        <v>45</v>
      </c>
      <c r="C120" s="2">
        <v>45027</v>
      </c>
      <c r="D120" s="2"/>
      <c r="E120" s="1" t="s">
        <v>6084</v>
      </c>
      <c r="F120" t="s">
        <v>6085</v>
      </c>
      <c r="G120" t="s">
        <v>6086</v>
      </c>
      <c r="H120" s="6" t="s">
        <v>220</v>
      </c>
      <c r="I120" s="1" t="s">
        <v>39</v>
      </c>
      <c r="J120">
        <v>699523346</v>
      </c>
      <c r="K120" s="1" t="s">
        <v>6094</v>
      </c>
      <c r="L120" s="1" t="s">
        <v>6084</v>
      </c>
      <c r="M120" s="2">
        <v>45046</v>
      </c>
      <c r="N120" s="1" t="s">
        <v>35</v>
      </c>
      <c r="O120" s="61" t="s">
        <v>23</v>
      </c>
      <c r="P120" s="14" t="s">
        <v>8400</v>
      </c>
      <c r="Q120" s="187">
        <v>41.32</v>
      </c>
      <c r="R120" s="1">
        <v>1</v>
      </c>
      <c r="S120" s="90">
        <v>0.21</v>
      </c>
      <c r="T120" s="90">
        <v>0</v>
      </c>
      <c r="V120" s="95">
        <f t="shared" si="1"/>
        <v>49.997199999999999</v>
      </c>
      <c r="X120" s="5"/>
      <c r="Y120" s="2"/>
      <c r="Z120" s="2">
        <v>45027</v>
      </c>
      <c r="AA120" s="284" t="s">
        <v>1326</v>
      </c>
      <c r="AB120" s="2"/>
      <c r="AC120" s="133"/>
      <c r="AF120" t="s">
        <v>3198</v>
      </c>
      <c r="AJ120" s="2"/>
    </row>
    <row r="121" spans="1:46">
      <c r="A121" s="1">
        <v>119</v>
      </c>
      <c r="B121" t="s">
        <v>1414</v>
      </c>
      <c r="C121" s="2">
        <v>45027</v>
      </c>
      <c r="D121" s="2"/>
      <c r="E121" s="1" t="s">
        <v>1079</v>
      </c>
      <c r="F121" t="s">
        <v>41</v>
      </c>
      <c r="G121" s="61" t="s">
        <v>2115</v>
      </c>
      <c r="H121" s="1" t="s">
        <v>230</v>
      </c>
      <c r="I121" s="1" t="s">
        <v>1262</v>
      </c>
      <c r="J121" s="1">
        <v>631212115</v>
      </c>
      <c r="K121" s="8" t="s">
        <v>6306</v>
      </c>
      <c r="L121" s="1" t="s">
        <v>1079</v>
      </c>
      <c r="M121" s="2">
        <v>45046</v>
      </c>
      <c r="N121" s="1" t="s">
        <v>35</v>
      </c>
      <c r="O121" s="61" t="s">
        <v>7934</v>
      </c>
      <c r="P121" s="14" t="s">
        <v>8401</v>
      </c>
      <c r="Q121" s="92">
        <v>78.510000000000005</v>
      </c>
      <c r="R121" s="1">
        <v>1</v>
      </c>
      <c r="S121" s="128">
        <v>0.21</v>
      </c>
      <c r="T121" s="128">
        <v>0.2</v>
      </c>
      <c r="U121" s="1"/>
      <c r="V121" s="95">
        <f t="shared" si="1"/>
        <v>75.997680000000003</v>
      </c>
      <c r="W121" s="1" t="s">
        <v>5244</v>
      </c>
      <c r="X121" s="5" t="s">
        <v>8402</v>
      </c>
      <c r="Y121" s="2">
        <v>34213</v>
      </c>
      <c r="Z121" s="2">
        <v>45027</v>
      </c>
      <c r="AA121" s="371" t="s">
        <v>8521</v>
      </c>
      <c r="AB121" s="2">
        <v>45051</v>
      </c>
      <c r="AC121" s="133" t="s">
        <v>1339</v>
      </c>
      <c r="AF121" t="s">
        <v>3198</v>
      </c>
      <c r="AI121" s="2"/>
      <c r="AL121" s="3"/>
    </row>
    <row r="122" spans="1:46">
      <c r="A122" s="1">
        <v>120</v>
      </c>
      <c r="B122" t="s">
        <v>3526</v>
      </c>
      <c r="C122" s="2">
        <v>45027</v>
      </c>
      <c r="D122" s="2"/>
      <c r="E122" s="1" t="s">
        <v>3440</v>
      </c>
      <c r="F122" t="s">
        <v>3441</v>
      </c>
      <c r="G122" t="s">
        <v>7600</v>
      </c>
      <c r="H122" s="6" t="s">
        <v>242</v>
      </c>
      <c r="I122" s="1" t="s">
        <v>5083</v>
      </c>
      <c r="J122" s="44"/>
      <c r="K122" s="8"/>
      <c r="L122" s="1" t="s">
        <v>3440</v>
      </c>
      <c r="M122" s="2">
        <v>45046</v>
      </c>
      <c r="N122" s="1" t="s">
        <v>35</v>
      </c>
      <c r="O122" s="61" t="s">
        <v>7925</v>
      </c>
      <c r="P122" s="14" t="s">
        <v>7601</v>
      </c>
      <c r="Q122" s="187">
        <v>0</v>
      </c>
      <c r="R122" s="1">
        <v>0</v>
      </c>
      <c r="S122" s="128">
        <v>0</v>
      </c>
      <c r="T122" s="128">
        <v>0</v>
      </c>
      <c r="V122" s="95">
        <f t="shared" si="1"/>
        <v>0</v>
      </c>
      <c r="W122" t="s">
        <v>7689</v>
      </c>
      <c r="X122" s="5" t="s">
        <v>8457</v>
      </c>
      <c r="Y122" s="2">
        <v>33714</v>
      </c>
      <c r="Z122" s="2">
        <v>45027</v>
      </c>
      <c r="AA122" s="371" t="s">
        <v>8992</v>
      </c>
      <c r="AB122" s="2">
        <v>45159</v>
      </c>
      <c r="AC122" s="133" t="s">
        <v>1339</v>
      </c>
      <c r="AF122" t="s">
        <v>3198</v>
      </c>
      <c r="AI122" t="s">
        <v>3108</v>
      </c>
      <c r="AJ122" s="2">
        <v>45035</v>
      </c>
      <c r="AK122" t="s">
        <v>1876</v>
      </c>
      <c r="AM122" s="74">
        <v>45040</v>
      </c>
      <c r="AT122" s="1"/>
    </row>
    <row r="123" spans="1:46">
      <c r="A123" s="1">
        <v>121</v>
      </c>
      <c r="B123" t="s">
        <v>8403</v>
      </c>
      <c r="C123" s="2">
        <v>45028</v>
      </c>
      <c r="D123" s="2"/>
      <c r="E123" s="1" t="s">
        <v>2880</v>
      </c>
      <c r="F123" t="s">
        <v>8404</v>
      </c>
      <c r="G123" t="s">
        <v>8405</v>
      </c>
      <c r="H123" s="6" t="s">
        <v>232</v>
      </c>
      <c r="I123" s="1" t="s">
        <v>144</v>
      </c>
      <c r="J123" s="44">
        <v>632934978</v>
      </c>
      <c r="K123" s="8"/>
      <c r="L123" s="1" t="s">
        <v>2880</v>
      </c>
      <c r="M123" s="2">
        <v>45046</v>
      </c>
      <c r="N123" s="1" t="s">
        <v>35</v>
      </c>
      <c r="O123" s="61" t="s">
        <v>7968</v>
      </c>
      <c r="P123" s="14" t="s">
        <v>8406</v>
      </c>
      <c r="Q123" s="187">
        <v>132.22999999999999</v>
      </c>
      <c r="R123" s="1">
        <v>1</v>
      </c>
      <c r="S123" s="128">
        <v>0.21</v>
      </c>
      <c r="T123" s="128">
        <v>0.2</v>
      </c>
      <c r="U123" s="363"/>
      <c r="V123" s="95">
        <f t="shared" si="1"/>
        <v>127.99863999999999</v>
      </c>
      <c r="W123" t="s">
        <v>8462</v>
      </c>
      <c r="X123" s="5" t="s">
        <v>8463</v>
      </c>
      <c r="Y123" s="2">
        <v>31048</v>
      </c>
      <c r="Z123" s="2">
        <v>45028</v>
      </c>
      <c r="AA123" s="371" t="s">
        <v>9084</v>
      </c>
      <c r="AB123" s="2">
        <v>45181</v>
      </c>
      <c r="AC123" s="133" t="s">
        <v>1339</v>
      </c>
      <c r="AF123" t="s">
        <v>3198</v>
      </c>
      <c r="AI123" t="s">
        <v>3108</v>
      </c>
      <c r="AJ123" s="2">
        <v>45036</v>
      </c>
      <c r="AM123" s="74">
        <v>45037</v>
      </c>
      <c r="AT123" s="1"/>
    </row>
    <row r="124" spans="1:46">
      <c r="A124" s="1">
        <v>122</v>
      </c>
      <c r="B124" t="s">
        <v>8403</v>
      </c>
      <c r="C124" s="2">
        <v>45028</v>
      </c>
      <c r="D124" s="2"/>
      <c r="E124" s="1" t="s">
        <v>2880</v>
      </c>
      <c r="F124" t="s">
        <v>8404</v>
      </c>
      <c r="G124" t="s">
        <v>8405</v>
      </c>
      <c r="H124" s="6" t="s">
        <v>232</v>
      </c>
      <c r="I124" s="1" t="s">
        <v>144</v>
      </c>
      <c r="J124" s="44">
        <v>632934978</v>
      </c>
      <c r="K124" s="8"/>
      <c r="L124" s="1" t="s">
        <v>2880</v>
      </c>
      <c r="M124" s="2">
        <v>45046</v>
      </c>
      <c r="N124" s="1" t="s">
        <v>35</v>
      </c>
      <c r="O124" s="61" t="s">
        <v>7968</v>
      </c>
      <c r="P124" s="14" t="s">
        <v>8407</v>
      </c>
      <c r="Q124" s="187">
        <v>132.22999999999999</v>
      </c>
      <c r="R124" s="1">
        <v>1</v>
      </c>
      <c r="S124" s="128">
        <v>0.21</v>
      </c>
      <c r="T124" s="128">
        <v>0.2</v>
      </c>
      <c r="U124" s="363"/>
      <c r="V124" s="95">
        <f t="shared" si="1"/>
        <v>127.99863999999999</v>
      </c>
      <c r="W124" t="s">
        <v>8468</v>
      </c>
      <c r="X124" s="5" t="s">
        <v>8469</v>
      </c>
      <c r="Y124" s="2">
        <v>42292</v>
      </c>
      <c r="Z124" s="2">
        <v>45028</v>
      </c>
      <c r="AA124" s="371" t="s">
        <v>9084</v>
      </c>
      <c r="AB124" s="2">
        <v>45181</v>
      </c>
      <c r="AC124" s="133" t="s">
        <v>1339</v>
      </c>
      <c r="AF124" t="s">
        <v>3198</v>
      </c>
      <c r="AI124" t="s">
        <v>3108</v>
      </c>
      <c r="AJ124" s="2">
        <v>45036</v>
      </c>
      <c r="AM124" s="74">
        <v>45037</v>
      </c>
      <c r="AT124" s="1"/>
    </row>
    <row r="125" spans="1:46">
      <c r="A125" s="1">
        <v>123</v>
      </c>
      <c r="B125" t="s">
        <v>8403</v>
      </c>
      <c r="C125" s="2">
        <v>45028</v>
      </c>
      <c r="D125" s="2"/>
      <c r="E125" s="1" t="s">
        <v>2880</v>
      </c>
      <c r="F125" t="s">
        <v>8404</v>
      </c>
      <c r="G125" t="s">
        <v>8405</v>
      </c>
      <c r="H125" s="6" t="s">
        <v>232</v>
      </c>
      <c r="I125" s="1" t="s">
        <v>144</v>
      </c>
      <c r="J125" s="44">
        <v>632934978</v>
      </c>
      <c r="K125" s="8"/>
      <c r="L125" s="1" t="s">
        <v>2880</v>
      </c>
      <c r="M125" s="2">
        <v>45046</v>
      </c>
      <c r="N125" s="1" t="s">
        <v>35</v>
      </c>
      <c r="O125" s="61" t="s">
        <v>7968</v>
      </c>
      <c r="P125" s="14" t="s">
        <v>8408</v>
      </c>
      <c r="Q125" s="187">
        <v>132.22999999999999</v>
      </c>
      <c r="R125" s="1">
        <v>1</v>
      </c>
      <c r="S125" s="128">
        <v>0.21</v>
      </c>
      <c r="T125" s="128">
        <v>0.2</v>
      </c>
      <c r="U125" s="363"/>
      <c r="V125" s="95">
        <f t="shared" si="1"/>
        <v>127.99863999999999</v>
      </c>
      <c r="W125" t="s">
        <v>8466</v>
      </c>
      <c r="X125" s="5" t="s">
        <v>8467</v>
      </c>
      <c r="Y125" s="2">
        <v>39506</v>
      </c>
      <c r="Z125" s="2">
        <v>45028</v>
      </c>
      <c r="AA125" s="371" t="s">
        <v>9084</v>
      </c>
      <c r="AB125" s="2">
        <v>45181</v>
      </c>
      <c r="AC125" s="133" t="s">
        <v>1339</v>
      </c>
      <c r="AF125" t="s">
        <v>3198</v>
      </c>
      <c r="AI125" t="s">
        <v>3108</v>
      </c>
      <c r="AJ125" s="2">
        <v>45036</v>
      </c>
      <c r="AM125" s="74">
        <v>45037</v>
      </c>
      <c r="AT125" s="1"/>
    </row>
    <row r="126" spans="1:46">
      <c r="A126" s="1">
        <v>124</v>
      </c>
      <c r="B126" t="s">
        <v>8403</v>
      </c>
      <c r="C126" s="2">
        <v>45028</v>
      </c>
      <c r="D126" s="2"/>
      <c r="E126" s="1" t="s">
        <v>2880</v>
      </c>
      <c r="F126" t="s">
        <v>8404</v>
      </c>
      <c r="G126" t="s">
        <v>8405</v>
      </c>
      <c r="H126" s="6" t="s">
        <v>232</v>
      </c>
      <c r="I126" s="1" t="s">
        <v>144</v>
      </c>
      <c r="J126" s="44">
        <v>632934978</v>
      </c>
      <c r="K126" s="8"/>
      <c r="L126" s="1" t="s">
        <v>2880</v>
      </c>
      <c r="M126" s="2">
        <v>45046</v>
      </c>
      <c r="N126" s="1" t="s">
        <v>35</v>
      </c>
      <c r="O126" s="61" t="s">
        <v>7968</v>
      </c>
      <c r="P126" s="14" t="s">
        <v>8409</v>
      </c>
      <c r="Q126" s="187">
        <v>132.22999999999999</v>
      </c>
      <c r="R126" s="1">
        <v>1</v>
      </c>
      <c r="S126" s="128">
        <v>0.21</v>
      </c>
      <c r="T126" s="128">
        <v>0.2</v>
      </c>
      <c r="U126" s="363"/>
      <c r="V126" s="95">
        <f t="shared" si="1"/>
        <v>127.99863999999999</v>
      </c>
      <c r="W126" t="s">
        <v>8464</v>
      </c>
      <c r="X126" s="5" t="s">
        <v>8465</v>
      </c>
      <c r="Y126" s="2">
        <v>41206</v>
      </c>
      <c r="Z126" s="2">
        <v>45028</v>
      </c>
      <c r="AA126" s="371" t="s">
        <v>9084</v>
      </c>
      <c r="AB126" s="2">
        <v>45181</v>
      </c>
      <c r="AC126" s="133" t="s">
        <v>1339</v>
      </c>
      <c r="AF126" t="s">
        <v>3198</v>
      </c>
      <c r="AI126" t="s">
        <v>3108</v>
      </c>
      <c r="AJ126" s="2">
        <v>45036</v>
      </c>
      <c r="AM126" s="74">
        <v>45037</v>
      </c>
      <c r="AT126" s="1"/>
    </row>
    <row r="127" spans="1:46">
      <c r="A127" s="1">
        <v>125</v>
      </c>
      <c r="B127" t="s">
        <v>6684</v>
      </c>
      <c r="C127" s="2">
        <v>45028</v>
      </c>
      <c r="D127" s="2"/>
      <c r="E127" s="1" t="s">
        <v>8412</v>
      </c>
      <c r="F127" t="s">
        <v>8413</v>
      </c>
      <c r="G127" t="s">
        <v>8414</v>
      </c>
      <c r="H127" s="6" t="s">
        <v>7966</v>
      </c>
      <c r="I127" s="1" t="s">
        <v>7965</v>
      </c>
      <c r="J127" s="44">
        <v>604877989</v>
      </c>
      <c r="K127" s="8"/>
      <c r="L127" s="1" t="s">
        <v>8412</v>
      </c>
      <c r="M127" s="2">
        <v>45046</v>
      </c>
      <c r="N127" s="1" t="s">
        <v>35</v>
      </c>
      <c r="O127" s="61" t="s">
        <v>7931</v>
      </c>
      <c r="P127" t="s">
        <v>8415</v>
      </c>
      <c r="Q127" s="187">
        <v>76.03</v>
      </c>
      <c r="R127" s="1">
        <v>1</v>
      </c>
      <c r="S127" s="128">
        <v>0.21</v>
      </c>
      <c r="T127" s="128">
        <v>0</v>
      </c>
      <c r="U127" s="363"/>
      <c r="V127" s="95">
        <f t="shared" si="1"/>
        <v>91.996300000000005</v>
      </c>
      <c r="X127" s="5"/>
      <c r="Y127" s="2"/>
      <c r="Z127" s="2">
        <v>45028</v>
      </c>
      <c r="AA127" s="284" t="s">
        <v>1326</v>
      </c>
      <c r="AB127" s="2"/>
      <c r="AC127" s="80"/>
      <c r="AF127" t="s">
        <v>3198</v>
      </c>
      <c r="AJ127" s="2"/>
      <c r="AM127" s="74"/>
      <c r="AT127" s="1"/>
    </row>
    <row r="128" spans="1:46">
      <c r="A128" s="1">
        <v>126</v>
      </c>
      <c r="B128" t="s">
        <v>40</v>
      </c>
      <c r="C128" s="2">
        <v>45028</v>
      </c>
      <c r="D128" s="2"/>
      <c r="E128" s="1" t="s">
        <v>8416</v>
      </c>
      <c r="F128" t="s">
        <v>8417</v>
      </c>
      <c r="G128" t="s">
        <v>8418</v>
      </c>
      <c r="H128" s="6" t="s">
        <v>227</v>
      </c>
      <c r="I128" s="1" t="s">
        <v>4719</v>
      </c>
      <c r="J128">
        <v>684026265</v>
      </c>
      <c r="K128" s="1" t="s">
        <v>8422</v>
      </c>
      <c r="L128" s="1" t="s">
        <v>8416</v>
      </c>
      <c r="M128" s="2">
        <v>45046</v>
      </c>
      <c r="N128" s="1" t="s">
        <v>35</v>
      </c>
      <c r="O128" s="61" t="s">
        <v>7934</v>
      </c>
      <c r="P128" s="14" t="s">
        <v>8419</v>
      </c>
      <c r="Q128" s="187">
        <v>78.510000000000005</v>
      </c>
      <c r="R128" s="1">
        <v>1</v>
      </c>
      <c r="S128" s="128">
        <v>0.21</v>
      </c>
      <c r="T128" s="128">
        <v>0.2</v>
      </c>
      <c r="U128" s="363"/>
      <c r="V128" s="95">
        <f t="shared" si="1"/>
        <v>75.997680000000003</v>
      </c>
      <c r="W128" t="s">
        <v>8421</v>
      </c>
      <c r="X128" s="5" t="s">
        <v>8420</v>
      </c>
      <c r="Y128" s="2">
        <v>37299</v>
      </c>
      <c r="Z128" s="2">
        <v>45028</v>
      </c>
      <c r="AA128" s="371" t="s">
        <v>8558</v>
      </c>
      <c r="AB128" s="2">
        <v>45057</v>
      </c>
      <c r="AC128" s="133" t="s">
        <v>1339</v>
      </c>
      <c r="AF128" t="s">
        <v>3198</v>
      </c>
      <c r="AJ128" s="2"/>
      <c r="AM128" s="74"/>
      <c r="AT128" s="1"/>
    </row>
    <row r="129" spans="1:46">
      <c r="A129" s="1">
        <v>127</v>
      </c>
      <c r="B129" t="s">
        <v>45</v>
      </c>
      <c r="C129" s="2">
        <v>45029</v>
      </c>
      <c r="D129" s="2"/>
      <c r="E129" s="1" t="s">
        <v>991</v>
      </c>
      <c r="F129" t="s">
        <v>992</v>
      </c>
      <c r="G129" t="s">
        <v>5028</v>
      </c>
      <c r="H129" s="6" t="s">
        <v>241</v>
      </c>
      <c r="I129" s="1" t="s">
        <v>60</v>
      </c>
      <c r="J129">
        <v>605080088</v>
      </c>
      <c r="K129" s="1" t="s">
        <v>8356</v>
      </c>
      <c r="L129" t="s">
        <v>991</v>
      </c>
      <c r="M129" s="2">
        <v>45046</v>
      </c>
      <c r="N129" s="1" t="s">
        <v>35</v>
      </c>
      <c r="O129" s="61" t="s">
        <v>7926</v>
      </c>
      <c r="P129" s="14" t="s">
        <v>8427</v>
      </c>
      <c r="Q129" s="187">
        <v>132.22999999999999</v>
      </c>
      <c r="R129" s="1">
        <v>1</v>
      </c>
      <c r="S129" s="90">
        <v>0.21</v>
      </c>
      <c r="T129" s="90">
        <v>0.2</v>
      </c>
      <c r="V129" s="95">
        <f t="shared" si="1"/>
        <v>127.99863999999999</v>
      </c>
      <c r="W129" t="s">
        <v>8492</v>
      </c>
      <c r="X129" s="5" t="s">
        <v>8493</v>
      </c>
      <c r="Y129" s="2">
        <v>37737</v>
      </c>
      <c r="Z129" s="2">
        <v>45029</v>
      </c>
      <c r="AA129" s="371" t="s">
        <v>8644</v>
      </c>
      <c r="AB129" s="2">
        <v>45075</v>
      </c>
      <c r="AC129" s="133" t="s">
        <v>1339</v>
      </c>
      <c r="AF129" t="s">
        <v>3198</v>
      </c>
      <c r="AI129" t="s">
        <v>8428</v>
      </c>
      <c r="AJ129" s="2">
        <v>45041</v>
      </c>
      <c r="AM129" s="2">
        <v>45041</v>
      </c>
      <c r="AT129" s="1"/>
    </row>
    <row r="130" spans="1:46">
      <c r="A130" s="1">
        <v>128</v>
      </c>
      <c r="B130" t="s">
        <v>37</v>
      </c>
      <c r="C130" s="2">
        <v>45034</v>
      </c>
      <c r="D130" s="2"/>
      <c r="E130" s="1" t="s">
        <v>8568</v>
      </c>
      <c r="F130" t="s">
        <v>8442</v>
      </c>
      <c r="G130" t="s">
        <v>8443</v>
      </c>
      <c r="H130" s="6" t="s">
        <v>220</v>
      </c>
      <c r="I130" s="1" t="s">
        <v>39</v>
      </c>
      <c r="J130" s="295">
        <v>642619883</v>
      </c>
      <c r="K130" s="8"/>
      <c r="L130" t="s">
        <v>8568</v>
      </c>
      <c r="M130" s="2">
        <v>45046</v>
      </c>
      <c r="N130" s="1" t="s">
        <v>35</v>
      </c>
      <c r="O130" s="61" t="s">
        <v>7925</v>
      </c>
      <c r="P130" s="14" t="s">
        <v>8444</v>
      </c>
      <c r="Q130" s="187">
        <v>132.22999999999999</v>
      </c>
      <c r="R130" s="1">
        <v>1</v>
      </c>
      <c r="S130" s="90">
        <v>0.21</v>
      </c>
      <c r="T130" s="90">
        <v>0</v>
      </c>
      <c r="V130" s="95">
        <f t="shared" ref="V130:V193" si="2">SUM(Q130-(Q130*T130))*S130+(Q130-(Q130*T130))</f>
        <v>159.99829999999997</v>
      </c>
      <c r="W130" t="s">
        <v>8568</v>
      </c>
      <c r="X130" s="5" t="s">
        <v>8569</v>
      </c>
      <c r="Y130" s="2">
        <v>28748</v>
      </c>
      <c r="Z130" s="2">
        <v>45034</v>
      </c>
      <c r="AA130" s="371" t="s">
        <v>9066</v>
      </c>
      <c r="AB130" s="2">
        <v>45176</v>
      </c>
      <c r="AC130" s="133" t="s">
        <v>1339</v>
      </c>
      <c r="AF130" t="s">
        <v>3198</v>
      </c>
      <c r="AI130" t="s">
        <v>8445</v>
      </c>
      <c r="AJ130" s="2">
        <v>45061</v>
      </c>
      <c r="AM130" s="2">
        <v>45061</v>
      </c>
      <c r="AT130" s="1"/>
    </row>
    <row r="131" spans="1:46">
      <c r="A131" s="1">
        <v>129</v>
      </c>
      <c r="B131" t="s">
        <v>111</v>
      </c>
      <c r="C131" s="2">
        <v>45035</v>
      </c>
      <c r="D131" s="2"/>
      <c r="E131" s="1" t="s">
        <v>3368</v>
      </c>
      <c r="F131" t="s">
        <v>8449</v>
      </c>
      <c r="G131" t="s">
        <v>8450</v>
      </c>
      <c r="H131" s="6" t="s">
        <v>241</v>
      </c>
      <c r="I131" s="1" t="s">
        <v>60</v>
      </c>
      <c r="J131" s="295">
        <v>631332721</v>
      </c>
      <c r="K131" s="8"/>
      <c r="L131" s="1" t="s">
        <v>3368</v>
      </c>
      <c r="M131" s="2">
        <v>45046</v>
      </c>
      <c r="N131" s="1" t="s">
        <v>35</v>
      </c>
      <c r="O131" s="61" t="s">
        <v>7934</v>
      </c>
      <c r="P131" s="14" t="s">
        <v>8451</v>
      </c>
      <c r="Q131" s="187">
        <v>78.510000000000005</v>
      </c>
      <c r="R131" s="1">
        <v>1</v>
      </c>
      <c r="S131" s="90">
        <v>0.21</v>
      </c>
      <c r="T131" s="90">
        <v>0.2</v>
      </c>
      <c r="V131" s="95">
        <f t="shared" si="2"/>
        <v>75.997680000000003</v>
      </c>
      <c r="W131" s="1" t="s">
        <v>3368</v>
      </c>
      <c r="X131" s="5" t="s">
        <v>8452</v>
      </c>
      <c r="Y131" s="2">
        <v>27995</v>
      </c>
      <c r="Z131" s="2">
        <v>45035</v>
      </c>
      <c r="AA131" s="371" t="s">
        <v>8679</v>
      </c>
      <c r="AB131" s="2">
        <v>45084</v>
      </c>
      <c r="AC131" s="133" t="s">
        <v>1339</v>
      </c>
      <c r="AF131" t="s">
        <v>3198</v>
      </c>
      <c r="AJ131" s="2"/>
      <c r="AM131" s="74"/>
      <c r="AT131" s="1"/>
    </row>
    <row r="132" spans="1:46">
      <c r="A132" s="1">
        <v>130</v>
      </c>
      <c r="B132" t="s">
        <v>33</v>
      </c>
      <c r="C132" s="2">
        <v>45035</v>
      </c>
      <c r="D132" s="2"/>
      <c r="E132" s="1" t="s">
        <v>8453</v>
      </c>
      <c r="F132" t="s">
        <v>8454</v>
      </c>
      <c r="G132" t="s">
        <v>8455</v>
      </c>
      <c r="H132" s="6" t="s">
        <v>219</v>
      </c>
      <c r="I132" s="1" t="s">
        <v>4334</v>
      </c>
      <c r="J132" s="295"/>
      <c r="K132" s="114" t="s">
        <v>11744</v>
      </c>
      <c r="L132" s="1" t="s">
        <v>237</v>
      </c>
      <c r="M132" s="2">
        <v>45046</v>
      </c>
      <c r="N132" s="1" t="s">
        <v>35</v>
      </c>
      <c r="O132" s="61" t="s">
        <v>7926</v>
      </c>
      <c r="P132" s="14" t="s">
        <v>8456</v>
      </c>
      <c r="Q132" s="187">
        <v>132.22999999999999</v>
      </c>
      <c r="R132" s="1">
        <v>1</v>
      </c>
      <c r="S132" s="90">
        <v>0.21</v>
      </c>
      <c r="T132" s="90">
        <v>0.2</v>
      </c>
      <c r="V132" s="95">
        <f t="shared" si="2"/>
        <v>127.99863999999999</v>
      </c>
      <c r="W132" t="s">
        <v>8519</v>
      </c>
      <c r="X132" s="5" t="s">
        <v>8520</v>
      </c>
      <c r="Y132" s="2">
        <v>36892</v>
      </c>
      <c r="Z132" s="2">
        <v>45035</v>
      </c>
      <c r="AA132" s="371" t="s">
        <v>8732</v>
      </c>
      <c r="AB132" s="2">
        <v>45096</v>
      </c>
      <c r="AC132" s="133" t="s">
        <v>1339</v>
      </c>
      <c r="AF132" t="s">
        <v>3198</v>
      </c>
      <c r="AI132" s="76" t="s">
        <v>3221</v>
      </c>
      <c r="AJ132" s="2">
        <v>45051</v>
      </c>
      <c r="AM132" s="74"/>
      <c r="AT132" s="1"/>
    </row>
    <row r="133" spans="1:46">
      <c r="A133" s="1">
        <v>131</v>
      </c>
      <c r="B133" t="s">
        <v>37</v>
      </c>
      <c r="C133" s="2">
        <v>45037</v>
      </c>
      <c r="D133" s="2"/>
      <c r="E133" s="1" t="s">
        <v>8604</v>
      </c>
      <c r="F133" t="s">
        <v>8471</v>
      </c>
      <c r="G133" t="s">
        <v>8472</v>
      </c>
      <c r="H133" s="6" t="s">
        <v>8473</v>
      </c>
      <c r="I133" s="1" t="s">
        <v>8474</v>
      </c>
      <c r="J133" s="295">
        <v>641596714</v>
      </c>
      <c r="K133" s="8"/>
      <c r="L133" t="s">
        <v>8604</v>
      </c>
      <c r="M133" s="2">
        <v>45046</v>
      </c>
      <c r="N133" s="1" t="s">
        <v>35</v>
      </c>
      <c r="O133" s="61" t="s">
        <v>7925</v>
      </c>
      <c r="P133" s="14" t="s">
        <v>8475</v>
      </c>
      <c r="Q133" s="187">
        <v>132.22999999999999</v>
      </c>
      <c r="R133" s="1">
        <v>1</v>
      </c>
      <c r="S133" s="90">
        <v>0.21</v>
      </c>
      <c r="T133" s="90">
        <v>0</v>
      </c>
      <c r="V133" s="95">
        <f t="shared" si="2"/>
        <v>159.99829999999997</v>
      </c>
      <c r="W133" t="s">
        <v>8604</v>
      </c>
      <c r="X133" s="5" t="s">
        <v>8553</v>
      </c>
      <c r="Y133" s="2">
        <v>33312</v>
      </c>
      <c r="Z133" s="2">
        <v>45037</v>
      </c>
      <c r="AA133" s="371" t="s">
        <v>9321</v>
      </c>
      <c r="AB133" s="2">
        <v>45226</v>
      </c>
      <c r="AC133" s="133" t="s">
        <v>1339</v>
      </c>
      <c r="AE133" s="162">
        <v>45216</v>
      </c>
      <c r="AF133" t="s">
        <v>3198</v>
      </c>
      <c r="AI133" t="s">
        <v>8476</v>
      </c>
      <c r="AJ133" s="2">
        <v>45065</v>
      </c>
      <c r="AM133" s="2">
        <v>45065</v>
      </c>
      <c r="AT133" s="1"/>
    </row>
    <row r="134" spans="1:46">
      <c r="A134" s="1">
        <v>132</v>
      </c>
      <c r="B134" t="s">
        <v>40</v>
      </c>
      <c r="C134" s="2">
        <v>45037</v>
      </c>
      <c r="D134" s="2"/>
      <c r="E134" s="1" t="s">
        <v>7447</v>
      </c>
      <c r="F134" s="61" t="s">
        <v>7448</v>
      </c>
      <c r="G134" s="61" t="s">
        <v>7445</v>
      </c>
      <c r="H134" s="6" t="s">
        <v>221</v>
      </c>
      <c r="I134" s="1" t="s">
        <v>34</v>
      </c>
      <c r="J134" t="s">
        <v>8479</v>
      </c>
      <c r="K134" s="1" t="s">
        <v>8357</v>
      </c>
      <c r="L134" t="s">
        <v>7447</v>
      </c>
      <c r="M134" s="2">
        <v>45046</v>
      </c>
      <c r="N134" s="1" t="s">
        <v>35</v>
      </c>
      <c r="O134" s="61" t="s">
        <v>7926</v>
      </c>
      <c r="P134" s="14" t="s">
        <v>8477</v>
      </c>
      <c r="Q134" s="187">
        <v>132.22999999999999</v>
      </c>
      <c r="R134" s="1">
        <v>1</v>
      </c>
      <c r="S134" s="90">
        <v>0.21</v>
      </c>
      <c r="T134" s="90">
        <v>0.2</v>
      </c>
      <c r="V134" s="95">
        <f t="shared" si="2"/>
        <v>127.99863999999999</v>
      </c>
      <c r="W134" t="s">
        <v>8531</v>
      </c>
      <c r="X134" s="5" t="s">
        <v>8532</v>
      </c>
      <c r="Y134" s="2">
        <v>35247</v>
      </c>
      <c r="Z134" s="2">
        <v>45037</v>
      </c>
      <c r="AA134" s="371" t="s">
        <v>8731</v>
      </c>
      <c r="AB134" s="2">
        <v>45096</v>
      </c>
      <c r="AC134" s="133" t="s">
        <v>1339</v>
      </c>
      <c r="AF134" t="s">
        <v>3198</v>
      </c>
      <c r="AI134" t="s">
        <v>8478</v>
      </c>
      <c r="AJ134" s="2">
        <v>45051</v>
      </c>
      <c r="AM134" s="74">
        <v>45051</v>
      </c>
      <c r="AT134" s="1"/>
    </row>
    <row r="135" spans="1:46">
      <c r="A135" s="1">
        <v>133</v>
      </c>
      <c r="B135" t="s">
        <v>8482</v>
      </c>
      <c r="C135" s="2">
        <v>45040</v>
      </c>
      <c r="D135" s="2"/>
      <c r="E135" s="1" t="s">
        <v>8483</v>
      </c>
      <c r="F135" t="s">
        <v>8484</v>
      </c>
      <c r="G135" t="s">
        <v>8485</v>
      </c>
      <c r="H135" s="6" t="s">
        <v>294</v>
      </c>
      <c r="I135" s="1" t="s">
        <v>103</v>
      </c>
      <c r="J135" s="5">
        <v>667740137</v>
      </c>
      <c r="K135" s="1" t="s">
        <v>8488</v>
      </c>
      <c r="L135" s="1" t="s">
        <v>8483</v>
      </c>
      <c r="M135" s="2">
        <v>45046</v>
      </c>
      <c r="N135" s="1" t="s">
        <v>35</v>
      </c>
      <c r="O135" s="61" t="s">
        <v>7925</v>
      </c>
      <c r="P135" s="14" t="s">
        <v>8486</v>
      </c>
      <c r="Q135" s="187">
        <v>132.22999999999999</v>
      </c>
      <c r="R135" s="1">
        <v>1</v>
      </c>
      <c r="S135" s="90">
        <v>0.21</v>
      </c>
      <c r="T135" s="90">
        <v>0.2</v>
      </c>
      <c r="V135" s="95">
        <f t="shared" si="2"/>
        <v>127.99863999999999</v>
      </c>
      <c r="W135" t="s">
        <v>8554</v>
      </c>
      <c r="X135" s="5" t="s">
        <v>8555</v>
      </c>
      <c r="Y135" s="2">
        <v>35907</v>
      </c>
      <c r="Z135" s="2">
        <v>45040</v>
      </c>
      <c r="AA135" s="371" t="s">
        <v>9152</v>
      </c>
      <c r="AB135" s="2">
        <v>45190</v>
      </c>
      <c r="AC135" s="133" t="s">
        <v>1339</v>
      </c>
      <c r="AF135" t="s">
        <v>3198</v>
      </c>
      <c r="AI135" t="s">
        <v>5986</v>
      </c>
      <c r="AJ135" s="2">
        <v>45057</v>
      </c>
      <c r="AK135" t="s">
        <v>7461</v>
      </c>
      <c r="AL135" s="3">
        <v>45082</v>
      </c>
      <c r="AM135" s="74">
        <v>45065</v>
      </c>
      <c r="AT135" s="1"/>
    </row>
    <row r="136" spans="1:46">
      <c r="A136" s="1">
        <v>134</v>
      </c>
      <c r="B136" t="s">
        <v>37</v>
      </c>
      <c r="C136" s="2">
        <v>45041</v>
      </c>
      <c r="D136" s="2"/>
      <c r="E136" t="s">
        <v>8556</v>
      </c>
      <c r="F136" t="s">
        <v>1828</v>
      </c>
      <c r="G136" t="s">
        <v>8489</v>
      </c>
      <c r="H136" s="6" t="s">
        <v>220</v>
      </c>
      <c r="I136" s="1" t="s">
        <v>39</v>
      </c>
      <c r="J136" s="6" t="s">
        <v>8490</v>
      </c>
      <c r="K136" s="1"/>
      <c r="L136" t="s">
        <v>8556</v>
      </c>
      <c r="M136" s="2">
        <v>45046</v>
      </c>
      <c r="N136" s="1" t="s">
        <v>35</v>
      </c>
      <c r="O136" s="61" t="s">
        <v>7925</v>
      </c>
      <c r="P136" s="14" t="s">
        <v>8491</v>
      </c>
      <c r="Q136" s="187">
        <v>132.22999999999999</v>
      </c>
      <c r="R136" s="1">
        <v>1</v>
      </c>
      <c r="S136" s="90">
        <v>0.21</v>
      </c>
      <c r="T136" s="90">
        <v>0</v>
      </c>
      <c r="V136" s="95">
        <f t="shared" si="2"/>
        <v>159.99829999999997</v>
      </c>
      <c r="W136" t="s">
        <v>8556</v>
      </c>
      <c r="X136" s="5" t="s">
        <v>8557</v>
      </c>
      <c r="Y136" s="2">
        <v>32509</v>
      </c>
      <c r="Z136" s="2">
        <v>45041</v>
      </c>
      <c r="AA136" s="371" t="s">
        <v>9201</v>
      </c>
      <c r="AB136" s="2">
        <v>45202</v>
      </c>
      <c r="AC136" s="133" t="s">
        <v>1339</v>
      </c>
      <c r="AF136" t="s">
        <v>3198</v>
      </c>
      <c r="AI136" t="s">
        <v>3108</v>
      </c>
      <c r="AJ136" s="2">
        <v>45057</v>
      </c>
      <c r="AM136" s="74">
        <v>45057</v>
      </c>
      <c r="AT136" s="1"/>
    </row>
    <row r="137" spans="1:46">
      <c r="A137" s="1">
        <v>135</v>
      </c>
      <c r="B137" t="s">
        <v>1242</v>
      </c>
      <c r="C137" s="2">
        <v>45041</v>
      </c>
      <c r="D137" s="2"/>
      <c r="E137" s="1" t="s">
        <v>8494</v>
      </c>
      <c r="F137" t="s">
        <v>8495</v>
      </c>
      <c r="G137" t="s">
        <v>8496</v>
      </c>
      <c r="H137" s="6" t="s">
        <v>221</v>
      </c>
      <c r="I137" s="1" t="s">
        <v>34</v>
      </c>
      <c r="J137" s="6"/>
      <c r="K137" s="8" t="s">
        <v>5905</v>
      </c>
      <c r="L137" s="31" t="s">
        <v>1250</v>
      </c>
      <c r="M137" s="2">
        <v>45046</v>
      </c>
      <c r="N137" s="1" t="s">
        <v>35</v>
      </c>
      <c r="O137" s="61" t="s">
        <v>7926</v>
      </c>
      <c r="P137" s="14" t="s">
        <v>8497</v>
      </c>
      <c r="Q137" s="187">
        <v>132.22999999999999</v>
      </c>
      <c r="R137" s="1">
        <v>1</v>
      </c>
      <c r="S137" s="90">
        <v>0.21</v>
      </c>
      <c r="T137" s="90">
        <v>0.2</v>
      </c>
      <c r="U137" s="363"/>
      <c r="V137" s="95">
        <f t="shared" si="2"/>
        <v>127.99863999999999</v>
      </c>
      <c r="W137" t="s">
        <v>8537</v>
      </c>
      <c r="X137" s="5" t="s">
        <v>8538</v>
      </c>
      <c r="Y137" s="2">
        <v>35890</v>
      </c>
      <c r="Z137" s="2">
        <v>45041</v>
      </c>
      <c r="AA137" s="276" t="s">
        <v>8942</v>
      </c>
      <c r="AB137" s="2">
        <v>45142</v>
      </c>
      <c r="AC137" s="133" t="s">
        <v>1339</v>
      </c>
      <c r="AE137" s="292">
        <v>45132</v>
      </c>
      <c r="AF137" t="s">
        <v>3198</v>
      </c>
      <c r="AI137" t="s">
        <v>8498</v>
      </c>
      <c r="AJ137" s="2">
        <v>45054</v>
      </c>
      <c r="AM137" s="74">
        <v>45061</v>
      </c>
      <c r="AT137" s="1"/>
    </row>
    <row r="138" spans="1:46">
      <c r="A138" s="1">
        <v>136</v>
      </c>
      <c r="B138" t="s">
        <v>4321</v>
      </c>
      <c r="C138" s="2">
        <v>45043</v>
      </c>
      <c r="D138" s="2"/>
      <c r="E138" s="1" t="s">
        <v>7226</v>
      </c>
      <c r="F138" t="s">
        <v>7162</v>
      </c>
      <c r="G138" t="s">
        <v>7163</v>
      </c>
      <c r="H138" s="6" t="s">
        <v>239</v>
      </c>
      <c r="I138" s="1" t="s">
        <v>86</v>
      </c>
      <c r="J138" s="6"/>
      <c r="K138" s="396" t="s">
        <v>5991</v>
      </c>
      <c r="L138" s="1" t="s">
        <v>7226</v>
      </c>
      <c r="M138" s="2">
        <v>45046</v>
      </c>
      <c r="N138" s="1" t="s">
        <v>35</v>
      </c>
      <c r="O138" s="61" t="s">
        <v>7925</v>
      </c>
      <c r="P138" s="14" t="s">
        <v>8499</v>
      </c>
      <c r="Q138" s="187">
        <v>132.22999999999999</v>
      </c>
      <c r="R138" s="1">
        <v>1</v>
      </c>
      <c r="S138" s="90">
        <v>0.21</v>
      </c>
      <c r="T138" s="90">
        <v>0.2</v>
      </c>
      <c r="U138" s="363"/>
      <c r="V138" s="95">
        <f t="shared" si="2"/>
        <v>127.99863999999999</v>
      </c>
      <c r="W138" t="s">
        <v>8570</v>
      </c>
      <c r="X138" s="5" t="s">
        <v>8571</v>
      </c>
      <c r="Y138" s="2">
        <v>27384</v>
      </c>
      <c r="Z138" s="2">
        <v>45043</v>
      </c>
      <c r="AA138" s="371" t="s">
        <v>9201</v>
      </c>
      <c r="AB138" s="2">
        <v>45202</v>
      </c>
      <c r="AC138" s="133" t="s">
        <v>1339</v>
      </c>
      <c r="AF138" t="s">
        <v>3198</v>
      </c>
      <c r="AI138" t="s">
        <v>3108</v>
      </c>
      <c r="AJ138" s="2">
        <v>45061</v>
      </c>
      <c r="AM138" s="74">
        <v>45062</v>
      </c>
      <c r="AT138" s="1"/>
    </row>
    <row r="139" spans="1:46">
      <c r="A139" s="1">
        <v>137</v>
      </c>
      <c r="B139" t="s">
        <v>4321</v>
      </c>
      <c r="C139" s="2">
        <v>45043</v>
      </c>
      <c r="D139" s="2"/>
      <c r="E139" s="1" t="s">
        <v>6961</v>
      </c>
      <c r="F139" t="s">
        <v>6962</v>
      </c>
      <c r="G139" s="61" t="s">
        <v>6982</v>
      </c>
      <c r="H139" s="6" t="s">
        <v>226</v>
      </c>
      <c r="I139" s="1" t="s">
        <v>3118</v>
      </c>
      <c r="J139" s="8">
        <v>671758778</v>
      </c>
      <c r="K139" s="8" t="s">
        <v>5991</v>
      </c>
      <c r="L139" s="1" t="s">
        <v>6961</v>
      </c>
      <c r="M139" s="2">
        <v>45046</v>
      </c>
      <c r="N139" s="1" t="s">
        <v>35</v>
      </c>
      <c r="O139" s="61" t="s">
        <v>7934</v>
      </c>
      <c r="P139" s="14" t="s">
        <v>8500</v>
      </c>
      <c r="Q139" s="187">
        <v>78.510000000000005</v>
      </c>
      <c r="R139" s="1">
        <v>1</v>
      </c>
      <c r="S139" s="90">
        <v>0.21</v>
      </c>
      <c r="T139" s="90">
        <v>0.2</v>
      </c>
      <c r="U139" s="363"/>
      <c r="V139" s="95">
        <f t="shared" si="2"/>
        <v>75.997680000000003</v>
      </c>
      <c r="W139" t="s">
        <v>6964</v>
      </c>
      <c r="X139" s="5" t="s">
        <v>8501</v>
      </c>
      <c r="Y139" s="2">
        <v>32185</v>
      </c>
      <c r="Z139" s="2">
        <v>45043</v>
      </c>
      <c r="AA139" s="371" t="s">
        <v>8773</v>
      </c>
      <c r="AB139" s="2">
        <v>45103</v>
      </c>
      <c r="AC139" s="133" t="s">
        <v>1339</v>
      </c>
      <c r="AE139" s="162">
        <v>45084</v>
      </c>
      <c r="AF139" t="s">
        <v>3198</v>
      </c>
      <c r="AJ139" s="2"/>
      <c r="AM139" s="74"/>
      <c r="AT139" s="1"/>
    </row>
    <row r="140" spans="1:46">
      <c r="A140" s="1">
        <v>138</v>
      </c>
      <c r="B140" t="s">
        <v>1414</v>
      </c>
      <c r="C140" s="2">
        <v>45043</v>
      </c>
      <c r="D140" s="2"/>
      <c r="E140" s="1" t="s">
        <v>8502</v>
      </c>
      <c r="F140" t="s">
        <v>8503</v>
      </c>
      <c r="G140" t="s">
        <v>8504</v>
      </c>
      <c r="H140" s="6" t="s">
        <v>221</v>
      </c>
      <c r="I140" s="1" t="s">
        <v>34</v>
      </c>
      <c r="J140" s="6"/>
      <c r="K140" s="396" t="s">
        <v>8355</v>
      </c>
      <c r="L140" s="1" t="s">
        <v>8502</v>
      </c>
      <c r="M140" s="2">
        <v>45046</v>
      </c>
      <c r="N140" s="1" t="s">
        <v>35</v>
      </c>
      <c r="O140" s="61" t="s">
        <v>7926</v>
      </c>
      <c r="P140" s="14" t="s">
        <v>8505</v>
      </c>
      <c r="Q140" s="187">
        <v>132.22999999999999</v>
      </c>
      <c r="R140" s="1">
        <v>1</v>
      </c>
      <c r="S140" s="90">
        <v>0.21</v>
      </c>
      <c r="T140" s="90">
        <v>0.2</v>
      </c>
      <c r="U140" s="363"/>
      <c r="V140" s="95">
        <f t="shared" si="2"/>
        <v>127.99863999999999</v>
      </c>
      <c r="W140" t="s">
        <v>8564</v>
      </c>
      <c r="X140" s="5" t="s">
        <v>8565</v>
      </c>
      <c r="Y140" s="2">
        <v>35186</v>
      </c>
      <c r="Z140" s="2">
        <v>45043</v>
      </c>
      <c r="AA140" s="371" t="s">
        <v>8829</v>
      </c>
      <c r="AB140" s="2">
        <v>45112</v>
      </c>
      <c r="AC140" s="133" t="s">
        <v>1339</v>
      </c>
      <c r="AF140" t="s">
        <v>3198</v>
      </c>
      <c r="AI140" t="s">
        <v>8506</v>
      </c>
      <c r="AJ140" s="2">
        <v>45058</v>
      </c>
      <c r="AM140" s="74">
        <v>44700</v>
      </c>
      <c r="AT140" s="1"/>
    </row>
    <row r="141" spans="1:46">
      <c r="A141" s="1">
        <v>139</v>
      </c>
      <c r="B141" t="s">
        <v>1414</v>
      </c>
      <c r="C141" s="2">
        <v>45043</v>
      </c>
      <c r="D141" s="2"/>
      <c r="E141" s="1" t="s">
        <v>8502</v>
      </c>
      <c r="F141" t="s">
        <v>8503</v>
      </c>
      <c r="G141" t="s">
        <v>8504</v>
      </c>
      <c r="H141" s="6" t="s">
        <v>221</v>
      </c>
      <c r="I141" s="1" t="s">
        <v>34</v>
      </c>
      <c r="J141" s="6"/>
      <c r="K141" s="396" t="s">
        <v>8355</v>
      </c>
      <c r="L141" s="1" t="s">
        <v>8502</v>
      </c>
      <c r="M141" s="2">
        <v>45046</v>
      </c>
      <c r="N141" s="1" t="s">
        <v>35</v>
      </c>
      <c r="O141" s="61" t="s">
        <v>7926</v>
      </c>
      <c r="P141" s="14" t="s">
        <v>8507</v>
      </c>
      <c r="Q141" s="187">
        <v>132.22999999999999</v>
      </c>
      <c r="R141" s="1">
        <v>1</v>
      </c>
      <c r="S141" s="90">
        <v>0.21</v>
      </c>
      <c r="T141" s="90">
        <v>0.2</v>
      </c>
      <c r="U141" s="363"/>
      <c r="V141" s="95">
        <f t="shared" si="2"/>
        <v>127.99863999999999</v>
      </c>
      <c r="W141" t="s">
        <v>8562</v>
      </c>
      <c r="X141" s="5" t="s">
        <v>8563</v>
      </c>
      <c r="Y141" s="2">
        <v>31083</v>
      </c>
      <c r="Z141" s="2">
        <v>45043</v>
      </c>
      <c r="AA141" s="371" t="s">
        <v>9038</v>
      </c>
      <c r="AB141" s="2">
        <v>45173</v>
      </c>
      <c r="AC141" s="133" t="s">
        <v>1339</v>
      </c>
      <c r="AE141" s="162">
        <v>45142</v>
      </c>
      <c r="AF141" t="s">
        <v>3198</v>
      </c>
      <c r="AI141" t="s">
        <v>8506</v>
      </c>
      <c r="AJ141" s="2">
        <v>45058</v>
      </c>
      <c r="AM141" s="74">
        <v>44700</v>
      </c>
      <c r="AT141" s="1"/>
    </row>
    <row r="142" spans="1:46">
      <c r="A142" s="1">
        <v>140</v>
      </c>
      <c r="B142" t="s">
        <v>3526</v>
      </c>
      <c r="C142" s="2">
        <v>45048</v>
      </c>
      <c r="D142" s="2"/>
      <c r="E142" s="1" t="s">
        <v>4512</v>
      </c>
      <c r="F142" t="s">
        <v>4613</v>
      </c>
      <c r="G142" t="s">
        <v>4614</v>
      </c>
      <c r="H142" s="6" t="s">
        <v>242</v>
      </c>
      <c r="I142" s="1" t="s">
        <v>86</v>
      </c>
      <c r="J142" s="1">
        <v>673821555</v>
      </c>
      <c r="K142" s="8" t="s">
        <v>7157</v>
      </c>
      <c r="L142" s="1" t="s">
        <v>6215</v>
      </c>
      <c r="M142" s="2">
        <v>45077</v>
      </c>
      <c r="N142" s="1" t="s">
        <v>35</v>
      </c>
      <c r="O142" s="61" t="s">
        <v>7930</v>
      </c>
      <c r="P142" s="14" t="s">
        <v>8513</v>
      </c>
      <c r="Q142" s="187">
        <v>132.22999999999999</v>
      </c>
      <c r="R142" s="1">
        <v>1</v>
      </c>
      <c r="S142" s="90">
        <v>0.21</v>
      </c>
      <c r="T142" s="90">
        <v>0.2</v>
      </c>
      <c r="U142" s="363"/>
      <c r="V142" s="95">
        <f t="shared" si="2"/>
        <v>127.99863999999999</v>
      </c>
      <c r="W142" t="s">
        <v>8561</v>
      </c>
      <c r="X142" s="5" t="s">
        <v>8533</v>
      </c>
      <c r="Y142" s="2">
        <v>37780</v>
      </c>
      <c r="Z142" s="2">
        <v>45048</v>
      </c>
      <c r="AA142" s="371" t="s">
        <v>8837</v>
      </c>
      <c r="AB142" s="2">
        <v>45114</v>
      </c>
      <c r="AC142" s="133" t="s">
        <v>1339</v>
      </c>
      <c r="AF142" t="s">
        <v>3198</v>
      </c>
      <c r="AI142" t="s">
        <v>8667</v>
      </c>
      <c r="AJ142" s="3">
        <v>45082</v>
      </c>
      <c r="AM142" s="3">
        <v>45082</v>
      </c>
    </row>
    <row r="143" spans="1:46">
      <c r="A143" s="1">
        <v>141</v>
      </c>
      <c r="B143" t="s">
        <v>33</v>
      </c>
      <c r="C143" s="2">
        <v>45049</v>
      </c>
      <c r="D143" s="2"/>
      <c r="E143" s="1" t="s">
        <v>3537</v>
      </c>
      <c r="F143" t="s">
        <v>3538</v>
      </c>
      <c r="G143" t="s">
        <v>6108</v>
      </c>
      <c r="H143" s="6" t="s">
        <v>241</v>
      </c>
      <c r="I143" s="1" t="s">
        <v>60</v>
      </c>
      <c r="K143" s="114" t="s">
        <v>11744</v>
      </c>
      <c r="L143" s="1" t="s">
        <v>237</v>
      </c>
      <c r="M143" s="2">
        <v>45077</v>
      </c>
      <c r="N143" s="1" t="s">
        <v>35</v>
      </c>
      <c r="O143" s="61" t="s">
        <v>7926</v>
      </c>
      <c r="P143" s="14" t="s">
        <v>7377</v>
      </c>
      <c r="Q143" s="187">
        <v>132.22999999999999</v>
      </c>
      <c r="R143" s="1">
        <v>1</v>
      </c>
      <c r="S143" s="90">
        <v>0.21</v>
      </c>
      <c r="T143" s="90">
        <v>0.2</v>
      </c>
      <c r="U143" s="363"/>
      <c r="V143" s="95">
        <f t="shared" si="2"/>
        <v>127.99863999999999</v>
      </c>
      <c r="W143" t="s">
        <v>7557</v>
      </c>
      <c r="X143" s="5" t="s">
        <v>8584</v>
      </c>
      <c r="Y143" s="2">
        <v>36991</v>
      </c>
      <c r="Z143" s="2">
        <v>45049</v>
      </c>
      <c r="AA143" s="371" t="s">
        <v>8841</v>
      </c>
      <c r="AB143" s="2">
        <v>45117</v>
      </c>
      <c r="AC143" s="133" t="s">
        <v>1339</v>
      </c>
      <c r="AF143" t="s">
        <v>3198</v>
      </c>
      <c r="AI143" s="76" t="s">
        <v>8514</v>
      </c>
      <c r="AJ143" s="2">
        <v>45063</v>
      </c>
      <c r="AM143" s="74"/>
      <c r="AS143" s="1" t="s">
        <v>7936</v>
      </c>
      <c r="AT143" s="1"/>
    </row>
    <row r="144" spans="1:46">
      <c r="A144" s="1">
        <v>142</v>
      </c>
      <c r="B144" t="s">
        <v>37</v>
      </c>
      <c r="C144" s="2">
        <v>45051</v>
      </c>
      <c r="D144" s="2"/>
      <c r="E144" s="1" t="s">
        <v>8522</v>
      </c>
      <c r="F144" t="s">
        <v>8523</v>
      </c>
      <c r="G144" t="s">
        <v>8524</v>
      </c>
      <c r="H144" s="6" t="s">
        <v>219</v>
      </c>
      <c r="I144" s="1" t="s">
        <v>38</v>
      </c>
      <c r="J144" s="1">
        <v>643599515</v>
      </c>
      <c r="K144" s="1"/>
      <c r="L144" s="1" t="s">
        <v>8522</v>
      </c>
      <c r="M144" s="2">
        <v>45077</v>
      </c>
      <c r="N144" s="1" t="s">
        <v>35</v>
      </c>
      <c r="O144" s="61" t="s">
        <v>7925</v>
      </c>
      <c r="P144" s="14" t="s">
        <v>8528</v>
      </c>
      <c r="Q144" s="187">
        <v>132.22999999999999</v>
      </c>
      <c r="R144" s="1">
        <v>1</v>
      </c>
      <c r="S144" s="90">
        <v>0.21</v>
      </c>
      <c r="T144" s="90">
        <v>0</v>
      </c>
      <c r="U144" s="363"/>
      <c r="V144" s="95">
        <f t="shared" si="2"/>
        <v>159.99829999999997</v>
      </c>
      <c r="W144" s="1" t="s">
        <v>8522</v>
      </c>
      <c r="X144" s="5" t="s">
        <v>8579</v>
      </c>
      <c r="Y144" s="2">
        <v>34495</v>
      </c>
      <c r="Z144" s="2">
        <v>45051</v>
      </c>
      <c r="AA144" s="371" t="s">
        <v>9246</v>
      </c>
      <c r="AB144" s="2">
        <v>45208</v>
      </c>
      <c r="AC144" s="133" t="s">
        <v>1339</v>
      </c>
      <c r="AF144" t="s">
        <v>3198</v>
      </c>
      <c r="AI144" t="s">
        <v>8525</v>
      </c>
      <c r="AJ144" s="2">
        <v>45062</v>
      </c>
      <c r="AM144" s="74">
        <v>45063</v>
      </c>
      <c r="AT144" s="1"/>
    </row>
    <row r="145" spans="1:139">
      <c r="A145" s="1">
        <v>143</v>
      </c>
      <c r="B145" t="s">
        <v>4321</v>
      </c>
      <c r="C145" s="2">
        <v>45051</v>
      </c>
      <c r="D145" s="2"/>
      <c r="E145" s="1" t="s">
        <v>5468</v>
      </c>
      <c r="F145" t="s">
        <v>8526</v>
      </c>
      <c r="G145" t="s">
        <v>8527</v>
      </c>
      <c r="H145" s="6" t="s">
        <v>241</v>
      </c>
      <c r="I145" s="1" t="s">
        <v>60</v>
      </c>
      <c r="K145" s="301" t="s">
        <v>5991</v>
      </c>
      <c r="L145" s="1" t="s">
        <v>5468</v>
      </c>
      <c r="M145" s="2">
        <v>45077</v>
      </c>
      <c r="N145" s="1" t="s">
        <v>35</v>
      </c>
      <c r="O145" s="61" t="s">
        <v>7935</v>
      </c>
      <c r="P145" s="14" t="s">
        <v>8529</v>
      </c>
      <c r="Q145" s="187">
        <v>78.510000000000005</v>
      </c>
      <c r="R145" s="1">
        <v>1</v>
      </c>
      <c r="S145" s="90">
        <v>0.21</v>
      </c>
      <c r="T145" s="90">
        <v>0.2</v>
      </c>
      <c r="U145" s="363"/>
      <c r="V145" s="95">
        <f t="shared" si="2"/>
        <v>75.997680000000003</v>
      </c>
      <c r="W145" s="1" t="s">
        <v>5468</v>
      </c>
      <c r="X145" s="5" t="s">
        <v>8530</v>
      </c>
      <c r="Y145" s="2">
        <v>24504</v>
      </c>
      <c r="Z145" s="2">
        <v>45051</v>
      </c>
      <c r="AA145" s="371" t="s">
        <v>8760</v>
      </c>
      <c r="AB145" s="2">
        <v>45100</v>
      </c>
      <c r="AC145" s="133" t="s">
        <v>1339</v>
      </c>
      <c r="AF145" t="s">
        <v>3198</v>
      </c>
      <c r="AJ145" s="2"/>
      <c r="AM145" s="74"/>
      <c r="AT145" s="1"/>
    </row>
    <row r="146" spans="1:139" ht="14.25" customHeight="1">
      <c r="A146" s="1">
        <v>144</v>
      </c>
      <c r="B146" t="s">
        <v>7036</v>
      </c>
      <c r="C146" s="2">
        <v>45054</v>
      </c>
      <c r="D146" s="2"/>
      <c r="E146" s="1" t="s">
        <v>6375</v>
      </c>
      <c r="F146" t="s">
        <v>6376</v>
      </c>
      <c r="G146" s="61" t="s">
        <v>6377</v>
      </c>
      <c r="H146" s="6" t="s">
        <v>294</v>
      </c>
      <c r="I146" s="1" t="s">
        <v>103</v>
      </c>
      <c r="J146" s="8">
        <v>660744167</v>
      </c>
      <c r="K146" s="8" t="s">
        <v>6332</v>
      </c>
      <c r="L146" s="1" t="s">
        <v>6375</v>
      </c>
      <c r="M146" s="2">
        <v>45077</v>
      </c>
      <c r="N146" s="1" t="s">
        <v>35</v>
      </c>
      <c r="O146" s="61" t="s">
        <v>7926</v>
      </c>
      <c r="P146" s="14" t="s">
        <v>8166</v>
      </c>
      <c r="Q146" s="187">
        <v>0</v>
      </c>
      <c r="R146" s="1">
        <v>1</v>
      </c>
      <c r="S146" s="128">
        <v>0.21</v>
      </c>
      <c r="T146" s="128">
        <v>0.2</v>
      </c>
      <c r="U146" s="209"/>
      <c r="V146" s="95">
        <f t="shared" si="2"/>
        <v>0</v>
      </c>
      <c r="W146" t="s">
        <v>8167</v>
      </c>
      <c r="X146" s="5" t="s">
        <v>8996</v>
      </c>
      <c r="Y146" s="211">
        <v>38285</v>
      </c>
      <c r="Z146" s="2">
        <v>45054</v>
      </c>
      <c r="AA146" s="371" t="s">
        <v>9014</v>
      </c>
      <c r="AB146" s="2">
        <v>45163</v>
      </c>
      <c r="AC146" s="133" t="s">
        <v>1339</v>
      </c>
      <c r="AF146" t="s">
        <v>3198</v>
      </c>
      <c r="AJ146" s="3"/>
      <c r="AM146" s="74"/>
    </row>
    <row r="147" spans="1:139" ht="14.25" customHeight="1">
      <c r="A147" s="1">
        <v>145</v>
      </c>
      <c r="B147" t="s">
        <v>40</v>
      </c>
      <c r="C147" s="2">
        <v>45054</v>
      </c>
      <c r="D147" s="2"/>
      <c r="E147" s="1" t="s">
        <v>8534</v>
      </c>
      <c r="F147" t="s">
        <v>8641</v>
      </c>
      <c r="G147" s="61" t="s">
        <v>8535</v>
      </c>
      <c r="H147" s="6" t="s">
        <v>236</v>
      </c>
      <c r="I147" s="1" t="s">
        <v>110</v>
      </c>
      <c r="J147" s="8">
        <v>4716</v>
      </c>
      <c r="K147" s="1" t="s">
        <v>8357</v>
      </c>
      <c r="L147" s="1" t="s">
        <v>8534</v>
      </c>
      <c r="M147" s="2">
        <v>45077</v>
      </c>
      <c r="N147" s="1" t="s">
        <v>35</v>
      </c>
      <c r="O147" s="61" t="s">
        <v>7926</v>
      </c>
      <c r="P147" s="14" t="s">
        <v>8536</v>
      </c>
      <c r="Q147" s="187">
        <v>132.22999999999999</v>
      </c>
      <c r="R147" s="1">
        <v>1</v>
      </c>
      <c r="S147" s="128">
        <v>0.21</v>
      </c>
      <c r="T147" s="128">
        <v>0.2</v>
      </c>
      <c r="U147" s="95"/>
      <c r="V147" s="95">
        <f t="shared" si="2"/>
        <v>127.99863999999999</v>
      </c>
      <c r="W147" t="s">
        <v>8611</v>
      </c>
      <c r="X147" s="5" t="s">
        <v>8612</v>
      </c>
      <c r="Y147" s="211">
        <v>37705</v>
      </c>
      <c r="Z147" s="2">
        <v>45054</v>
      </c>
      <c r="AA147" s="276" t="s">
        <v>9120</v>
      </c>
      <c r="AB147" s="2">
        <v>45187</v>
      </c>
      <c r="AC147" s="133" t="s">
        <v>1339</v>
      </c>
      <c r="AE147" s="292">
        <v>45142</v>
      </c>
      <c r="AF147" t="s">
        <v>3198</v>
      </c>
      <c r="AI147" t="s">
        <v>8428</v>
      </c>
      <c r="AJ147" s="3">
        <v>45065</v>
      </c>
      <c r="AM147" s="74">
        <v>45086</v>
      </c>
      <c r="AS147" s="1" t="s">
        <v>7929</v>
      </c>
    </row>
    <row r="148" spans="1:139">
      <c r="A148" s="1">
        <v>146</v>
      </c>
      <c r="B148" s="61" t="s">
        <v>7475</v>
      </c>
      <c r="C148" s="2">
        <v>45055</v>
      </c>
      <c r="D148" s="2"/>
      <c r="E148" s="1" t="s">
        <v>7476</v>
      </c>
      <c r="F148" t="s">
        <v>7477</v>
      </c>
      <c r="G148" s="61" t="s">
        <v>7478</v>
      </c>
      <c r="H148" s="6" t="s">
        <v>241</v>
      </c>
      <c r="I148" s="1" t="s">
        <v>60</v>
      </c>
      <c r="J148" s="44">
        <v>679088389</v>
      </c>
      <c r="K148" s="44" t="s">
        <v>7480</v>
      </c>
      <c r="L148" s="1" t="s">
        <v>7476</v>
      </c>
      <c r="M148" s="2">
        <v>45077</v>
      </c>
      <c r="N148" s="1" t="s">
        <v>35</v>
      </c>
      <c r="O148" s="61" t="s">
        <v>7925</v>
      </c>
      <c r="P148" s="14" t="s">
        <v>8539</v>
      </c>
      <c r="Q148" s="187">
        <v>132.22999999999999</v>
      </c>
      <c r="R148" s="1">
        <v>1</v>
      </c>
      <c r="S148" s="128">
        <v>0.21</v>
      </c>
      <c r="T148" s="128">
        <v>0.2</v>
      </c>
      <c r="U148" s="133"/>
      <c r="V148" s="95">
        <f t="shared" si="2"/>
        <v>127.99863999999999</v>
      </c>
      <c r="W148" t="s">
        <v>8600</v>
      </c>
      <c r="X148" s="5" t="s">
        <v>8601</v>
      </c>
      <c r="Y148" s="2">
        <v>29680</v>
      </c>
      <c r="Z148" s="2">
        <v>45055</v>
      </c>
      <c r="AA148" s="371" t="s">
        <v>9254</v>
      </c>
      <c r="AB148" s="2">
        <v>45208</v>
      </c>
      <c r="AC148" s="133" t="s">
        <v>1339</v>
      </c>
      <c r="AF148" t="s">
        <v>3198</v>
      </c>
      <c r="AI148" t="s">
        <v>3108</v>
      </c>
      <c r="AJ148" s="2">
        <v>45064</v>
      </c>
      <c r="AM148" s="74">
        <v>45069</v>
      </c>
      <c r="AS148" s="1"/>
      <c r="AT148" s="1"/>
    </row>
    <row r="149" spans="1:139">
      <c r="A149" s="1">
        <v>147</v>
      </c>
      <c r="B149" s="61" t="s">
        <v>3526</v>
      </c>
      <c r="C149" s="2">
        <v>45055</v>
      </c>
      <c r="D149" s="2"/>
      <c r="E149" s="1" t="s">
        <v>210</v>
      </c>
      <c r="F149" s="61" t="s">
        <v>211</v>
      </c>
      <c r="G149" s="61" t="s">
        <v>4378</v>
      </c>
      <c r="H149" s="6" t="s">
        <v>294</v>
      </c>
      <c r="I149" t="s">
        <v>103</v>
      </c>
      <c r="J149" s="8">
        <v>637571817</v>
      </c>
      <c r="K149" s="8" t="s">
        <v>6428</v>
      </c>
      <c r="L149" t="s">
        <v>210</v>
      </c>
      <c r="M149" s="2">
        <v>45077</v>
      </c>
      <c r="N149" s="1" t="s">
        <v>35</v>
      </c>
      <c r="O149" s="61" t="s">
        <v>7934</v>
      </c>
      <c r="P149" s="14" t="s">
        <v>8540</v>
      </c>
      <c r="Q149" s="163">
        <v>78.510000000000005</v>
      </c>
      <c r="R149" s="1">
        <v>1</v>
      </c>
      <c r="S149" s="90">
        <v>0.21</v>
      </c>
      <c r="T149" s="90">
        <v>0.2</v>
      </c>
      <c r="V149" s="95">
        <f t="shared" si="2"/>
        <v>75.997680000000003</v>
      </c>
      <c r="W149" t="s">
        <v>591</v>
      </c>
      <c r="X149" s="5" t="s">
        <v>8541</v>
      </c>
      <c r="Y149" s="2">
        <v>32139</v>
      </c>
      <c r="Z149" s="2">
        <v>45055</v>
      </c>
      <c r="AA149" s="371" t="s">
        <v>8772</v>
      </c>
      <c r="AB149" s="2">
        <v>45103</v>
      </c>
      <c r="AC149" s="133" t="s">
        <v>1339</v>
      </c>
      <c r="AE149" s="162">
        <v>45097</v>
      </c>
      <c r="AF149" t="s">
        <v>3198</v>
      </c>
      <c r="AJ149" s="2"/>
      <c r="AL149" s="3"/>
      <c r="AM149" s="74"/>
      <c r="AS149" s="1" t="s">
        <v>8174</v>
      </c>
      <c r="AT149" s="1"/>
    </row>
    <row r="150" spans="1:139">
      <c r="A150" s="1">
        <v>148</v>
      </c>
      <c r="B150" t="s">
        <v>7245</v>
      </c>
      <c r="C150" s="2">
        <v>45055</v>
      </c>
      <c r="D150" s="2"/>
      <c r="E150" t="s">
        <v>1522</v>
      </c>
      <c r="F150" t="s">
        <v>3233</v>
      </c>
      <c r="G150" t="s">
        <v>3241</v>
      </c>
      <c r="H150" s="6" t="s">
        <v>3234</v>
      </c>
      <c r="I150" t="s">
        <v>3235</v>
      </c>
      <c r="J150" s="8">
        <v>680761760</v>
      </c>
      <c r="K150" s="8" t="s">
        <v>6232</v>
      </c>
      <c r="L150" t="s">
        <v>1522</v>
      </c>
      <c r="M150" s="2">
        <v>45077</v>
      </c>
      <c r="N150" s="1" t="s">
        <v>35</v>
      </c>
      <c r="O150" s="14" t="s">
        <v>7925</v>
      </c>
      <c r="P150" s="14" t="s">
        <v>8542</v>
      </c>
      <c r="Q150" s="187">
        <v>132.22999999999999</v>
      </c>
      <c r="R150" s="1">
        <v>1</v>
      </c>
      <c r="S150" s="128">
        <v>0.21</v>
      </c>
      <c r="T150" s="128">
        <v>0.2</v>
      </c>
      <c r="V150" s="95">
        <f t="shared" si="2"/>
        <v>127.99863999999999</v>
      </c>
      <c r="W150" t="s">
        <v>8602</v>
      </c>
      <c r="X150" s="5" t="s">
        <v>8603</v>
      </c>
      <c r="Y150" s="2">
        <v>30317</v>
      </c>
      <c r="Z150" s="2">
        <v>45055</v>
      </c>
      <c r="AA150" s="371" t="s">
        <v>9496</v>
      </c>
      <c r="AB150" s="2">
        <v>45252</v>
      </c>
      <c r="AC150" s="133" t="s">
        <v>1339</v>
      </c>
      <c r="AE150" s="162">
        <v>45226</v>
      </c>
      <c r="AF150" t="s">
        <v>3198</v>
      </c>
      <c r="AI150" t="s">
        <v>3108</v>
      </c>
      <c r="AJ150" s="2">
        <v>45064</v>
      </c>
      <c r="AM150" s="74"/>
      <c r="AT150" s="1"/>
    </row>
    <row r="151" spans="1:139">
      <c r="A151" s="1">
        <v>149</v>
      </c>
      <c r="B151" t="s">
        <v>37</v>
      </c>
      <c r="C151" s="2">
        <v>45056</v>
      </c>
      <c r="D151" s="2"/>
      <c r="E151" t="s">
        <v>8613</v>
      </c>
      <c r="F151" t="s">
        <v>8640</v>
      </c>
      <c r="G151" t="s">
        <v>8544</v>
      </c>
      <c r="H151" s="6" t="s">
        <v>8545</v>
      </c>
      <c r="I151" s="1" t="s">
        <v>8546</v>
      </c>
      <c r="J151" s="8">
        <v>643492386</v>
      </c>
      <c r="K151" s="8"/>
      <c r="L151" t="s">
        <v>8613</v>
      </c>
      <c r="M151" s="2">
        <v>45077</v>
      </c>
      <c r="N151" s="1" t="s">
        <v>35</v>
      </c>
      <c r="O151" s="14" t="s">
        <v>7925</v>
      </c>
      <c r="P151" s="14" t="s">
        <v>8547</v>
      </c>
      <c r="Q151" s="187">
        <v>132.22999999999999</v>
      </c>
      <c r="R151" s="1">
        <v>1</v>
      </c>
      <c r="S151" s="128">
        <v>0.21</v>
      </c>
      <c r="T151" s="128">
        <v>0</v>
      </c>
      <c r="V151" s="95">
        <f t="shared" si="2"/>
        <v>159.99829999999997</v>
      </c>
      <c r="W151" t="s">
        <v>8613</v>
      </c>
      <c r="X151" s="5" t="s">
        <v>8614</v>
      </c>
      <c r="Y151" s="2">
        <v>32201</v>
      </c>
      <c r="Z151" s="2">
        <v>45056</v>
      </c>
      <c r="AA151" s="371" t="s">
        <v>9254</v>
      </c>
      <c r="AB151" s="2">
        <v>45209</v>
      </c>
      <c r="AC151" s="133" t="s">
        <v>1339</v>
      </c>
      <c r="AE151" s="3"/>
      <c r="AF151" t="s">
        <v>3198</v>
      </c>
      <c r="AI151" t="s">
        <v>3108</v>
      </c>
      <c r="AJ151" s="2">
        <v>45065</v>
      </c>
      <c r="AM151" s="74">
        <v>45069</v>
      </c>
      <c r="AT151" s="1"/>
    </row>
    <row r="152" spans="1:139">
      <c r="A152" s="1">
        <v>150</v>
      </c>
      <c r="B152" t="s">
        <v>1414</v>
      </c>
      <c r="C152" s="2">
        <v>45056</v>
      </c>
      <c r="D152" s="2"/>
      <c r="E152" s="1" t="s">
        <v>8548</v>
      </c>
      <c r="F152" t="s">
        <v>8549</v>
      </c>
      <c r="G152" t="s">
        <v>2115</v>
      </c>
      <c r="H152" s="6" t="s">
        <v>230</v>
      </c>
      <c r="I152" s="1" t="s">
        <v>8550</v>
      </c>
      <c r="J152" s="8"/>
      <c r="K152" s="396" t="s">
        <v>8355</v>
      </c>
      <c r="L152" s="1" t="s">
        <v>8548</v>
      </c>
      <c r="M152" s="2">
        <v>45077</v>
      </c>
      <c r="N152" s="1" t="s">
        <v>35</v>
      </c>
      <c r="O152" s="14" t="s">
        <v>7926</v>
      </c>
      <c r="P152" s="14" t="s">
        <v>8551</v>
      </c>
      <c r="Q152" s="187">
        <v>132.22999999999999</v>
      </c>
      <c r="R152" s="1">
        <v>1</v>
      </c>
      <c r="S152" s="128">
        <v>0.21</v>
      </c>
      <c r="T152" s="128">
        <v>0.2</v>
      </c>
      <c r="V152" s="95">
        <f t="shared" si="2"/>
        <v>127.99863999999999</v>
      </c>
      <c r="W152" t="s">
        <v>8609</v>
      </c>
      <c r="X152" s="5" t="s">
        <v>8610</v>
      </c>
      <c r="Y152" s="2">
        <v>34976</v>
      </c>
      <c r="Z152" s="2">
        <v>45056</v>
      </c>
      <c r="AA152" s="371" t="s">
        <v>8941</v>
      </c>
      <c r="AB152" s="2">
        <v>45141</v>
      </c>
      <c r="AC152" s="133" t="s">
        <v>1339</v>
      </c>
      <c r="AE152" s="3"/>
      <c r="AF152" t="s">
        <v>3198</v>
      </c>
      <c r="AI152" t="s">
        <v>3221</v>
      </c>
      <c r="AJ152" s="2">
        <v>45065</v>
      </c>
      <c r="AM152" s="74">
        <v>45075</v>
      </c>
      <c r="AT152" s="1"/>
    </row>
    <row r="153" spans="1:139">
      <c r="A153" s="1">
        <v>151</v>
      </c>
      <c r="B153" t="s">
        <v>3526</v>
      </c>
      <c r="C153" s="2">
        <v>45056</v>
      </c>
      <c r="D153" s="2"/>
      <c r="E153" s="1" t="s">
        <v>7499</v>
      </c>
      <c r="F153" t="s">
        <v>7500</v>
      </c>
      <c r="G153" s="61" t="s">
        <v>7501</v>
      </c>
      <c r="H153" s="6" t="s">
        <v>294</v>
      </c>
      <c r="I153" s="1" t="s">
        <v>103</v>
      </c>
      <c r="J153" s="8">
        <v>603449867</v>
      </c>
      <c r="K153" s="1" t="s">
        <v>7503</v>
      </c>
      <c r="L153" t="s">
        <v>7499</v>
      </c>
      <c r="M153" s="2">
        <v>45077</v>
      </c>
      <c r="N153" s="1" t="s">
        <v>35</v>
      </c>
      <c r="O153" s="14" t="s">
        <v>7926</v>
      </c>
      <c r="P153" s="14" t="s">
        <v>8552</v>
      </c>
      <c r="Q153" s="187">
        <v>132.22999999999999</v>
      </c>
      <c r="R153" s="1">
        <v>1</v>
      </c>
      <c r="S153" s="128">
        <v>0.21</v>
      </c>
      <c r="T153" s="128">
        <v>0.2</v>
      </c>
      <c r="V153" s="95">
        <f t="shared" si="2"/>
        <v>127.99863999999999</v>
      </c>
      <c r="W153" t="s">
        <v>8618</v>
      </c>
      <c r="X153" s="5" t="s">
        <v>8619</v>
      </c>
      <c r="Y153" s="2">
        <v>36508</v>
      </c>
      <c r="Z153" s="2">
        <v>45056</v>
      </c>
      <c r="AA153" s="276" t="s">
        <v>9228</v>
      </c>
      <c r="AB153" s="2">
        <v>45204</v>
      </c>
      <c r="AC153" s="133" t="s">
        <v>1339</v>
      </c>
      <c r="AE153" s="292">
        <v>45166</v>
      </c>
      <c r="AF153" t="s">
        <v>3198</v>
      </c>
      <c r="AI153" s="76" t="s">
        <v>3221</v>
      </c>
      <c r="AJ153" s="2">
        <v>45068</v>
      </c>
      <c r="AM153" s="74"/>
      <c r="AT153" s="1"/>
    </row>
    <row r="154" spans="1:139" s="197" customFormat="1">
      <c r="A154" s="1">
        <v>152</v>
      </c>
      <c r="B154" s="61" t="s">
        <v>4321</v>
      </c>
      <c r="C154" s="2">
        <v>45057</v>
      </c>
      <c r="D154" s="2"/>
      <c r="E154" s="1" t="s">
        <v>3427</v>
      </c>
      <c r="F154" s="61" t="s">
        <v>3428</v>
      </c>
      <c r="G154" s="61" t="s">
        <v>3433</v>
      </c>
      <c r="H154" s="6" t="s">
        <v>3429</v>
      </c>
      <c r="I154" s="1" t="s">
        <v>86</v>
      </c>
      <c r="J154" s="1">
        <v>650379091</v>
      </c>
      <c r="K154" s="1" t="s">
        <v>5991</v>
      </c>
      <c r="L154" s="1" t="s">
        <v>3427</v>
      </c>
      <c r="M154" s="2">
        <v>45077</v>
      </c>
      <c r="N154" t="s">
        <v>35</v>
      </c>
      <c r="O154" s="14" t="s">
        <v>7925</v>
      </c>
      <c r="P154" s="14" t="s">
        <v>8559</v>
      </c>
      <c r="Q154" s="187">
        <v>132.22999999999999</v>
      </c>
      <c r="R154" s="1">
        <v>1</v>
      </c>
      <c r="S154" s="128">
        <v>0.21</v>
      </c>
      <c r="T154" s="128">
        <v>0.2</v>
      </c>
      <c r="U154"/>
      <c r="V154" s="95">
        <f t="shared" si="2"/>
        <v>127.99863999999999</v>
      </c>
      <c r="W154" t="s">
        <v>8627</v>
      </c>
      <c r="X154" s="5" t="s">
        <v>8628</v>
      </c>
      <c r="Y154" s="2">
        <v>34731</v>
      </c>
      <c r="Z154" s="2">
        <v>45057</v>
      </c>
      <c r="AA154" s="371" t="s">
        <v>9280</v>
      </c>
      <c r="AB154" s="2">
        <v>45215</v>
      </c>
      <c r="AC154" s="133" t="s">
        <v>1339</v>
      </c>
      <c r="AD154"/>
      <c r="AE154"/>
      <c r="AF154" t="s">
        <v>3198</v>
      </c>
      <c r="AG154"/>
      <c r="AH154"/>
      <c r="AI154" t="s">
        <v>3108</v>
      </c>
      <c r="AJ154" s="2">
        <v>45069</v>
      </c>
      <c r="AK154"/>
      <c r="AL154"/>
      <c r="AM154" s="3">
        <v>45072</v>
      </c>
      <c r="AN154"/>
      <c r="AO154"/>
      <c r="AP154"/>
      <c r="AQ154"/>
      <c r="AR154"/>
      <c r="AS154"/>
      <c r="AT154" s="1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</row>
    <row r="155" spans="1:139">
      <c r="A155" s="1">
        <v>153</v>
      </c>
      <c r="B155" t="s">
        <v>52</v>
      </c>
      <c r="C155" s="2">
        <v>45057</v>
      </c>
      <c r="D155" s="2"/>
      <c r="E155" s="1" t="s">
        <v>1152</v>
      </c>
      <c r="F155" t="s">
        <v>5252</v>
      </c>
      <c r="G155" s="61" t="s">
        <v>5253</v>
      </c>
      <c r="H155" s="6" t="s">
        <v>230</v>
      </c>
      <c r="I155" s="1" t="s">
        <v>34</v>
      </c>
      <c r="K155" s="44" t="s">
        <v>5906</v>
      </c>
      <c r="L155" t="s">
        <v>4432</v>
      </c>
      <c r="M155" s="2">
        <v>45077</v>
      </c>
      <c r="N155" t="s">
        <v>35</v>
      </c>
      <c r="O155" s="14" t="s">
        <v>7934</v>
      </c>
      <c r="P155" s="14" t="s">
        <v>5254</v>
      </c>
      <c r="Q155" s="187">
        <v>78.510000000000005</v>
      </c>
      <c r="R155" s="1">
        <v>1</v>
      </c>
      <c r="S155" s="90">
        <v>0.21</v>
      </c>
      <c r="T155" s="90">
        <v>0.2</v>
      </c>
      <c r="V155" s="95">
        <f t="shared" si="2"/>
        <v>75.997680000000003</v>
      </c>
      <c r="W155" s="233" t="s">
        <v>5255</v>
      </c>
      <c r="X155" s="5" t="s">
        <v>8560</v>
      </c>
      <c r="Y155" s="2">
        <v>31899</v>
      </c>
      <c r="Z155" s="2">
        <v>45057</v>
      </c>
      <c r="AA155" s="371" t="s">
        <v>8805</v>
      </c>
      <c r="AB155" s="2">
        <v>45112</v>
      </c>
      <c r="AC155" s="133" t="s">
        <v>1339</v>
      </c>
      <c r="AE155" s="3"/>
      <c r="AF155" t="s">
        <v>3198</v>
      </c>
      <c r="AJ155" s="2"/>
      <c r="AM155" s="74"/>
      <c r="AT155" s="1"/>
    </row>
    <row r="156" spans="1:139">
      <c r="A156" s="1">
        <v>154</v>
      </c>
      <c r="B156" t="s">
        <v>37</v>
      </c>
      <c r="C156" s="2">
        <v>45058</v>
      </c>
      <c r="D156" s="2"/>
      <c r="E156" t="s">
        <v>6323</v>
      </c>
      <c r="F156" t="s">
        <v>6227</v>
      </c>
      <c r="G156" t="s">
        <v>6228</v>
      </c>
      <c r="H156" s="6" t="s">
        <v>219</v>
      </c>
      <c r="I156" s="1" t="s">
        <v>38</v>
      </c>
      <c r="J156" s="8">
        <v>641203364</v>
      </c>
      <c r="K156" s="8"/>
      <c r="L156" t="s">
        <v>6323</v>
      </c>
      <c r="M156" s="2">
        <v>45077</v>
      </c>
      <c r="N156" s="1" t="s">
        <v>35</v>
      </c>
      <c r="O156" s="14" t="s">
        <v>7934</v>
      </c>
      <c r="P156" s="14" t="s">
        <v>8566</v>
      </c>
      <c r="Q156" s="187">
        <v>78.510000000000005</v>
      </c>
      <c r="R156" s="1">
        <v>1</v>
      </c>
      <c r="S156" s="90">
        <v>0.21</v>
      </c>
      <c r="T156" s="90">
        <v>0.2</v>
      </c>
      <c r="V156" s="95">
        <f t="shared" si="2"/>
        <v>75.997680000000003</v>
      </c>
      <c r="W156" t="s">
        <v>6323</v>
      </c>
      <c r="X156" s="5" t="s">
        <v>8567</v>
      </c>
      <c r="Y156" s="2">
        <v>27642</v>
      </c>
      <c r="Z156" s="2">
        <v>45058</v>
      </c>
      <c r="AA156" s="371" t="s">
        <v>8838</v>
      </c>
      <c r="AB156" s="3">
        <v>45114</v>
      </c>
      <c r="AC156" s="133" t="s">
        <v>1339</v>
      </c>
      <c r="AF156" t="s">
        <v>3198</v>
      </c>
      <c r="AJ156" s="2"/>
      <c r="AM156" s="74"/>
      <c r="AT156" s="1"/>
    </row>
    <row r="157" spans="1:139">
      <c r="A157" s="1">
        <v>155</v>
      </c>
      <c r="B157" t="s">
        <v>7245</v>
      </c>
      <c r="C157" s="2">
        <v>45062</v>
      </c>
      <c r="D157" s="2"/>
      <c r="E157" t="s">
        <v>1522</v>
      </c>
      <c r="F157" t="s">
        <v>3233</v>
      </c>
      <c r="G157" t="s">
        <v>3241</v>
      </c>
      <c r="H157" s="6" t="s">
        <v>3234</v>
      </c>
      <c r="I157" t="s">
        <v>3235</v>
      </c>
      <c r="J157" s="8">
        <v>680761760</v>
      </c>
      <c r="K157" s="8" t="s">
        <v>6232</v>
      </c>
      <c r="L157" t="s">
        <v>1522</v>
      </c>
      <c r="M157" s="2">
        <v>45077</v>
      </c>
      <c r="N157" s="1" t="s">
        <v>35</v>
      </c>
      <c r="O157" s="14" t="s">
        <v>7925</v>
      </c>
      <c r="P157" s="14" t="s">
        <v>8574</v>
      </c>
      <c r="Q157" s="187">
        <v>132.22999999999999</v>
      </c>
      <c r="R157" s="1">
        <v>1</v>
      </c>
      <c r="S157" s="128">
        <v>0.21</v>
      </c>
      <c r="T157" s="128">
        <v>0.2</v>
      </c>
      <c r="V157" s="95">
        <f t="shared" si="2"/>
        <v>127.99863999999999</v>
      </c>
      <c r="W157" t="s">
        <v>8656</v>
      </c>
      <c r="X157" s="5" t="s">
        <v>8655</v>
      </c>
      <c r="Y157" s="2">
        <v>33467</v>
      </c>
      <c r="Z157" s="2">
        <v>45062</v>
      </c>
      <c r="AA157" s="371" t="s">
        <v>9526</v>
      </c>
      <c r="AB157" s="2">
        <v>45258</v>
      </c>
      <c r="AC157" s="133" t="s">
        <v>1339</v>
      </c>
      <c r="AE157" s="3"/>
      <c r="AF157" t="s">
        <v>3198</v>
      </c>
      <c r="AI157" s="76" t="s">
        <v>8313</v>
      </c>
      <c r="AJ157" s="2"/>
      <c r="AM157" s="74"/>
      <c r="AT157" s="1"/>
    </row>
    <row r="158" spans="1:139">
      <c r="A158" s="1">
        <v>156</v>
      </c>
      <c r="B158" t="s">
        <v>8595</v>
      </c>
      <c r="C158" s="2">
        <v>45062</v>
      </c>
      <c r="D158" s="2"/>
      <c r="E158" s="1" t="s">
        <v>8575</v>
      </c>
      <c r="F158" t="s">
        <v>8639</v>
      </c>
      <c r="G158" t="s">
        <v>8576</v>
      </c>
      <c r="H158" s="6" t="s">
        <v>219</v>
      </c>
      <c r="I158" s="1" t="s">
        <v>4334</v>
      </c>
      <c r="J158" s="8"/>
      <c r="K158" s="8"/>
      <c r="L158" s="1" t="s">
        <v>8575</v>
      </c>
      <c r="M158" s="2">
        <v>45077</v>
      </c>
      <c r="N158" s="1" t="s">
        <v>35</v>
      </c>
      <c r="O158" s="14" t="s">
        <v>7931</v>
      </c>
      <c r="P158" t="s">
        <v>8577</v>
      </c>
      <c r="Q158" s="187">
        <v>76.03</v>
      </c>
      <c r="R158" s="1">
        <v>1</v>
      </c>
      <c r="S158" s="128">
        <v>0.21</v>
      </c>
      <c r="T158" s="128">
        <v>0</v>
      </c>
      <c r="U158" s="363"/>
      <c r="V158" s="95">
        <f t="shared" si="2"/>
        <v>91.996300000000005</v>
      </c>
      <c r="W158" s="376"/>
      <c r="X158" s="5"/>
      <c r="Y158" s="2"/>
      <c r="Z158" s="2">
        <v>45062</v>
      </c>
      <c r="AA158" s="284"/>
      <c r="AB158" s="1"/>
      <c r="AC158" s="61"/>
      <c r="AE158" s="3"/>
      <c r="AJ158" s="2"/>
      <c r="AM158" s="74"/>
      <c r="AT158" s="1"/>
    </row>
    <row r="159" spans="1:139">
      <c r="A159" s="1">
        <v>157</v>
      </c>
      <c r="B159" t="s">
        <v>6873</v>
      </c>
      <c r="C159" s="2">
        <v>45062</v>
      </c>
      <c r="D159" s="2"/>
      <c r="E159" t="s">
        <v>6874</v>
      </c>
      <c r="F159" t="s">
        <v>6875</v>
      </c>
      <c r="G159" t="s">
        <v>6876</v>
      </c>
      <c r="H159" s="6" t="s">
        <v>219</v>
      </c>
      <c r="I159" s="1" t="s">
        <v>38</v>
      </c>
      <c r="J159" s="8">
        <v>622029130</v>
      </c>
      <c r="K159" s="8"/>
      <c r="L159" t="s">
        <v>6874</v>
      </c>
      <c r="M159" s="2">
        <v>45077</v>
      </c>
      <c r="N159" s="1" t="s">
        <v>35</v>
      </c>
      <c r="O159" s="14" t="s">
        <v>7929</v>
      </c>
      <c r="P159" s="14" t="s">
        <v>8578</v>
      </c>
      <c r="Q159" s="187">
        <v>0</v>
      </c>
      <c r="R159" s="1">
        <v>1</v>
      </c>
      <c r="S159" s="128">
        <v>0.21</v>
      </c>
      <c r="T159" s="128">
        <v>0.2</v>
      </c>
      <c r="V159" s="95">
        <f t="shared" si="2"/>
        <v>0</v>
      </c>
      <c r="W159" t="s">
        <v>7063</v>
      </c>
      <c r="X159" s="5" t="s">
        <v>8689</v>
      </c>
      <c r="Y159" s="2">
        <v>37112</v>
      </c>
      <c r="Z159" s="2">
        <v>45062</v>
      </c>
      <c r="AA159" s="371" t="s">
        <v>8911</v>
      </c>
      <c r="AB159" s="3">
        <v>45134</v>
      </c>
      <c r="AC159" s="133" t="s">
        <v>1339</v>
      </c>
      <c r="AF159" t="s">
        <v>3198</v>
      </c>
      <c r="AI159" t="s">
        <v>3108</v>
      </c>
      <c r="AJ159" s="2">
        <v>45086</v>
      </c>
      <c r="AM159" s="74">
        <v>45090</v>
      </c>
      <c r="AT159" s="1"/>
    </row>
    <row r="160" spans="1:139" ht="14.25" customHeight="1">
      <c r="A160" s="1">
        <v>158</v>
      </c>
      <c r="B160" t="s">
        <v>37</v>
      </c>
      <c r="C160" s="2">
        <v>45063</v>
      </c>
      <c r="D160" s="2"/>
      <c r="E160" s="1" t="s">
        <v>8580</v>
      </c>
      <c r="F160" t="s">
        <v>8638</v>
      </c>
      <c r="G160" s="61" t="s">
        <v>8581</v>
      </c>
      <c r="H160" s="6" t="s">
        <v>239</v>
      </c>
      <c r="I160" s="1" t="s">
        <v>86</v>
      </c>
      <c r="J160" s="8">
        <v>632739790</v>
      </c>
      <c r="K160" s="8"/>
      <c r="L160" s="1" t="s">
        <v>8580</v>
      </c>
      <c r="M160" s="2">
        <v>45077</v>
      </c>
      <c r="N160" s="1" t="s">
        <v>35</v>
      </c>
      <c r="O160" s="14" t="s">
        <v>7930</v>
      </c>
      <c r="P160" s="14" t="s">
        <v>8582</v>
      </c>
      <c r="Q160" s="187">
        <v>132.22999999999999</v>
      </c>
      <c r="R160" s="1">
        <v>1</v>
      </c>
      <c r="S160" s="128">
        <v>0.21</v>
      </c>
      <c r="T160" s="128">
        <v>0.2</v>
      </c>
      <c r="V160" s="95">
        <f t="shared" si="2"/>
        <v>127.99863999999999</v>
      </c>
      <c r="W160" s="1" t="s">
        <v>8580</v>
      </c>
      <c r="X160" s="5" t="s">
        <v>8583</v>
      </c>
      <c r="Y160" s="211">
        <v>37523</v>
      </c>
      <c r="Z160" s="2">
        <v>45063</v>
      </c>
      <c r="AA160" s="371" t="s">
        <v>8896</v>
      </c>
      <c r="AB160" s="2">
        <v>45131</v>
      </c>
      <c r="AC160" s="133" t="s">
        <v>1339</v>
      </c>
      <c r="AF160" t="s">
        <v>3198</v>
      </c>
      <c r="AJ160" s="3"/>
      <c r="AM160" s="74"/>
    </row>
    <row r="161" spans="1:46" ht="14.25" customHeight="1">
      <c r="A161" s="1">
        <v>159</v>
      </c>
      <c r="B161" t="s">
        <v>37</v>
      </c>
      <c r="C161" s="2">
        <v>45063</v>
      </c>
      <c r="D161" s="2"/>
      <c r="E161" s="1" t="s">
        <v>2900</v>
      </c>
      <c r="F161" t="s">
        <v>8637</v>
      </c>
      <c r="G161" s="61" t="s">
        <v>8585</v>
      </c>
      <c r="H161" s="6" t="s">
        <v>2451</v>
      </c>
      <c r="I161" s="1" t="s">
        <v>3681</v>
      </c>
      <c r="J161" s="8">
        <v>632930901</v>
      </c>
      <c r="K161" s="8"/>
      <c r="L161" s="1" t="s">
        <v>2900</v>
      </c>
      <c r="M161" s="2">
        <v>45077</v>
      </c>
      <c r="N161" s="1" t="s">
        <v>35</v>
      </c>
      <c r="O161" s="14" t="s">
        <v>7968</v>
      </c>
      <c r="P161" s="14" t="s">
        <v>8590</v>
      </c>
      <c r="Q161" s="187">
        <v>132.22999999999999</v>
      </c>
      <c r="R161" s="1">
        <v>1</v>
      </c>
      <c r="S161" s="128">
        <v>0.21</v>
      </c>
      <c r="T161" s="128">
        <v>0.2</v>
      </c>
      <c r="V161" s="95">
        <f t="shared" si="2"/>
        <v>127.99863999999999</v>
      </c>
      <c r="W161" t="s">
        <v>8662</v>
      </c>
      <c r="X161" s="5" t="s">
        <v>8663</v>
      </c>
      <c r="Y161" s="211">
        <v>27760</v>
      </c>
      <c r="Z161" s="2">
        <v>45063</v>
      </c>
      <c r="AA161" s="371" t="s">
        <v>9247</v>
      </c>
      <c r="AB161" s="2">
        <v>45208</v>
      </c>
      <c r="AC161" s="133" t="s">
        <v>1339</v>
      </c>
      <c r="AF161" t="s">
        <v>3198</v>
      </c>
      <c r="AI161" t="s">
        <v>8586</v>
      </c>
      <c r="AJ161" s="3">
        <v>45079</v>
      </c>
      <c r="AM161" s="74">
        <v>45085</v>
      </c>
      <c r="AS161" s="1"/>
    </row>
    <row r="162" spans="1:46" ht="14.25" customHeight="1">
      <c r="A162" s="1">
        <v>160</v>
      </c>
      <c r="B162" t="s">
        <v>37</v>
      </c>
      <c r="C162" s="2">
        <v>45063</v>
      </c>
      <c r="D162" s="2"/>
      <c r="E162" s="1" t="s">
        <v>2900</v>
      </c>
      <c r="F162" t="s">
        <v>8637</v>
      </c>
      <c r="G162" s="61" t="s">
        <v>8587</v>
      </c>
      <c r="H162" s="6" t="s">
        <v>270</v>
      </c>
      <c r="I162" s="1" t="s">
        <v>3681</v>
      </c>
      <c r="J162" s="8">
        <v>632930902</v>
      </c>
      <c r="K162" s="8"/>
      <c r="L162" s="1" t="s">
        <v>2900</v>
      </c>
      <c r="M162" s="2">
        <v>45077</v>
      </c>
      <c r="N162" s="1" t="s">
        <v>35</v>
      </c>
      <c r="O162" s="14" t="s">
        <v>7968</v>
      </c>
      <c r="P162" s="14" t="s">
        <v>8591</v>
      </c>
      <c r="Q162" s="187">
        <v>132.22999999999999</v>
      </c>
      <c r="R162" s="1">
        <v>1</v>
      </c>
      <c r="S162" s="128">
        <v>0.21</v>
      </c>
      <c r="T162" s="128">
        <v>0.2</v>
      </c>
      <c r="V162" s="95">
        <f t="shared" si="2"/>
        <v>127.99863999999999</v>
      </c>
      <c r="W162" t="s">
        <v>8660</v>
      </c>
      <c r="X162" s="5" t="s">
        <v>8661</v>
      </c>
      <c r="Y162" s="3">
        <v>39529</v>
      </c>
      <c r="Z162" s="2">
        <v>45063</v>
      </c>
      <c r="AA162" s="371" t="s">
        <v>9247</v>
      </c>
      <c r="AB162" s="2">
        <v>45208</v>
      </c>
      <c r="AC162" s="133" t="s">
        <v>1339</v>
      </c>
      <c r="AF162" t="s">
        <v>3198</v>
      </c>
      <c r="AI162" t="s">
        <v>8586</v>
      </c>
      <c r="AJ162" s="3">
        <v>45079</v>
      </c>
      <c r="AM162" s="74">
        <v>45085</v>
      </c>
      <c r="AS162" s="1"/>
    </row>
    <row r="163" spans="1:46" ht="14.25" customHeight="1">
      <c r="A163" s="1">
        <v>161</v>
      </c>
      <c r="B163" t="s">
        <v>37</v>
      </c>
      <c r="C163" s="2">
        <v>45063</v>
      </c>
      <c r="D163" s="2"/>
      <c r="E163" s="1" t="s">
        <v>2900</v>
      </c>
      <c r="F163" t="s">
        <v>8637</v>
      </c>
      <c r="G163" s="61" t="s">
        <v>8588</v>
      </c>
      <c r="H163" s="6" t="s">
        <v>8589</v>
      </c>
      <c r="I163" s="1" t="s">
        <v>3681</v>
      </c>
      <c r="J163" s="8">
        <v>632930903</v>
      </c>
      <c r="K163" s="8"/>
      <c r="L163" s="1" t="s">
        <v>2900</v>
      </c>
      <c r="M163" s="2">
        <v>45077</v>
      </c>
      <c r="N163" s="1" t="s">
        <v>35</v>
      </c>
      <c r="O163" s="14" t="s">
        <v>7968</v>
      </c>
      <c r="P163" s="14" t="s">
        <v>8592</v>
      </c>
      <c r="Q163" s="187">
        <v>132.22999999999999</v>
      </c>
      <c r="R163" s="1">
        <v>1</v>
      </c>
      <c r="S163" s="128">
        <v>0.21</v>
      </c>
      <c r="T163" s="128">
        <v>0.2</v>
      </c>
      <c r="V163" s="95">
        <f t="shared" si="2"/>
        <v>127.99863999999999</v>
      </c>
      <c r="W163" t="s">
        <v>8664</v>
      </c>
      <c r="X163" s="5" t="s">
        <v>8665</v>
      </c>
      <c r="Y163" s="211">
        <v>38594</v>
      </c>
      <c r="Z163" s="2">
        <v>45063</v>
      </c>
      <c r="AA163" s="371" t="s">
        <v>9247</v>
      </c>
      <c r="AB163" s="2">
        <v>45208</v>
      </c>
      <c r="AC163" s="133" t="s">
        <v>1339</v>
      </c>
      <c r="AF163" t="s">
        <v>3198</v>
      </c>
      <c r="AI163" t="s">
        <v>8586</v>
      </c>
      <c r="AJ163" s="3">
        <v>45079</v>
      </c>
      <c r="AM163" s="74">
        <v>45085</v>
      </c>
      <c r="AS163" s="1"/>
    </row>
    <row r="164" spans="1:46" ht="14.25" customHeight="1">
      <c r="A164" s="1">
        <v>162</v>
      </c>
      <c r="B164" t="s">
        <v>40</v>
      </c>
      <c r="C164" s="2">
        <v>45063</v>
      </c>
      <c r="D164" s="2"/>
      <c r="E164" s="1" t="s">
        <v>6501</v>
      </c>
      <c r="F164" s="61" t="s">
        <v>6502</v>
      </c>
      <c r="G164" s="61" t="s">
        <v>6503</v>
      </c>
      <c r="H164" s="6" t="s">
        <v>6504</v>
      </c>
      <c r="I164" s="1" t="s">
        <v>6505</v>
      </c>
      <c r="J164" s="8"/>
      <c r="K164" s="1" t="s">
        <v>8357</v>
      </c>
      <c r="L164" t="s">
        <v>6501</v>
      </c>
      <c r="M164" s="2">
        <v>45077</v>
      </c>
      <c r="N164" s="1" t="s">
        <v>35</v>
      </c>
      <c r="O164" s="14" t="s">
        <v>7926</v>
      </c>
      <c r="P164" s="14" t="s">
        <v>8593</v>
      </c>
      <c r="Q164" s="187">
        <v>132.22999999999999</v>
      </c>
      <c r="R164" s="1">
        <v>1</v>
      </c>
      <c r="S164" s="128">
        <v>0.21</v>
      </c>
      <c r="T164" s="128">
        <v>0.2</v>
      </c>
      <c r="V164" s="95">
        <f t="shared" si="2"/>
        <v>127.99863999999999</v>
      </c>
      <c r="W164" t="s">
        <v>8632</v>
      </c>
      <c r="X164" s="5" t="s">
        <v>8633</v>
      </c>
      <c r="Y164" s="211">
        <v>34786</v>
      </c>
      <c r="Z164" s="2">
        <v>45063</v>
      </c>
      <c r="AA164" s="371" t="s">
        <v>8992</v>
      </c>
      <c r="AB164" s="2">
        <v>45163</v>
      </c>
      <c r="AC164" s="133" t="s">
        <v>1339</v>
      </c>
      <c r="AF164" t="s">
        <v>3198</v>
      </c>
      <c r="AI164" t="s">
        <v>3221</v>
      </c>
      <c r="AJ164" s="3">
        <v>45070</v>
      </c>
      <c r="AM164" s="3">
        <v>45072</v>
      </c>
      <c r="AS164" s="1"/>
    </row>
    <row r="165" spans="1:46">
      <c r="A165" s="1">
        <v>163</v>
      </c>
      <c r="B165" s="61" t="s">
        <v>1414</v>
      </c>
      <c r="C165" s="2">
        <v>45064</v>
      </c>
      <c r="D165" s="2"/>
      <c r="E165" s="1" t="s">
        <v>1299</v>
      </c>
      <c r="F165" s="14" t="s">
        <v>2785</v>
      </c>
      <c r="G165" s="61" t="s">
        <v>1301</v>
      </c>
      <c r="H165" s="6" t="s">
        <v>221</v>
      </c>
      <c r="I165" t="s">
        <v>34</v>
      </c>
      <c r="J165" s="1">
        <v>630625427</v>
      </c>
      <c r="K165" s="1" t="s">
        <v>8355</v>
      </c>
      <c r="L165" t="s">
        <v>1299</v>
      </c>
      <c r="M165" s="2">
        <v>45077</v>
      </c>
      <c r="N165" s="1" t="s">
        <v>35</v>
      </c>
      <c r="O165" s="61" t="s">
        <v>7926</v>
      </c>
      <c r="P165" s="14" t="s">
        <v>8288</v>
      </c>
      <c r="Q165" s="187">
        <v>0</v>
      </c>
      <c r="R165" s="1">
        <v>1</v>
      </c>
      <c r="S165" s="90">
        <v>0.21</v>
      </c>
      <c r="T165" s="90">
        <v>0.2</v>
      </c>
      <c r="U165" s="373"/>
      <c r="V165" s="95">
        <f t="shared" si="2"/>
        <v>0</v>
      </c>
      <c r="W165" t="s">
        <v>8380</v>
      </c>
      <c r="X165" s="5" t="s">
        <v>8634</v>
      </c>
      <c r="Y165" s="2">
        <v>34825</v>
      </c>
      <c r="Z165" s="2">
        <v>45064</v>
      </c>
      <c r="AA165" s="276" t="s">
        <v>9013</v>
      </c>
      <c r="AB165" s="2">
        <v>45163</v>
      </c>
      <c r="AC165" s="133" t="s">
        <v>1339</v>
      </c>
      <c r="AF165" t="s">
        <v>3198</v>
      </c>
      <c r="AI165" t="s">
        <v>8594</v>
      </c>
      <c r="AJ165" s="2">
        <v>45070</v>
      </c>
      <c r="AK165" s="1"/>
      <c r="AM165" s="2">
        <v>45070</v>
      </c>
      <c r="AS165" s="1"/>
    </row>
    <row r="166" spans="1:46">
      <c r="A166" s="1">
        <v>164</v>
      </c>
      <c r="B166" s="61" t="s">
        <v>1414</v>
      </c>
      <c r="C166" s="2">
        <v>45064</v>
      </c>
      <c r="D166" s="2"/>
      <c r="E166" s="1" t="s">
        <v>1299</v>
      </c>
      <c r="F166" s="14" t="s">
        <v>2785</v>
      </c>
      <c r="G166" s="61" t="s">
        <v>1301</v>
      </c>
      <c r="H166" s="6" t="s">
        <v>221</v>
      </c>
      <c r="I166" t="s">
        <v>34</v>
      </c>
      <c r="J166" s="1">
        <v>630625427</v>
      </c>
      <c r="K166" s="1" t="s">
        <v>8355</v>
      </c>
      <c r="L166" t="s">
        <v>1299</v>
      </c>
      <c r="M166" s="2">
        <v>45077</v>
      </c>
      <c r="N166" s="1" t="s">
        <v>35</v>
      </c>
      <c r="O166" s="61" t="s">
        <v>7926</v>
      </c>
      <c r="P166" s="14" t="s">
        <v>8290</v>
      </c>
      <c r="Q166" s="187">
        <v>0</v>
      </c>
      <c r="R166" s="1">
        <v>1</v>
      </c>
      <c r="S166" s="90">
        <v>0.21</v>
      </c>
      <c r="T166" s="90">
        <v>0.2</v>
      </c>
      <c r="U166" s="373"/>
      <c r="V166" s="95">
        <f t="shared" si="2"/>
        <v>0</v>
      </c>
      <c r="W166" t="s">
        <v>8384</v>
      </c>
      <c r="X166" s="5" t="s">
        <v>8635</v>
      </c>
      <c r="Y166" s="2">
        <v>36692</v>
      </c>
      <c r="Z166" s="2">
        <v>45064</v>
      </c>
      <c r="AA166" s="276" t="s">
        <v>9013</v>
      </c>
      <c r="AB166" s="2">
        <v>45163</v>
      </c>
      <c r="AC166" s="133" t="s">
        <v>1339</v>
      </c>
      <c r="AF166" t="s">
        <v>3198</v>
      </c>
      <c r="AI166" t="s">
        <v>8594</v>
      </c>
      <c r="AJ166" s="2">
        <v>45070</v>
      </c>
      <c r="AK166" s="1"/>
      <c r="AM166" s="2">
        <v>45070</v>
      </c>
    </row>
    <row r="167" spans="1:46" ht="14.25" customHeight="1">
      <c r="A167" s="1">
        <v>165</v>
      </c>
      <c r="B167" t="s">
        <v>33</v>
      </c>
      <c r="C167" s="2">
        <v>45064</v>
      </c>
      <c r="D167" s="2"/>
      <c r="E167" s="1" t="s">
        <v>8596</v>
      </c>
      <c r="F167" t="s">
        <v>8636</v>
      </c>
      <c r="G167" s="61" t="s">
        <v>8597</v>
      </c>
      <c r="H167" s="6" t="s">
        <v>219</v>
      </c>
      <c r="I167" s="1" t="s">
        <v>38</v>
      </c>
      <c r="J167" s="8"/>
      <c r="K167" s="114" t="s">
        <v>11744</v>
      </c>
      <c r="L167" s="1" t="s">
        <v>237</v>
      </c>
      <c r="M167" s="2">
        <v>45077</v>
      </c>
      <c r="N167" s="1" t="s">
        <v>35</v>
      </c>
      <c r="O167" s="61" t="s">
        <v>7934</v>
      </c>
      <c r="P167" s="14" t="s">
        <v>8598</v>
      </c>
      <c r="Q167" s="187">
        <v>78.510000000000005</v>
      </c>
      <c r="R167" s="1">
        <v>1</v>
      </c>
      <c r="S167" s="128">
        <v>0.21</v>
      </c>
      <c r="T167" s="128">
        <v>0.2</v>
      </c>
      <c r="U167" s="363"/>
      <c r="V167" s="95">
        <f t="shared" si="2"/>
        <v>75.997680000000003</v>
      </c>
      <c r="W167" s="1" t="s">
        <v>8606</v>
      </c>
      <c r="X167" s="5" t="s">
        <v>8599</v>
      </c>
      <c r="Y167" s="211">
        <v>28856</v>
      </c>
      <c r="Z167" s="2">
        <v>45064</v>
      </c>
      <c r="AA167" s="371" t="s">
        <v>8839</v>
      </c>
      <c r="AB167" s="2">
        <v>45114</v>
      </c>
      <c r="AC167" s="133" t="s">
        <v>1339</v>
      </c>
      <c r="AF167" t="s">
        <v>3198</v>
      </c>
      <c r="AJ167" s="3"/>
      <c r="AM167" s="74"/>
    </row>
    <row r="168" spans="1:46" ht="14.25" customHeight="1">
      <c r="A168" s="1">
        <v>166</v>
      </c>
      <c r="B168" t="s">
        <v>37</v>
      </c>
      <c r="C168" s="2">
        <v>45065</v>
      </c>
      <c r="D168" s="2"/>
      <c r="E168" s="1" t="s">
        <v>5915</v>
      </c>
      <c r="F168" t="s">
        <v>5916</v>
      </c>
      <c r="G168" s="61" t="s">
        <v>5917</v>
      </c>
      <c r="H168" s="6" t="s">
        <v>245</v>
      </c>
      <c r="I168" s="1" t="s">
        <v>54</v>
      </c>
      <c r="J168" s="1">
        <v>696431513</v>
      </c>
      <c r="K168" s="1" t="s">
        <v>5924</v>
      </c>
      <c r="L168" s="1" t="s">
        <v>5915</v>
      </c>
      <c r="M168" s="2">
        <v>45077</v>
      </c>
      <c r="N168" s="1" t="s">
        <v>35</v>
      </c>
      <c r="O168" s="375" t="s">
        <v>7929</v>
      </c>
      <c r="P168" s="14" t="s">
        <v>8605</v>
      </c>
      <c r="Q168" s="187">
        <v>132.22999999999999</v>
      </c>
      <c r="R168" s="1">
        <v>1</v>
      </c>
      <c r="S168" s="128">
        <v>0.21</v>
      </c>
      <c r="T168" s="128">
        <v>0.2</v>
      </c>
      <c r="U168" s="363"/>
      <c r="V168" s="95">
        <f t="shared" si="2"/>
        <v>127.99863999999999</v>
      </c>
      <c r="W168" s="1" t="s">
        <v>8607</v>
      </c>
      <c r="X168" s="5" t="s">
        <v>8961</v>
      </c>
      <c r="Y168" s="211">
        <v>39074</v>
      </c>
      <c r="Z168" s="2">
        <v>45065</v>
      </c>
      <c r="AA168" s="371" t="s">
        <v>8973</v>
      </c>
      <c r="AB168" s="2">
        <v>45159</v>
      </c>
      <c r="AC168" s="133" t="s">
        <v>1339</v>
      </c>
      <c r="AF168" t="s">
        <v>3198</v>
      </c>
      <c r="AJ168" s="3"/>
      <c r="AM168" s="74"/>
      <c r="AS168" s="1"/>
    </row>
    <row r="169" spans="1:46" ht="14.25" customHeight="1">
      <c r="A169" s="1">
        <v>167</v>
      </c>
      <c r="B169" t="s">
        <v>52</v>
      </c>
      <c r="C169" s="2">
        <v>45065</v>
      </c>
      <c r="D169" s="2"/>
      <c r="E169" s="1" t="s">
        <v>70</v>
      </c>
      <c r="F169" s="61" t="s">
        <v>3543</v>
      </c>
      <c r="G169" s="61" t="s">
        <v>3544</v>
      </c>
      <c r="H169" s="6" t="s">
        <v>221</v>
      </c>
      <c r="I169" s="1" t="s">
        <v>34</v>
      </c>
      <c r="J169" s="1">
        <v>645871002</v>
      </c>
      <c r="K169" s="1" t="s">
        <v>5906</v>
      </c>
      <c r="L169" s="1" t="s">
        <v>4432</v>
      </c>
      <c r="M169" s="2">
        <v>45077</v>
      </c>
      <c r="N169" s="1" t="s">
        <v>35</v>
      </c>
      <c r="O169" s="375" t="s">
        <v>7926</v>
      </c>
      <c r="P169" s="14" t="s">
        <v>8608</v>
      </c>
      <c r="Q169" s="187">
        <v>132.22999999999999</v>
      </c>
      <c r="R169" s="1">
        <v>1</v>
      </c>
      <c r="S169" s="128">
        <v>0.21</v>
      </c>
      <c r="T169" s="128">
        <v>0.2</v>
      </c>
      <c r="U169" s="363"/>
      <c r="V169" s="95">
        <f t="shared" si="2"/>
        <v>127.99863999999999</v>
      </c>
      <c r="W169" t="s">
        <v>8649</v>
      </c>
      <c r="X169" s="5" t="s">
        <v>8650</v>
      </c>
      <c r="Y169" s="211">
        <v>36813</v>
      </c>
      <c r="Z169" s="2">
        <v>45065</v>
      </c>
      <c r="AA169" s="371" t="s">
        <v>9124</v>
      </c>
      <c r="AB169" s="2">
        <v>45188</v>
      </c>
      <c r="AC169" s="133" t="s">
        <v>1339</v>
      </c>
      <c r="AF169" t="s">
        <v>3198</v>
      </c>
      <c r="AI169" t="s">
        <v>3221</v>
      </c>
      <c r="AJ169" s="3">
        <v>45075</v>
      </c>
      <c r="AM169" s="74">
        <v>45083</v>
      </c>
      <c r="AS169" s="1"/>
    </row>
    <row r="170" spans="1:46">
      <c r="A170" s="1">
        <v>168</v>
      </c>
      <c r="B170" t="s">
        <v>33</v>
      </c>
      <c r="C170" s="2">
        <v>45068</v>
      </c>
      <c r="D170" s="2"/>
      <c r="E170" s="1" t="s">
        <v>6511</v>
      </c>
      <c r="F170" s="61" t="s">
        <v>2002</v>
      </c>
      <c r="G170" s="61" t="s">
        <v>6512</v>
      </c>
      <c r="H170" s="6" t="s">
        <v>304</v>
      </c>
      <c r="I170" s="1" t="s">
        <v>68</v>
      </c>
      <c r="J170" s="8"/>
      <c r="K170" s="114" t="s">
        <v>11744</v>
      </c>
      <c r="L170" t="s">
        <v>237</v>
      </c>
      <c r="M170" s="2">
        <v>45077</v>
      </c>
      <c r="N170" s="1" t="s">
        <v>35</v>
      </c>
      <c r="O170" s="375" t="s">
        <v>7934</v>
      </c>
      <c r="P170" s="14" t="s">
        <v>8615</v>
      </c>
      <c r="Q170" s="187">
        <v>132.22999999999999</v>
      </c>
      <c r="R170" s="1">
        <v>1</v>
      </c>
      <c r="S170" s="128">
        <v>0.21</v>
      </c>
      <c r="T170" s="128">
        <v>0.2</v>
      </c>
      <c r="V170" s="95">
        <f t="shared" si="2"/>
        <v>127.99863999999999</v>
      </c>
      <c r="W170" t="s">
        <v>6706</v>
      </c>
      <c r="X170" s="5" t="s">
        <v>8616</v>
      </c>
      <c r="Y170" s="2">
        <v>33044</v>
      </c>
      <c r="Z170" s="2">
        <v>45068</v>
      </c>
      <c r="AA170" s="371" t="s">
        <v>8856</v>
      </c>
      <c r="AB170" s="64">
        <v>45119</v>
      </c>
      <c r="AC170" s="133" t="s">
        <v>1339</v>
      </c>
      <c r="AF170" t="s">
        <v>3198</v>
      </c>
      <c r="AJ170" s="2"/>
      <c r="AK170" s="74"/>
      <c r="AL170" s="74"/>
      <c r="AM170" s="74"/>
      <c r="AS170" s="1"/>
      <c r="AT170" s="1"/>
    </row>
    <row r="171" spans="1:46">
      <c r="A171" s="1">
        <v>169</v>
      </c>
      <c r="B171" s="61" t="s">
        <v>1414</v>
      </c>
      <c r="C171" s="2">
        <v>45068</v>
      </c>
      <c r="D171" s="2"/>
      <c r="E171" s="1" t="s">
        <v>1079</v>
      </c>
      <c r="F171" t="s">
        <v>41</v>
      </c>
      <c r="G171" s="61" t="s">
        <v>2115</v>
      </c>
      <c r="H171" s="1" t="s">
        <v>230</v>
      </c>
      <c r="I171" t="s">
        <v>1262</v>
      </c>
      <c r="J171" s="8">
        <v>631212115</v>
      </c>
      <c r="K171" s="8" t="s">
        <v>6306</v>
      </c>
      <c r="L171" t="s">
        <v>1079</v>
      </c>
      <c r="M171" s="2">
        <v>45077</v>
      </c>
      <c r="N171" s="1" t="s">
        <v>35</v>
      </c>
      <c r="O171" s="375" t="s">
        <v>7968</v>
      </c>
      <c r="P171" s="14" t="s">
        <v>7292</v>
      </c>
      <c r="Q171" s="144">
        <v>0</v>
      </c>
      <c r="R171" s="1">
        <v>1</v>
      </c>
      <c r="S171" s="90">
        <v>0.21</v>
      </c>
      <c r="T171" s="90">
        <v>0.2</v>
      </c>
      <c r="U171" s="1"/>
      <c r="V171" s="95">
        <f t="shared" si="2"/>
        <v>0</v>
      </c>
      <c r="W171" t="s">
        <v>7397</v>
      </c>
      <c r="X171" s="401" t="s">
        <v>8680</v>
      </c>
      <c r="Y171" s="2">
        <v>34281</v>
      </c>
      <c r="Z171" s="2">
        <v>45068</v>
      </c>
      <c r="AA171" s="371" t="s">
        <v>9246</v>
      </c>
      <c r="AB171" s="3">
        <v>45208</v>
      </c>
      <c r="AC171" s="133" t="s">
        <v>1339</v>
      </c>
      <c r="AF171" t="s">
        <v>3198</v>
      </c>
      <c r="AI171" s="1" t="s">
        <v>8617</v>
      </c>
      <c r="AJ171" s="2">
        <v>45084</v>
      </c>
      <c r="AK171" s="1"/>
      <c r="AM171" s="2">
        <v>45084</v>
      </c>
      <c r="AT171" s="1"/>
    </row>
    <row r="172" spans="1:46">
      <c r="A172" s="1">
        <v>170</v>
      </c>
      <c r="B172" s="61" t="s">
        <v>1414</v>
      </c>
      <c r="C172" s="2">
        <v>45068</v>
      </c>
      <c r="D172" s="2"/>
      <c r="E172" s="1" t="s">
        <v>1079</v>
      </c>
      <c r="F172" t="s">
        <v>41</v>
      </c>
      <c r="G172" s="61" t="s">
        <v>2115</v>
      </c>
      <c r="H172" s="1" t="s">
        <v>230</v>
      </c>
      <c r="I172" t="s">
        <v>1262</v>
      </c>
      <c r="J172" s="8">
        <v>631212115</v>
      </c>
      <c r="K172" s="8" t="s">
        <v>6306</v>
      </c>
      <c r="L172" t="s">
        <v>1079</v>
      </c>
      <c r="M172" s="2">
        <v>45077</v>
      </c>
      <c r="N172" s="1" t="s">
        <v>35</v>
      </c>
      <c r="O172" s="375" t="s">
        <v>7968</v>
      </c>
      <c r="P172" s="14" t="s">
        <v>7294</v>
      </c>
      <c r="Q172" s="144">
        <v>0</v>
      </c>
      <c r="R172" s="1">
        <v>1</v>
      </c>
      <c r="S172" s="90">
        <v>0.21</v>
      </c>
      <c r="T172" s="90">
        <v>0.2</v>
      </c>
      <c r="U172" s="1"/>
      <c r="V172" s="95">
        <f t="shared" si="2"/>
        <v>0</v>
      </c>
      <c r="W172" t="s">
        <v>7395</v>
      </c>
      <c r="X172" s="401" t="s">
        <v>8681</v>
      </c>
      <c r="Y172" s="2">
        <v>44375</v>
      </c>
      <c r="Z172" s="2">
        <v>45068</v>
      </c>
      <c r="AA172" s="371" t="s">
        <v>9246</v>
      </c>
      <c r="AB172" s="3">
        <v>45208</v>
      </c>
      <c r="AC172" s="133" t="s">
        <v>1339</v>
      </c>
      <c r="AF172" t="s">
        <v>3198</v>
      </c>
      <c r="AI172" s="1" t="s">
        <v>8617</v>
      </c>
      <c r="AJ172" s="2">
        <v>45084</v>
      </c>
      <c r="AK172" s="1"/>
      <c r="AM172" s="2">
        <v>45084</v>
      </c>
      <c r="AT172" s="1"/>
    </row>
    <row r="173" spans="1:46">
      <c r="A173" s="1">
        <v>171</v>
      </c>
      <c r="B173" s="61" t="s">
        <v>8620</v>
      </c>
      <c r="C173" s="2">
        <v>45069</v>
      </c>
      <c r="D173" s="2"/>
      <c r="E173" s="1" t="s">
        <v>8621</v>
      </c>
      <c r="F173" t="s">
        <v>8622</v>
      </c>
      <c r="G173" s="61" t="s">
        <v>8623</v>
      </c>
      <c r="H173" s="1">
        <v>4618</v>
      </c>
      <c r="I173" s="1" t="s">
        <v>3235</v>
      </c>
      <c r="J173" s="8"/>
      <c r="K173" s="1" t="s">
        <v>8624</v>
      </c>
      <c r="L173" s="1" t="s">
        <v>8621</v>
      </c>
      <c r="M173" s="2">
        <v>45077</v>
      </c>
      <c r="N173" s="1" t="s">
        <v>35</v>
      </c>
      <c r="O173" s="375" t="s">
        <v>7926</v>
      </c>
      <c r="P173" s="14" t="s">
        <v>8625</v>
      </c>
      <c r="Q173" s="144">
        <v>132.22999999999999</v>
      </c>
      <c r="R173" s="1">
        <v>1</v>
      </c>
      <c r="S173" s="90">
        <v>0.21</v>
      </c>
      <c r="T173" s="90">
        <v>0.2</v>
      </c>
      <c r="U173" s="95"/>
      <c r="V173" s="95">
        <f t="shared" si="2"/>
        <v>127.99863999999999</v>
      </c>
      <c r="W173" t="s">
        <v>8647</v>
      </c>
      <c r="X173" s="5" t="s">
        <v>8648</v>
      </c>
      <c r="Y173" s="2">
        <v>37798</v>
      </c>
      <c r="Z173" s="2">
        <v>45069</v>
      </c>
      <c r="AA173" s="371" t="s">
        <v>9339</v>
      </c>
      <c r="AB173" s="2">
        <v>45226</v>
      </c>
      <c r="AC173" s="133" t="s">
        <v>1339</v>
      </c>
      <c r="AE173" s="162">
        <v>45204</v>
      </c>
      <c r="AF173" t="s">
        <v>3198</v>
      </c>
      <c r="AI173" t="s">
        <v>3221</v>
      </c>
      <c r="AJ173" s="2">
        <v>45075</v>
      </c>
      <c r="AK173" s="2">
        <v>45093</v>
      </c>
      <c r="AL173" t="s">
        <v>8677</v>
      </c>
      <c r="AM173" s="74">
        <v>45083</v>
      </c>
      <c r="AT173" s="1"/>
    </row>
    <row r="174" spans="1:46">
      <c r="A174" s="1">
        <v>172</v>
      </c>
      <c r="B174" t="s">
        <v>40</v>
      </c>
      <c r="C174" s="2">
        <v>45069</v>
      </c>
      <c r="D174" s="2"/>
      <c r="E174" s="1" t="s">
        <v>5779</v>
      </c>
      <c r="F174" s="61" t="s">
        <v>6948</v>
      </c>
      <c r="G174" s="61" t="s">
        <v>5781</v>
      </c>
      <c r="H174" s="6" t="s">
        <v>227</v>
      </c>
      <c r="I174" s="1" t="s">
        <v>4719</v>
      </c>
      <c r="J174" s="295">
        <v>661226886</v>
      </c>
      <c r="K174" s="1" t="s">
        <v>6678</v>
      </c>
      <c r="L174" t="s">
        <v>5779</v>
      </c>
      <c r="M174" s="2">
        <v>45077</v>
      </c>
      <c r="N174" s="1" t="s">
        <v>35</v>
      </c>
      <c r="O174" s="375" t="s">
        <v>7925</v>
      </c>
      <c r="P174" s="14" t="s">
        <v>8678</v>
      </c>
      <c r="Q174" s="144">
        <v>132.22999999999999</v>
      </c>
      <c r="R174" s="1">
        <v>1</v>
      </c>
      <c r="S174" s="90">
        <v>0.21</v>
      </c>
      <c r="T174" s="90">
        <v>0.2</v>
      </c>
      <c r="U174" s="95"/>
      <c r="V174" s="95">
        <f t="shared" si="2"/>
        <v>127.99863999999999</v>
      </c>
      <c r="W174" t="s">
        <v>8690</v>
      </c>
      <c r="X174" s="5" t="s">
        <v>8691</v>
      </c>
      <c r="Y174" s="2">
        <v>33678</v>
      </c>
      <c r="Z174" s="2">
        <v>45069</v>
      </c>
      <c r="AA174" s="371" t="s">
        <v>9320</v>
      </c>
      <c r="AB174" s="2">
        <v>45224</v>
      </c>
      <c r="AC174" s="133" t="s">
        <v>1339</v>
      </c>
      <c r="AF174" t="s">
        <v>3198</v>
      </c>
      <c r="AI174" t="s">
        <v>8626</v>
      </c>
      <c r="AJ174" s="2">
        <v>45086</v>
      </c>
      <c r="AK174" s="1"/>
      <c r="AM174" s="74">
        <v>45093</v>
      </c>
      <c r="AT174" s="1"/>
    </row>
    <row r="175" spans="1:46">
      <c r="A175" s="1">
        <v>173</v>
      </c>
      <c r="B175" t="s">
        <v>1242</v>
      </c>
      <c r="C175" s="2">
        <v>45069</v>
      </c>
      <c r="D175" s="2"/>
      <c r="E175" s="61" t="s">
        <v>1243</v>
      </c>
      <c r="F175" t="s">
        <v>1244</v>
      </c>
      <c r="G175" t="s">
        <v>1245</v>
      </c>
      <c r="H175" s="6" t="s">
        <v>227</v>
      </c>
      <c r="I175" t="s">
        <v>34</v>
      </c>
      <c r="J175" s="8">
        <v>632341539</v>
      </c>
      <c r="K175" s="8" t="s">
        <v>5905</v>
      </c>
      <c r="L175" s="31" t="s">
        <v>1250</v>
      </c>
      <c r="M175" s="2">
        <v>45077</v>
      </c>
      <c r="N175" s="1" t="s">
        <v>35</v>
      </c>
      <c r="O175" s="375" t="s">
        <v>7925</v>
      </c>
      <c r="P175" s="14" t="s">
        <v>8629</v>
      </c>
      <c r="Q175" s="187">
        <v>132.22999999999999</v>
      </c>
      <c r="R175" s="1">
        <v>1</v>
      </c>
      <c r="S175" s="58">
        <v>0.21</v>
      </c>
      <c r="T175" s="90">
        <v>0.2</v>
      </c>
      <c r="V175" s="95">
        <f t="shared" si="2"/>
        <v>127.99863999999999</v>
      </c>
      <c r="W175" t="s">
        <v>8653</v>
      </c>
      <c r="X175" s="5" t="s">
        <v>8654</v>
      </c>
      <c r="Y175" s="3">
        <v>29940</v>
      </c>
      <c r="Z175" s="2">
        <v>45069</v>
      </c>
      <c r="AA175" s="371" t="s">
        <v>9915</v>
      </c>
      <c r="AB175" s="64">
        <v>45334</v>
      </c>
      <c r="AC175" s="133" t="s">
        <v>1339</v>
      </c>
      <c r="AD175" s="61"/>
      <c r="AE175" s="162">
        <v>45250</v>
      </c>
      <c r="AF175" t="s">
        <v>3198</v>
      </c>
      <c r="AH175" s="3"/>
      <c r="AI175" t="s">
        <v>3108</v>
      </c>
      <c r="AJ175" s="2">
        <v>45075</v>
      </c>
      <c r="AL175" s="3"/>
      <c r="AM175" s="74">
        <v>45083</v>
      </c>
      <c r="AT175" s="1"/>
    </row>
    <row r="176" spans="1:46">
      <c r="A176" s="1">
        <v>174</v>
      </c>
      <c r="B176" t="s">
        <v>7036</v>
      </c>
      <c r="C176" s="2">
        <v>45069</v>
      </c>
      <c r="D176" s="2"/>
      <c r="E176" s="1" t="s">
        <v>246</v>
      </c>
      <c r="F176" t="s">
        <v>115</v>
      </c>
      <c r="G176" s="61" t="s">
        <v>8630</v>
      </c>
      <c r="H176" s="1">
        <v>4117</v>
      </c>
      <c r="I176" s="1" t="s">
        <v>86</v>
      </c>
      <c r="J176" s="8"/>
      <c r="K176" s="1" t="s">
        <v>6332</v>
      </c>
      <c r="L176" s="1" t="s">
        <v>246</v>
      </c>
      <c r="M176" s="2">
        <v>45077</v>
      </c>
      <c r="N176" s="1" t="s">
        <v>35</v>
      </c>
      <c r="O176" s="375" t="s">
        <v>7926</v>
      </c>
      <c r="P176" s="14" t="s">
        <v>8631</v>
      </c>
      <c r="Q176" s="144">
        <v>132.22999999999999</v>
      </c>
      <c r="R176" s="1">
        <v>1</v>
      </c>
      <c r="S176" s="90">
        <v>0.21</v>
      </c>
      <c r="T176" s="90">
        <v>0.2</v>
      </c>
      <c r="U176" s="95"/>
      <c r="V176" s="95">
        <f t="shared" si="2"/>
        <v>127.99863999999999</v>
      </c>
      <c r="W176" t="s">
        <v>8645</v>
      </c>
      <c r="X176" s="5" t="s">
        <v>8646</v>
      </c>
      <c r="Y176" s="2">
        <v>38487</v>
      </c>
      <c r="Z176" s="2">
        <v>45069</v>
      </c>
      <c r="AA176" s="371" t="s">
        <v>9169</v>
      </c>
      <c r="AB176" s="2">
        <v>45204</v>
      </c>
      <c r="AC176" s="133" t="s">
        <v>1339</v>
      </c>
      <c r="AF176" t="s">
        <v>3198</v>
      </c>
      <c r="AI176" t="s">
        <v>3221</v>
      </c>
      <c r="AJ176" s="2">
        <v>45075</v>
      </c>
      <c r="AK176" s="1"/>
      <c r="AM176" s="74">
        <v>45092</v>
      </c>
      <c r="AT176" s="1"/>
    </row>
    <row r="177" spans="1:139">
      <c r="A177" s="1">
        <v>175</v>
      </c>
      <c r="B177" s="61" t="s">
        <v>37</v>
      </c>
      <c r="C177" s="2">
        <v>45075</v>
      </c>
      <c r="D177" s="2"/>
      <c r="E177" t="s">
        <v>1512</v>
      </c>
      <c r="F177" t="s">
        <v>1513</v>
      </c>
      <c r="G177" t="s">
        <v>1514</v>
      </c>
      <c r="H177" s="6" t="s">
        <v>219</v>
      </c>
      <c r="I177" t="s">
        <v>38</v>
      </c>
      <c r="J177">
        <v>631437787</v>
      </c>
      <c r="K177" s="397"/>
      <c r="L177" t="s">
        <v>1512</v>
      </c>
      <c r="M177" s="2">
        <v>45077</v>
      </c>
      <c r="N177" s="1" t="s">
        <v>35</v>
      </c>
      <c r="O177" s="375" t="s">
        <v>7934</v>
      </c>
      <c r="P177" s="14" t="s">
        <v>8651</v>
      </c>
      <c r="Q177" s="144">
        <v>78.510000000000005</v>
      </c>
      <c r="R177" s="1">
        <v>1</v>
      </c>
      <c r="S177" s="90">
        <v>0.21</v>
      </c>
      <c r="T177" s="90">
        <v>0.2</v>
      </c>
      <c r="U177" s="95"/>
      <c r="V177" s="95">
        <f t="shared" si="2"/>
        <v>75.997680000000003</v>
      </c>
      <c r="W177" t="s">
        <v>6284</v>
      </c>
      <c r="X177" s="5" t="s">
        <v>8652</v>
      </c>
      <c r="Y177" s="2">
        <v>37256</v>
      </c>
      <c r="Z177" s="2">
        <v>45075</v>
      </c>
      <c r="AA177" s="371" t="s">
        <v>8892</v>
      </c>
      <c r="AB177" s="2">
        <v>45128</v>
      </c>
      <c r="AC177" s="133" t="s">
        <v>1339</v>
      </c>
      <c r="AF177" t="s">
        <v>3198</v>
      </c>
      <c r="AI177" s="1"/>
      <c r="AJ177" s="2"/>
      <c r="AK177" s="1"/>
      <c r="AM177" s="74"/>
      <c r="AT177" s="1"/>
    </row>
    <row r="178" spans="1:139">
      <c r="A178" s="1">
        <v>176</v>
      </c>
      <c r="B178" s="61" t="s">
        <v>1414</v>
      </c>
      <c r="C178" s="2">
        <v>45076</v>
      </c>
      <c r="D178" s="2"/>
      <c r="E178" s="1" t="s">
        <v>3619</v>
      </c>
      <c r="F178" s="61" t="s">
        <v>3620</v>
      </c>
      <c r="G178" s="61" t="s">
        <v>3621</v>
      </c>
      <c r="H178" s="6" t="s">
        <v>227</v>
      </c>
      <c r="I178" s="1" t="s">
        <v>34</v>
      </c>
      <c r="J178" s="8">
        <v>670458705</v>
      </c>
      <c r="K178" s="1" t="s">
        <v>8355</v>
      </c>
      <c r="L178" t="s">
        <v>3619</v>
      </c>
      <c r="M178" s="2">
        <v>45077</v>
      </c>
      <c r="N178" s="1" t="s">
        <v>35</v>
      </c>
      <c r="O178" s="375" t="s">
        <v>7926</v>
      </c>
      <c r="P178" s="14" t="s">
        <v>3623</v>
      </c>
      <c r="Q178" s="144">
        <v>132.22999999999999</v>
      </c>
      <c r="R178" s="1">
        <v>1</v>
      </c>
      <c r="S178" s="90">
        <v>0.21</v>
      </c>
      <c r="T178" s="90">
        <v>0.2</v>
      </c>
      <c r="V178" s="95">
        <f t="shared" si="2"/>
        <v>127.99863999999999</v>
      </c>
      <c r="W178" t="s">
        <v>3624</v>
      </c>
      <c r="X178" s="5" t="s">
        <v>8686</v>
      </c>
      <c r="Y178" s="2">
        <v>34934</v>
      </c>
      <c r="Z178" s="2">
        <v>45076</v>
      </c>
      <c r="AA178" s="276" t="s">
        <v>9229</v>
      </c>
      <c r="AB178" s="2">
        <v>45204</v>
      </c>
      <c r="AC178" s="133" t="s">
        <v>1339</v>
      </c>
      <c r="AF178" t="s">
        <v>3198</v>
      </c>
      <c r="AI178" t="s">
        <v>3221</v>
      </c>
      <c r="AJ178" s="2">
        <v>45086</v>
      </c>
      <c r="AK178" s="1"/>
      <c r="AM178" s="74">
        <v>45093</v>
      </c>
      <c r="AT178" s="1"/>
    </row>
    <row r="179" spans="1:139">
      <c r="A179" s="1">
        <v>177</v>
      </c>
      <c r="B179" s="61" t="s">
        <v>1414</v>
      </c>
      <c r="C179" s="2">
        <v>45076</v>
      </c>
      <c r="D179" s="2"/>
      <c r="E179" s="1" t="s">
        <v>1299</v>
      </c>
      <c r="F179" s="14" t="s">
        <v>2785</v>
      </c>
      <c r="G179" s="61" t="s">
        <v>1301</v>
      </c>
      <c r="H179" s="6" t="s">
        <v>221</v>
      </c>
      <c r="I179" t="s">
        <v>34</v>
      </c>
      <c r="J179" s="1">
        <v>630625427</v>
      </c>
      <c r="K179" s="1" t="s">
        <v>8355</v>
      </c>
      <c r="L179" t="s">
        <v>1299</v>
      </c>
      <c r="M179" s="2">
        <v>45077</v>
      </c>
      <c r="N179" s="1" t="s">
        <v>35</v>
      </c>
      <c r="O179" s="61" t="s">
        <v>7926</v>
      </c>
      <c r="P179" s="14" t="s">
        <v>8291</v>
      </c>
      <c r="Q179" s="187">
        <v>0</v>
      </c>
      <c r="R179" s="1">
        <v>1</v>
      </c>
      <c r="S179" s="90">
        <v>0.21</v>
      </c>
      <c r="T179" s="90">
        <v>0.2</v>
      </c>
      <c r="U179" s="373"/>
      <c r="V179" s="95">
        <f t="shared" si="2"/>
        <v>0</v>
      </c>
      <c r="W179" t="s">
        <v>8378</v>
      </c>
      <c r="X179" s="5" t="s">
        <v>8687</v>
      </c>
      <c r="Y179" s="2">
        <v>37400</v>
      </c>
      <c r="Z179" s="2">
        <v>45076</v>
      </c>
      <c r="AA179" s="276" t="s">
        <v>9229</v>
      </c>
      <c r="AB179" s="2">
        <v>45212</v>
      </c>
      <c r="AC179" s="133" t="s">
        <v>1339</v>
      </c>
      <c r="AF179" t="s">
        <v>3198</v>
      </c>
      <c r="AI179" t="s">
        <v>3221</v>
      </c>
      <c r="AJ179" s="2">
        <v>45086</v>
      </c>
      <c r="AK179" s="1"/>
      <c r="AM179" s="3">
        <v>45090</v>
      </c>
    </row>
    <row r="180" spans="1:139">
      <c r="A180" s="1">
        <v>178</v>
      </c>
      <c r="B180" t="s">
        <v>4321</v>
      </c>
      <c r="C180" s="2">
        <v>45078</v>
      </c>
      <c r="D180" s="2"/>
      <c r="E180" s="1" t="s">
        <v>772</v>
      </c>
      <c r="F180" s="14" t="s">
        <v>773</v>
      </c>
      <c r="G180" t="s">
        <v>1872</v>
      </c>
      <c r="H180" s="6" t="s">
        <v>239</v>
      </c>
      <c r="I180" s="1" t="s">
        <v>2585</v>
      </c>
      <c r="J180" s="1">
        <v>629246817</v>
      </c>
      <c r="K180" s="1" t="s">
        <v>5991</v>
      </c>
      <c r="L180" s="1" t="s">
        <v>772</v>
      </c>
      <c r="M180" s="2">
        <v>45107</v>
      </c>
      <c r="N180" s="1" t="s">
        <v>35</v>
      </c>
      <c r="O180" s="61" t="s">
        <v>7926</v>
      </c>
      <c r="P180" s="14" t="s">
        <v>8657</v>
      </c>
      <c r="Q180" s="92">
        <v>132.22999999999999</v>
      </c>
      <c r="R180" s="1">
        <v>1</v>
      </c>
      <c r="S180" s="128">
        <v>0.21</v>
      </c>
      <c r="T180" s="128">
        <v>0.2</v>
      </c>
      <c r="U180" s="95"/>
      <c r="V180" s="95">
        <f t="shared" si="2"/>
        <v>127.99863999999999</v>
      </c>
      <c r="W180" s="1" t="s">
        <v>8710</v>
      </c>
      <c r="X180" s="5" t="s">
        <v>8692</v>
      </c>
      <c r="Y180" s="2">
        <v>34067</v>
      </c>
      <c r="Z180" s="2">
        <v>45078</v>
      </c>
      <c r="AA180" s="371" t="s">
        <v>9177</v>
      </c>
      <c r="AB180" s="2">
        <v>45212</v>
      </c>
      <c r="AC180" s="133" t="s">
        <v>1339</v>
      </c>
      <c r="AF180" t="s">
        <v>3198</v>
      </c>
      <c r="AI180" t="s">
        <v>3221</v>
      </c>
      <c r="AJ180" s="2">
        <v>45086</v>
      </c>
      <c r="AK180" s="2"/>
      <c r="AM180" s="2">
        <v>45091</v>
      </c>
    </row>
    <row r="181" spans="1:139">
      <c r="A181" s="1">
        <v>179</v>
      </c>
      <c r="B181" s="61" t="s">
        <v>33</v>
      </c>
      <c r="C181" s="2">
        <v>45078</v>
      </c>
      <c r="D181" s="2"/>
      <c r="E181" s="1" t="s">
        <v>2669</v>
      </c>
      <c r="F181" s="61" t="s">
        <v>2670</v>
      </c>
      <c r="G181" s="61" t="s">
        <v>3850</v>
      </c>
      <c r="H181" s="6" t="s">
        <v>304</v>
      </c>
      <c r="I181" s="1" t="s">
        <v>3851</v>
      </c>
      <c r="J181" s="8"/>
      <c r="K181" s="114" t="s">
        <v>11744</v>
      </c>
      <c r="L181" t="s">
        <v>237</v>
      </c>
      <c r="M181" s="2">
        <v>45107</v>
      </c>
      <c r="N181" s="1" t="s">
        <v>35</v>
      </c>
      <c r="O181" s="61" t="s">
        <v>7934</v>
      </c>
      <c r="P181" s="14" t="s">
        <v>8658</v>
      </c>
      <c r="Q181" s="92">
        <v>78.510000000000005</v>
      </c>
      <c r="R181" s="1">
        <v>1</v>
      </c>
      <c r="S181" s="90">
        <v>0.21</v>
      </c>
      <c r="T181" s="128">
        <v>0.2</v>
      </c>
      <c r="U181" s="1"/>
      <c r="V181" s="95">
        <f t="shared" si="2"/>
        <v>75.997680000000003</v>
      </c>
      <c r="W181" t="s">
        <v>6733</v>
      </c>
      <c r="X181" s="5" t="s">
        <v>8659</v>
      </c>
      <c r="Y181" s="2">
        <v>32498</v>
      </c>
      <c r="Z181" s="2">
        <v>45078</v>
      </c>
      <c r="AA181" s="371" t="s">
        <v>8944</v>
      </c>
      <c r="AB181" s="3">
        <v>45141</v>
      </c>
      <c r="AC181" s="133" t="s">
        <v>1339</v>
      </c>
      <c r="AF181" t="s">
        <v>3198</v>
      </c>
      <c r="AJ181" s="2"/>
      <c r="AK181" s="2"/>
      <c r="AM181" s="74"/>
      <c r="AS181" s="1" t="s">
        <v>7925</v>
      </c>
      <c r="AT181" s="1"/>
    </row>
    <row r="182" spans="1:139">
      <c r="A182" s="1">
        <v>180</v>
      </c>
      <c r="B182" s="61" t="s">
        <v>6684</v>
      </c>
      <c r="C182" s="2">
        <v>45079</v>
      </c>
      <c r="D182" s="2"/>
      <c r="E182" t="s">
        <v>6685</v>
      </c>
      <c r="F182" t="s">
        <v>6686</v>
      </c>
      <c r="G182" t="s">
        <v>6687</v>
      </c>
      <c r="H182" s="6" t="s">
        <v>2579</v>
      </c>
      <c r="I182" t="s">
        <v>2580</v>
      </c>
      <c r="J182" s="8"/>
      <c r="K182" s="1" t="s">
        <v>7339</v>
      </c>
      <c r="L182" t="s">
        <v>6685</v>
      </c>
      <c r="M182" s="2">
        <v>45107</v>
      </c>
      <c r="N182" s="1" t="s">
        <v>35</v>
      </c>
      <c r="O182" s="61" t="s">
        <v>7925</v>
      </c>
      <c r="P182" s="14" t="s">
        <v>7573</v>
      </c>
      <c r="Q182" s="187">
        <v>0</v>
      </c>
      <c r="R182" s="1">
        <v>1</v>
      </c>
      <c r="S182" s="90">
        <v>0.21</v>
      </c>
      <c r="T182" s="90">
        <v>0.2</v>
      </c>
      <c r="V182" s="95">
        <f t="shared" si="2"/>
        <v>0</v>
      </c>
      <c r="W182" t="s">
        <v>7667</v>
      </c>
      <c r="X182" s="5" t="s">
        <v>8693</v>
      </c>
      <c r="Y182" s="2">
        <v>36264</v>
      </c>
      <c r="Z182" s="2">
        <v>45079</v>
      </c>
      <c r="AA182" s="371" t="s">
        <v>9888</v>
      </c>
      <c r="AB182" s="64">
        <v>45328</v>
      </c>
      <c r="AC182" s="133" t="s">
        <v>1339</v>
      </c>
      <c r="AE182" s="162">
        <v>45245</v>
      </c>
      <c r="AF182" t="s">
        <v>3198</v>
      </c>
      <c r="AI182" t="s">
        <v>8666</v>
      </c>
      <c r="AJ182" s="2">
        <v>45086</v>
      </c>
      <c r="AM182" s="3"/>
      <c r="AT182" s="1"/>
    </row>
    <row r="183" spans="1:139">
      <c r="A183" s="1">
        <v>181</v>
      </c>
      <c r="B183" s="61" t="s">
        <v>37</v>
      </c>
      <c r="C183" s="2">
        <v>45082</v>
      </c>
      <c r="D183" s="2"/>
      <c r="E183" t="s">
        <v>6738</v>
      </c>
      <c r="F183" t="s">
        <v>6593</v>
      </c>
      <c r="G183" s="61" t="s">
        <v>6594</v>
      </c>
      <c r="H183" s="6" t="s">
        <v>219</v>
      </c>
      <c r="I183" s="1" t="s">
        <v>38</v>
      </c>
      <c r="J183" s="8">
        <v>632172771</v>
      </c>
      <c r="K183" s="8"/>
      <c r="L183" t="s">
        <v>6738</v>
      </c>
      <c r="M183" s="2">
        <v>45107</v>
      </c>
      <c r="N183" s="1" t="s">
        <v>35</v>
      </c>
      <c r="O183" s="61" t="s">
        <v>7934</v>
      </c>
      <c r="P183" s="14" t="s">
        <v>8668</v>
      </c>
      <c r="Q183" s="187">
        <v>78.510000000000005</v>
      </c>
      <c r="R183" s="1">
        <v>1</v>
      </c>
      <c r="S183" s="128">
        <v>0.21</v>
      </c>
      <c r="T183" s="128">
        <v>0.2</v>
      </c>
      <c r="V183" s="95">
        <f t="shared" si="2"/>
        <v>75.997680000000003</v>
      </c>
      <c r="W183" t="s">
        <v>6738</v>
      </c>
      <c r="X183" s="5" t="s">
        <v>8669</v>
      </c>
      <c r="Y183" s="2">
        <v>33039</v>
      </c>
      <c r="Z183" s="2">
        <v>45082</v>
      </c>
      <c r="AA183" s="371" t="s">
        <v>8983</v>
      </c>
      <c r="AB183" s="64">
        <v>45159</v>
      </c>
      <c r="AC183" s="133" t="s">
        <v>1339</v>
      </c>
      <c r="AF183" t="s">
        <v>3198</v>
      </c>
      <c r="AJ183" s="2"/>
      <c r="AM183" s="74"/>
      <c r="AT183" s="1"/>
    </row>
    <row r="184" spans="1:139">
      <c r="A184" s="1">
        <v>182</v>
      </c>
      <c r="B184" s="61" t="s">
        <v>45</v>
      </c>
      <c r="C184" s="2">
        <v>45083</v>
      </c>
      <c r="D184" s="2"/>
      <c r="E184" s="1" t="s">
        <v>3451</v>
      </c>
      <c r="F184" s="61" t="s">
        <v>3452</v>
      </c>
      <c r="G184" s="61" t="s">
        <v>3453</v>
      </c>
      <c r="H184" s="6" t="s">
        <v>1229</v>
      </c>
      <c r="I184" s="1" t="s">
        <v>3454</v>
      </c>
      <c r="J184" s="1">
        <v>671426768</v>
      </c>
      <c r="K184" s="1" t="s">
        <v>8671</v>
      </c>
      <c r="L184" t="s">
        <v>3451</v>
      </c>
      <c r="M184" s="2">
        <v>45107</v>
      </c>
      <c r="N184" s="1" t="s">
        <v>35</v>
      </c>
      <c r="O184" s="61" t="s">
        <v>7926</v>
      </c>
      <c r="P184" s="14" t="s">
        <v>8670</v>
      </c>
      <c r="Q184" s="187">
        <v>132.22999999999999</v>
      </c>
      <c r="R184" s="1">
        <v>1</v>
      </c>
      <c r="S184" s="90">
        <v>0.21</v>
      </c>
      <c r="T184" s="90">
        <v>0.2</v>
      </c>
      <c r="U184" s="373"/>
      <c r="V184" s="95">
        <f t="shared" si="2"/>
        <v>127.99863999999999</v>
      </c>
      <c r="W184" t="s">
        <v>8740</v>
      </c>
      <c r="X184" s="5" t="s">
        <v>8741</v>
      </c>
      <c r="Y184" s="2">
        <v>33352</v>
      </c>
      <c r="Z184" s="2">
        <v>45083</v>
      </c>
      <c r="AA184" s="371" t="s">
        <v>9308</v>
      </c>
      <c r="AB184" s="2">
        <v>45222</v>
      </c>
      <c r="AC184" s="133" t="s">
        <v>1339</v>
      </c>
      <c r="AF184" t="s">
        <v>3198</v>
      </c>
      <c r="AI184" t="s">
        <v>3221</v>
      </c>
      <c r="AJ184" s="2">
        <v>45096</v>
      </c>
      <c r="AK184" s="1"/>
      <c r="AM184" s="3">
        <v>45103</v>
      </c>
    </row>
    <row r="185" spans="1:139">
      <c r="A185" s="1">
        <v>183</v>
      </c>
      <c r="B185" t="s">
        <v>1242</v>
      </c>
      <c r="C185" s="2">
        <v>45083</v>
      </c>
      <c r="D185" s="2"/>
      <c r="E185" s="1" t="s">
        <v>8672</v>
      </c>
      <c r="F185" s="14" t="s">
        <v>8673</v>
      </c>
      <c r="G185" s="61" t="s">
        <v>8674</v>
      </c>
      <c r="H185" s="6" t="s">
        <v>221</v>
      </c>
      <c r="I185" s="1" t="s">
        <v>34</v>
      </c>
      <c r="K185" s="8" t="s">
        <v>5905</v>
      </c>
      <c r="L185" s="31" t="s">
        <v>1250</v>
      </c>
      <c r="M185" s="2">
        <v>45107</v>
      </c>
      <c r="N185" s="1" t="s">
        <v>35</v>
      </c>
      <c r="O185" s="61" t="s">
        <v>7926</v>
      </c>
      <c r="P185" s="14" t="s">
        <v>8675</v>
      </c>
      <c r="Q185" s="187">
        <v>132.22999999999999</v>
      </c>
      <c r="R185" s="1">
        <v>1</v>
      </c>
      <c r="S185" s="90">
        <v>0.21</v>
      </c>
      <c r="T185" s="90">
        <v>0.2</v>
      </c>
      <c r="U185" s="373"/>
      <c r="V185" s="95">
        <f t="shared" si="2"/>
        <v>127.99863999999999</v>
      </c>
      <c r="W185" t="s">
        <v>8733</v>
      </c>
      <c r="X185" s="5" t="s">
        <v>8734</v>
      </c>
      <c r="Y185" s="2">
        <v>32475</v>
      </c>
      <c r="Z185" s="2">
        <v>45083</v>
      </c>
      <c r="AA185" s="371" t="s">
        <v>9308</v>
      </c>
      <c r="AB185" s="2">
        <v>45222</v>
      </c>
      <c r="AC185" s="133" t="s">
        <v>1339</v>
      </c>
      <c r="AF185" t="s">
        <v>3198</v>
      </c>
      <c r="AI185" t="s">
        <v>3221</v>
      </c>
      <c r="AJ185" s="2">
        <v>45096</v>
      </c>
      <c r="AK185" s="1"/>
      <c r="AM185" s="3">
        <v>45099</v>
      </c>
    </row>
    <row r="186" spans="1:139">
      <c r="A186" s="1">
        <v>184</v>
      </c>
      <c r="B186" s="61" t="s">
        <v>6684</v>
      </c>
      <c r="C186" s="2">
        <v>45083</v>
      </c>
      <c r="D186" s="2"/>
      <c r="E186" t="s">
        <v>6685</v>
      </c>
      <c r="F186" t="s">
        <v>6686</v>
      </c>
      <c r="G186" t="s">
        <v>6687</v>
      </c>
      <c r="H186" s="6" t="s">
        <v>2579</v>
      </c>
      <c r="I186" t="s">
        <v>2580</v>
      </c>
      <c r="J186" s="8"/>
      <c r="K186" s="1" t="s">
        <v>7339</v>
      </c>
      <c r="L186" t="s">
        <v>6685</v>
      </c>
      <c r="M186" s="2">
        <v>45107</v>
      </c>
      <c r="N186" s="1" t="s">
        <v>35</v>
      </c>
      <c r="O186" s="61" t="s">
        <v>7925</v>
      </c>
      <c r="P186" s="14" t="s">
        <v>8676</v>
      </c>
      <c r="Q186" s="187">
        <v>132.22999999999999</v>
      </c>
      <c r="R186" s="1">
        <v>1</v>
      </c>
      <c r="S186" s="90">
        <v>0.21</v>
      </c>
      <c r="T186" s="90">
        <v>0.2</v>
      </c>
      <c r="V186" s="95">
        <f t="shared" si="2"/>
        <v>127.99863999999999</v>
      </c>
      <c r="W186" t="s">
        <v>8708</v>
      </c>
      <c r="X186" s="5" t="s">
        <v>8709</v>
      </c>
      <c r="Y186" s="2">
        <v>35065</v>
      </c>
      <c r="Z186" s="2">
        <v>45083</v>
      </c>
      <c r="AA186" s="371" t="s">
        <v>10132</v>
      </c>
      <c r="AB186" s="64">
        <v>45370</v>
      </c>
      <c r="AC186" s="133" t="s">
        <v>1339</v>
      </c>
      <c r="AE186" s="162">
        <v>45293</v>
      </c>
      <c r="AF186" t="s">
        <v>3198</v>
      </c>
      <c r="AI186" t="s">
        <v>3108</v>
      </c>
      <c r="AJ186" s="2">
        <v>45091</v>
      </c>
      <c r="AM186" s="3">
        <v>45092</v>
      </c>
      <c r="AT186" s="1"/>
    </row>
    <row r="187" spans="1:139">
      <c r="A187" s="1">
        <v>185</v>
      </c>
      <c r="B187" t="s">
        <v>45</v>
      </c>
      <c r="C187" s="2">
        <v>45085</v>
      </c>
      <c r="D187" s="2"/>
      <c r="E187" s="1" t="s">
        <v>5726</v>
      </c>
      <c r="F187" t="s">
        <v>5727</v>
      </c>
      <c r="G187" t="s">
        <v>5728</v>
      </c>
      <c r="H187" s="6" t="s">
        <v>221</v>
      </c>
      <c r="I187" s="1" t="s">
        <v>34</v>
      </c>
      <c r="J187" s="14">
        <v>628869680</v>
      </c>
      <c r="K187" s="1" t="s">
        <v>5837</v>
      </c>
      <c r="L187" s="1" t="s">
        <v>5726</v>
      </c>
      <c r="M187" s="2">
        <v>45107</v>
      </c>
      <c r="N187" s="1" t="s">
        <v>35</v>
      </c>
      <c r="O187" s="61" t="s">
        <v>7926</v>
      </c>
      <c r="P187" s="14" t="s">
        <v>8682</v>
      </c>
      <c r="Q187" s="187">
        <v>132.22999999999999</v>
      </c>
      <c r="R187" s="1">
        <v>1</v>
      </c>
      <c r="S187" s="90">
        <v>0.21</v>
      </c>
      <c r="T187" s="90">
        <v>0.2</v>
      </c>
      <c r="V187" s="95">
        <f t="shared" si="2"/>
        <v>127.99863999999999</v>
      </c>
      <c r="W187" t="s">
        <v>8753</v>
      </c>
      <c r="X187" s="5" t="s">
        <v>8742</v>
      </c>
      <c r="Y187" s="2">
        <v>37636</v>
      </c>
      <c r="Z187" s="2">
        <v>45085</v>
      </c>
      <c r="AA187" s="371" t="s">
        <v>9245</v>
      </c>
      <c r="AB187" s="64">
        <v>45218</v>
      </c>
      <c r="AC187" s="133" t="s">
        <v>1339</v>
      </c>
      <c r="AF187" t="s">
        <v>3198</v>
      </c>
      <c r="AI187" t="s">
        <v>3221</v>
      </c>
      <c r="AJ187" s="2">
        <v>45096</v>
      </c>
      <c r="AM187" s="3">
        <v>45099</v>
      </c>
      <c r="AT187" s="1"/>
    </row>
    <row r="188" spans="1:139">
      <c r="A188" s="1">
        <v>186</v>
      </c>
      <c r="B188" t="s">
        <v>33</v>
      </c>
      <c r="C188" s="2">
        <v>45085</v>
      </c>
      <c r="D188" s="2"/>
      <c r="E188" s="1" t="s">
        <v>8131</v>
      </c>
      <c r="F188" t="s">
        <v>8132</v>
      </c>
      <c r="G188" t="s">
        <v>8133</v>
      </c>
      <c r="H188" s="6" t="s">
        <v>219</v>
      </c>
      <c r="I188" s="1" t="s">
        <v>4334</v>
      </c>
      <c r="K188" s="114" t="s">
        <v>11744</v>
      </c>
      <c r="L188" s="1" t="s">
        <v>237</v>
      </c>
      <c r="M188" s="2">
        <v>45107</v>
      </c>
      <c r="N188" s="1" t="s">
        <v>35</v>
      </c>
      <c r="O188" s="61" t="s">
        <v>7926</v>
      </c>
      <c r="P188" s="14" t="s">
        <v>8744</v>
      </c>
      <c r="Q188" s="92">
        <v>132.22999999999999</v>
      </c>
      <c r="R188" s="1">
        <v>1</v>
      </c>
      <c r="S188" s="128">
        <v>0.21</v>
      </c>
      <c r="T188" s="128">
        <v>0.2</v>
      </c>
      <c r="U188" s="1"/>
      <c r="V188" s="95">
        <f t="shared" si="2"/>
        <v>127.99863999999999</v>
      </c>
      <c r="W188" t="s">
        <v>8834</v>
      </c>
      <c r="X188" s="5" t="s">
        <v>8743</v>
      </c>
      <c r="Y188" s="3">
        <v>36806</v>
      </c>
      <c r="Z188" s="2">
        <v>45085</v>
      </c>
      <c r="AA188" s="371" t="s">
        <v>9245</v>
      </c>
      <c r="AB188" s="64">
        <v>45218</v>
      </c>
      <c r="AC188" s="133" t="s">
        <v>1339</v>
      </c>
      <c r="AF188" t="s">
        <v>3198</v>
      </c>
      <c r="AI188" t="s">
        <v>8683</v>
      </c>
      <c r="AJ188" s="3">
        <v>45096</v>
      </c>
      <c r="AM188" s="3">
        <v>45113</v>
      </c>
    </row>
    <row r="189" spans="1:139">
      <c r="A189" s="1">
        <v>187</v>
      </c>
      <c r="B189" t="s">
        <v>33</v>
      </c>
      <c r="C189" s="2">
        <v>45086</v>
      </c>
      <c r="D189" s="2"/>
      <c r="E189" s="1" t="s">
        <v>5021</v>
      </c>
      <c r="F189" t="s">
        <v>5014</v>
      </c>
      <c r="G189" t="s">
        <v>5020</v>
      </c>
      <c r="H189" s="6" t="s">
        <v>219</v>
      </c>
      <c r="I189" s="1" t="s">
        <v>38</v>
      </c>
      <c r="K189" s="114" t="s">
        <v>11744</v>
      </c>
      <c r="L189" s="1" t="s">
        <v>237</v>
      </c>
      <c r="M189" s="2">
        <v>45107</v>
      </c>
      <c r="N189" s="1" t="s">
        <v>35</v>
      </c>
      <c r="O189" s="14" t="s">
        <v>7925</v>
      </c>
      <c r="P189" s="14" t="s">
        <v>8684</v>
      </c>
      <c r="Q189" s="92">
        <v>132.22999999999999</v>
      </c>
      <c r="R189" s="1">
        <v>1</v>
      </c>
      <c r="S189" s="128">
        <v>0.21</v>
      </c>
      <c r="T189" s="128">
        <v>0.2</v>
      </c>
      <c r="U189" s="363"/>
      <c r="V189" s="95">
        <f t="shared" si="2"/>
        <v>127.99863999999999</v>
      </c>
      <c r="W189" t="s">
        <v>8747</v>
      </c>
      <c r="X189" s="5" t="s">
        <v>8745</v>
      </c>
      <c r="Y189" s="2">
        <v>30170</v>
      </c>
      <c r="Z189" s="2">
        <v>45086</v>
      </c>
      <c r="AA189" s="371" t="s">
        <v>9346</v>
      </c>
      <c r="AB189" s="64">
        <v>45236</v>
      </c>
      <c r="AC189" s="133" t="s">
        <v>1339</v>
      </c>
      <c r="AD189" s="61"/>
      <c r="AE189" s="61"/>
      <c r="AF189" t="s">
        <v>3198</v>
      </c>
      <c r="AI189" t="s">
        <v>3108</v>
      </c>
      <c r="AJ189" s="2">
        <v>45096</v>
      </c>
      <c r="AM189" s="3">
        <v>45097</v>
      </c>
      <c r="AT189" s="1"/>
    </row>
    <row r="190" spans="1:139">
      <c r="A190" s="1">
        <v>188</v>
      </c>
      <c r="B190" t="s">
        <v>8695</v>
      </c>
      <c r="C190" s="2">
        <v>45086</v>
      </c>
      <c r="D190" s="2"/>
      <c r="E190" s="1" t="s">
        <v>8694</v>
      </c>
      <c r="F190" t="s">
        <v>8696</v>
      </c>
      <c r="G190" t="s">
        <v>8697</v>
      </c>
      <c r="H190" s="6" t="s">
        <v>964</v>
      </c>
      <c r="I190" s="1" t="s">
        <v>34</v>
      </c>
      <c r="K190" s="1" t="s">
        <v>8700</v>
      </c>
      <c r="L190" s="1" t="s">
        <v>8694</v>
      </c>
      <c r="M190" s="2">
        <v>45107</v>
      </c>
      <c r="N190" s="1" t="s">
        <v>35</v>
      </c>
      <c r="O190" s="14" t="s">
        <v>7934</v>
      </c>
      <c r="P190" s="14" t="s">
        <v>8698</v>
      </c>
      <c r="Q190" s="92">
        <v>78.510000000000005</v>
      </c>
      <c r="R190" s="1">
        <v>1</v>
      </c>
      <c r="S190" s="128">
        <v>0.21</v>
      </c>
      <c r="T190" s="128">
        <v>0.2</v>
      </c>
      <c r="U190" s="363"/>
      <c r="V190" s="95">
        <f t="shared" si="2"/>
        <v>75.997680000000003</v>
      </c>
      <c r="W190" t="s">
        <v>8699</v>
      </c>
      <c r="X190" s="5" t="s">
        <v>8833</v>
      </c>
      <c r="Y190" s="2">
        <v>31879</v>
      </c>
      <c r="Z190" s="2">
        <v>45086</v>
      </c>
      <c r="AA190" s="285" t="s">
        <v>9020</v>
      </c>
      <c r="AB190" s="2">
        <v>45167</v>
      </c>
      <c r="AC190" s="133" t="s">
        <v>1339</v>
      </c>
      <c r="AD190" s="61"/>
      <c r="AE190" s="61"/>
      <c r="AF190" t="s">
        <v>3198</v>
      </c>
      <c r="AJ190" s="2"/>
      <c r="AM190" s="3"/>
      <c r="AT190" s="1"/>
    </row>
    <row r="191" spans="1:139">
      <c r="A191" s="1">
        <v>189</v>
      </c>
      <c r="B191" t="s">
        <v>423</v>
      </c>
      <c r="C191" s="2">
        <v>45090</v>
      </c>
      <c r="D191" s="2"/>
      <c r="E191" t="s">
        <v>3217</v>
      </c>
      <c r="F191" t="s">
        <v>91</v>
      </c>
      <c r="G191" t="s">
        <v>3218</v>
      </c>
      <c r="H191" s="6" t="s">
        <v>219</v>
      </c>
      <c r="I191" s="1" t="s">
        <v>38</v>
      </c>
      <c r="J191" s="8">
        <v>629562761</v>
      </c>
      <c r="K191" s="8" t="s">
        <v>6182</v>
      </c>
      <c r="L191" t="s">
        <v>3217</v>
      </c>
      <c r="M191" s="2">
        <v>45107</v>
      </c>
      <c r="N191" s="1" t="s">
        <v>35</v>
      </c>
      <c r="O191" s="61" t="s">
        <v>7925</v>
      </c>
      <c r="P191" s="14" t="s">
        <v>8701</v>
      </c>
      <c r="Q191" s="92">
        <v>132.22999999999999</v>
      </c>
      <c r="R191" s="1">
        <v>1</v>
      </c>
      <c r="S191" s="90">
        <v>0.21</v>
      </c>
      <c r="T191" s="90">
        <v>0.2</v>
      </c>
      <c r="V191" s="95">
        <f t="shared" si="2"/>
        <v>127.99863999999999</v>
      </c>
      <c r="W191" t="s">
        <v>7060</v>
      </c>
      <c r="X191" s="5" t="s">
        <v>8759</v>
      </c>
      <c r="Y191" s="2">
        <v>33001</v>
      </c>
      <c r="Z191" s="2">
        <v>45090</v>
      </c>
      <c r="AA191" s="285" t="s">
        <v>9392</v>
      </c>
      <c r="AB191" s="2">
        <v>45239</v>
      </c>
      <c r="AC191" s="133" t="s">
        <v>1339</v>
      </c>
      <c r="AF191" t="s">
        <v>3198</v>
      </c>
      <c r="AI191" t="s">
        <v>3108</v>
      </c>
      <c r="AJ191" s="2">
        <v>45100</v>
      </c>
      <c r="AL191" s="3"/>
      <c r="AM191" s="74">
        <v>45104</v>
      </c>
      <c r="AT191" s="1"/>
    </row>
    <row r="192" spans="1:139" s="197" customFormat="1">
      <c r="A192" s="1">
        <v>190</v>
      </c>
      <c r="B192" t="s">
        <v>33</v>
      </c>
      <c r="C192" s="2">
        <v>45090</v>
      </c>
      <c r="D192" s="2"/>
      <c r="E192" s="1" t="s">
        <v>6424</v>
      </c>
      <c r="F192" s="61" t="s">
        <v>6425</v>
      </c>
      <c r="G192" s="61" t="s">
        <v>6426</v>
      </c>
      <c r="H192" s="6" t="s">
        <v>227</v>
      </c>
      <c r="I192" s="1" t="s">
        <v>203</v>
      </c>
      <c r="J192" s="8"/>
      <c r="K192" s="114" t="s">
        <v>11744</v>
      </c>
      <c r="L192" t="s">
        <v>237</v>
      </c>
      <c r="M192" s="2">
        <v>45107</v>
      </c>
      <c r="N192" s="1" t="s">
        <v>35</v>
      </c>
      <c r="O192" s="61" t="s">
        <v>7934</v>
      </c>
      <c r="P192" s="14" t="s">
        <v>8702</v>
      </c>
      <c r="Q192" s="187">
        <v>78.510000000000005</v>
      </c>
      <c r="R192" s="1">
        <v>1</v>
      </c>
      <c r="S192" s="128">
        <v>0.21</v>
      </c>
      <c r="T192" s="128">
        <v>0.2</v>
      </c>
      <c r="U192"/>
      <c r="V192" s="95">
        <f t="shared" si="2"/>
        <v>75.997680000000003</v>
      </c>
      <c r="W192" t="s">
        <v>6563</v>
      </c>
      <c r="X192" s="5" t="s">
        <v>9045</v>
      </c>
      <c r="Y192" s="2">
        <v>29281</v>
      </c>
      <c r="Z192" s="2">
        <v>45090</v>
      </c>
      <c r="AA192" s="371" t="s">
        <v>9046</v>
      </c>
      <c r="AB192" s="3">
        <v>45173</v>
      </c>
      <c r="AC192" s="133" t="s">
        <v>1339</v>
      </c>
      <c r="AD192"/>
      <c r="AE192"/>
      <c r="AF192" t="s">
        <v>3198</v>
      </c>
      <c r="AG192"/>
      <c r="AH192"/>
      <c r="AI192"/>
      <c r="AJ192" s="2"/>
      <c r="AK192" s="74"/>
      <c r="AL192" s="74"/>
      <c r="AM192" s="74"/>
      <c r="AN192"/>
      <c r="AO192"/>
      <c r="AP192"/>
      <c r="AQ192"/>
      <c r="AR192"/>
      <c r="AS192"/>
      <c r="AT192" s="1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</row>
    <row r="193" spans="1:46">
      <c r="A193" s="1">
        <v>191</v>
      </c>
      <c r="B193" t="s">
        <v>37</v>
      </c>
      <c r="C193" s="2">
        <v>45090</v>
      </c>
      <c r="D193" s="2"/>
      <c r="E193" s="1" t="s">
        <v>2906</v>
      </c>
      <c r="F193" t="s">
        <v>4139</v>
      </c>
      <c r="G193" t="s">
        <v>8703</v>
      </c>
      <c r="H193" s="6" t="s">
        <v>232</v>
      </c>
      <c r="I193" s="1" t="s">
        <v>144</v>
      </c>
      <c r="J193" s="1">
        <v>631884303</v>
      </c>
      <c r="K193" s="1"/>
      <c r="L193" s="1" t="s">
        <v>2906</v>
      </c>
      <c r="M193" s="2">
        <v>45107</v>
      </c>
      <c r="N193" s="1" t="s">
        <v>35</v>
      </c>
      <c r="O193" s="61" t="s">
        <v>7968</v>
      </c>
      <c r="P193" s="14" t="s">
        <v>8706</v>
      </c>
      <c r="Q193" s="92">
        <v>132.22999999999999</v>
      </c>
      <c r="R193" s="1">
        <v>1</v>
      </c>
      <c r="S193" s="128">
        <v>0.21</v>
      </c>
      <c r="T193" s="128">
        <v>0.2</v>
      </c>
      <c r="U193" s="363"/>
      <c r="V193" s="95">
        <f t="shared" si="2"/>
        <v>127.99863999999999</v>
      </c>
      <c r="W193" t="s">
        <v>8812</v>
      </c>
      <c r="X193" s="5" t="s">
        <v>8813</v>
      </c>
      <c r="Y193" s="2">
        <v>28126</v>
      </c>
      <c r="Z193" s="2">
        <v>45090</v>
      </c>
      <c r="AA193" s="371" t="s">
        <v>9308</v>
      </c>
      <c r="AB193" s="2">
        <v>45224</v>
      </c>
      <c r="AC193" s="133" t="s">
        <v>1339</v>
      </c>
      <c r="AD193" s="61"/>
      <c r="AE193" s="61"/>
      <c r="AF193" t="s">
        <v>3198</v>
      </c>
      <c r="AI193" t="s">
        <v>8707</v>
      </c>
      <c r="AJ193" s="2">
        <v>45112</v>
      </c>
      <c r="AK193" s="76" t="s">
        <v>8843</v>
      </c>
      <c r="AM193" s="3">
        <v>45117</v>
      </c>
      <c r="AT193" s="1"/>
    </row>
    <row r="194" spans="1:46">
      <c r="A194" s="1">
        <v>192</v>
      </c>
      <c r="B194" t="s">
        <v>37</v>
      </c>
      <c r="C194" s="2">
        <v>45090</v>
      </c>
      <c r="D194" s="2"/>
      <c r="E194" s="1" t="s">
        <v>2906</v>
      </c>
      <c r="F194" t="s">
        <v>4139</v>
      </c>
      <c r="G194" t="s">
        <v>8704</v>
      </c>
      <c r="H194" s="6" t="s">
        <v>8705</v>
      </c>
      <c r="I194" s="1" t="s">
        <v>144</v>
      </c>
      <c r="J194" s="1">
        <v>631884304</v>
      </c>
      <c r="K194" s="1"/>
      <c r="L194" s="1" t="s">
        <v>2906</v>
      </c>
      <c r="M194" s="2">
        <v>45107</v>
      </c>
      <c r="N194" s="1" t="s">
        <v>35</v>
      </c>
      <c r="O194" s="61" t="s">
        <v>7968</v>
      </c>
      <c r="P194" s="14" t="s">
        <v>8795</v>
      </c>
      <c r="Q194" s="92">
        <v>132.22999999999999</v>
      </c>
      <c r="R194" s="1">
        <v>1</v>
      </c>
      <c r="S194" s="128">
        <v>0.21</v>
      </c>
      <c r="T194" s="128">
        <v>0.2</v>
      </c>
      <c r="U194" s="363"/>
      <c r="V194" s="95">
        <f t="shared" ref="V194:V224" si="3">SUM(Q194-(Q194*T194))*S194+(Q194-(Q194*T194))</f>
        <v>127.99863999999999</v>
      </c>
      <c r="W194" t="s">
        <v>8810</v>
      </c>
      <c r="X194" s="5" t="s">
        <v>8811</v>
      </c>
      <c r="Y194" s="2">
        <v>38540</v>
      </c>
      <c r="Z194" s="2">
        <v>45090</v>
      </c>
      <c r="AA194" s="371" t="s">
        <v>9308</v>
      </c>
      <c r="AB194" s="2">
        <v>45224</v>
      </c>
      <c r="AC194" s="133" t="s">
        <v>1339</v>
      </c>
      <c r="AD194" s="61"/>
      <c r="AE194" s="61"/>
      <c r="AF194" t="s">
        <v>3198</v>
      </c>
      <c r="AI194" t="s">
        <v>8707</v>
      </c>
      <c r="AJ194" s="2">
        <v>45112</v>
      </c>
      <c r="AK194" s="76" t="s">
        <v>8843</v>
      </c>
      <c r="AM194" s="3">
        <v>45117</v>
      </c>
      <c r="AT194" s="1"/>
    </row>
    <row r="195" spans="1:46">
      <c r="A195" s="1">
        <v>193</v>
      </c>
      <c r="B195" t="s">
        <v>423</v>
      </c>
      <c r="C195" s="2">
        <v>45091</v>
      </c>
      <c r="D195" s="2"/>
      <c r="E195" t="s">
        <v>3217</v>
      </c>
      <c r="F195" t="s">
        <v>91</v>
      </c>
      <c r="G195" t="s">
        <v>3218</v>
      </c>
      <c r="H195" s="6" t="s">
        <v>219</v>
      </c>
      <c r="I195" s="1" t="s">
        <v>38</v>
      </c>
      <c r="J195" s="8">
        <v>629562761</v>
      </c>
      <c r="K195" s="8" t="s">
        <v>6182</v>
      </c>
      <c r="L195" t="s">
        <v>3217</v>
      </c>
      <c r="M195" s="2">
        <v>45107</v>
      </c>
      <c r="N195" s="1" t="s">
        <v>35</v>
      </c>
      <c r="O195" s="61" t="s">
        <v>7933</v>
      </c>
      <c r="P195" s="14" t="s">
        <v>8713</v>
      </c>
      <c r="Q195" s="92">
        <v>100</v>
      </c>
      <c r="R195" s="1">
        <v>1</v>
      </c>
      <c r="S195" s="90">
        <v>0.21</v>
      </c>
      <c r="T195" s="90">
        <v>0</v>
      </c>
      <c r="V195" s="95">
        <f t="shared" si="3"/>
        <v>121</v>
      </c>
      <c r="W195" t="s">
        <v>8446</v>
      </c>
      <c r="X195" s="5" t="s">
        <v>8436</v>
      </c>
      <c r="Y195" s="2">
        <v>36649</v>
      </c>
      <c r="Z195" s="2">
        <v>45091</v>
      </c>
      <c r="AA195" s="371" t="s">
        <v>9308</v>
      </c>
      <c r="AB195" s="64">
        <v>45224</v>
      </c>
      <c r="AC195" s="133" t="s">
        <v>1339</v>
      </c>
      <c r="AF195" s="61" t="s">
        <v>3198</v>
      </c>
      <c r="AI195" s="61"/>
      <c r="AJ195" s="61"/>
      <c r="AL195" s="3"/>
      <c r="AM195" s="61"/>
      <c r="AN195" s="61"/>
      <c r="AT195" s="1"/>
    </row>
    <row r="196" spans="1:46">
      <c r="A196" s="1">
        <v>194</v>
      </c>
      <c r="B196" t="s">
        <v>4321</v>
      </c>
      <c r="C196" s="2">
        <v>45092</v>
      </c>
      <c r="D196" s="2"/>
      <c r="E196" s="1" t="s">
        <v>8714</v>
      </c>
      <c r="F196" t="s">
        <v>8715</v>
      </c>
      <c r="G196" t="s">
        <v>8716</v>
      </c>
      <c r="H196" s="6" t="s">
        <v>239</v>
      </c>
      <c r="I196" s="1" t="s">
        <v>2585</v>
      </c>
      <c r="K196" s="1" t="s">
        <v>5991</v>
      </c>
      <c r="L196" s="1" t="s">
        <v>8714</v>
      </c>
      <c r="M196" s="2">
        <v>45107</v>
      </c>
      <c r="N196" s="1" t="s">
        <v>35</v>
      </c>
      <c r="O196" s="61" t="s">
        <v>7926</v>
      </c>
      <c r="P196" s="14" t="s">
        <v>8717</v>
      </c>
      <c r="Q196" s="92">
        <v>132.22999999999999</v>
      </c>
      <c r="R196" s="1">
        <v>1</v>
      </c>
      <c r="S196" s="128">
        <v>0.21</v>
      </c>
      <c r="T196" s="128">
        <v>0.2</v>
      </c>
      <c r="U196" s="363"/>
      <c r="V196" s="95">
        <f t="shared" si="3"/>
        <v>127.99863999999999</v>
      </c>
      <c r="W196" t="s">
        <v>8751</v>
      </c>
      <c r="X196" s="5" t="s">
        <v>8752</v>
      </c>
      <c r="Y196" s="2">
        <v>33604</v>
      </c>
      <c r="Z196" s="2">
        <v>45092</v>
      </c>
      <c r="AA196" s="276" t="s">
        <v>9921</v>
      </c>
      <c r="AB196" s="2">
        <v>45334</v>
      </c>
      <c r="AC196" s="133" t="s">
        <v>1339</v>
      </c>
      <c r="AD196" s="61"/>
      <c r="AE196" s="374">
        <v>45246</v>
      </c>
      <c r="AF196" t="s">
        <v>3198</v>
      </c>
      <c r="AI196" t="s">
        <v>3221</v>
      </c>
      <c r="AJ196" s="2">
        <v>45098</v>
      </c>
      <c r="AM196" s="3">
        <v>45099</v>
      </c>
      <c r="AT196" s="1"/>
    </row>
    <row r="197" spans="1:46">
      <c r="A197" s="1">
        <v>195</v>
      </c>
      <c r="B197" t="s">
        <v>33</v>
      </c>
      <c r="C197" s="2">
        <v>45092</v>
      </c>
      <c r="D197" s="2"/>
      <c r="E197" s="1" t="s">
        <v>1777</v>
      </c>
      <c r="F197" s="61" t="s">
        <v>1778</v>
      </c>
      <c r="G197" s="61" t="s">
        <v>4479</v>
      </c>
      <c r="H197" s="6" t="s">
        <v>304</v>
      </c>
      <c r="I197" t="s">
        <v>4480</v>
      </c>
      <c r="J197" s="8"/>
      <c r="K197" s="114" t="s">
        <v>11744</v>
      </c>
      <c r="L197" t="s">
        <v>237</v>
      </c>
      <c r="M197" s="2">
        <v>45107</v>
      </c>
      <c r="N197" s="1" t="s">
        <v>35</v>
      </c>
      <c r="O197" s="61" t="s">
        <v>7925</v>
      </c>
      <c r="P197" s="14" t="s">
        <v>4481</v>
      </c>
      <c r="Q197" s="92">
        <v>132.22999999999999</v>
      </c>
      <c r="R197" s="1">
        <v>1</v>
      </c>
      <c r="S197" s="128">
        <v>0.21</v>
      </c>
      <c r="T197" s="128">
        <v>0.2</v>
      </c>
      <c r="U197" s="363"/>
      <c r="V197" s="95">
        <f t="shared" si="3"/>
        <v>127.99863999999999</v>
      </c>
      <c r="W197" t="s">
        <v>4482</v>
      </c>
      <c r="X197" s="5" t="s">
        <v>8809</v>
      </c>
      <c r="Y197" s="2">
        <v>24249</v>
      </c>
      <c r="Z197" s="2">
        <v>45092</v>
      </c>
      <c r="AA197" s="377" t="s">
        <v>9400</v>
      </c>
      <c r="AB197" s="2">
        <v>45244</v>
      </c>
      <c r="AC197" s="80" t="s">
        <v>1339</v>
      </c>
      <c r="AD197" s="61"/>
      <c r="AE197" s="61"/>
      <c r="AF197" t="s">
        <v>3198</v>
      </c>
      <c r="AI197" t="s">
        <v>3108</v>
      </c>
      <c r="AJ197" s="2">
        <v>45112</v>
      </c>
      <c r="AM197" s="3">
        <v>45120</v>
      </c>
      <c r="AT197" s="1"/>
    </row>
    <row r="198" spans="1:46">
      <c r="A198" s="1">
        <v>196</v>
      </c>
      <c r="B198" t="s">
        <v>5635</v>
      </c>
      <c r="C198" s="2">
        <v>45093</v>
      </c>
      <c r="D198" s="2"/>
      <c r="E198" s="1" t="s">
        <v>8791</v>
      </c>
      <c r="F198" t="s">
        <v>8718</v>
      </c>
      <c r="G198" t="s">
        <v>8719</v>
      </c>
      <c r="H198" s="6" t="s">
        <v>1424</v>
      </c>
      <c r="I198" s="1" t="s">
        <v>34</v>
      </c>
      <c r="J198" s="1" t="s">
        <v>8720</v>
      </c>
      <c r="K198" s="1"/>
      <c r="L198" s="1" t="s">
        <v>8791</v>
      </c>
      <c r="M198" s="2">
        <v>45107</v>
      </c>
      <c r="N198" s="1" t="s">
        <v>35</v>
      </c>
      <c r="O198" s="61" t="s">
        <v>7925</v>
      </c>
      <c r="P198" s="14" t="s">
        <v>8721</v>
      </c>
      <c r="Q198" s="92">
        <v>132.22999999999999</v>
      </c>
      <c r="R198" s="1">
        <v>1</v>
      </c>
      <c r="S198" s="128">
        <v>0.21</v>
      </c>
      <c r="T198" s="128">
        <v>0.2</v>
      </c>
      <c r="U198" s="363"/>
      <c r="V198" s="95">
        <f t="shared" si="3"/>
        <v>127.99863999999999</v>
      </c>
      <c r="W198" t="s">
        <v>8791</v>
      </c>
      <c r="X198" s="5" t="s">
        <v>8792</v>
      </c>
      <c r="Y198" s="2">
        <v>32675</v>
      </c>
      <c r="Z198" s="2">
        <v>45093</v>
      </c>
      <c r="AA198" s="284" t="s">
        <v>10010</v>
      </c>
      <c r="AB198" s="2">
        <v>45355</v>
      </c>
      <c r="AC198" s="80" t="s">
        <v>1339</v>
      </c>
      <c r="AD198" s="61"/>
      <c r="AE198" s="405">
        <v>45271</v>
      </c>
      <c r="AF198" t="s">
        <v>3198</v>
      </c>
      <c r="AI198" t="s">
        <v>3108</v>
      </c>
      <c r="AJ198" s="2">
        <v>45104</v>
      </c>
      <c r="AM198" s="3">
        <v>45112</v>
      </c>
      <c r="AT198" s="1"/>
    </row>
    <row r="199" spans="1:46">
      <c r="A199" s="1">
        <v>197</v>
      </c>
      <c r="B199" t="s">
        <v>1414</v>
      </c>
      <c r="C199" s="2">
        <v>45093</v>
      </c>
      <c r="D199" s="2"/>
      <c r="E199" s="1" t="s">
        <v>1079</v>
      </c>
      <c r="F199" t="s">
        <v>41</v>
      </c>
      <c r="G199" s="61" t="s">
        <v>2115</v>
      </c>
      <c r="H199" s="1" t="s">
        <v>230</v>
      </c>
      <c r="I199" s="1" t="s">
        <v>1262</v>
      </c>
      <c r="J199" s="1">
        <v>631212115</v>
      </c>
      <c r="K199" s="8" t="s">
        <v>6306</v>
      </c>
      <c r="L199" s="1" t="s">
        <v>1079</v>
      </c>
      <c r="M199" s="2">
        <v>45107</v>
      </c>
      <c r="N199" s="1" t="s">
        <v>35</v>
      </c>
      <c r="O199" s="61" t="s">
        <v>7935</v>
      </c>
      <c r="P199" s="14" t="s">
        <v>8722</v>
      </c>
      <c r="Q199" s="92">
        <v>78.510000000000005</v>
      </c>
      <c r="R199" s="1">
        <v>1</v>
      </c>
      <c r="S199" s="128">
        <v>0.21</v>
      </c>
      <c r="T199" s="128">
        <v>0.2</v>
      </c>
      <c r="U199" s="363"/>
      <c r="V199" s="95">
        <f t="shared" si="3"/>
        <v>75.997680000000003</v>
      </c>
      <c r="W199" s="1" t="s">
        <v>1081</v>
      </c>
      <c r="X199" s="5" t="s">
        <v>8912</v>
      </c>
      <c r="Y199" s="2">
        <v>30681</v>
      </c>
      <c r="Z199" s="2">
        <v>45093</v>
      </c>
      <c r="AA199" s="371" t="s">
        <v>8913</v>
      </c>
      <c r="AB199" s="2">
        <v>45134</v>
      </c>
      <c r="AC199" s="80" t="s">
        <v>1339</v>
      </c>
      <c r="AF199" t="s">
        <v>3198</v>
      </c>
      <c r="AI199" s="1"/>
    </row>
    <row r="200" spans="1:46">
      <c r="A200" s="1">
        <v>198</v>
      </c>
      <c r="B200" t="s">
        <v>1242</v>
      </c>
      <c r="C200" s="2">
        <v>45093</v>
      </c>
      <c r="D200" s="2"/>
      <c r="E200" s="1" t="s">
        <v>3103</v>
      </c>
      <c r="F200" s="61" t="s">
        <v>3581</v>
      </c>
      <c r="G200" s="61" t="s">
        <v>7441</v>
      </c>
      <c r="H200" s="6" t="s">
        <v>221</v>
      </c>
      <c r="I200" s="1" t="s">
        <v>34</v>
      </c>
      <c r="J200" s="8"/>
      <c r="K200" s="8" t="s">
        <v>5905</v>
      </c>
      <c r="L200" s="31" t="s">
        <v>1250</v>
      </c>
      <c r="M200" s="2">
        <v>45107</v>
      </c>
      <c r="N200" s="1" t="s">
        <v>35</v>
      </c>
      <c r="O200" s="61" t="s">
        <v>7925</v>
      </c>
      <c r="P200" s="14" t="s">
        <v>8723</v>
      </c>
      <c r="Q200" s="92">
        <v>132.22999999999999</v>
      </c>
      <c r="R200" s="1">
        <v>1</v>
      </c>
      <c r="S200" s="128">
        <v>0.21</v>
      </c>
      <c r="T200" s="128">
        <v>0.2</v>
      </c>
      <c r="U200" s="363"/>
      <c r="V200" s="95">
        <f t="shared" si="3"/>
        <v>127.99863999999999</v>
      </c>
      <c r="W200" t="s">
        <v>8793</v>
      </c>
      <c r="X200" s="5" t="s">
        <v>8794</v>
      </c>
      <c r="Y200" s="2">
        <v>29406</v>
      </c>
      <c r="Z200" s="2">
        <v>45093</v>
      </c>
      <c r="AA200" s="284" t="s">
        <v>9428</v>
      </c>
      <c r="AB200" s="2">
        <v>45246</v>
      </c>
      <c r="AC200" s="80" t="s">
        <v>1339</v>
      </c>
      <c r="AF200" t="s">
        <v>3198</v>
      </c>
      <c r="AI200" t="s">
        <v>3108</v>
      </c>
      <c r="AJ200" s="3">
        <v>45104</v>
      </c>
      <c r="AM200" s="3">
        <v>45113</v>
      </c>
    </row>
    <row r="201" spans="1:46">
      <c r="A201" s="1">
        <v>199</v>
      </c>
      <c r="B201" t="s">
        <v>40</v>
      </c>
      <c r="C201" s="2">
        <v>45096</v>
      </c>
      <c r="D201" s="2"/>
      <c r="E201" s="1" t="s">
        <v>57</v>
      </c>
      <c r="F201" t="s">
        <v>5270</v>
      </c>
      <c r="G201" s="61" t="s">
        <v>4516</v>
      </c>
      <c r="H201" s="6" t="s">
        <v>221</v>
      </c>
      <c r="I201" s="1" t="s">
        <v>34</v>
      </c>
      <c r="J201" s="1">
        <v>697501300</v>
      </c>
      <c r="K201" s="1" t="s">
        <v>8357</v>
      </c>
      <c r="L201" s="1" t="s">
        <v>57</v>
      </c>
      <c r="M201" s="2">
        <v>45107</v>
      </c>
      <c r="N201" s="1" t="s">
        <v>35</v>
      </c>
      <c r="O201" s="61" t="s">
        <v>7926</v>
      </c>
      <c r="P201" s="14" t="s">
        <v>8726</v>
      </c>
      <c r="Q201" s="92">
        <v>132.22999999999999</v>
      </c>
      <c r="R201" s="1">
        <v>1</v>
      </c>
      <c r="S201" s="128">
        <v>0.21</v>
      </c>
      <c r="T201" s="128">
        <v>0.2</v>
      </c>
      <c r="U201" s="363"/>
      <c r="V201" s="95">
        <f t="shared" si="3"/>
        <v>127.99863999999999</v>
      </c>
      <c r="W201" t="s">
        <v>8789</v>
      </c>
      <c r="X201" s="5" t="s">
        <v>8790</v>
      </c>
      <c r="Y201" s="2">
        <v>34090</v>
      </c>
      <c r="Z201" s="2">
        <v>45096</v>
      </c>
      <c r="AA201" s="377" t="s">
        <v>9254</v>
      </c>
      <c r="AB201" s="2">
        <v>45218</v>
      </c>
      <c r="AC201" s="80" t="s">
        <v>1339</v>
      </c>
      <c r="AF201" t="s">
        <v>3198</v>
      </c>
      <c r="AI201" t="s">
        <v>8727</v>
      </c>
      <c r="AJ201" s="3">
        <v>45104</v>
      </c>
      <c r="AK201" s="76" t="s">
        <v>8840</v>
      </c>
      <c r="AM201" s="3">
        <v>45117</v>
      </c>
    </row>
    <row r="202" spans="1:46">
      <c r="A202" s="1">
        <v>200</v>
      </c>
      <c r="B202" t="s">
        <v>4715</v>
      </c>
      <c r="C202" s="2">
        <v>45096</v>
      </c>
      <c r="D202" s="2"/>
      <c r="E202" s="1" t="s">
        <v>8735</v>
      </c>
      <c r="F202" t="s">
        <v>8736</v>
      </c>
      <c r="G202" t="s">
        <v>8737</v>
      </c>
      <c r="H202" s="6" t="s">
        <v>236</v>
      </c>
      <c r="I202" s="1" t="s">
        <v>34</v>
      </c>
      <c r="J202" s="8"/>
      <c r="K202" s="1" t="s">
        <v>8738</v>
      </c>
      <c r="L202" s="1" t="s">
        <v>8735</v>
      </c>
      <c r="M202" s="2">
        <v>45107</v>
      </c>
      <c r="N202" s="1" t="s">
        <v>35</v>
      </c>
      <c r="O202" s="61" t="s">
        <v>7934</v>
      </c>
      <c r="P202" s="14" t="s">
        <v>8728</v>
      </c>
      <c r="Q202" s="92">
        <v>78.510000000000005</v>
      </c>
      <c r="R202" s="1">
        <v>1</v>
      </c>
      <c r="S202" s="128">
        <v>0.21</v>
      </c>
      <c r="T202" s="128">
        <v>0.2</v>
      </c>
      <c r="V202" s="95">
        <f t="shared" si="3"/>
        <v>75.997680000000003</v>
      </c>
      <c r="W202" t="s">
        <v>4879</v>
      </c>
      <c r="X202" s="5" t="s">
        <v>8730</v>
      </c>
      <c r="Y202" s="2">
        <v>31100</v>
      </c>
      <c r="Z202" s="2">
        <v>45096</v>
      </c>
      <c r="AA202" s="377" t="s">
        <v>8973</v>
      </c>
      <c r="AB202" s="3">
        <v>45152</v>
      </c>
      <c r="AC202" s="80" t="s">
        <v>1339</v>
      </c>
      <c r="AF202" t="s">
        <v>3198</v>
      </c>
      <c r="AJ202" s="2"/>
      <c r="AM202" s="74">
        <v>44711</v>
      </c>
      <c r="AT202" s="1"/>
    </row>
    <row r="203" spans="1:46">
      <c r="A203" s="1">
        <v>201</v>
      </c>
      <c r="B203" t="s">
        <v>4715</v>
      </c>
      <c r="C203" s="2">
        <v>45098</v>
      </c>
      <c r="D203" s="2"/>
      <c r="E203" s="1" t="s">
        <v>8735</v>
      </c>
      <c r="F203" t="s">
        <v>8736</v>
      </c>
      <c r="G203" t="s">
        <v>8737</v>
      </c>
      <c r="H203" s="6" t="s">
        <v>236</v>
      </c>
      <c r="I203" s="1" t="s">
        <v>34</v>
      </c>
      <c r="J203" s="8"/>
      <c r="K203" s="1" t="s">
        <v>8738</v>
      </c>
      <c r="L203" s="1" t="s">
        <v>8735</v>
      </c>
      <c r="M203" s="2">
        <v>45107</v>
      </c>
      <c r="N203" s="1" t="s">
        <v>35</v>
      </c>
      <c r="O203" s="61" t="s">
        <v>7934</v>
      </c>
      <c r="P203" s="14" t="s">
        <v>8729</v>
      </c>
      <c r="Q203" s="92">
        <v>78.510000000000005</v>
      </c>
      <c r="R203" s="1">
        <v>1</v>
      </c>
      <c r="S203" s="128">
        <v>0.21</v>
      </c>
      <c r="T203" s="128">
        <v>0.2</v>
      </c>
      <c r="V203" s="95">
        <f t="shared" si="3"/>
        <v>75.997680000000003</v>
      </c>
      <c r="W203" t="s">
        <v>4878</v>
      </c>
      <c r="X203" s="5" t="s">
        <v>8748</v>
      </c>
      <c r="Y203" s="2">
        <v>30543</v>
      </c>
      <c r="Z203" s="2">
        <v>45098</v>
      </c>
      <c r="AA203" s="377" t="s">
        <v>8973</v>
      </c>
      <c r="AB203" s="3">
        <v>45152</v>
      </c>
      <c r="AC203" s="80" t="s">
        <v>1339</v>
      </c>
      <c r="AF203" t="s">
        <v>3198</v>
      </c>
      <c r="AJ203" s="2"/>
      <c r="AM203" s="74">
        <v>44711</v>
      </c>
      <c r="AT203" s="1"/>
    </row>
    <row r="204" spans="1:46">
      <c r="A204" s="1">
        <v>202</v>
      </c>
      <c r="B204" t="s">
        <v>52</v>
      </c>
      <c r="C204" s="2">
        <v>45096</v>
      </c>
      <c r="D204" s="2"/>
      <c r="E204" s="1" t="s">
        <v>256</v>
      </c>
      <c r="F204" s="31" t="s">
        <v>155</v>
      </c>
      <c r="G204" s="31" t="s">
        <v>138</v>
      </c>
      <c r="H204" s="33" t="s">
        <v>227</v>
      </c>
      <c r="I204" s="30" t="s">
        <v>203</v>
      </c>
      <c r="J204" s="30">
        <v>631130911</v>
      </c>
      <c r="K204" s="44" t="s">
        <v>5906</v>
      </c>
      <c r="L204" s="1" t="s">
        <v>4432</v>
      </c>
      <c r="M204" s="2">
        <v>45107</v>
      </c>
      <c r="N204" s="1" t="s">
        <v>35</v>
      </c>
      <c r="O204" s="61" t="s">
        <v>7925</v>
      </c>
      <c r="P204" s="14" t="s">
        <v>8739</v>
      </c>
      <c r="Q204" s="187">
        <v>132.22999999999999</v>
      </c>
      <c r="R204" s="1">
        <v>1</v>
      </c>
      <c r="S204" s="90">
        <v>0.21</v>
      </c>
      <c r="T204" s="90">
        <v>0.2</v>
      </c>
      <c r="U204" s="363"/>
      <c r="V204" s="95">
        <f t="shared" si="3"/>
        <v>127.99863999999999</v>
      </c>
      <c r="W204" s="1" t="s">
        <v>8787</v>
      </c>
      <c r="X204" s="5" t="s">
        <v>8788</v>
      </c>
      <c r="Y204" s="2">
        <v>33239</v>
      </c>
      <c r="Z204" s="2">
        <v>45096</v>
      </c>
      <c r="AA204" s="377" t="s">
        <v>9396</v>
      </c>
      <c r="AB204" s="2">
        <v>45244</v>
      </c>
      <c r="AC204" s="80" t="s">
        <v>1339</v>
      </c>
      <c r="AF204" t="s">
        <v>3198</v>
      </c>
      <c r="AI204" t="s">
        <v>3108</v>
      </c>
      <c r="AJ204" s="2">
        <v>45104</v>
      </c>
      <c r="AM204" s="3">
        <v>45112</v>
      </c>
    </row>
    <row r="205" spans="1:46">
      <c r="A205" s="1">
        <v>203</v>
      </c>
      <c r="B205" t="s">
        <v>3526</v>
      </c>
      <c r="C205" s="2">
        <v>45098</v>
      </c>
      <c r="D205" s="2"/>
      <c r="E205" s="1" t="s">
        <v>4746</v>
      </c>
      <c r="F205" t="s">
        <v>4747</v>
      </c>
      <c r="G205" t="s">
        <v>4748</v>
      </c>
      <c r="H205" s="6" t="s">
        <v>1062</v>
      </c>
      <c r="I205" s="1" t="s">
        <v>4749</v>
      </c>
      <c r="J205" s="295">
        <v>662263148</v>
      </c>
      <c r="K205" s="295" t="s">
        <v>5835</v>
      </c>
      <c r="L205" t="s">
        <v>4746</v>
      </c>
      <c r="M205" s="2">
        <v>45107</v>
      </c>
      <c r="N205" s="1" t="s">
        <v>35</v>
      </c>
      <c r="O205" s="61" t="s">
        <v>7925</v>
      </c>
      <c r="P205" s="14" t="s">
        <v>8749</v>
      </c>
      <c r="Q205" s="187">
        <v>132.22999999999999</v>
      </c>
      <c r="R205" s="1">
        <v>1</v>
      </c>
      <c r="S205" s="90">
        <v>0.21</v>
      </c>
      <c r="T205" s="90">
        <v>0.2</v>
      </c>
      <c r="V205" s="95">
        <f t="shared" si="3"/>
        <v>127.99863999999999</v>
      </c>
      <c r="W205" t="s">
        <v>8814</v>
      </c>
      <c r="X205" s="5" t="s">
        <v>8815</v>
      </c>
      <c r="Y205" s="2">
        <v>36227</v>
      </c>
      <c r="Z205" s="2">
        <v>45098</v>
      </c>
      <c r="AA205" s="284" t="s">
        <v>9475</v>
      </c>
      <c r="AB205" s="2">
        <v>45252</v>
      </c>
      <c r="AC205" s="80" t="s">
        <v>1339</v>
      </c>
      <c r="AF205" t="s">
        <v>3198</v>
      </c>
      <c r="AI205" t="s">
        <v>8750</v>
      </c>
      <c r="AJ205" s="2">
        <v>45112</v>
      </c>
      <c r="AK205" s="74"/>
      <c r="AL205" s="74"/>
      <c r="AM205" s="74">
        <v>45113</v>
      </c>
      <c r="AS205" t="s">
        <v>7968</v>
      </c>
      <c r="AT205" s="1"/>
    </row>
    <row r="206" spans="1:46">
      <c r="A206" s="1">
        <v>204</v>
      </c>
      <c r="B206" t="s">
        <v>37</v>
      </c>
      <c r="C206" s="2">
        <v>45099</v>
      </c>
      <c r="D206" s="2"/>
      <c r="E206" s="1" t="s">
        <v>8821</v>
      </c>
      <c r="F206" t="s">
        <v>8754</v>
      </c>
      <c r="G206" t="s">
        <v>7128</v>
      </c>
      <c r="H206" s="6" t="s">
        <v>220</v>
      </c>
      <c r="I206" s="1" t="s">
        <v>39</v>
      </c>
      <c r="J206" s="295">
        <v>642819163</v>
      </c>
      <c r="K206" s="295"/>
      <c r="L206" s="1" t="s">
        <v>8821</v>
      </c>
      <c r="M206" s="2">
        <v>45107</v>
      </c>
      <c r="N206" s="1" t="s">
        <v>35</v>
      </c>
      <c r="O206" s="61" t="s">
        <v>7925</v>
      </c>
      <c r="P206" s="14" t="s">
        <v>8755</v>
      </c>
      <c r="Q206" s="187">
        <v>0</v>
      </c>
      <c r="R206" s="1">
        <v>1</v>
      </c>
      <c r="S206" s="90">
        <v>0.21</v>
      </c>
      <c r="T206" s="90">
        <v>0</v>
      </c>
      <c r="V206" s="95">
        <f t="shared" si="3"/>
        <v>0</v>
      </c>
      <c r="W206" t="s">
        <v>8821</v>
      </c>
      <c r="X206" s="5" t="s">
        <v>8822</v>
      </c>
      <c r="Y206" s="2">
        <v>32675</v>
      </c>
      <c r="Z206" s="2">
        <v>45099</v>
      </c>
      <c r="AA206" s="284" t="s">
        <v>9496</v>
      </c>
      <c r="AB206" s="2">
        <v>45252</v>
      </c>
      <c r="AC206" s="80" t="s">
        <v>1339</v>
      </c>
      <c r="AF206" t="s">
        <v>3198</v>
      </c>
      <c r="AI206" t="s">
        <v>3108</v>
      </c>
      <c r="AJ206" s="2">
        <v>45112</v>
      </c>
      <c r="AK206" s="74"/>
      <c r="AL206" s="74"/>
      <c r="AM206" s="74">
        <v>45113</v>
      </c>
      <c r="AT206" s="1"/>
    </row>
    <row r="207" spans="1:46">
      <c r="A207" s="1">
        <v>205</v>
      </c>
      <c r="B207" t="s">
        <v>33</v>
      </c>
      <c r="C207" s="2">
        <v>45099</v>
      </c>
      <c r="D207" s="2"/>
      <c r="E207" s="1" t="s">
        <v>8756</v>
      </c>
      <c r="F207" t="s">
        <v>8757</v>
      </c>
      <c r="G207" t="s">
        <v>8758</v>
      </c>
      <c r="H207" s="6" t="s">
        <v>304</v>
      </c>
      <c r="I207" s="1" t="s">
        <v>3851</v>
      </c>
      <c r="J207" s="295"/>
      <c r="K207" s="114" t="s">
        <v>11744</v>
      </c>
      <c r="L207" t="s">
        <v>237</v>
      </c>
      <c r="M207" s="2">
        <v>45107</v>
      </c>
      <c r="N207" s="1" t="s">
        <v>35</v>
      </c>
      <c r="O207" s="61" t="s">
        <v>7925</v>
      </c>
      <c r="P207" s="14" t="s">
        <v>8820</v>
      </c>
      <c r="Q207" s="187">
        <v>132.22999999999999</v>
      </c>
      <c r="R207" s="1">
        <v>1</v>
      </c>
      <c r="S207" s="90">
        <v>0.21</v>
      </c>
      <c r="T207" s="90">
        <v>0.2</v>
      </c>
      <c r="V207" s="95">
        <f t="shared" si="3"/>
        <v>127.99863999999999</v>
      </c>
      <c r="W207" t="s">
        <v>8823</v>
      </c>
      <c r="X207" s="5" t="s">
        <v>8824</v>
      </c>
      <c r="Y207" s="2">
        <v>29883</v>
      </c>
      <c r="Z207" s="2">
        <v>45099</v>
      </c>
      <c r="AA207" s="284" t="s">
        <v>9428</v>
      </c>
      <c r="AB207" s="2">
        <v>45246</v>
      </c>
      <c r="AC207" s="80" t="s">
        <v>1339</v>
      </c>
      <c r="AF207" t="s">
        <v>3198</v>
      </c>
      <c r="AI207" s="76" t="s">
        <v>3108</v>
      </c>
      <c r="AJ207" s="2">
        <v>45112</v>
      </c>
      <c r="AK207" s="74"/>
      <c r="AL207" s="74"/>
      <c r="AM207" s="74"/>
      <c r="AT207" s="1"/>
    </row>
    <row r="208" spans="1:46">
      <c r="A208" s="1">
        <v>206</v>
      </c>
      <c r="B208" t="s">
        <v>1242</v>
      </c>
      <c r="C208" s="2">
        <v>45100</v>
      </c>
      <c r="D208" s="2"/>
      <c r="E208" s="1" t="s">
        <v>8761</v>
      </c>
      <c r="F208" t="s">
        <v>8762</v>
      </c>
      <c r="G208" t="s">
        <v>7441</v>
      </c>
      <c r="H208" s="6" t="s">
        <v>221</v>
      </c>
      <c r="I208" s="1" t="s">
        <v>34</v>
      </c>
      <c r="J208" s="295"/>
      <c r="K208" s="8" t="s">
        <v>5905</v>
      </c>
      <c r="L208" s="31" t="s">
        <v>1250</v>
      </c>
      <c r="M208" s="2">
        <v>45107</v>
      </c>
      <c r="N208" s="1" t="s">
        <v>35</v>
      </c>
      <c r="O208" s="61" t="s">
        <v>7928</v>
      </c>
      <c r="P208" s="14" t="s">
        <v>8763</v>
      </c>
      <c r="Q208" s="187">
        <v>132.22999999999999</v>
      </c>
      <c r="R208" s="1">
        <v>1</v>
      </c>
      <c r="S208" s="90">
        <v>0.21</v>
      </c>
      <c r="T208" s="90">
        <v>0.2</v>
      </c>
      <c r="U208" s="363"/>
      <c r="V208" s="95">
        <f t="shared" si="3"/>
        <v>127.99863999999999</v>
      </c>
      <c r="W208" t="s">
        <v>8806</v>
      </c>
      <c r="X208" s="5" t="s">
        <v>8807</v>
      </c>
      <c r="Y208" s="2">
        <v>33528</v>
      </c>
      <c r="Z208" s="2">
        <v>45100</v>
      </c>
      <c r="AA208" s="285" t="s">
        <v>8808</v>
      </c>
      <c r="AB208" s="2">
        <v>45112</v>
      </c>
      <c r="AC208" s="80" t="s">
        <v>1339</v>
      </c>
      <c r="AD208" t="s">
        <v>9819</v>
      </c>
      <c r="AF208" t="s">
        <v>3198</v>
      </c>
      <c r="AI208" t="s">
        <v>3108</v>
      </c>
      <c r="AJ208" s="2"/>
      <c r="AK208" s="74"/>
      <c r="AL208" s="74"/>
      <c r="AM208" s="74"/>
      <c r="AT208" s="1"/>
    </row>
    <row r="209" spans="1:139">
      <c r="A209" s="1">
        <v>207</v>
      </c>
      <c r="B209" t="s">
        <v>33</v>
      </c>
      <c r="C209" s="2">
        <v>45103</v>
      </c>
      <c r="D209" s="2"/>
      <c r="E209" s="1" t="s">
        <v>4477</v>
      </c>
      <c r="F209" t="s">
        <v>8764</v>
      </c>
      <c r="G209" t="s">
        <v>4479</v>
      </c>
      <c r="H209" s="6" t="s">
        <v>236</v>
      </c>
      <c r="I209" s="1" t="s">
        <v>3851</v>
      </c>
      <c r="J209" s="295"/>
      <c r="K209" s="114" t="s">
        <v>11744</v>
      </c>
      <c r="L209" t="s">
        <v>237</v>
      </c>
      <c r="M209" s="2">
        <v>45107</v>
      </c>
      <c r="N209" s="1" t="s">
        <v>35</v>
      </c>
      <c r="O209" s="61" t="s">
        <v>7925</v>
      </c>
      <c r="P209" s="14" t="s">
        <v>8765</v>
      </c>
      <c r="Q209" s="187">
        <v>132.22999999999999</v>
      </c>
      <c r="R209" s="1">
        <v>1</v>
      </c>
      <c r="S209" s="90">
        <v>0.21</v>
      </c>
      <c r="T209" s="90">
        <v>0.2</v>
      </c>
      <c r="U209" s="363"/>
      <c r="V209" s="95">
        <f t="shared" si="3"/>
        <v>127.99863999999999</v>
      </c>
      <c r="W209" t="s">
        <v>8818</v>
      </c>
      <c r="X209" s="5" t="s">
        <v>8819</v>
      </c>
      <c r="Y209" s="2">
        <v>33268</v>
      </c>
      <c r="Z209" s="2">
        <v>45103</v>
      </c>
      <c r="AA209" s="284" t="s">
        <v>9519</v>
      </c>
      <c r="AB209" s="2">
        <v>45254</v>
      </c>
      <c r="AC209" s="80" t="s">
        <v>1339</v>
      </c>
      <c r="AF209" t="s">
        <v>3198</v>
      </c>
      <c r="AI209" t="s">
        <v>3108</v>
      </c>
      <c r="AJ209" s="2">
        <v>45112</v>
      </c>
      <c r="AK209" s="74"/>
      <c r="AL209" s="74"/>
      <c r="AM209" s="74">
        <v>45125</v>
      </c>
      <c r="AT209" s="1"/>
    </row>
    <row r="210" spans="1:139">
      <c r="A210" s="1">
        <v>208</v>
      </c>
      <c r="B210" t="s">
        <v>37</v>
      </c>
      <c r="C210" s="2">
        <v>45103</v>
      </c>
      <c r="D210" s="2"/>
      <c r="E210" s="1" t="s">
        <v>8766</v>
      </c>
      <c r="F210" t="s">
        <v>8767</v>
      </c>
      <c r="G210" t="s">
        <v>8768</v>
      </c>
      <c r="H210" s="6" t="s">
        <v>7966</v>
      </c>
      <c r="I210" s="1" t="s">
        <v>7965</v>
      </c>
      <c r="J210" s="295">
        <v>664809236</v>
      </c>
      <c r="K210" s="295" t="s">
        <v>8769</v>
      </c>
      <c r="L210" s="1" t="s">
        <v>8766</v>
      </c>
      <c r="M210" s="2">
        <v>45107</v>
      </c>
      <c r="N210" s="1" t="s">
        <v>35</v>
      </c>
      <c r="O210" s="61" t="s">
        <v>7934</v>
      </c>
      <c r="P210" s="14" t="s">
        <v>8770</v>
      </c>
      <c r="Q210" s="187">
        <v>78.510000000000005</v>
      </c>
      <c r="R210" s="1">
        <v>1</v>
      </c>
      <c r="S210" s="90">
        <v>0.21</v>
      </c>
      <c r="T210" s="90">
        <v>0.2</v>
      </c>
      <c r="U210" s="363"/>
      <c r="V210" s="95">
        <f t="shared" si="3"/>
        <v>75.997680000000003</v>
      </c>
      <c r="W210" t="s">
        <v>8766</v>
      </c>
      <c r="X210" s="5" t="s">
        <v>8771</v>
      </c>
      <c r="Y210" s="2">
        <v>25199</v>
      </c>
      <c r="Z210" s="2">
        <v>45103</v>
      </c>
      <c r="AA210" s="377" t="s">
        <v>8995</v>
      </c>
      <c r="AB210" s="2">
        <v>45160</v>
      </c>
      <c r="AC210" s="80" t="s">
        <v>1339</v>
      </c>
      <c r="AF210" t="s">
        <v>3198</v>
      </c>
      <c r="AJ210" s="2"/>
      <c r="AK210" s="74"/>
      <c r="AL210" s="74"/>
      <c r="AM210" s="74"/>
      <c r="AT210" s="1"/>
    </row>
    <row r="211" spans="1:139">
      <c r="A211" s="1">
        <v>209</v>
      </c>
      <c r="B211" t="s">
        <v>37</v>
      </c>
      <c r="C211" s="2">
        <v>45104</v>
      </c>
      <c r="D211" s="2"/>
      <c r="E211" t="s">
        <v>8816</v>
      </c>
      <c r="F211" t="s">
        <v>8775</v>
      </c>
      <c r="G211" t="s">
        <v>6594</v>
      </c>
      <c r="H211" s="6" t="s">
        <v>219</v>
      </c>
      <c r="I211" s="1" t="s">
        <v>4334</v>
      </c>
      <c r="J211" s="295">
        <v>602025411</v>
      </c>
      <c r="K211" s="295"/>
      <c r="L211" s="1" t="s">
        <v>8816</v>
      </c>
      <c r="M211" s="2">
        <v>45107</v>
      </c>
      <c r="N211" s="1" t="s">
        <v>35</v>
      </c>
      <c r="O211" s="61" t="s">
        <v>7925</v>
      </c>
      <c r="P211" s="14" t="s">
        <v>8776</v>
      </c>
      <c r="Q211" s="187">
        <v>132.22999999999999</v>
      </c>
      <c r="R211" s="1">
        <v>1</v>
      </c>
      <c r="S211" s="90">
        <v>0.21</v>
      </c>
      <c r="T211" s="90">
        <v>0</v>
      </c>
      <c r="U211" s="363"/>
      <c r="V211" s="95">
        <f t="shared" si="3"/>
        <v>159.99829999999997</v>
      </c>
      <c r="W211" t="s">
        <v>8816</v>
      </c>
      <c r="X211" s="5" t="s">
        <v>8817</v>
      </c>
      <c r="Y211" s="2">
        <v>30627</v>
      </c>
      <c r="Z211" s="2">
        <v>45104</v>
      </c>
      <c r="AA211" s="284" t="s">
        <v>9475</v>
      </c>
      <c r="AB211" s="2">
        <v>45252</v>
      </c>
      <c r="AC211" s="80" t="s">
        <v>1339</v>
      </c>
      <c r="AF211" t="s">
        <v>3198</v>
      </c>
      <c r="AI211" t="s">
        <v>8777</v>
      </c>
      <c r="AJ211" s="2">
        <v>45112</v>
      </c>
      <c r="AK211" s="74"/>
      <c r="AL211" s="74"/>
      <c r="AM211" s="74">
        <v>45113</v>
      </c>
      <c r="AT211" s="1"/>
    </row>
    <row r="212" spans="1:139">
      <c r="A212" s="1">
        <v>210</v>
      </c>
      <c r="B212" t="s">
        <v>40</v>
      </c>
      <c r="C212" s="2">
        <v>45104</v>
      </c>
      <c r="D212" s="2"/>
      <c r="E212" s="1" t="s">
        <v>8778</v>
      </c>
      <c r="F212" t="s">
        <v>8779</v>
      </c>
      <c r="G212" t="s">
        <v>8780</v>
      </c>
      <c r="H212" s="6" t="s">
        <v>221</v>
      </c>
      <c r="I212" s="1" t="s">
        <v>34</v>
      </c>
      <c r="J212" s="295"/>
      <c r="K212" s="295"/>
      <c r="L212" s="1" t="s">
        <v>8778</v>
      </c>
      <c r="M212" s="2">
        <v>45107</v>
      </c>
      <c r="N212" s="1" t="s">
        <v>35</v>
      </c>
      <c r="O212" s="61" t="s">
        <v>7934</v>
      </c>
      <c r="P212" s="14" t="s">
        <v>8781</v>
      </c>
      <c r="Q212" s="187">
        <v>78.510000000000005</v>
      </c>
      <c r="R212" s="1">
        <v>1</v>
      </c>
      <c r="S212" s="90">
        <v>0.21</v>
      </c>
      <c r="T212" s="90">
        <v>0.2</v>
      </c>
      <c r="U212" s="363"/>
      <c r="V212" s="95">
        <f t="shared" si="3"/>
        <v>75.997680000000003</v>
      </c>
      <c r="W212" t="s">
        <v>8782</v>
      </c>
      <c r="X212" s="5" t="s">
        <v>8783</v>
      </c>
      <c r="Y212" s="2">
        <v>32564</v>
      </c>
      <c r="Z212" s="2">
        <v>45104</v>
      </c>
      <c r="AA212" s="377" t="s">
        <v>9090</v>
      </c>
      <c r="AB212" s="2">
        <v>45182</v>
      </c>
      <c r="AC212" s="80" t="s">
        <v>1339</v>
      </c>
      <c r="AF212" t="s">
        <v>3198</v>
      </c>
      <c r="AJ212" s="2"/>
      <c r="AK212" s="74"/>
      <c r="AL212" s="74"/>
      <c r="AM212" s="74"/>
      <c r="AT212" s="1"/>
    </row>
    <row r="213" spans="1:139">
      <c r="A213" s="1">
        <v>211</v>
      </c>
      <c r="B213" t="s">
        <v>37</v>
      </c>
      <c r="C213" s="2">
        <v>45104</v>
      </c>
      <c r="D213" s="2"/>
      <c r="E213" s="1" t="s">
        <v>1150</v>
      </c>
      <c r="F213" t="s">
        <v>8784</v>
      </c>
      <c r="G213" t="s">
        <v>8785</v>
      </c>
      <c r="H213" s="6" t="s">
        <v>242</v>
      </c>
      <c r="I213" s="1" t="s">
        <v>5083</v>
      </c>
      <c r="J213" s="295">
        <v>631495978</v>
      </c>
      <c r="K213" s="295"/>
      <c r="L213" s="1" t="s">
        <v>1150</v>
      </c>
      <c r="M213" s="2">
        <v>45107</v>
      </c>
      <c r="N213" s="1" t="s">
        <v>35</v>
      </c>
      <c r="O213" s="61" t="s">
        <v>7926</v>
      </c>
      <c r="P213" s="14" t="s">
        <v>8786</v>
      </c>
      <c r="Q213" s="187">
        <v>132.22999999999999</v>
      </c>
      <c r="R213" s="1">
        <v>1</v>
      </c>
      <c r="S213" s="90">
        <v>0.21</v>
      </c>
      <c r="T213" s="90">
        <v>0.2</v>
      </c>
      <c r="U213" s="363"/>
      <c r="V213" s="95">
        <f t="shared" si="3"/>
        <v>127.99863999999999</v>
      </c>
      <c r="W213" t="s">
        <v>8826</v>
      </c>
      <c r="X213" s="5" t="s">
        <v>8827</v>
      </c>
      <c r="Y213" s="2">
        <v>33345</v>
      </c>
      <c r="Z213" s="2">
        <v>45104</v>
      </c>
      <c r="AA213" s="395" t="s">
        <v>9957</v>
      </c>
      <c r="AB213" s="2">
        <v>45343</v>
      </c>
      <c r="AC213" s="80" t="s">
        <v>1339</v>
      </c>
      <c r="AE213" s="292">
        <v>45247</v>
      </c>
      <c r="AF213" t="s">
        <v>3198</v>
      </c>
      <c r="AI213" s="61" t="s">
        <v>3470</v>
      </c>
      <c r="AJ213" s="2">
        <v>45112</v>
      </c>
      <c r="AK213" s="74"/>
      <c r="AL213" s="74"/>
      <c r="AM213" s="74">
        <v>45114</v>
      </c>
      <c r="AT213" s="1"/>
    </row>
    <row r="214" spans="1:139">
      <c r="A214" s="1">
        <v>212</v>
      </c>
      <c r="B214" t="s">
        <v>33</v>
      </c>
      <c r="C214" s="2">
        <v>45112</v>
      </c>
      <c r="D214" s="2"/>
      <c r="E214" s="1" t="s">
        <v>8796</v>
      </c>
      <c r="F214" t="s">
        <v>8797</v>
      </c>
      <c r="G214" t="s">
        <v>8798</v>
      </c>
      <c r="H214" s="6" t="s">
        <v>236</v>
      </c>
      <c r="I214" s="1" t="s">
        <v>3851</v>
      </c>
      <c r="J214" s="295"/>
      <c r="K214" s="114" t="s">
        <v>11744</v>
      </c>
      <c r="L214" t="s">
        <v>237</v>
      </c>
      <c r="M214" s="2">
        <v>45138</v>
      </c>
      <c r="N214" s="1" t="s">
        <v>35</v>
      </c>
      <c r="O214" s="61" t="s">
        <v>7926</v>
      </c>
      <c r="P214" s="14" t="s">
        <v>8799</v>
      </c>
      <c r="Q214" s="187">
        <v>132.22999999999999</v>
      </c>
      <c r="R214" s="1">
        <v>1</v>
      </c>
      <c r="S214" s="90">
        <v>0.21</v>
      </c>
      <c r="T214" s="90">
        <v>0.2</v>
      </c>
      <c r="U214" s="363"/>
      <c r="V214" s="95">
        <f t="shared" si="3"/>
        <v>127.99863999999999</v>
      </c>
      <c r="W214" t="s">
        <v>8854</v>
      </c>
      <c r="X214" s="5" t="s">
        <v>8855</v>
      </c>
      <c r="Y214" s="2">
        <v>36774</v>
      </c>
      <c r="Z214" s="2">
        <v>45112</v>
      </c>
      <c r="AA214" s="395" t="s">
        <v>10020</v>
      </c>
      <c r="AB214" s="2">
        <v>45355</v>
      </c>
      <c r="AC214" s="80" t="s">
        <v>1339</v>
      </c>
      <c r="AE214" s="292">
        <v>45257</v>
      </c>
      <c r="AF214" t="s">
        <v>3198</v>
      </c>
      <c r="AI214" s="61" t="s">
        <v>8800</v>
      </c>
      <c r="AJ214" s="2">
        <v>45119</v>
      </c>
      <c r="AK214" s="74"/>
      <c r="AL214" s="74"/>
      <c r="AM214" s="74">
        <v>45120</v>
      </c>
      <c r="AT214" s="1"/>
    </row>
    <row r="215" spans="1:139">
      <c r="A215" s="1">
        <v>213</v>
      </c>
      <c r="B215" t="s">
        <v>33</v>
      </c>
      <c r="C215" s="2">
        <v>45112</v>
      </c>
      <c r="D215" s="2"/>
      <c r="E215" s="1" t="s">
        <v>8801</v>
      </c>
      <c r="F215" t="s">
        <v>8802</v>
      </c>
      <c r="G215" t="s">
        <v>8803</v>
      </c>
      <c r="H215" s="6" t="s">
        <v>219</v>
      </c>
      <c r="I215" s="1" t="s">
        <v>4334</v>
      </c>
      <c r="J215" s="295"/>
      <c r="K215" s="114" t="s">
        <v>11744</v>
      </c>
      <c r="L215" t="s">
        <v>237</v>
      </c>
      <c r="M215" s="2">
        <v>45138</v>
      </c>
      <c r="N215" s="1" t="s">
        <v>35</v>
      </c>
      <c r="O215" s="61" t="s">
        <v>7925</v>
      </c>
      <c r="P215" s="14" t="s">
        <v>8804</v>
      </c>
      <c r="Q215" s="187">
        <v>132.22999999999999</v>
      </c>
      <c r="R215" s="1">
        <v>1</v>
      </c>
      <c r="S215" s="90">
        <v>0.21</v>
      </c>
      <c r="T215" s="90">
        <v>0.2</v>
      </c>
      <c r="U215" s="363"/>
      <c r="V215" s="95">
        <f t="shared" si="3"/>
        <v>127.99863999999999</v>
      </c>
      <c r="W215" t="s">
        <v>8879</v>
      </c>
      <c r="X215" s="5" t="s">
        <v>8880</v>
      </c>
      <c r="Y215" s="2">
        <v>35917</v>
      </c>
      <c r="Z215" s="2">
        <v>45112</v>
      </c>
      <c r="AA215" s="377" t="s">
        <v>9954</v>
      </c>
      <c r="AB215" s="2">
        <v>45342</v>
      </c>
      <c r="AC215" s="80" t="s">
        <v>1339</v>
      </c>
      <c r="AE215" s="162">
        <v>45274</v>
      </c>
      <c r="AF215" t="s">
        <v>3198</v>
      </c>
      <c r="AI215" t="s">
        <v>3108</v>
      </c>
      <c r="AJ215" s="2">
        <v>45126</v>
      </c>
      <c r="AK215" s="74"/>
      <c r="AL215" s="74"/>
      <c r="AM215" s="74">
        <v>45133</v>
      </c>
      <c r="AT215" s="1"/>
    </row>
    <row r="216" spans="1:139">
      <c r="A216" s="1">
        <v>214</v>
      </c>
      <c r="B216" s="61" t="s">
        <v>6452</v>
      </c>
      <c r="C216" s="2">
        <v>45112</v>
      </c>
      <c r="D216" s="2"/>
      <c r="E216" s="1" t="s">
        <v>6534</v>
      </c>
      <c r="F216" t="s">
        <v>6535</v>
      </c>
      <c r="G216" s="61" t="s">
        <v>6536</v>
      </c>
      <c r="H216" s="6" t="s">
        <v>4929</v>
      </c>
      <c r="I216" s="1" t="s">
        <v>6537</v>
      </c>
      <c r="J216" s="44">
        <v>699378832</v>
      </c>
      <c r="K216" s="44" t="s">
        <v>6538</v>
      </c>
      <c r="L216" t="s">
        <v>6534</v>
      </c>
      <c r="M216" s="2">
        <v>45138</v>
      </c>
      <c r="N216" s="1" t="s">
        <v>35</v>
      </c>
      <c r="O216" s="61" t="s">
        <v>7934</v>
      </c>
      <c r="P216" s="14" t="s">
        <v>8831</v>
      </c>
      <c r="Q216" s="187">
        <v>132.22999999999999</v>
      </c>
      <c r="R216" s="1">
        <v>1</v>
      </c>
      <c r="S216" s="128">
        <v>0.21</v>
      </c>
      <c r="T216" s="128">
        <v>0.2</v>
      </c>
      <c r="V216" s="95">
        <f t="shared" si="3"/>
        <v>127.99863999999999</v>
      </c>
      <c r="W216" t="s">
        <v>6725</v>
      </c>
      <c r="X216" s="5" t="s">
        <v>8832</v>
      </c>
      <c r="Y216" s="2">
        <v>27298</v>
      </c>
      <c r="Z216" s="2">
        <v>45112</v>
      </c>
      <c r="AA216" s="377" t="s">
        <v>9169</v>
      </c>
      <c r="AB216" s="3">
        <v>45195</v>
      </c>
      <c r="AC216" s="80" t="s">
        <v>1339</v>
      </c>
      <c r="AE216" s="3"/>
      <c r="AF216" t="s">
        <v>3198</v>
      </c>
      <c r="AJ216" s="2"/>
      <c r="AM216" s="74"/>
      <c r="AT216" s="1"/>
    </row>
    <row r="217" spans="1:139" s="197" customFormat="1">
      <c r="A217" s="1">
        <v>215</v>
      </c>
      <c r="B217" s="61" t="s">
        <v>4321</v>
      </c>
      <c r="C217" s="2">
        <v>45114</v>
      </c>
      <c r="D217" s="2"/>
      <c r="E217" s="1" t="s">
        <v>3427</v>
      </c>
      <c r="F217" s="61" t="s">
        <v>3428</v>
      </c>
      <c r="G217" s="61" t="s">
        <v>3433</v>
      </c>
      <c r="H217" s="6" t="s">
        <v>3429</v>
      </c>
      <c r="I217" s="1" t="s">
        <v>86</v>
      </c>
      <c r="J217" s="1">
        <v>650379091</v>
      </c>
      <c r="K217" s="8" t="s">
        <v>5991</v>
      </c>
      <c r="L217" s="1" t="s">
        <v>3427</v>
      </c>
      <c r="M217" s="2">
        <v>45138</v>
      </c>
      <c r="N217" t="s">
        <v>35</v>
      </c>
      <c r="O217" s="14" t="s">
        <v>7925</v>
      </c>
      <c r="P217" s="14" t="s">
        <v>8835</v>
      </c>
      <c r="Q217" s="187">
        <v>132.22999999999999</v>
      </c>
      <c r="R217" s="1">
        <v>1</v>
      </c>
      <c r="S217" s="128">
        <v>0.21</v>
      </c>
      <c r="T217" s="128">
        <v>0.2</v>
      </c>
      <c r="U217"/>
      <c r="V217" s="95">
        <f t="shared" si="3"/>
        <v>127.99863999999999</v>
      </c>
      <c r="W217" t="s">
        <v>8877</v>
      </c>
      <c r="X217" s="5" t="s">
        <v>8878</v>
      </c>
      <c r="Y217" s="2">
        <v>34646</v>
      </c>
      <c r="Z217" s="2">
        <v>45114</v>
      </c>
      <c r="AA217" s="285" t="s">
        <v>9546</v>
      </c>
      <c r="AB217" s="64">
        <v>45254</v>
      </c>
      <c r="AC217" s="133" t="s">
        <v>1339</v>
      </c>
      <c r="AD217"/>
      <c r="AE217"/>
      <c r="AF217" t="s">
        <v>3198</v>
      </c>
      <c r="AG217"/>
      <c r="AH217"/>
      <c r="AI217" t="s">
        <v>4218</v>
      </c>
      <c r="AJ217" s="2">
        <v>45126</v>
      </c>
      <c r="AK217"/>
      <c r="AL217"/>
      <c r="AM217" s="2">
        <v>45138</v>
      </c>
      <c r="AN217"/>
      <c r="AO217"/>
      <c r="AP217"/>
      <c r="AQ217"/>
      <c r="AR217"/>
      <c r="AS217"/>
      <c r="AT217" s="1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</row>
    <row r="218" spans="1:139">
      <c r="A218" s="1">
        <v>216</v>
      </c>
      <c r="B218" t="s">
        <v>37</v>
      </c>
      <c r="C218" s="2">
        <v>45114</v>
      </c>
      <c r="D218" s="2"/>
      <c r="E218" t="s">
        <v>3353</v>
      </c>
      <c r="F218" t="s">
        <v>3354</v>
      </c>
      <c r="G218" t="s">
        <v>3355</v>
      </c>
      <c r="H218" s="6" t="s">
        <v>1229</v>
      </c>
      <c r="I218" s="1" t="s">
        <v>38</v>
      </c>
      <c r="J218">
        <v>631152163</v>
      </c>
      <c r="K218" s="1"/>
      <c r="L218" s="1" t="s">
        <v>3353</v>
      </c>
      <c r="M218" s="2">
        <v>45138</v>
      </c>
      <c r="N218" s="1" t="s">
        <v>35</v>
      </c>
      <c r="O218" s="14" t="s">
        <v>7937</v>
      </c>
      <c r="P218" t="s">
        <v>8836</v>
      </c>
      <c r="Q218" s="187">
        <v>132.22999999999999</v>
      </c>
      <c r="R218" s="1">
        <v>1</v>
      </c>
      <c r="S218" s="128">
        <v>0.21</v>
      </c>
      <c r="T218" s="128">
        <v>0.2</v>
      </c>
      <c r="U218" s="227" t="s">
        <v>4073</v>
      </c>
      <c r="V218" s="95">
        <f t="shared" si="3"/>
        <v>127.99863999999999</v>
      </c>
      <c r="W218" t="s">
        <v>8866</v>
      </c>
      <c r="X218" s="5" t="s">
        <v>8867</v>
      </c>
      <c r="Y218" s="2">
        <v>45057</v>
      </c>
      <c r="Z218" s="2">
        <v>45114</v>
      </c>
      <c r="AA218" s="377" t="s">
        <v>9065</v>
      </c>
      <c r="AB218" s="2">
        <v>45176</v>
      </c>
      <c r="AC218" s="80" t="s">
        <v>1339</v>
      </c>
      <c r="AF218" t="s">
        <v>3198</v>
      </c>
      <c r="AI218" t="s">
        <v>3108</v>
      </c>
      <c r="AJ218" s="3">
        <v>45124</v>
      </c>
      <c r="AM218" s="3">
        <v>45125</v>
      </c>
    </row>
    <row r="219" spans="1:139" ht="15.75" customHeight="1">
      <c r="A219" s="1">
        <v>217</v>
      </c>
      <c r="B219" s="61" t="s">
        <v>52</v>
      </c>
      <c r="C219" s="2">
        <v>45117</v>
      </c>
      <c r="D219" s="2"/>
      <c r="E219" s="30" t="s">
        <v>458</v>
      </c>
      <c r="F219" t="s">
        <v>84</v>
      </c>
      <c r="G219" s="103" t="s">
        <v>138</v>
      </c>
      <c r="H219" s="30" t="s">
        <v>227</v>
      </c>
      <c r="I219" s="31" t="s">
        <v>203</v>
      </c>
      <c r="J219" s="44"/>
      <c r="K219" s="44" t="s">
        <v>5906</v>
      </c>
      <c r="L219" t="s">
        <v>4432</v>
      </c>
      <c r="M219" s="2">
        <v>45138</v>
      </c>
      <c r="N219" s="1" t="s">
        <v>35</v>
      </c>
      <c r="O219" s="61" t="s">
        <v>7925</v>
      </c>
      <c r="P219" s="14" t="s">
        <v>8842</v>
      </c>
      <c r="Q219" s="187">
        <v>132.22999999999999</v>
      </c>
      <c r="R219" s="1">
        <v>1</v>
      </c>
      <c r="S219" s="90">
        <v>0.21</v>
      </c>
      <c r="T219" s="90">
        <v>0.2</v>
      </c>
      <c r="V219" s="95">
        <f t="shared" si="3"/>
        <v>127.99863999999999</v>
      </c>
      <c r="W219" t="s">
        <v>8881</v>
      </c>
      <c r="X219" s="5" t="s">
        <v>8882</v>
      </c>
      <c r="Y219" s="2">
        <v>31020</v>
      </c>
      <c r="Z219" s="2">
        <v>45117</v>
      </c>
      <c r="AA219" s="377" t="s">
        <v>10027</v>
      </c>
      <c r="AB219" s="2">
        <v>45358</v>
      </c>
      <c r="AC219" s="80" t="s">
        <v>1339</v>
      </c>
      <c r="AD219" s="61" t="s">
        <v>8293</v>
      </c>
      <c r="AE219" s="162">
        <v>45278</v>
      </c>
      <c r="AF219" t="s">
        <v>3198</v>
      </c>
      <c r="AI219" t="s">
        <v>3108</v>
      </c>
      <c r="AJ219" s="2">
        <v>45126</v>
      </c>
      <c r="AM219" s="74">
        <v>45127</v>
      </c>
      <c r="AT219" s="1"/>
    </row>
    <row r="220" spans="1:139">
      <c r="A220" s="1">
        <v>218</v>
      </c>
      <c r="B220" t="s">
        <v>3526</v>
      </c>
      <c r="C220" s="2">
        <v>45118</v>
      </c>
      <c r="D220" s="2"/>
      <c r="E220" s="1" t="s">
        <v>8844</v>
      </c>
      <c r="F220" t="s">
        <v>8845</v>
      </c>
      <c r="G220" t="s">
        <v>8846</v>
      </c>
      <c r="H220" s="6" t="s">
        <v>8847</v>
      </c>
      <c r="I220" s="1" t="s">
        <v>4081</v>
      </c>
      <c r="J220" s="30">
        <v>632134816</v>
      </c>
      <c r="K220" s="30"/>
      <c r="L220" s="1" t="s">
        <v>8844</v>
      </c>
      <c r="M220" s="2">
        <v>45138</v>
      </c>
      <c r="N220" s="1" t="s">
        <v>35</v>
      </c>
      <c r="O220" s="61" t="s">
        <v>7935</v>
      </c>
      <c r="P220" s="14" t="s">
        <v>8848</v>
      </c>
      <c r="Q220" s="92">
        <v>78.510000000000005</v>
      </c>
      <c r="R220" s="1">
        <v>1</v>
      </c>
      <c r="S220" s="128">
        <v>0.21</v>
      </c>
      <c r="T220" s="128">
        <v>0.2</v>
      </c>
      <c r="U220" s="95"/>
      <c r="V220" s="95">
        <f t="shared" si="3"/>
        <v>75.997680000000003</v>
      </c>
      <c r="W220" s="3" t="s">
        <v>2324</v>
      </c>
      <c r="X220" s="5" t="s">
        <v>8849</v>
      </c>
      <c r="Y220" s="3">
        <v>39109</v>
      </c>
      <c r="Z220" s="2">
        <v>45118</v>
      </c>
      <c r="AA220" s="377" t="s">
        <v>9089</v>
      </c>
      <c r="AB220" s="2">
        <v>45182</v>
      </c>
      <c r="AC220" s="80" t="s">
        <v>1339</v>
      </c>
      <c r="AD220" s="61"/>
      <c r="AE220" s="61"/>
      <c r="AF220" t="s">
        <v>3198</v>
      </c>
      <c r="AI220" s="61"/>
      <c r="AJ220" s="2"/>
      <c r="AM220" s="3"/>
      <c r="AT220" s="1"/>
    </row>
    <row r="221" spans="1:139">
      <c r="A221" s="1">
        <v>219</v>
      </c>
      <c r="B221" t="s">
        <v>3526</v>
      </c>
      <c r="C221" s="2">
        <v>45118</v>
      </c>
      <c r="D221" s="2"/>
      <c r="E221" s="1" t="s">
        <v>8844</v>
      </c>
      <c r="F221" t="s">
        <v>8845</v>
      </c>
      <c r="G221" t="s">
        <v>8846</v>
      </c>
      <c r="H221" s="6" t="s">
        <v>8847</v>
      </c>
      <c r="I221" s="1" t="s">
        <v>4081</v>
      </c>
      <c r="J221" s="30">
        <v>632134816</v>
      </c>
      <c r="K221" s="30"/>
      <c r="L221" s="1" t="s">
        <v>8844</v>
      </c>
      <c r="M221" s="2">
        <v>45138</v>
      </c>
      <c r="N221" s="1" t="s">
        <v>35</v>
      </c>
      <c r="O221" s="61" t="s">
        <v>7935</v>
      </c>
      <c r="P221" s="14" t="s">
        <v>8850</v>
      </c>
      <c r="Q221" s="92">
        <v>78.510000000000005</v>
      </c>
      <c r="R221" s="1">
        <v>1</v>
      </c>
      <c r="S221" s="128">
        <v>0.21</v>
      </c>
      <c r="T221" s="128">
        <v>0.2</v>
      </c>
      <c r="U221" s="95"/>
      <c r="V221" s="95">
        <f t="shared" si="3"/>
        <v>75.997680000000003</v>
      </c>
      <c r="W221" t="s">
        <v>2325</v>
      </c>
      <c r="X221" s="5" t="s">
        <v>8851</v>
      </c>
      <c r="Y221" s="3">
        <v>38452</v>
      </c>
      <c r="Z221" s="2">
        <v>45118</v>
      </c>
      <c r="AA221" s="377" t="s">
        <v>9089</v>
      </c>
      <c r="AB221" s="2">
        <v>45182</v>
      </c>
      <c r="AC221" s="80" t="s">
        <v>1339</v>
      </c>
      <c r="AD221" s="61"/>
      <c r="AE221" s="61"/>
      <c r="AF221" t="s">
        <v>3198</v>
      </c>
      <c r="AI221" s="61"/>
      <c r="AJ221" s="2"/>
      <c r="AM221" s="3"/>
      <c r="AT221" s="1"/>
    </row>
    <row r="222" spans="1:139">
      <c r="A222" s="1">
        <v>220</v>
      </c>
      <c r="B222" s="61" t="s">
        <v>1414</v>
      </c>
      <c r="C222" s="2">
        <v>45118</v>
      </c>
      <c r="D222" s="2"/>
      <c r="E222" t="s">
        <v>2781</v>
      </c>
      <c r="F222" s="14" t="s">
        <v>229</v>
      </c>
      <c r="G222" t="s">
        <v>4023</v>
      </c>
      <c r="H222" s="6" t="s">
        <v>230</v>
      </c>
      <c r="I222" t="s">
        <v>1262</v>
      </c>
      <c r="J222" s="8">
        <v>637571817</v>
      </c>
      <c r="K222" s="8" t="s">
        <v>8852</v>
      </c>
      <c r="L222" t="s">
        <v>2781</v>
      </c>
      <c r="M222" s="2">
        <v>45138</v>
      </c>
      <c r="N222" s="1" t="s">
        <v>35</v>
      </c>
      <c r="O222" s="61" t="s">
        <v>7925</v>
      </c>
      <c r="P222" s="14" t="s">
        <v>8883</v>
      </c>
      <c r="Q222" s="187">
        <v>132.22999999999999</v>
      </c>
      <c r="R222" s="1">
        <v>1</v>
      </c>
      <c r="S222" s="90">
        <v>0.21</v>
      </c>
      <c r="T222" s="90">
        <v>0.2</v>
      </c>
      <c r="V222" s="95">
        <f t="shared" si="3"/>
        <v>127.99863999999999</v>
      </c>
      <c r="W222" t="s">
        <v>8884</v>
      </c>
      <c r="X222" s="5" t="s">
        <v>8885</v>
      </c>
      <c r="Y222" s="2">
        <v>35431</v>
      </c>
      <c r="Z222" s="2">
        <v>45118</v>
      </c>
      <c r="AA222" s="377" t="s">
        <v>10060</v>
      </c>
      <c r="AB222" s="3">
        <v>45359</v>
      </c>
      <c r="AC222" s="80" t="s">
        <v>1339</v>
      </c>
      <c r="AE222" s="162">
        <v>45289</v>
      </c>
      <c r="AF222" t="s">
        <v>3198</v>
      </c>
      <c r="AI222" t="s">
        <v>4218</v>
      </c>
      <c r="AJ222" s="2">
        <v>45126</v>
      </c>
      <c r="AK222" s="74"/>
      <c r="AL222" s="74"/>
      <c r="AM222" s="74">
        <v>45127</v>
      </c>
      <c r="AT222" s="1"/>
    </row>
    <row r="223" spans="1:139">
      <c r="A223" s="1">
        <v>221</v>
      </c>
      <c r="B223" t="s">
        <v>37</v>
      </c>
      <c r="C223" s="2">
        <v>45118</v>
      </c>
      <c r="D223" s="2"/>
      <c r="E223" t="s">
        <v>6892</v>
      </c>
      <c r="F223" t="s">
        <v>6798</v>
      </c>
      <c r="G223" t="s">
        <v>6799</v>
      </c>
      <c r="H223" s="6" t="s">
        <v>2451</v>
      </c>
      <c r="I223" s="1" t="s">
        <v>3681</v>
      </c>
      <c r="J223" s="44">
        <v>642742518</v>
      </c>
      <c r="K223" s="44"/>
      <c r="L223" t="s">
        <v>6892</v>
      </c>
      <c r="M223" s="2">
        <v>45138</v>
      </c>
      <c r="N223" s="1" t="s">
        <v>35</v>
      </c>
      <c r="O223" s="61" t="s">
        <v>7934</v>
      </c>
      <c r="P223" s="14" t="s">
        <v>8853</v>
      </c>
      <c r="Q223" s="187">
        <v>78.510000000000005</v>
      </c>
      <c r="R223" s="1">
        <v>1</v>
      </c>
      <c r="S223" s="128">
        <v>0.21</v>
      </c>
      <c r="T223" s="128">
        <v>0</v>
      </c>
      <c r="U223" s="1"/>
      <c r="V223" s="95">
        <f t="shared" si="3"/>
        <v>94.997100000000003</v>
      </c>
      <c r="W223" t="s">
        <v>9060</v>
      </c>
      <c r="X223" s="5" t="s">
        <v>8916</v>
      </c>
      <c r="Y223" s="2">
        <v>34449</v>
      </c>
      <c r="Z223" s="2">
        <v>45118</v>
      </c>
      <c r="AA223" s="377" t="s">
        <v>9177</v>
      </c>
      <c r="AB223" s="3">
        <v>45196</v>
      </c>
      <c r="AC223" s="80" t="s">
        <v>1339</v>
      </c>
      <c r="AF223" t="s">
        <v>3198</v>
      </c>
      <c r="AJ223" s="2"/>
      <c r="AM223" s="74"/>
      <c r="AT223" s="1"/>
    </row>
    <row r="224" spans="1:139">
      <c r="A224" s="1">
        <v>222</v>
      </c>
      <c r="B224" s="61" t="s">
        <v>37</v>
      </c>
      <c r="C224" s="2">
        <v>45121</v>
      </c>
      <c r="D224" s="2"/>
      <c r="E224" s="1" t="s">
        <v>3892</v>
      </c>
      <c r="F224" s="14" t="s">
        <v>8857</v>
      </c>
      <c r="G224" t="s">
        <v>8858</v>
      </c>
      <c r="H224" s="6" t="s">
        <v>7966</v>
      </c>
      <c r="I224" s="1" t="s">
        <v>7965</v>
      </c>
      <c r="J224" s="8">
        <v>532531682</v>
      </c>
      <c r="K224" s="8"/>
      <c r="L224" s="1" t="s">
        <v>3892</v>
      </c>
      <c r="M224" s="2">
        <v>45138</v>
      </c>
      <c r="N224" s="1" t="s">
        <v>35</v>
      </c>
      <c r="O224" s="61" t="s">
        <v>7934</v>
      </c>
      <c r="P224" s="14" t="s">
        <v>5622</v>
      </c>
      <c r="Q224" s="187">
        <v>78.510000000000005</v>
      </c>
      <c r="R224" s="1">
        <v>1</v>
      </c>
      <c r="S224" s="90">
        <v>0.21</v>
      </c>
      <c r="T224" s="90">
        <v>0</v>
      </c>
      <c r="U224" s="363"/>
      <c r="V224" s="95">
        <f t="shared" si="3"/>
        <v>94.997100000000003</v>
      </c>
      <c r="W224" s="1" t="s">
        <v>3892</v>
      </c>
      <c r="X224" s="5" t="s">
        <v>8859</v>
      </c>
      <c r="Y224" s="2">
        <v>33258</v>
      </c>
      <c r="Z224" s="2">
        <v>45121</v>
      </c>
      <c r="AA224" s="377" t="s">
        <v>9163</v>
      </c>
      <c r="AB224" s="2">
        <v>45194</v>
      </c>
      <c r="AC224" s="80" t="s">
        <v>1339</v>
      </c>
      <c r="AE224" s="162">
        <v>45190</v>
      </c>
      <c r="AF224" t="s">
        <v>3198</v>
      </c>
      <c r="AJ224" s="2"/>
      <c r="AK224" s="74"/>
      <c r="AL224" s="74"/>
      <c r="AM224" s="74"/>
      <c r="AT224" s="1"/>
    </row>
    <row r="225" spans="1:138" ht="15.75" customHeight="1">
      <c r="A225" s="1">
        <v>223</v>
      </c>
      <c r="B225" s="61" t="s">
        <v>1511</v>
      </c>
      <c r="C225" s="2">
        <v>45121</v>
      </c>
      <c r="D225" s="2"/>
      <c r="E225" t="s">
        <v>3971</v>
      </c>
      <c r="F225" t="s">
        <v>3972</v>
      </c>
      <c r="G225" t="s">
        <v>3973</v>
      </c>
      <c r="H225" s="6" t="s">
        <v>219</v>
      </c>
      <c r="I225" t="s">
        <v>38</v>
      </c>
      <c r="J225" s="1" t="s">
        <v>3974</v>
      </c>
      <c r="K225" s="1"/>
      <c r="L225" t="s">
        <v>3971</v>
      </c>
      <c r="M225" s="2">
        <v>45138</v>
      </c>
      <c r="N225" s="1" t="s">
        <v>35</v>
      </c>
      <c r="O225" s="61" t="s">
        <v>7934</v>
      </c>
      <c r="P225" s="14" t="s">
        <v>5613</v>
      </c>
      <c r="Q225" s="187">
        <v>78.510000000000005</v>
      </c>
      <c r="R225" s="1">
        <v>1</v>
      </c>
      <c r="S225" s="90">
        <v>0.21</v>
      </c>
      <c r="T225" s="90">
        <v>0.2</v>
      </c>
      <c r="U225" s="95"/>
      <c r="V225" s="95">
        <f>(Q225*R225)*S225+Q225*R225</f>
        <v>94.997100000000003</v>
      </c>
      <c r="W225" s="1" t="s">
        <v>3971</v>
      </c>
      <c r="X225" s="221" t="s">
        <v>8860</v>
      </c>
      <c r="Y225" s="2">
        <v>35231</v>
      </c>
      <c r="Z225" s="2">
        <v>45121</v>
      </c>
      <c r="AA225" s="377" t="s">
        <v>9124</v>
      </c>
      <c r="AB225" s="2">
        <v>45187</v>
      </c>
      <c r="AC225" s="80" t="s">
        <v>1339</v>
      </c>
      <c r="AF225" t="s">
        <v>3198</v>
      </c>
      <c r="AH225" s="1"/>
      <c r="AI225" s="1"/>
      <c r="AJ225" s="1"/>
      <c r="AL225" s="2"/>
    </row>
    <row r="226" spans="1:138">
      <c r="A226" s="1">
        <v>224</v>
      </c>
      <c r="B226" s="61" t="s">
        <v>5635</v>
      </c>
      <c r="C226" s="2">
        <v>45121</v>
      </c>
      <c r="D226" s="2"/>
      <c r="E226" s="1" t="s">
        <v>8861</v>
      </c>
      <c r="F226" s="14" t="s">
        <v>8910</v>
      </c>
      <c r="G226" t="s">
        <v>8862</v>
      </c>
      <c r="H226" s="6" t="s">
        <v>221</v>
      </c>
      <c r="I226" s="1" t="s">
        <v>34</v>
      </c>
      <c r="J226" s="8"/>
      <c r="K226" s="1" t="s">
        <v>7800</v>
      </c>
      <c r="L226" s="1" t="s">
        <v>8861</v>
      </c>
      <c r="M226" s="2">
        <v>45138</v>
      </c>
      <c r="N226" s="1" t="s">
        <v>35</v>
      </c>
      <c r="O226" s="61" t="s">
        <v>7925</v>
      </c>
      <c r="P226" s="14" t="s">
        <v>8863</v>
      </c>
      <c r="Q226" s="187">
        <v>132.22999999999999</v>
      </c>
      <c r="R226" s="1">
        <v>1</v>
      </c>
      <c r="S226" s="90">
        <v>0.21</v>
      </c>
      <c r="T226" s="90">
        <v>0.2</v>
      </c>
      <c r="U226" s="363"/>
      <c r="V226" s="95">
        <f t="shared" ref="V226:V250" si="4">SUM(Q226-(Q226*T226))*S226+(Q226-(Q226*T226))</f>
        <v>127.99863999999999</v>
      </c>
      <c r="W226" t="s">
        <v>9148</v>
      </c>
      <c r="X226" s="5" t="s">
        <v>8917</v>
      </c>
      <c r="Y226" s="2">
        <v>31777</v>
      </c>
      <c r="Z226" s="2">
        <v>45121</v>
      </c>
      <c r="AA226" s="61" t="s">
        <v>8864</v>
      </c>
      <c r="AB226" s="2"/>
      <c r="AC226" s="80"/>
      <c r="AF226" t="s">
        <v>3198</v>
      </c>
      <c r="AI226" s="76" t="s">
        <v>3108</v>
      </c>
      <c r="AJ226" s="2">
        <v>45191</v>
      </c>
      <c r="AK226" s="74"/>
      <c r="AL226" s="74"/>
      <c r="AM226" s="2">
        <v>45191</v>
      </c>
      <c r="AT226" s="1"/>
    </row>
    <row r="227" spans="1:138">
      <c r="A227" s="1">
        <v>225</v>
      </c>
      <c r="B227" s="61" t="s">
        <v>37</v>
      </c>
      <c r="C227" s="2">
        <v>45125</v>
      </c>
      <c r="D227" s="2"/>
      <c r="E227" s="1" t="s">
        <v>8868</v>
      </c>
      <c r="F227" s="14" t="s">
        <v>8869</v>
      </c>
      <c r="G227" t="s">
        <v>8870</v>
      </c>
      <c r="H227" s="6" t="s">
        <v>8871</v>
      </c>
      <c r="I227" s="1" t="s">
        <v>49</v>
      </c>
      <c r="J227" s="8"/>
      <c r="K227" s="8"/>
      <c r="L227" s="1" t="s">
        <v>8868</v>
      </c>
      <c r="M227" s="2">
        <v>45138</v>
      </c>
      <c r="N227" s="1" t="s">
        <v>35</v>
      </c>
      <c r="O227" s="61" t="s">
        <v>7930</v>
      </c>
      <c r="P227" s="14" t="s">
        <v>8872</v>
      </c>
      <c r="Q227" s="187">
        <v>0</v>
      </c>
      <c r="R227" s="1">
        <v>0</v>
      </c>
      <c r="S227" s="90">
        <v>0</v>
      </c>
      <c r="T227" s="90">
        <v>0</v>
      </c>
      <c r="U227" s="363"/>
      <c r="V227" s="95">
        <f t="shared" si="4"/>
        <v>0</v>
      </c>
      <c r="W227" t="s">
        <v>9035</v>
      </c>
      <c r="X227" s="5" t="s">
        <v>8895</v>
      </c>
      <c r="Y227" s="2">
        <v>29475</v>
      </c>
      <c r="Z227" s="2">
        <v>45125</v>
      </c>
      <c r="AA227" s="395" t="s">
        <v>9608</v>
      </c>
      <c r="AB227" s="2">
        <v>45275</v>
      </c>
      <c r="AC227" s="80" t="s">
        <v>1339</v>
      </c>
      <c r="AF227" t="s">
        <v>3198</v>
      </c>
      <c r="AJ227" s="2"/>
      <c r="AK227" s="74"/>
      <c r="AL227" s="74"/>
      <c r="AM227" s="74"/>
      <c r="AT227" s="1"/>
    </row>
    <row r="228" spans="1:138">
      <c r="A228" s="1">
        <v>226</v>
      </c>
      <c r="B228" s="61" t="s">
        <v>37</v>
      </c>
      <c r="C228" s="2">
        <v>45125</v>
      </c>
      <c r="D228" s="2"/>
      <c r="E228" s="1" t="s">
        <v>8868</v>
      </c>
      <c r="F228" s="14" t="s">
        <v>8869</v>
      </c>
      <c r="G228" t="s">
        <v>8870</v>
      </c>
      <c r="H228" s="6" t="s">
        <v>8871</v>
      </c>
      <c r="I228" s="1" t="s">
        <v>49</v>
      </c>
      <c r="J228" s="8"/>
      <c r="K228" s="8"/>
      <c r="L228" s="1" t="s">
        <v>8868</v>
      </c>
      <c r="M228" s="2">
        <v>45138</v>
      </c>
      <c r="N228" s="1" t="s">
        <v>35</v>
      </c>
      <c r="O228" s="61" t="s">
        <v>7930</v>
      </c>
      <c r="P228" s="14" t="s">
        <v>8873</v>
      </c>
      <c r="Q228" s="187">
        <v>0</v>
      </c>
      <c r="R228" s="1">
        <v>0</v>
      </c>
      <c r="S228" s="90">
        <v>0</v>
      </c>
      <c r="T228" s="90">
        <v>0</v>
      </c>
      <c r="U228" s="363"/>
      <c r="V228" s="95">
        <f t="shared" si="4"/>
        <v>0</v>
      </c>
      <c r="W228" t="s">
        <v>8904</v>
      </c>
      <c r="X228" s="5" t="s">
        <v>8894</v>
      </c>
      <c r="Y228" s="2">
        <v>30199</v>
      </c>
      <c r="Z228" s="2">
        <v>45125</v>
      </c>
      <c r="AA228" s="395" t="s">
        <v>9608</v>
      </c>
      <c r="AB228" s="2">
        <v>45275</v>
      </c>
      <c r="AC228" s="80" t="s">
        <v>1339</v>
      </c>
      <c r="AF228" t="s">
        <v>3198</v>
      </c>
      <c r="AJ228" s="2"/>
      <c r="AK228" s="74"/>
      <c r="AL228" s="74"/>
      <c r="AM228" s="74"/>
      <c r="AT228" s="1"/>
    </row>
    <row r="229" spans="1:138">
      <c r="A229" s="1">
        <v>227</v>
      </c>
      <c r="B229" t="s">
        <v>52</v>
      </c>
      <c r="C229" s="2">
        <v>45125</v>
      </c>
      <c r="D229" s="2"/>
      <c r="E229" s="1" t="s">
        <v>256</v>
      </c>
      <c r="F229" s="31" t="s">
        <v>155</v>
      </c>
      <c r="G229" s="31" t="s">
        <v>138</v>
      </c>
      <c r="H229" s="33" t="s">
        <v>227</v>
      </c>
      <c r="I229" s="30" t="s">
        <v>203</v>
      </c>
      <c r="J229" s="30">
        <v>631130911</v>
      </c>
      <c r="K229" s="44" t="s">
        <v>5906</v>
      </c>
      <c r="L229" s="1" t="s">
        <v>4432</v>
      </c>
      <c r="M229" s="2">
        <v>45138</v>
      </c>
      <c r="N229" s="1" t="s">
        <v>35</v>
      </c>
      <c r="O229" s="61" t="s">
        <v>7934</v>
      </c>
      <c r="P229" s="14" t="s">
        <v>8874</v>
      </c>
      <c r="Q229" s="187">
        <v>78.510000000000005</v>
      </c>
      <c r="R229" s="1">
        <v>1</v>
      </c>
      <c r="S229" s="90">
        <v>0.21</v>
      </c>
      <c r="T229" s="90">
        <v>0.2</v>
      </c>
      <c r="U229" s="363"/>
      <c r="V229" s="95">
        <f t="shared" si="4"/>
        <v>75.997680000000003</v>
      </c>
      <c r="W229" s="1" t="s">
        <v>6541</v>
      </c>
      <c r="X229" s="5" t="s">
        <v>8875</v>
      </c>
      <c r="Y229" s="2">
        <v>33793</v>
      </c>
      <c r="Z229" s="2">
        <v>45125</v>
      </c>
      <c r="AA229" s="377" t="s">
        <v>9208</v>
      </c>
      <c r="AB229" s="2">
        <v>45203</v>
      </c>
      <c r="AC229" s="80" t="s">
        <v>1339</v>
      </c>
      <c r="AE229" s="3"/>
      <c r="AF229" t="s">
        <v>3198</v>
      </c>
      <c r="AJ229" s="2"/>
      <c r="AM229" s="3"/>
    </row>
    <row r="230" spans="1:138">
      <c r="A230" s="1">
        <v>228</v>
      </c>
      <c r="B230" t="s">
        <v>52</v>
      </c>
      <c r="C230" s="2">
        <v>45125</v>
      </c>
      <c r="D230" s="2"/>
      <c r="E230" s="1" t="s">
        <v>256</v>
      </c>
      <c r="F230" s="31" t="s">
        <v>155</v>
      </c>
      <c r="G230" s="31" t="s">
        <v>138</v>
      </c>
      <c r="H230" s="33" t="s">
        <v>227</v>
      </c>
      <c r="I230" s="30" t="s">
        <v>203</v>
      </c>
      <c r="J230" s="30">
        <v>631130911</v>
      </c>
      <c r="K230" s="44" t="s">
        <v>5906</v>
      </c>
      <c r="L230" s="1" t="s">
        <v>4432</v>
      </c>
      <c r="M230" s="2">
        <v>45138</v>
      </c>
      <c r="N230" s="1" t="s">
        <v>35</v>
      </c>
      <c r="O230" s="61" t="s">
        <v>7926</v>
      </c>
      <c r="P230" s="14" t="s">
        <v>8876</v>
      </c>
      <c r="Q230" s="187">
        <v>132.22999999999999</v>
      </c>
      <c r="R230" s="1">
        <v>1</v>
      </c>
      <c r="S230" s="90">
        <v>0.21</v>
      </c>
      <c r="T230" s="90">
        <v>0.2</v>
      </c>
      <c r="U230" s="363"/>
      <c r="V230" s="95">
        <f t="shared" si="4"/>
        <v>127.99863999999999</v>
      </c>
      <c r="W230" t="s">
        <v>8905</v>
      </c>
      <c r="X230" s="5" t="s">
        <v>8906</v>
      </c>
      <c r="Y230" s="2">
        <v>38451</v>
      </c>
      <c r="Z230" s="2">
        <v>45125</v>
      </c>
      <c r="AA230" s="377" t="s">
        <v>9320</v>
      </c>
      <c r="AB230" s="2">
        <v>45236</v>
      </c>
      <c r="AC230" s="80" t="s">
        <v>1339</v>
      </c>
      <c r="AE230" s="3"/>
      <c r="AF230" t="s">
        <v>3198</v>
      </c>
      <c r="AI230" t="s">
        <v>3470</v>
      </c>
      <c r="AJ230" s="3">
        <v>45133</v>
      </c>
      <c r="AM230" s="3">
        <v>45138</v>
      </c>
      <c r="AS230" t="s">
        <v>7968</v>
      </c>
    </row>
    <row r="231" spans="1:138">
      <c r="A231" s="1">
        <v>229</v>
      </c>
      <c r="B231" t="s">
        <v>6684</v>
      </c>
      <c r="C231" s="2">
        <v>45126</v>
      </c>
      <c r="D231" s="2"/>
      <c r="E231" t="s">
        <v>6685</v>
      </c>
      <c r="F231" t="s">
        <v>6686</v>
      </c>
      <c r="G231" t="s">
        <v>6687</v>
      </c>
      <c r="H231" s="6" t="s">
        <v>2579</v>
      </c>
      <c r="I231" t="s">
        <v>2580</v>
      </c>
      <c r="J231" s="8"/>
      <c r="K231" s="1" t="s">
        <v>7339</v>
      </c>
      <c r="L231" t="s">
        <v>6685</v>
      </c>
      <c r="M231" s="2">
        <v>45138</v>
      </c>
      <c r="N231" s="1" t="s">
        <v>35</v>
      </c>
      <c r="O231" s="61" t="s">
        <v>7925</v>
      </c>
      <c r="P231" s="14" t="s">
        <v>8886</v>
      </c>
      <c r="Q231" s="187">
        <v>132.22999999999999</v>
      </c>
      <c r="R231" s="1">
        <v>1</v>
      </c>
      <c r="S231" s="128">
        <v>0.21</v>
      </c>
      <c r="T231" s="128">
        <v>0.2</v>
      </c>
      <c r="V231" s="95">
        <f t="shared" si="4"/>
        <v>127.99863999999999</v>
      </c>
      <c r="W231" t="s">
        <v>8907</v>
      </c>
      <c r="X231" s="5" t="s">
        <v>8908</v>
      </c>
      <c r="Y231" s="3">
        <v>33238</v>
      </c>
      <c r="Z231" s="2">
        <v>45126</v>
      </c>
      <c r="AA231" s="377" t="s">
        <v>10019</v>
      </c>
      <c r="AB231" s="2">
        <v>45355</v>
      </c>
      <c r="AC231" s="80" t="s">
        <v>1339</v>
      </c>
      <c r="AE231" s="162">
        <v>45274</v>
      </c>
      <c r="AF231" t="s">
        <v>3198</v>
      </c>
      <c r="AI231" t="s">
        <v>5559</v>
      </c>
      <c r="AJ231" s="3">
        <v>45133</v>
      </c>
      <c r="AM231" s="3">
        <v>45133</v>
      </c>
      <c r="AS231" t="s">
        <v>7968</v>
      </c>
    </row>
    <row r="232" spans="1:138">
      <c r="A232" s="1">
        <v>230</v>
      </c>
      <c r="B232" t="s">
        <v>119</v>
      </c>
      <c r="C232" s="2">
        <v>45127</v>
      </c>
      <c r="D232" s="2"/>
      <c r="E232" s="1" t="s">
        <v>4582</v>
      </c>
      <c r="F232" t="s">
        <v>4583</v>
      </c>
      <c r="G232" t="s">
        <v>8887</v>
      </c>
      <c r="H232" s="6" t="s">
        <v>239</v>
      </c>
      <c r="I232" s="1" t="s">
        <v>86</v>
      </c>
      <c r="J232" s="30"/>
      <c r="K232" s="1" t="s">
        <v>5904</v>
      </c>
      <c r="L232" s="1" t="s">
        <v>174</v>
      </c>
      <c r="M232" s="2">
        <v>45138</v>
      </c>
      <c r="N232" s="1" t="s">
        <v>35</v>
      </c>
      <c r="O232" s="61" t="s">
        <v>7925</v>
      </c>
      <c r="P232" s="14" t="s">
        <v>8888</v>
      </c>
      <c r="Q232" s="187">
        <v>132.22999999999999</v>
      </c>
      <c r="R232" s="1">
        <v>1</v>
      </c>
      <c r="S232" s="128">
        <v>0.21</v>
      </c>
      <c r="T232" s="128">
        <v>0.2</v>
      </c>
      <c r="V232" s="95">
        <f t="shared" si="4"/>
        <v>127.99863999999999</v>
      </c>
      <c r="W232" t="s">
        <v>8914</v>
      </c>
      <c r="X232" s="5" t="s">
        <v>8915</v>
      </c>
      <c r="Y232" s="3">
        <v>31159</v>
      </c>
      <c r="Z232" s="2">
        <v>45127</v>
      </c>
      <c r="AA232" s="377" t="s">
        <v>9553</v>
      </c>
      <c r="AB232" s="2">
        <v>45267</v>
      </c>
      <c r="AC232" s="80" t="s">
        <v>1339</v>
      </c>
      <c r="AD232" s="61"/>
      <c r="AE232" s="61"/>
      <c r="AF232" t="s">
        <v>3198</v>
      </c>
      <c r="AI232" t="s">
        <v>3108</v>
      </c>
      <c r="AJ232" s="2">
        <v>45134</v>
      </c>
      <c r="AM232" s="3">
        <v>45138</v>
      </c>
      <c r="AT232" s="1"/>
    </row>
    <row r="233" spans="1:138">
      <c r="A233" s="1">
        <v>231</v>
      </c>
      <c r="B233" t="s">
        <v>83</v>
      </c>
      <c r="C233" s="2">
        <v>45127</v>
      </c>
      <c r="D233" s="2"/>
      <c r="E233" t="s">
        <v>8948</v>
      </c>
      <c r="F233" t="s">
        <v>8889</v>
      </c>
      <c r="G233" t="s">
        <v>8890</v>
      </c>
      <c r="H233" s="6" t="s">
        <v>236</v>
      </c>
      <c r="I233" s="1" t="s">
        <v>110</v>
      </c>
      <c r="J233" s="30">
        <v>632504315</v>
      </c>
      <c r="K233" s="30"/>
      <c r="L233" t="s">
        <v>8948</v>
      </c>
      <c r="M233" s="2">
        <v>45138</v>
      </c>
      <c r="N233" s="1" t="s">
        <v>35</v>
      </c>
      <c r="O233" s="61" t="s">
        <v>7925</v>
      </c>
      <c r="P233" s="14" t="s">
        <v>8891</v>
      </c>
      <c r="Q233" s="187">
        <v>132.22999999999999</v>
      </c>
      <c r="R233" s="1">
        <v>1</v>
      </c>
      <c r="S233" s="128">
        <v>0.21</v>
      </c>
      <c r="T233" s="128">
        <v>0.2</v>
      </c>
      <c r="V233" s="95">
        <f t="shared" si="4"/>
        <v>127.99863999999999</v>
      </c>
      <c r="W233" t="s">
        <v>8948</v>
      </c>
      <c r="X233" s="5" t="s">
        <v>8949</v>
      </c>
      <c r="Y233" s="3">
        <v>34274</v>
      </c>
      <c r="Z233" s="2">
        <v>45127</v>
      </c>
      <c r="AA233" s="61"/>
      <c r="AB233" s="2"/>
      <c r="AC233" s="133"/>
      <c r="AD233" s="61"/>
      <c r="AE233" s="61"/>
      <c r="AF233" t="s">
        <v>3198</v>
      </c>
      <c r="AI233" t="s">
        <v>4218</v>
      </c>
      <c r="AJ233" s="2">
        <v>45141</v>
      </c>
      <c r="AM233" s="2">
        <v>45141</v>
      </c>
      <c r="AT233" s="1"/>
    </row>
    <row r="234" spans="1:138">
      <c r="A234" s="1">
        <v>232</v>
      </c>
      <c r="B234" t="s">
        <v>119</v>
      </c>
      <c r="C234" s="2">
        <v>45132</v>
      </c>
      <c r="D234" s="2"/>
      <c r="E234" s="1" t="s">
        <v>8897</v>
      </c>
      <c r="F234" t="s">
        <v>8909</v>
      </c>
      <c r="G234" t="s">
        <v>8898</v>
      </c>
      <c r="H234" s="6" t="s">
        <v>239</v>
      </c>
      <c r="I234" s="1" t="s">
        <v>2585</v>
      </c>
      <c r="J234" s="30"/>
      <c r="K234" s="1" t="s">
        <v>5904</v>
      </c>
      <c r="L234" s="1" t="s">
        <v>174</v>
      </c>
      <c r="M234" s="2">
        <v>45138</v>
      </c>
      <c r="N234" s="1" t="s">
        <v>35</v>
      </c>
      <c r="O234" s="61" t="s">
        <v>7926</v>
      </c>
      <c r="P234" s="14" t="s">
        <v>8899</v>
      </c>
      <c r="Q234" s="92">
        <v>132.22999999999999</v>
      </c>
      <c r="R234" s="1">
        <v>1</v>
      </c>
      <c r="S234" s="128">
        <v>0.21</v>
      </c>
      <c r="T234" s="128">
        <v>0.2</v>
      </c>
      <c r="U234" s="95"/>
      <c r="V234" s="95">
        <f t="shared" si="4"/>
        <v>127.99863999999999</v>
      </c>
      <c r="W234" t="s">
        <v>8962</v>
      </c>
      <c r="X234" s="5" t="s">
        <v>8963</v>
      </c>
      <c r="Y234" s="3">
        <v>38217</v>
      </c>
      <c r="Z234" s="2">
        <v>45132</v>
      </c>
      <c r="AA234" s="377" t="s">
        <v>10098</v>
      </c>
      <c r="AB234" s="2">
        <v>45236</v>
      </c>
      <c r="AC234" s="80" t="s">
        <v>1339</v>
      </c>
      <c r="AD234" s="61"/>
      <c r="AE234" s="61"/>
      <c r="AF234" t="s">
        <v>3198</v>
      </c>
      <c r="AI234" t="s">
        <v>3470</v>
      </c>
      <c r="AJ234" s="2">
        <v>45154</v>
      </c>
      <c r="AM234" s="3">
        <v>45161</v>
      </c>
      <c r="AT234" s="1"/>
    </row>
    <row r="235" spans="1:138">
      <c r="A235" s="1">
        <v>233</v>
      </c>
      <c r="B235" s="61" t="s">
        <v>119</v>
      </c>
      <c r="C235" s="2">
        <v>45132</v>
      </c>
      <c r="D235" s="2"/>
      <c r="E235" s="1" t="s">
        <v>5565</v>
      </c>
      <c r="F235" t="s">
        <v>5566</v>
      </c>
      <c r="G235" t="s">
        <v>5059</v>
      </c>
      <c r="H235" s="6" t="s">
        <v>242</v>
      </c>
      <c r="I235" s="1" t="s">
        <v>3338</v>
      </c>
      <c r="J235" s="8"/>
      <c r="K235" s="1" t="s">
        <v>5904</v>
      </c>
      <c r="L235" t="s">
        <v>174</v>
      </c>
      <c r="M235" s="2">
        <v>45138</v>
      </c>
      <c r="N235" s="1" t="s">
        <v>35</v>
      </c>
      <c r="O235" s="61" t="s">
        <v>7925</v>
      </c>
      <c r="P235" s="14" t="s">
        <v>8900</v>
      </c>
      <c r="Q235" s="92">
        <v>132.22999999999999</v>
      </c>
      <c r="R235" s="1">
        <v>1</v>
      </c>
      <c r="S235" s="90">
        <v>0.21</v>
      </c>
      <c r="T235" s="90">
        <v>0.2</v>
      </c>
      <c r="V235" s="95">
        <f t="shared" si="4"/>
        <v>127.99863999999999</v>
      </c>
      <c r="W235" t="s">
        <v>8977</v>
      </c>
      <c r="X235" s="5" t="s">
        <v>8978</v>
      </c>
      <c r="Y235" s="2">
        <v>32568</v>
      </c>
      <c r="Z235" s="2">
        <v>45132</v>
      </c>
      <c r="AA235" s="377" t="s">
        <v>9607</v>
      </c>
      <c r="AB235" s="2">
        <v>45273</v>
      </c>
      <c r="AC235" s="80" t="s">
        <v>1339</v>
      </c>
      <c r="AF235" t="s">
        <v>3198</v>
      </c>
      <c r="AI235" t="s">
        <v>3108</v>
      </c>
      <c r="AJ235" s="2">
        <v>45159</v>
      </c>
      <c r="AM235" s="3">
        <v>45166</v>
      </c>
      <c r="AT235" s="1"/>
    </row>
    <row r="236" spans="1:138">
      <c r="A236" s="1">
        <v>234</v>
      </c>
      <c r="B236" t="s">
        <v>3526</v>
      </c>
      <c r="C236" s="2">
        <v>45132</v>
      </c>
      <c r="D236" s="2"/>
      <c r="E236" s="1" t="s">
        <v>7468</v>
      </c>
      <c r="F236" t="s">
        <v>7469</v>
      </c>
      <c r="G236" s="61" t="s">
        <v>7470</v>
      </c>
      <c r="H236" s="6" t="s">
        <v>294</v>
      </c>
      <c r="I236" s="1" t="s">
        <v>103</v>
      </c>
      <c r="J236" s="8">
        <v>649440769</v>
      </c>
      <c r="K236" s="1" t="s">
        <v>7472</v>
      </c>
      <c r="L236" t="s">
        <v>7468</v>
      </c>
      <c r="M236" s="2">
        <v>45138</v>
      </c>
      <c r="N236" s="1" t="s">
        <v>35</v>
      </c>
      <c r="O236" s="61" t="s">
        <v>7925</v>
      </c>
      <c r="P236" s="14" t="s">
        <v>8901</v>
      </c>
      <c r="Q236" s="92">
        <v>132.22999999999999</v>
      </c>
      <c r="R236" s="1">
        <v>1</v>
      </c>
      <c r="S236" s="90">
        <v>0.21</v>
      </c>
      <c r="T236" s="90">
        <v>0.2</v>
      </c>
      <c r="V236" s="95">
        <f t="shared" si="4"/>
        <v>127.99863999999999</v>
      </c>
      <c r="W236" t="s">
        <v>8950</v>
      </c>
      <c r="X236" s="5" t="s">
        <v>8951</v>
      </c>
      <c r="Y236" s="2">
        <v>31184</v>
      </c>
      <c r="Z236" s="2">
        <v>45132</v>
      </c>
      <c r="AA236" s="377" t="s">
        <v>9607</v>
      </c>
      <c r="AB236" s="2">
        <v>45273</v>
      </c>
      <c r="AC236" s="80" t="s">
        <v>1339</v>
      </c>
      <c r="AF236" t="s">
        <v>3198</v>
      </c>
      <c r="AI236" t="s">
        <v>3894</v>
      </c>
      <c r="AJ236" s="2">
        <v>45141</v>
      </c>
      <c r="AM236" s="3">
        <v>45149</v>
      </c>
      <c r="AT236" s="1"/>
    </row>
    <row r="237" spans="1:138">
      <c r="A237" s="1">
        <v>235</v>
      </c>
      <c r="B237" t="s">
        <v>37</v>
      </c>
      <c r="C237" s="2">
        <v>45133</v>
      </c>
      <c r="D237" s="2"/>
      <c r="E237" t="s">
        <v>6938</v>
      </c>
      <c r="F237" t="s">
        <v>6884</v>
      </c>
      <c r="G237" t="s">
        <v>6885</v>
      </c>
      <c r="H237" s="6" t="s">
        <v>238</v>
      </c>
      <c r="I237" s="1" t="s">
        <v>48</v>
      </c>
      <c r="J237" s="295">
        <v>631835353</v>
      </c>
      <c r="K237" s="1" t="s">
        <v>8186</v>
      </c>
      <c r="L237" t="s">
        <v>6938</v>
      </c>
      <c r="M237" s="2">
        <v>45138</v>
      </c>
      <c r="N237" s="1" t="s">
        <v>35</v>
      </c>
      <c r="O237" s="61" t="s">
        <v>7934</v>
      </c>
      <c r="P237" s="14" t="s">
        <v>8902</v>
      </c>
      <c r="Q237" s="187">
        <v>78.510000000000005</v>
      </c>
      <c r="R237" s="1">
        <v>1</v>
      </c>
      <c r="S237" s="128">
        <v>0.21</v>
      </c>
      <c r="T237" s="128">
        <v>0</v>
      </c>
      <c r="V237" s="95">
        <f t="shared" si="4"/>
        <v>94.997100000000003</v>
      </c>
      <c r="W237" t="s">
        <v>6938</v>
      </c>
      <c r="X237" s="5" t="s">
        <v>8903</v>
      </c>
      <c r="Y237" s="2">
        <v>34764</v>
      </c>
      <c r="Z237" s="2">
        <v>45133</v>
      </c>
      <c r="AA237" s="377" t="s">
        <v>9245</v>
      </c>
      <c r="AB237" s="3">
        <v>45208</v>
      </c>
      <c r="AC237" s="80" t="s">
        <v>1339</v>
      </c>
      <c r="AF237" t="s">
        <v>3198</v>
      </c>
      <c r="AJ237" s="2"/>
      <c r="AM237" s="74"/>
      <c r="AT237" s="1"/>
    </row>
    <row r="238" spans="1:138">
      <c r="A238" s="1">
        <v>236</v>
      </c>
      <c r="B238" t="s">
        <v>33</v>
      </c>
      <c r="C238" s="2">
        <v>45134</v>
      </c>
      <c r="D238" s="2"/>
      <c r="E238" s="1" t="s">
        <v>1617</v>
      </c>
      <c r="F238" t="s">
        <v>1618</v>
      </c>
      <c r="G238" t="s">
        <v>8918</v>
      </c>
      <c r="H238" s="6" t="s">
        <v>304</v>
      </c>
      <c r="I238" s="1" t="s">
        <v>3851</v>
      </c>
      <c r="J238" s="295"/>
      <c r="K238" s="114" t="s">
        <v>11744</v>
      </c>
      <c r="L238" t="s">
        <v>237</v>
      </c>
      <c r="M238" s="2">
        <v>45138</v>
      </c>
      <c r="N238" s="1" t="s">
        <v>35</v>
      </c>
      <c r="O238" s="61" t="s">
        <v>7925</v>
      </c>
      <c r="P238" s="14" t="s">
        <v>8919</v>
      </c>
      <c r="Q238" s="187">
        <v>132.22999999999999</v>
      </c>
      <c r="R238" s="1">
        <v>1</v>
      </c>
      <c r="S238" s="128">
        <v>0.21</v>
      </c>
      <c r="T238" s="128">
        <v>0.2</v>
      </c>
      <c r="U238" s="363"/>
      <c r="V238" s="95">
        <f t="shared" si="4"/>
        <v>127.99863999999999</v>
      </c>
      <c r="W238" t="s">
        <v>8975</v>
      </c>
      <c r="X238" s="5" t="s">
        <v>8976</v>
      </c>
      <c r="Y238" s="2">
        <v>31537</v>
      </c>
      <c r="Z238" s="2">
        <v>45134</v>
      </c>
      <c r="AA238" s="377" t="s">
        <v>9606</v>
      </c>
      <c r="AB238" s="2">
        <v>45273</v>
      </c>
      <c r="AC238" s="80" t="s">
        <v>1339</v>
      </c>
      <c r="AF238" t="s">
        <v>3198</v>
      </c>
      <c r="AI238" t="s">
        <v>3108</v>
      </c>
      <c r="AJ238" s="2">
        <v>45159</v>
      </c>
      <c r="AM238" s="74">
        <v>45162</v>
      </c>
      <c r="AT238" s="1"/>
    </row>
    <row r="239" spans="1:138">
      <c r="A239" s="1">
        <v>237</v>
      </c>
      <c r="B239" t="s">
        <v>37</v>
      </c>
      <c r="C239" s="2">
        <v>45135</v>
      </c>
      <c r="D239" s="2"/>
      <c r="E239" s="1" t="s">
        <v>6978</v>
      </c>
      <c r="F239" t="s">
        <v>6916</v>
      </c>
      <c r="G239" s="61" t="s">
        <v>6917</v>
      </c>
      <c r="H239" s="6" t="s">
        <v>2451</v>
      </c>
      <c r="I239" s="1" t="s">
        <v>3681</v>
      </c>
      <c r="J239" s="8">
        <v>632370645</v>
      </c>
      <c r="K239" s="8"/>
      <c r="L239" t="s">
        <v>6978</v>
      </c>
      <c r="M239" s="2">
        <v>45138</v>
      </c>
      <c r="N239" s="1" t="s">
        <v>35</v>
      </c>
      <c r="O239" s="61" t="s">
        <v>7934</v>
      </c>
      <c r="P239" s="14" t="s">
        <v>8920</v>
      </c>
      <c r="Q239" s="187">
        <v>78.510000000000005</v>
      </c>
      <c r="R239" s="1">
        <v>1</v>
      </c>
      <c r="S239" s="128">
        <v>0.21</v>
      </c>
      <c r="T239" s="128">
        <v>0</v>
      </c>
      <c r="V239" s="95">
        <f t="shared" si="4"/>
        <v>94.997100000000003</v>
      </c>
      <c r="W239" t="s">
        <v>6978</v>
      </c>
      <c r="X239" s="5" t="s">
        <v>8966</v>
      </c>
      <c r="Y239" s="2">
        <v>29610</v>
      </c>
      <c r="Z239" s="2">
        <v>45135</v>
      </c>
      <c r="AA239" s="377" t="s">
        <v>9245</v>
      </c>
      <c r="AB239" s="3">
        <v>45208</v>
      </c>
      <c r="AC239" s="80" t="s">
        <v>1339</v>
      </c>
      <c r="AD239" s="61"/>
      <c r="AF239" t="s">
        <v>3198</v>
      </c>
      <c r="AJ239" s="2"/>
      <c r="AM239" s="74"/>
      <c r="AT239" s="1"/>
    </row>
    <row r="240" spans="1:138" s="196" customFormat="1">
      <c r="A240" s="1">
        <v>238</v>
      </c>
      <c r="B240" t="s">
        <v>119</v>
      </c>
      <c r="C240" s="2">
        <v>45135</v>
      </c>
      <c r="D240" s="2"/>
      <c r="E240" s="1" t="s">
        <v>4394</v>
      </c>
      <c r="F240" s="61" t="s">
        <v>4395</v>
      </c>
      <c r="G240" s="61" t="s">
        <v>4396</v>
      </c>
      <c r="H240" s="6" t="s">
        <v>250</v>
      </c>
      <c r="I240" s="1" t="s">
        <v>86</v>
      </c>
      <c r="J240" s="1"/>
      <c r="K240" s="1"/>
      <c r="L240" s="1" t="s">
        <v>174</v>
      </c>
      <c r="M240" s="2">
        <v>45138</v>
      </c>
      <c r="N240" s="1" t="s">
        <v>35</v>
      </c>
      <c r="O240" s="61" t="s">
        <v>7926</v>
      </c>
      <c r="P240" s="14" t="s">
        <v>8921</v>
      </c>
      <c r="Q240" s="187">
        <v>132.22999999999999</v>
      </c>
      <c r="R240" s="1">
        <v>1</v>
      </c>
      <c r="S240" s="128">
        <v>0.21</v>
      </c>
      <c r="T240" s="128">
        <v>0.2</v>
      </c>
      <c r="U240"/>
      <c r="V240" s="95">
        <f t="shared" si="4"/>
        <v>127.99863999999999</v>
      </c>
      <c r="W240" t="s">
        <v>8965</v>
      </c>
      <c r="X240" s="5" t="s">
        <v>8964</v>
      </c>
      <c r="Y240" s="2">
        <v>34442</v>
      </c>
      <c r="Z240" s="2">
        <v>45135</v>
      </c>
      <c r="AA240" s="276" t="s">
        <v>9609</v>
      </c>
      <c r="AB240" s="80"/>
      <c r="AC240"/>
      <c r="AD240"/>
      <c r="AE240"/>
      <c r="AF240" t="s">
        <v>3198</v>
      </c>
      <c r="AG240"/>
      <c r="AH240"/>
      <c r="AI240" s="76" t="s">
        <v>3470</v>
      </c>
      <c r="AJ240" s="3">
        <v>45154</v>
      </c>
      <c r="AK240"/>
      <c r="AL240" s="3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</row>
    <row r="241" spans="1:46">
      <c r="A241" s="1">
        <v>239</v>
      </c>
      <c r="B241" t="s">
        <v>37</v>
      </c>
      <c r="C241" s="2">
        <v>45135</v>
      </c>
      <c r="D241" s="2"/>
      <c r="E241" s="1" t="s">
        <v>8922</v>
      </c>
      <c r="F241" t="s">
        <v>8923</v>
      </c>
      <c r="G241" t="s">
        <v>8924</v>
      </c>
      <c r="H241" s="6" t="s">
        <v>8473</v>
      </c>
      <c r="I241" s="1" t="s">
        <v>8474</v>
      </c>
      <c r="J241" s="295" t="s">
        <v>8925</v>
      </c>
      <c r="K241" s="1"/>
      <c r="L241" s="1" t="s">
        <v>8922</v>
      </c>
      <c r="M241" s="2">
        <v>45138</v>
      </c>
      <c r="N241" s="1" t="s">
        <v>35</v>
      </c>
      <c r="O241" s="61" t="s">
        <v>7930</v>
      </c>
      <c r="P241" s="14" t="s">
        <v>8926</v>
      </c>
      <c r="Q241" s="187">
        <v>132.22999999999999</v>
      </c>
      <c r="R241" s="1">
        <v>1</v>
      </c>
      <c r="S241" s="128">
        <v>0.21</v>
      </c>
      <c r="T241" s="128">
        <v>0</v>
      </c>
      <c r="V241" s="95">
        <f t="shared" si="4"/>
        <v>159.99829999999997</v>
      </c>
      <c r="W241" t="s">
        <v>8946</v>
      </c>
      <c r="X241" s="5" t="s">
        <v>8947</v>
      </c>
      <c r="Y241" s="2">
        <v>31268</v>
      </c>
      <c r="Z241" s="2">
        <v>45135</v>
      </c>
      <c r="AA241" s="377" t="s">
        <v>9119</v>
      </c>
      <c r="AB241" s="2">
        <v>45187</v>
      </c>
      <c r="AC241" s="80" t="s">
        <v>1339</v>
      </c>
      <c r="AF241" t="s">
        <v>3198</v>
      </c>
      <c r="AJ241" s="2"/>
      <c r="AM241" s="74"/>
      <c r="AT241" s="1"/>
    </row>
    <row r="242" spans="1:46">
      <c r="A242" s="1">
        <v>240</v>
      </c>
      <c r="B242" t="s">
        <v>37</v>
      </c>
      <c r="C242" s="2">
        <v>45135</v>
      </c>
      <c r="D242" s="2"/>
      <c r="E242" s="1" t="s">
        <v>8927</v>
      </c>
      <c r="F242" t="s">
        <v>8928</v>
      </c>
      <c r="G242" t="s">
        <v>8929</v>
      </c>
      <c r="H242" s="6" t="s">
        <v>239</v>
      </c>
      <c r="I242" s="1" t="s">
        <v>2585</v>
      </c>
      <c r="J242" s="295">
        <v>600635013</v>
      </c>
      <c r="K242" s="1"/>
      <c r="L242" s="1" t="s">
        <v>8927</v>
      </c>
      <c r="M242" s="2">
        <v>45138</v>
      </c>
      <c r="N242" s="1" t="s">
        <v>35</v>
      </c>
      <c r="O242" s="61" t="s">
        <v>7934</v>
      </c>
      <c r="P242" s="14" t="s">
        <v>8930</v>
      </c>
      <c r="Q242" s="187">
        <v>78.510000000000005</v>
      </c>
      <c r="R242" s="1">
        <v>1</v>
      </c>
      <c r="S242" s="128">
        <v>0.21</v>
      </c>
      <c r="T242" s="128">
        <v>0</v>
      </c>
      <c r="U242" s="363"/>
      <c r="V242" s="95">
        <f t="shared" si="4"/>
        <v>94.997100000000003</v>
      </c>
      <c r="W242" s="1" t="s">
        <v>8927</v>
      </c>
      <c r="X242" s="5" t="s">
        <v>8967</v>
      </c>
      <c r="Y242" s="2">
        <v>27310</v>
      </c>
      <c r="Z242" s="2">
        <v>45135</v>
      </c>
      <c r="AA242" s="377" t="s">
        <v>9245</v>
      </c>
      <c r="AB242" s="3">
        <v>45208</v>
      </c>
      <c r="AC242" s="80" t="s">
        <v>1339</v>
      </c>
      <c r="AF242" t="s">
        <v>3198</v>
      </c>
      <c r="AJ242" s="2"/>
      <c r="AM242" s="74"/>
      <c r="AT242" s="1"/>
    </row>
    <row r="243" spans="1:46">
      <c r="A243" s="1">
        <v>241</v>
      </c>
      <c r="B243" t="s">
        <v>33</v>
      </c>
      <c r="C243" s="2">
        <v>45138</v>
      </c>
      <c r="D243" s="2"/>
      <c r="E243" s="1" t="s">
        <v>8931</v>
      </c>
      <c r="F243" t="s">
        <v>8932</v>
      </c>
      <c r="G243" t="s">
        <v>8933</v>
      </c>
      <c r="H243" s="6" t="s">
        <v>219</v>
      </c>
      <c r="I243" s="1" t="s">
        <v>38</v>
      </c>
      <c r="J243" s="295">
        <v>631835353</v>
      </c>
      <c r="K243" s="114" t="s">
        <v>11744</v>
      </c>
      <c r="L243" t="s">
        <v>237</v>
      </c>
      <c r="M243" s="2">
        <v>45138</v>
      </c>
      <c r="N243" s="1" t="s">
        <v>35</v>
      </c>
      <c r="O243" s="61" t="s">
        <v>7926</v>
      </c>
      <c r="P243" s="14" t="s">
        <v>8934</v>
      </c>
      <c r="Q243" s="187">
        <v>132.22999999999999</v>
      </c>
      <c r="R243" s="1">
        <v>1</v>
      </c>
      <c r="S243" s="128">
        <v>0.21</v>
      </c>
      <c r="T243" s="128">
        <v>0.2</v>
      </c>
      <c r="U243" s="363"/>
      <c r="V243" s="95">
        <f t="shared" si="4"/>
        <v>127.99863999999999</v>
      </c>
      <c r="W243" s="1" t="s">
        <v>8999</v>
      </c>
      <c r="X243" s="5" t="s">
        <v>8969</v>
      </c>
      <c r="Y243" s="2">
        <v>35794</v>
      </c>
      <c r="Z243" s="2">
        <v>45138</v>
      </c>
      <c r="AA243" s="377" t="s">
        <v>9344</v>
      </c>
      <c r="AB243" s="2">
        <v>45236</v>
      </c>
      <c r="AC243" s="80" t="s">
        <v>1339</v>
      </c>
      <c r="AF243" t="s">
        <v>3198</v>
      </c>
      <c r="AI243" t="s">
        <v>8935</v>
      </c>
      <c r="AJ243" s="2">
        <v>45159</v>
      </c>
      <c r="AM243" s="74">
        <v>45162</v>
      </c>
      <c r="AT243" s="1"/>
    </row>
    <row r="244" spans="1:46">
      <c r="A244" s="1">
        <v>242</v>
      </c>
      <c r="B244" t="s">
        <v>37</v>
      </c>
      <c r="C244" s="2">
        <v>45140</v>
      </c>
      <c r="D244" s="2"/>
      <c r="E244" s="1" t="s">
        <v>8936</v>
      </c>
      <c r="F244" t="s">
        <v>9021</v>
      </c>
      <c r="G244" t="s">
        <v>8937</v>
      </c>
      <c r="H244" s="6" t="s">
        <v>2451</v>
      </c>
      <c r="I244" s="1" t="s">
        <v>3681</v>
      </c>
      <c r="J244" s="295">
        <v>643015992</v>
      </c>
      <c r="K244" s="1"/>
      <c r="L244" s="1" t="s">
        <v>8936</v>
      </c>
      <c r="M244" s="2">
        <v>45169</v>
      </c>
      <c r="N244" s="1" t="s">
        <v>35</v>
      </c>
      <c r="O244" s="61" t="s">
        <v>7925</v>
      </c>
      <c r="P244" s="14" t="s">
        <v>8938</v>
      </c>
      <c r="Q244" s="187">
        <v>132.22999999999999</v>
      </c>
      <c r="R244" s="1">
        <v>1</v>
      </c>
      <c r="S244" s="128">
        <v>0.21</v>
      </c>
      <c r="T244" s="128">
        <v>0</v>
      </c>
      <c r="U244" s="363"/>
      <c r="V244" s="95">
        <f t="shared" si="4"/>
        <v>159.99829999999997</v>
      </c>
      <c r="W244" s="1" t="s">
        <v>8936</v>
      </c>
      <c r="X244" s="5" t="s">
        <v>8981</v>
      </c>
      <c r="Y244" s="2">
        <v>30337</v>
      </c>
      <c r="Z244" s="2">
        <v>45140</v>
      </c>
      <c r="AA244" s="377" t="s">
        <v>9607</v>
      </c>
      <c r="AB244" s="2">
        <v>45273</v>
      </c>
      <c r="AC244" s="80" t="s">
        <v>1339</v>
      </c>
      <c r="AJ244" s="2"/>
      <c r="AM244" s="74"/>
      <c r="AT244" s="1"/>
    </row>
    <row r="245" spans="1:46">
      <c r="A245" s="1">
        <v>243</v>
      </c>
      <c r="B245" t="s">
        <v>33</v>
      </c>
      <c r="C245" s="2">
        <v>45140</v>
      </c>
      <c r="D245" s="2"/>
      <c r="E245" s="1" t="s">
        <v>6985</v>
      </c>
      <c r="F245" t="s">
        <v>9022</v>
      </c>
      <c r="G245" t="s">
        <v>6943</v>
      </c>
      <c r="H245" s="6" t="s">
        <v>304</v>
      </c>
      <c r="I245" s="1" t="s">
        <v>34</v>
      </c>
      <c r="J245" s="8"/>
      <c r="K245" s="114" t="s">
        <v>11744</v>
      </c>
      <c r="L245" t="s">
        <v>237</v>
      </c>
      <c r="M245" s="2">
        <v>45169</v>
      </c>
      <c r="N245" s="1" t="s">
        <v>35</v>
      </c>
      <c r="O245" s="61" t="s">
        <v>7934</v>
      </c>
      <c r="P245" s="14" t="s">
        <v>8939</v>
      </c>
      <c r="Q245" s="187">
        <v>78.510000000000005</v>
      </c>
      <c r="R245" s="1">
        <v>1</v>
      </c>
      <c r="S245" s="128">
        <v>0.21</v>
      </c>
      <c r="T245" s="128">
        <v>0.2</v>
      </c>
      <c r="U245" s="363"/>
      <c r="V245" s="95">
        <f t="shared" si="4"/>
        <v>75.997680000000003</v>
      </c>
      <c r="W245" s="1" t="s">
        <v>6988</v>
      </c>
      <c r="X245" s="5" t="s">
        <v>8968</v>
      </c>
      <c r="Y245" s="2">
        <v>36054</v>
      </c>
      <c r="Z245" s="2">
        <v>45140</v>
      </c>
      <c r="AA245" s="377" t="s">
        <v>9245</v>
      </c>
      <c r="AB245" s="3">
        <v>45208</v>
      </c>
      <c r="AC245" s="80" t="s">
        <v>1339</v>
      </c>
      <c r="AF245" t="s">
        <v>3198</v>
      </c>
      <c r="AJ245" s="2"/>
      <c r="AM245" s="74"/>
      <c r="AT245" s="1"/>
    </row>
    <row r="246" spans="1:46">
      <c r="A246" s="1">
        <v>244</v>
      </c>
      <c r="B246" s="61" t="s">
        <v>37</v>
      </c>
      <c r="C246" s="2">
        <v>45140</v>
      </c>
      <c r="D246" s="2"/>
      <c r="E246" s="1" t="s">
        <v>4101</v>
      </c>
      <c r="F246" s="61" t="s">
        <v>9023</v>
      </c>
      <c r="G246" s="61" t="s">
        <v>4103</v>
      </c>
      <c r="H246" s="6" t="s">
        <v>1402</v>
      </c>
      <c r="I246" s="1" t="s">
        <v>3681</v>
      </c>
      <c r="J246" s="8">
        <v>666276574</v>
      </c>
      <c r="K246" s="8"/>
      <c r="L246" t="s">
        <v>4101</v>
      </c>
      <c r="M246" s="2">
        <v>45169</v>
      </c>
      <c r="N246" s="1" t="s">
        <v>35</v>
      </c>
      <c r="O246" s="61" t="s">
        <v>7925</v>
      </c>
      <c r="P246" s="14" t="s">
        <v>8940</v>
      </c>
      <c r="Q246" s="187">
        <v>132.22999999999999</v>
      </c>
      <c r="R246" s="1">
        <v>1</v>
      </c>
      <c r="S246" s="128">
        <v>0.21</v>
      </c>
      <c r="T246" s="128">
        <v>0.2</v>
      </c>
      <c r="U246" s="363"/>
      <c r="V246" s="95">
        <f t="shared" si="4"/>
        <v>127.99863999999999</v>
      </c>
      <c r="W246" s="1" t="s">
        <v>8990</v>
      </c>
      <c r="X246" s="5" t="s">
        <v>8991</v>
      </c>
      <c r="Y246" s="2">
        <v>32427</v>
      </c>
      <c r="Z246" s="2">
        <v>45140</v>
      </c>
      <c r="AA246" s="377" t="s">
        <v>9606</v>
      </c>
      <c r="AB246" s="2">
        <v>45273</v>
      </c>
      <c r="AC246" s="80" t="s">
        <v>1339</v>
      </c>
      <c r="AF246" t="s">
        <v>3198</v>
      </c>
      <c r="AI246" t="s">
        <v>3108</v>
      </c>
      <c r="AJ246" s="2">
        <v>45159</v>
      </c>
      <c r="AM246" s="74">
        <v>45160</v>
      </c>
      <c r="AT246" s="1"/>
    </row>
    <row r="247" spans="1:46">
      <c r="A247" s="1">
        <v>245</v>
      </c>
      <c r="B247" s="61" t="s">
        <v>37</v>
      </c>
      <c r="C247" s="2">
        <v>45142</v>
      </c>
      <c r="D247" s="2"/>
      <c r="E247" s="1" t="s">
        <v>8952</v>
      </c>
      <c r="F247" t="s">
        <v>9024</v>
      </c>
      <c r="G247" t="s">
        <v>8953</v>
      </c>
      <c r="H247" s="6" t="s">
        <v>8473</v>
      </c>
      <c r="I247" s="1" t="s">
        <v>8474</v>
      </c>
      <c r="J247" s="295">
        <v>643371385</v>
      </c>
      <c r="K247" s="1"/>
      <c r="L247" s="1" t="s">
        <v>8952</v>
      </c>
      <c r="M247" s="2">
        <v>45169</v>
      </c>
      <c r="N247" s="1" t="s">
        <v>35</v>
      </c>
      <c r="O247" s="61" t="s">
        <v>7968</v>
      </c>
      <c r="P247" s="14" t="s">
        <v>8954</v>
      </c>
      <c r="Q247" s="187">
        <v>132.22999999999999</v>
      </c>
      <c r="R247" s="1">
        <v>1</v>
      </c>
      <c r="S247" s="128">
        <v>0.21</v>
      </c>
      <c r="T247" s="128">
        <v>0</v>
      </c>
      <c r="U247" s="363"/>
      <c r="V247" s="95">
        <f t="shared" si="4"/>
        <v>159.99829999999997</v>
      </c>
      <c r="W247" t="s">
        <v>8984</v>
      </c>
      <c r="X247" s="5" t="s">
        <v>8985</v>
      </c>
      <c r="Y247" s="2">
        <v>38987</v>
      </c>
      <c r="Z247" s="2">
        <v>45142</v>
      </c>
      <c r="AA247" s="377" t="s">
        <v>9395</v>
      </c>
      <c r="AB247" s="2">
        <v>45244</v>
      </c>
      <c r="AC247" s="80" t="s">
        <v>1339</v>
      </c>
      <c r="AF247" t="s">
        <v>3198</v>
      </c>
      <c r="AI247" s="76" t="s">
        <v>8955</v>
      </c>
      <c r="AJ247" s="2">
        <v>45159</v>
      </c>
      <c r="AM247" s="74">
        <v>45168</v>
      </c>
      <c r="AT247" s="1"/>
    </row>
    <row r="248" spans="1:46">
      <c r="A248" s="1">
        <v>246</v>
      </c>
      <c r="B248" t="s">
        <v>1414</v>
      </c>
      <c r="C248" s="2">
        <v>45142</v>
      </c>
      <c r="D248" s="2"/>
      <c r="E248" s="1" t="s">
        <v>8502</v>
      </c>
      <c r="F248" t="s">
        <v>8503</v>
      </c>
      <c r="G248" t="s">
        <v>8504</v>
      </c>
      <c r="H248" s="6" t="s">
        <v>221</v>
      </c>
      <c r="I248" s="1" t="s">
        <v>34</v>
      </c>
      <c r="J248" s="6"/>
      <c r="K248" s="1" t="s">
        <v>8355</v>
      </c>
      <c r="L248" s="1" t="s">
        <v>8502</v>
      </c>
      <c r="M248" s="2">
        <v>45169</v>
      </c>
      <c r="N248" s="1" t="s">
        <v>35</v>
      </c>
      <c r="O248" s="61" t="s">
        <v>7933</v>
      </c>
      <c r="P248" s="14" t="s">
        <v>8956</v>
      </c>
      <c r="Q248" s="187">
        <v>100</v>
      </c>
      <c r="R248" s="1">
        <v>1</v>
      </c>
      <c r="S248" s="90">
        <v>0.21</v>
      </c>
      <c r="T248" s="90">
        <v>0</v>
      </c>
      <c r="U248" s="363"/>
      <c r="V248" s="95">
        <f t="shared" si="4"/>
        <v>121</v>
      </c>
      <c r="W248" t="s">
        <v>8562</v>
      </c>
      <c r="X248" s="5" t="s">
        <v>8563</v>
      </c>
      <c r="Y248" s="2">
        <v>31083</v>
      </c>
      <c r="Z248" s="2">
        <v>45142</v>
      </c>
      <c r="AA248" s="284"/>
      <c r="AB248" s="2"/>
      <c r="AC248" s="133"/>
      <c r="AF248" t="s">
        <v>3198</v>
      </c>
      <c r="AJ248" s="2"/>
      <c r="AM248" s="74"/>
      <c r="AT248" s="1"/>
    </row>
    <row r="249" spans="1:46">
      <c r="A249" s="1">
        <v>247</v>
      </c>
      <c r="B249" t="s">
        <v>5635</v>
      </c>
      <c r="C249" s="2">
        <v>45142</v>
      </c>
      <c r="D249" s="2"/>
      <c r="E249" s="1" t="s">
        <v>8957</v>
      </c>
      <c r="F249" t="s">
        <v>9025</v>
      </c>
      <c r="G249" t="s">
        <v>8958</v>
      </c>
      <c r="H249" s="6" t="s">
        <v>221</v>
      </c>
      <c r="I249" s="1" t="s">
        <v>34</v>
      </c>
      <c r="J249" s="295"/>
      <c r="K249" s="1" t="s">
        <v>7800</v>
      </c>
      <c r="L249" s="1" t="s">
        <v>8957</v>
      </c>
      <c r="M249" s="2">
        <v>45169</v>
      </c>
      <c r="N249" s="1" t="s">
        <v>35</v>
      </c>
      <c r="O249" s="61" t="s">
        <v>7926</v>
      </c>
      <c r="P249" s="14" t="s">
        <v>8959</v>
      </c>
      <c r="Q249" s="187">
        <v>132.22999999999999</v>
      </c>
      <c r="R249" s="1">
        <v>1</v>
      </c>
      <c r="S249" s="128">
        <v>0.21</v>
      </c>
      <c r="T249" s="128">
        <v>0.2</v>
      </c>
      <c r="U249" s="363"/>
      <c r="V249" s="95">
        <f t="shared" si="4"/>
        <v>127.99863999999999</v>
      </c>
      <c r="W249" t="s">
        <v>8979</v>
      </c>
      <c r="X249" s="5" t="s">
        <v>8980</v>
      </c>
      <c r="Y249" s="2">
        <v>34776</v>
      </c>
      <c r="Z249" s="2">
        <v>45142</v>
      </c>
      <c r="AA249" s="377" t="s">
        <v>9344</v>
      </c>
      <c r="AB249" s="2">
        <v>45236</v>
      </c>
      <c r="AC249" s="80" t="s">
        <v>1339</v>
      </c>
      <c r="AF249" t="s">
        <v>3198</v>
      </c>
      <c r="AI249" t="s">
        <v>3470</v>
      </c>
      <c r="AJ249" s="2">
        <v>45159</v>
      </c>
      <c r="AM249" s="74">
        <v>45161</v>
      </c>
      <c r="AT249" s="1"/>
    </row>
    <row r="250" spans="1:46">
      <c r="A250" s="1">
        <v>248</v>
      </c>
      <c r="B250" t="s">
        <v>37</v>
      </c>
      <c r="C250" s="2">
        <v>45142</v>
      </c>
      <c r="D250" s="2"/>
      <c r="E250" t="s">
        <v>8988</v>
      </c>
      <c r="F250" t="s">
        <v>9026</v>
      </c>
      <c r="G250" t="s">
        <v>6594</v>
      </c>
      <c r="H250" s="6" t="s">
        <v>219</v>
      </c>
      <c r="I250" s="1" t="s">
        <v>38</v>
      </c>
      <c r="J250" s="295">
        <v>643754458</v>
      </c>
      <c r="K250" s="1"/>
      <c r="L250" t="s">
        <v>8988</v>
      </c>
      <c r="M250" s="2">
        <v>45169</v>
      </c>
      <c r="N250" s="1" t="s">
        <v>35</v>
      </c>
      <c r="O250" s="61" t="s">
        <v>7925</v>
      </c>
      <c r="P250" s="14" t="s">
        <v>8960</v>
      </c>
      <c r="Q250" s="187">
        <v>132.22999999999999</v>
      </c>
      <c r="R250" s="1">
        <v>1</v>
      </c>
      <c r="S250" s="128">
        <v>0.21</v>
      </c>
      <c r="T250" s="128">
        <v>0</v>
      </c>
      <c r="U250" s="363"/>
      <c r="V250" s="95">
        <f t="shared" si="4"/>
        <v>159.99829999999997</v>
      </c>
      <c r="W250" t="s">
        <v>8988</v>
      </c>
      <c r="X250" s="5" t="s">
        <v>8989</v>
      </c>
      <c r="Y250" s="2">
        <v>35355</v>
      </c>
      <c r="Z250" s="2">
        <v>45142</v>
      </c>
      <c r="AA250" s="377" t="s">
        <v>9605</v>
      </c>
      <c r="AB250" s="2">
        <v>45273</v>
      </c>
      <c r="AC250" s="80"/>
      <c r="AF250" t="s">
        <v>3198</v>
      </c>
      <c r="AI250" t="s">
        <v>4393</v>
      </c>
      <c r="AJ250" s="2">
        <v>45159</v>
      </c>
      <c r="AM250" s="74">
        <v>45161</v>
      </c>
      <c r="AT250" s="1"/>
    </row>
    <row r="251" spans="1:46" s="153" customFormat="1">
      <c r="A251" s="149">
        <v>249</v>
      </c>
      <c r="B251" s="150" t="s">
        <v>4092</v>
      </c>
      <c r="C251" s="2">
        <v>45143</v>
      </c>
      <c r="D251" s="2"/>
      <c r="E251" s="149" t="s">
        <v>3875</v>
      </c>
      <c r="F251" s="150" t="s">
        <v>3876</v>
      </c>
      <c r="G251" s="150" t="s">
        <v>5696</v>
      </c>
      <c r="H251" s="152" t="s">
        <v>928</v>
      </c>
      <c r="I251" s="149" t="s">
        <v>3681</v>
      </c>
      <c r="J251" s="149">
        <v>672818929</v>
      </c>
      <c r="K251" s="149"/>
      <c r="L251" s="149" t="s">
        <v>3875</v>
      </c>
      <c r="M251" s="154"/>
      <c r="N251" s="149" t="s">
        <v>35</v>
      </c>
      <c r="O251" s="61" t="s">
        <v>7968</v>
      </c>
      <c r="P251" s="191" t="s">
        <v>8970</v>
      </c>
      <c r="Q251" s="222" t="s">
        <v>3407</v>
      </c>
      <c r="R251" s="149" t="s">
        <v>3407</v>
      </c>
      <c r="S251" s="149" t="s">
        <v>3407</v>
      </c>
      <c r="T251" s="149" t="s">
        <v>3407</v>
      </c>
      <c r="U251" s="149"/>
      <c r="V251" s="95">
        <v>0</v>
      </c>
      <c r="W251" s="153" t="s">
        <v>3875</v>
      </c>
      <c r="X251" s="5" t="s">
        <v>8987</v>
      </c>
      <c r="Y251" s="151">
        <v>30517</v>
      </c>
      <c r="Z251" s="2">
        <v>45143</v>
      </c>
      <c r="AA251" s="377" t="s">
        <v>9555</v>
      </c>
      <c r="AB251" s="2">
        <v>45267</v>
      </c>
      <c r="AC251" s="80" t="s">
        <v>1339</v>
      </c>
      <c r="AD251"/>
      <c r="AE251"/>
      <c r="AF251" t="s">
        <v>3198</v>
      </c>
      <c r="AG251"/>
      <c r="AH251"/>
      <c r="AI251" s="1" t="s">
        <v>8972</v>
      </c>
      <c r="AJ251" s="2">
        <v>45159</v>
      </c>
      <c r="AK251" s="2"/>
      <c r="AL251"/>
      <c r="AM251" s="2">
        <v>45160</v>
      </c>
      <c r="AN251"/>
      <c r="AO251"/>
      <c r="AP251"/>
      <c r="AQ251"/>
      <c r="AR251"/>
      <c r="AS251"/>
      <c r="AT251" s="149"/>
    </row>
    <row r="252" spans="1:46" s="153" customFormat="1">
      <c r="A252" s="149">
        <v>250</v>
      </c>
      <c r="B252" s="150" t="s">
        <v>4092</v>
      </c>
      <c r="C252" s="2">
        <v>45143</v>
      </c>
      <c r="D252" s="2"/>
      <c r="E252" s="149" t="s">
        <v>3877</v>
      </c>
      <c r="F252" s="150" t="s">
        <v>3878</v>
      </c>
      <c r="G252" s="150" t="s">
        <v>5696</v>
      </c>
      <c r="H252" s="152" t="s">
        <v>928</v>
      </c>
      <c r="I252" s="149" t="s">
        <v>3681</v>
      </c>
      <c r="J252" s="149">
        <v>672818929</v>
      </c>
      <c r="K252" s="149"/>
      <c r="L252" s="149" t="s">
        <v>3877</v>
      </c>
      <c r="M252" s="154"/>
      <c r="N252" s="149" t="s">
        <v>35</v>
      </c>
      <c r="O252" s="61" t="s">
        <v>7968</v>
      </c>
      <c r="P252" s="191" t="s">
        <v>8971</v>
      </c>
      <c r="Q252" s="222" t="s">
        <v>3407</v>
      </c>
      <c r="R252" s="149" t="s">
        <v>3407</v>
      </c>
      <c r="S252" s="223" t="s">
        <v>3407</v>
      </c>
      <c r="T252" s="224" t="s">
        <v>3407</v>
      </c>
      <c r="U252" s="149"/>
      <c r="V252" s="95">
        <v>0</v>
      </c>
      <c r="W252" s="153" t="s">
        <v>3877</v>
      </c>
      <c r="X252" s="5" t="s">
        <v>8986</v>
      </c>
      <c r="Y252" s="151">
        <v>42435</v>
      </c>
      <c r="Z252" s="2">
        <v>45143</v>
      </c>
      <c r="AA252" s="377" t="s">
        <v>9555</v>
      </c>
      <c r="AB252" s="2">
        <v>45267</v>
      </c>
      <c r="AC252" s="80" t="s">
        <v>1339</v>
      </c>
      <c r="AD252"/>
      <c r="AE252"/>
      <c r="AF252" t="s">
        <v>3198</v>
      </c>
      <c r="AG252"/>
      <c r="AH252"/>
      <c r="AI252" s="1" t="s">
        <v>3108</v>
      </c>
      <c r="AJ252" s="2">
        <v>45159</v>
      </c>
      <c r="AK252" s="2"/>
      <c r="AL252"/>
      <c r="AM252" s="2">
        <v>45160</v>
      </c>
      <c r="AN252"/>
      <c r="AO252"/>
      <c r="AP252"/>
      <c r="AQ252"/>
      <c r="AR252"/>
      <c r="AT252" s="149"/>
    </row>
    <row r="253" spans="1:46">
      <c r="A253" s="1">
        <v>251</v>
      </c>
      <c r="B253" t="s">
        <v>33</v>
      </c>
      <c r="C253" s="2">
        <v>45159</v>
      </c>
      <c r="D253" s="2"/>
      <c r="E253" t="s">
        <v>9044</v>
      </c>
      <c r="F253" s="14" t="s">
        <v>9027</v>
      </c>
      <c r="G253" t="s">
        <v>8994</v>
      </c>
      <c r="H253" s="6" t="s">
        <v>220</v>
      </c>
      <c r="I253" t="s">
        <v>39</v>
      </c>
      <c r="J253" s="8">
        <v>645798309</v>
      </c>
      <c r="K253" s="114" t="s">
        <v>11744</v>
      </c>
      <c r="L253" t="s">
        <v>237</v>
      </c>
      <c r="M253" s="2">
        <v>45169</v>
      </c>
      <c r="N253" s="1" t="s">
        <v>35</v>
      </c>
      <c r="O253" s="61" t="s">
        <v>7934</v>
      </c>
      <c r="P253" s="14" t="s">
        <v>8993</v>
      </c>
      <c r="Q253" s="92">
        <v>78.510000000000005</v>
      </c>
      <c r="R253" s="1">
        <v>1</v>
      </c>
      <c r="S253" s="128">
        <v>0.21</v>
      </c>
      <c r="T253" s="128">
        <v>0.2</v>
      </c>
      <c r="U253" s="1"/>
      <c r="V253" s="95">
        <f t="shared" ref="V253:V284" si="5">SUM(Q253-(Q253*T253))*S253+(Q253-(Q253*T253))</f>
        <v>75.997680000000003</v>
      </c>
      <c r="W253" t="s">
        <v>6898</v>
      </c>
      <c r="X253" s="5" t="s">
        <v>9059</v>
      </c>
      <c r="Y253" s="2">
        <v>35144</v>
      </c>
      <c r="Z253" s="2">
        <v>45159</v>
      </c>
      <c r="AA253" s="377" t="s">
        <v>9320</v>
      </c>
      <c r="AB253" s="2">
        <v>45236</v>
      </c>
      <c r="AC253" s="80" t="s">
        <v>1339</v>
      </c>
      <c r="AF253" t="s">
        <v>3198</v>
      </c>
      <c r="AJ253" s="2"/>
      <c r="AM253" s="74"/>
      <c r="AS253" s="153"/>
      <c r="AT253" s="1"/>
    </row>
    <row r="254" spans="1:46">
      <c r="A254" s="1">
        <v>252</v>
      </c>
      <c r="B254" t="s">
        <v>37</v>
      </c>
      <c r="C254" s="2">
        <v>45160</v>
      </c>
      <c r="D254" s="2"/>
      <c r="E254" s="1" t="s">
        <v>9031</v>
      </c>
      <c r="F254" s="14" t="s">
        <v>9028</v>
      </c>
      <c r="G254" t="s">
        <v>8997</v>
      </c>
      <c r="H254" s="6" t="s">
        <v>219</v>
      </c>
      <c r="I254" s="1" t="s">
        <v>4334</v>
      </c>
      <c r="J254" s="8">
        <v>624401969</v>
      </c>
      <c r="K254" s="1"/>
      <c r="L254" s="1" t="s">
        <v>9031</v>
      </c>
      <c r="M254" s="2">
        <v>45169</v>
      </c>
      <c r="N254" s="1" t="s">
        <v>35</v>
      </c>
      <c r="O254" s="61" t="s">
        <v>7925</v>
      </c>
      <c r="P254" s="14" t="s">
        <v>8998</v>
      </c>
      <c r="Q254" s="92">
        <v>132.22999999999999</v>
      </c>
      <c r="R254" s="1">
        <v>1</v>
      </c>
      <c r="S254" s="128">
        <v>0.21</v>
      </c>
      <c r="T254" s="128">
        <v>0</v>
      </c>
      <c r="U254" s="95"/>
      <c r="V254" s="95">
        <f t="shared" si="5"/>
        <v>159.99829999999997</v>
      </c>
      <c r="W254" t="s">
        <v>9031</v>
      </c>
      <c r="X254" s="5" t="s">
        <v>9032</v>
      </c>
      <c r="Y254" s="2">
        <v>35127</v>
      </c>
      <c r="Z254" s="2">
        <v>45160</v>
      </c>
      <c r="AA254" s="285" t="s">
        <v>10388</v>
      </c>
      <c r="AB254" s="2">
        <v>45419</v>
      </c>
      <c r="AC254" s="80" t="s">
        <v>1339</v>
      </c>
      <c r="AE254" s="292">
        <v>45338</v>
      </c>
      <c r="AF254" t="s">
        <v>3198</v>
      </c>
      <c r="AI254" t="s">
        <v>3108</v>
      </c>
      <c r="AJ254" s="2">
        <v>45168</v>
      </c>
      <c r="AM254" s="74">
        <v>45170</v>
      </c>
      <c r="AT254" s="1"/>
    </row>
    <row r="255" spans="1:46" ht="15.75" customHeight="1">
      <c r="A255" s="1">
        <v>253</v>
      </c>
      <c r="B255" s="61" t="s">
        <v>52</v>
      </c>
      <c r="C255" s="2">
        <v>45162</v>
      </c>
      <c r="D255" s="2"/>
      <c r="E255" s="30" t="s">
        <v>458</v>
      </c>
      <c r="F255" t="s">
        <v>84</v>
      </c>
      <c r="G255" s="103" t="s">
        <v>138</v>
      </c>
      <c r="H255" s="30" t="s">
        <v>227</v>
      </c>
      <c r="I255" s="31" t="s">
        <v>203</v>
      </c>
      <c r="J255" s="44"/>
      <c r="K255" s="44" t="s">
        <v>5906</v>
      </c>
      <c r="L255" t="s">
        <v>4432</v>
      </c>
      <c r="M255" s="2">
        <v>45169</v>
      </c>
      <c r="N255" s="1" t="s">
        <v>35</v>
      </c>
      <c r="O255" s="61" t="s">
        <v>7925</v>
      </c>
      <c r="P255" s="14" t="s">
        <v>9000</v>
      </c>
      <c r="Q255" s="187">
        <v>132.22999999999999</v>
      </c>
      <c r="R255" s="1">
        <v>1</v>
      </c>
      <c r="S255" s="90">
        <v>0.21</v>
      </c>
      <c r="T255" s="90">
        <v>0.2</v>
      </c>
      <c r="V255" s="95">
        <f t="shared" si="5"/>
        <v>127.99863999999999</v>
      </c>
      <c r="W255" t="s">
        <v>9001</v>
      </c>
      <c r="X255" s="5" t="s">
        <v>9039</v>
      </c>
      <c r="Y255" s="2">
        <v>36160</v>
      </c>
      <c r="Z255" s="2">
        <v>45162</v>
      </c>
      <c r="AA255" s="377" t="s">
        <v>10165</v>
      </c>
      <c r="AB255" s="2">
        <v>45377</v>
      </c>
      <c r="AC255" s="80" t="s">
        <v>1339</v>
      </c>
      <c r="AD255" t="s">
        <v>4763</v>
      </c>
      <c r="AE255" s="411">
        <v>45313</v>
      </c>
      <c r="AF255" t="s">
        <v>3198</v>
      </c>
      <c r="AI255" t="s">
        <v>3108</v>
      </c>
      <c r="AJ255" s="2">
        <v>45170</v>
      </c>
      <c r="AM255" s="74">
        <v>45175</v>
      </c>
      <c r="AT255" s="1"/>
    </row>
    <row r="256" spans="1:46">
      <c r="A256" s="1">
        <v>254</v>
      </c>
      <c r="B256" t="s">
        <v>3526</v>
      </c>
      <c r="C256" s="2">
        <v>45162</v>
      </c>
      <c r="D256" s="2"/>
      <c r="E256" s="1" t="s">
        <v>9002</v>
      </c>
      <c r="F256" s="14" t="s">
        <v>9003</v>
      </c>
      <c r="G256" t="s">
        <v>9004</v>
      </c>
      <c r="H256" s="6" t="s">
        <v>6223</v>
      </c>
      <c r="I256" s="1" t="s">
        <v>6224</v>
      </c>
      <c r="J256" s="8"/>
      <c r="K256" s="1" t="s">
        <v>7759</v>
      </c>
      <c r="L256" s="1" t="s">
        <v>9002</v>
      </c>
      <c r="M256" s="2">
        <v>45169</v>
      </c>
      <c r="N256" s="1" t="s">
        <v>35</v>
      </c>
      <c r="O256" s="61" t="s">
        <v>7925</v>
      </c>
      <c r="P256" s="14" t="s">
        <v>9005</v>
      </c>
      <c r="Q256" s="92">
        <v>132.22999999999999</v>
      </c>
      <c r="R256" s="1">
        <v>1</v>
      </c>
      <c r="S256" s="128">
        <v>0.21</v>
      </c>
      <c r="T256" s="128">
        <v>0.2</v>
      </c>
      <c r="U256" s="95"/>
      <c r="V256" s="95">
        <f t="shared" si="5"/>
        <v>127.99863999999999</v>
      </c>
      <c r="W256" t="s">
        <v>9040</v>
      </c>
      <c r="X256" s="5" t="s">
        <v>9041</v>
      </c>
      <c r="Y256" s="2">
        <v>32745</v>
      </c>
      <c r="Z256" s="2">
        <v>45162</v>
      </c>
      <c r="AA256" s="377" t="s">
        <v>9805</v>
      </c>
      <c r="AB256" s="2">
        <v>45313</v>
      </c>
      <c r="AC256" s="80" t="s">
        <v>1339</v>
      </c>
      <c r="AF256" t="s">
        <v>3198</v>
      </c>
      <c r="AI256" t="s">
        <v>3108</v>
      </c>
      <c r="AJ256" s="2">
        <v>45170</v>
      </c>
      <c r="AM256" s="74">
        <v>45174</v>
      </c>
      <c r="AT256" s="1"/>
    </row>
    <row r="257" spans="1:46">
      <c r="A257" s="1">
        <v>255</v>
      </c>
      <c r="B257" t="s">
        <v>7245</v>
      </c>
      <c r="C257" s="2">
        <v>45163</v>
      </c>
      <c r="D257" s="2"/>
      <c r="E257" t="s">
        <v>1522</v>
      </c>
      <c r="F257" t="s">
        <v>3233</v>
      </c>
      <c r="G257" t="s">
        <v>3241</v>
      </c>
      <c r="H257" s="6" t="s">
        <v>3234</v>
      </c>
      <c r="I257" t="s">
        <v>3235</v>
      </c>
      <c r="J257" s="8">
        <v>680761760</v>
      </c>
      <c r="K257" s="8" t="s">
        <v>6232</v>
      </c>
      <c r="L257" t="s">
        <v>1522</v>
      </c>
      <c r="M257" s="2">
        <v>45169</v>
      </c>
      <c r="N257" s="1" t="s">
        <v>35</v>
      </c>
      <c r="O257" s="14" t="s">
        <v>7926</v>
      </c>
      <c r="P257" s="14" t="s">
        <v>9006</v>
      </c>
      <c r="Q257" s="187">
        <v>132.22999999999999</v>
      </c>
      <c r="R257" s="1">
        <v>1</v>
      </c>
      <c r="S257" s="128">
        <v>0.21</v>
      </c>
      <c r="T257" s="128">
        <v>0.2</v>
      </c>
      <c r="V257" s="95">
        <f t="shared" si="5"/>
        <v>127.99863999999999</v>
      </c>
      <c r="W257" t="s">
        <v>9033</v>
      </c>
      <c r="X257" s="5" t="s">
        <v>9034</v>
      </c>
      <c r="Y257" s="2">
        <v>33625</v>
      </c>
      <c r="Z257" s="2">
        <v>45163</v>
      </c>
      <c r="AA257" s="377" t="s">
        <v>9397</v>
      </c>
      <c r="AB257" s="2">
        <v>45244</v>
      </c>
      <c r="AC257" s="80" t="s">
        <v>1339</v>
      </c>
      <c r="AE257" s="3"/>
      <c r="AF257" t="s">
        <v>3198</v>
      </c>
      <c r="AI257" t="s">
        <v>3470</v>
      </c>
      <c r="AJ257" s="2">
        <v>45168</v>
      </c>
      <c r="AM257" s="74">
        <v>45170</v>
      </c>
      <c r="AT257" s="1"/>
    </row>
    <row r="258" spans="1:46">
      <c r="A258" s="1">
        <v>256</v>
      </c>
      <c r="B258" t="s">
        <v>37</v>
      </c>
      <c r="C258" s="2">
        <v>45163</v>
      </c>
      <c r="D258" s="2"/>
      <c r="E258" s="1" t="s">
        <v>9007</v>
      </c>
      <c r="F258" s="14" t="s">
        <v>9008</v>
      </c>
      <c r="G258" t="s">
        <v>9009</v>
      </c>
      <c r="H258" s="6" t="s">
        <v>220</v>
      </c>
      <c r="I258" s="1" t="s">
        <v>39</v>
      </c>
      <c r="J258" s="8">
        <v>643484599</v>
      </c>
      <c r="K258" s="1"/>
      <c r="L258" s="1" t="s">
        <v>9007</v>
      </c>
      <c r="M258" s="2">
        <v>45169</v>
      </c>
      <c r="N258" s="1" t="s">
        <v>35</v>
      </c>
      <c r="O258" s="61" t="s">
        <v>7934</v>
      </c>
      <c r="P258" s="14" t="s">
        <v>9010</v>
      </c>
      <c r="Q258" s="187">
        <v>78.510000000000005</v>
      </c>
      <c r="R258" s="1">
        <v>1</v>
      </c>
      <c r="S258" s="128">
        <v>0.21</v>
      </c>
      <c r="T258" s="128">
        <v>0.2</v>
      </c>
      <c r="V258" s="95">
        <f t="shared" si="5"/>
        <v>75.997680000000003</v>
      </c>
      <c r="W258" s="1" t="s">
        <v>9007</v>
      </c>
      <c r="X258" s="5" t="s">
        <v>9011</v>
      </c>
      <c r="Y258" s="2">
        <v>36076</v>
      </c>
      <c r="Z258" s="2">
        <v>45163</v>
      </c>
      <c r="AA258" s="377" t="s">
        <v>9344</v>
      </c>
      <c r="AB258" s="2">
        <v>45236</v>
      </c>
      <c r="AC258" s="80" t="s">
        <v>1339</v>
      </c>
      <c r="AF258" t="s">
        <v>3198</v>
      </c>
      <c r="AI258" s="76" t="s">
        <v>9012</v>
      </c>
      <c r="AJ258" s="2"/>
      <c r="AM258" s="74"/>
      <c r="AT258" s="1"/>
    </row>
    <row r="259" spans="1:46">
      <c r="A259" s="1">
        <v>257</v>
      </c>
      <c r="B259" t="s">
        <v>33</v>
      </c>
      <c r="C259" s="2">
        <v>45163</v>
      </c>
      <c r="D259" s="2"/>
      <c r="E259" s="1" t="s">
        <v>9015</v>
      </c>
      <c r="F259" s="14" t="s">
        <v>9016</v>
      </c>
      <c r="G259" t="s">
        <v>9017</v>
      </c>
      <c r="H259" s="6" t="s">
        <v>236</v>
      </c>
      <c r="I259" s="1" t="s">
        <v>34</v>
      </c>
      <c r="J259" s="8"/>
      <c r="K259" s="114" t="s">
        <v>11744</v>
      </c>
      <c r="L259" t="s">
        <v>237</v>
      </c>
      <c r="M259" s="2">
        <v>45169</v>
      </c>
      <c r="N259" s="1" t="s">
        <v>35</v>
      </c>
      <c r="O259" s="61" t="s">
        <v>7926</v>
      </c>
      <c r="P259" s="14" t="s">
        <v>9018</v>
      </c>
      <c r="Q259" s="92">
        <v>132.22999999999999</v>
      </c>
      <c r="R259" s="1">
        <v>1</v>
      </c>
      <c r="S259" s="128">
        <v>0.21</v>
      </c>
      <c r="T259" s="128">
        <v>0.2</v>
      </c>
      <c r="U259" s="95"/>
      <c r="V259" s="95">
        <f t="shared" si="5"/>
        <v>127.99863999999999</v>
      </c>
      <c r="W259" t="s">
        <v>9029</v>
      </c>
      <c r="X259" s="5" t="s">
        <v>9030</v>
      </c>
      <c r="Y259" s="2">
        <v>33265</v>
      </c>
      <c r="Z259" s="2">
        <v>45163</v>
      </c>
      <c r="AA259" s="377" t="s">
        <v>9397</v>
      </c>
      <c r="AB259" s="2">
        <v>45244</v>
      </c>
      <c r="AC259" s="80" t="s">
        <v>1339</v>
      </c>
      <c r="AF259" t="s">
        <v>3198</v>
      </c>
      <c r="AI259" t="s">
        <v>3470</v>
      </c>
      <c r="AJ259" s="2">
        <v>45168</v>
      </c>
      <c r="AM259" s="74">
        <v>45177</v>
      </c>
      <c r="AT259" s="1"/>
    </row>
    <row r="260" spans="1:46">
      <c r="A260" s="1">
        <v>258</v>
      </c>
      <c r="B260" t="s">
        <v>1414</v>
      </c>
      <c r="C260" s="2">
        <v>45166</v>
      </c>
      <c r="D260" s="2"/>
      <c r="E260" s="1" t="s">
        <v>1079</v>
      </c>
      <c r="F260" t="s">
        <v>41</v>
      </c>
      <c r="G260" s="61" t="s">
        <v>2115</v>
      </c>
      <c r="H260" s="1" t="s">
        <v>230</v>
      </c>
      <c r="I260" s="1" t="s">
        <v>1262</v>
      </c>
      <c r="J260" s="1">
        <v>631212115</v>
      </c>
      <c r="K260" s="8" t="s">
        <v>6306</v>
      </c>
      <c r="L260" s="1" t="s">
        <v>1079</v>
      </c>
      <c r="M260" s="2">
        <v>45169</v>
      </c>
      <c r="N260" s="1" t="s">
        <v>35</v>
      </c>
      <c r="O260" s="61" t="s">
        <v>7925</v>
      </c>
      <c r="P260" s="14" t="s">
        <v>9019</v>
      </c>
      <c r="Q260" s="92">
        <v>132.22999999999999</v>
      </c>
      <c r="R260" s="1">
        <v>1</v>
      </c>
      <c r="S260" s="128">
        <v>0.21</v>
      </c>
      <c r="T260" s="128">
        <v>0.2</v>
      </c>
      <c r="U260" s="1"/>
      <c r="V260" s="95">
        <f t="shared" si="5"/>
        <v>127.99863999999999</v>
      </c>
      <c r="W260" t="s">
        <v>9047</v>
      </c>
      <c r="X260" s="5" t="s">
        <v>9048</v>
      </c>
      <c r="Y260" s="2">
        <v>30317</v>
      </c>
      <c r="Z260" s="2">
        <v>45166</v>
      </c>
      <c r="AA260" s="285" t="s">
        <v>10173</v>
      </c>
      <c r="AB260" s="2">
        <v>45021</v>
      </c>
      <c r="AC260" s="80" t="s">
        <v>1339</v>
      </c>
      <c r="AD260" t="s">
        <v>9636</v>
      </c>
      <c r="AE260" s="292">
        <v>45313</v>
      </c>
      <c r="AF260" t="s">
        <v>3198</v>
      </c>
      <c r="AI260" t="s">
        <v>3108</v>
      </c>
      <c r="AJ260" s="3">
        <v>45174</v>
      </c>
      <c r="AL260" s="3"/>
      <c r="AM260" s="3">
        <v>45181</v>
      </c>
    </row>
    <row r="261" spans="1:46">
      <c r="A261" s="1">
        <v>259</v>
      </c>
      <c r="B261" t="s">
        <v>33</v>
      </c>
      <c r="C261" s="165">
        <v>45168</v>
      </c>
      <c r="D261" s="165"/>
      <c r="E261" s="1" t="s">
        <v>4245</v>
      </c>
      <c r="F261" t="s">
        <v>9058</v>
      </c>
      <c r="G261" s="61" t="s">
        <v>6304</v>
      </c>
      <c r="H261" s="6" t="s">
        <v>230</v>
      </c>
      <c r="I261" s="1" t="s">
        <v>4719</v>
      </c>
      <c r="J261" s="8"/>
      <c r="K261" s="114" t="s">
        <v>11744</v>
      </c>
      <c r="L261" t="s">
        <v>237</v>
      </c>
      <c r="M261" s="2">
        <v>45169</v>
      </c>
      <c r="N261" s="164" t="s">
        <v>35</v>
      </c>
      <c r="O261" s="61" t="s">
        <v>7934</v>
      </c>
      <c r="P261" s="14" t="s">
        <v>9036</v>
      </c>
      <c r="Q261" s="187">
        <v>78.510000000000005</v>
      </c>
      <c r="R261" s="1">
        <v>1</v>
      </c>
      <c r="S261" s="90">
        <v>0.21</v>
      </c>
      <c r="T261" s="90">
        <v>0.2</v>
      </c>
      <c r="V261" s="95">
        <f t="shared" si="5"/>
        <v>75.997680000000003</v>
      </c>
      <c r="W261" t="s">
        <v>7175</v>
      </c>
      <c r="X261" s="5" t="s">
        <v>9037</v>
      </c>
      <c r="Y261" s="2">
        <v>30753</v>
      </c>
      <c r="Z261" s="2">
        <v>45168</v>
      </c>
      <c r="AA261" s="377" t="s">
        <v>9428</v>
      </c>
      <c r="AB261" s="3">
        <v>45247</v>
      </c>
      <c r="AC261" s="80" t="s">
        <v>1339</v>
      </c>
      <c r="AF261" t="s">
        <v>3198</v>
      </c>
      <c r="AJ261" s="2"/>
      <c r="AM261" s="74"/>
      <c r="AT261" s="1"/>
    </row>
    <row r="262" spans="1:46" ht="14.25" customHeight="1">
      <c r="A262" s="1">
        <v>260</v>
      </c>
      <c r="B262" t="s">
        <v>37</v>
      </c>
      <c r="C262" s="2">
        <v>45170</v>
      </c>
      <c r="D262" s="2"/>
      <c r="E262" s="1" t="s">
        <v>5915</v>
      </c>
      <c r="F262" t="s">
        <v>5916</v>
      </c>
      <c r="G262" s="61" t="s">
        <v>5917</v>
      </c>
      <c r="H262" s="6" t="s">
        <v>245</v>
      </c>
      <c r="I262" s="1" t="s">
        <v>54</v>
      </c>
      <c r="J262" s="1">
        <v>696431513</v>
      </c>
      <c r="K262" s="1" t="s">
        <v>5924</v>
      </c>
      <c r="L262" s="1" t="s">
        <v>5915</v>
      </c>
      <c r="M262" s="2">
        <v>45199</v>
      </c>
      <c r="N262" s="1" t="s">
        <v>35</v>
      </c>
      <c r="O262" s="375" t="s">
        <v>7929</v>
      </c>
      <c r="P262" s="14" t="s">
        <v>9042</v>
      </c>
      <c r="Q262" s="187">
        <v>132.22999999999999</v>
      </c>
      <c r="R262" s="1">
        <v>1</v>
      </c>
      <c r="S262" s="128">
        <v>0.21</v>
      </c>
      <c r="T262" s="128">
        <v>0.2</v>
      </c>
      <c r="U262" s="363"/>
      <c r="V262" s="95">
        <f t="shared" si="5"/>
        <v>127.99863999999999</v>
      </c>
      <c r="W262" s="1" t="s">
        <v>9043</v>
      </c>
      <c r="X262" s="5" t="s">
        <v>9086</v>
      </c>
      <c r="Y262" s="211">
        <v>42958</v>
      </c>
      <c r="Z262" s="2">
        <v>45170</v>
      </c>
      <c r="AA262" s="377" t="s">
        <v>9321</v>
      </c>
      <c r="AB262" s="2">
        <v>45224</v>
      </c>
      <c r="AC262" s="80" t="s">
        <v>1339</v>
      </c>
      <c r="AF262" t="s">
        <v>3198</v>
      </c>
      <c r="AJ262" s="3"/>
      <c r="AM262" s="74"/>
    </row>
    <row r="263" spans="1:46">
      <c r="A263" s="1">
        <v>261</v>
      </c>
      <c r="B263" t="s">
        <v>33</v>
      </c>
      <c r="C263" s="2">
        <v>45173</v>
      </c>
      <c r="D263" s="2"/>
      <c r="E263" s="1" t="s">
        <v>5021</v>
      </c>
      <c r="F263" t="s">
        <v>5014</v>
      </c>
      <c r="G263" t="s">
        <v>5020</v>
      </c>
      <c r="H263" s="6" t="s">
        <v>219</v>
      </c>
      <c r="I263" s="1" t="s">
        <v>38</v>
      </c>
      <c r="K263" s="114" t="s">
        <v>11744</v>
      </c>
      <c r="L263" s="1" t="s">
        <v>237</v>
      </c>
      <c r="M263" s="2">
        <v>45199</v>
      </c>
      <c r="N263" s="1" t="s">
        <v>35</v>
      </c>
      <c r="O263" s="14" t="s">
        <v>7925</v>
      </c>
      <c r="P263" s="14" t="s">
        <v>8110</v>
      </c>
      <c r="Q263" s="92">
        <v>132.22999999999999</v>
      </c>
      <c r="R263" s="1">
        <v>1</v>
      </c>
      <c r="S263" s="128">
        <v>0.21</v>
      </c>
      <c r="T263" s="128">
        <v>0.2</v>
      </c>
      <c r="U263" s="363"/>
      <c r="V263" s="95">
        <f t="shared" si="5"/>
        <v>127.99863999999999</v>
      </c>
      <c r="W263" t="s">
        <v>8183</v>
      </c>
      <c r="X263" s="5" t="s">
        <v>9067</v>
      </c>
      <c r="Y263" s="2">
        <v>34674</v>
      </c>
      <c r="Z263" s="2">
        <v>45173</v>
      </c>
      <c r="AA263" s="285" t="s">
        <v>9668</v>
      </c>
      <c r="AB263" s="2">
        <v>45281</v>
      </c>
      <c r="AC263" s="80" t="s">
        <v>1339</v>
      </c>
      <c r="AD263" s="61"/>
      <c r="AE263" s="292">
        <v>45311</v>
      </c>
      <c r="AF263" t="s">
        <v>3198</v>
      </c>
      <c r="AI263" t="s">
        <v>3108</v>
      </c>
      <c r="AJ263" s="2">
        <v>45176</v>
      </c>
      <c r="AM263" s="3">
        <v>45181</v>
      </c>
      <c r="AS263" s="1"/>
      <c r="AT263" s="1"/>
    </row>
    <row r="264" spans="1:46">
      <c r="A264" s="1">
        <v>262</v>
      </c>
      <c r="B264" t="s">
        <v>37</v>
      </c>
      <c r="C264" s="2">
        <v>45175</v>
      </c>
      <c r="D264" s="2"/>
      <c r="E264" s="1" t="s">
        <v>9049</v>
      </c>
      <c r="F264" t="s">
        <v>9050</v>
      </c>
      <c r="G264" t="s">
        <v>9051</v>
      </c>
      <c r="H264" s="6" t="s">
        <v>219</v>
      </c>
      <c r="I264" s="1" t="s">
        <v>38</v>
      </c>
      <c r="K264" s="1"/>
      <c r="L264" s="1" t="s">
        <v>9049</v>
      </c>
      <c r="M264" s="2">
        <v>45199</v>
      </c>
      <c r="N264" s="1" t="s">
        <v>35</v>
      </c>
      <c r="O264" s="375" t="s">
        <v>7934</v>
      </c>
      <c r="P264" s="14" t="s">
        <v>9052</v>
      </c>
      <c r="Q264" s="92">
        <v>78.510000000000005</v>
      </c>
      <c r="R264" s="1">
        <v>1</v>
      </c>
      <c r="S264" s="128">
        <v>0.21</v>
      </c>
      <c r="T264" s="128">
        <v>0</v>
      </c>
      <c r="U264" s="363"/>
      <c r="V264" s="95">
        <f t="shared" si="5"/>
        <v>94.997100000000003</v>
      </c>
      <c r="W264" s="1" t="s">
        <v>9049</v>
      </c>
      <c r="X264" s="5" t="s">
        <v>9053</v>
      </c>
      <c r="Y264" s="2">
        <v>28539</v>
      </c>
      <c r="Z264" s="2">
        <v>45175</v>
      </c>
      <c r="AA264" s="377" t="s">
        <v>9399</v>
      </c>
      <c r="AB264" s="2">
        <v>45244</v>
      </c>
      <c r="AC264" s="80" t="s">
        <v>1339</v>
      </c>
      <c r="AD264" s="61"/>
      <c r="AF264" t="s">
        <v>3198</v>
      </c>
      <c r="AJ264" s="2"/>
      <c r="AM264" s="3"/>
      <c r="AT264" s="1"/>
    </row>
    <row r="265" spans="1:46">
      <c r="A265" s="1">
        <v>263</v>
      </c>
      <c r="B265" t="s">
        <v>111</v>
      </c>
      <c r="C265" s="2">
        <v>45175</v>
      </c>
      <c r="D265" s="2"/>
      <c r="E265" s="1" t="s">
        <v>4875</v>
      </c>
      <c r="F265" t="s">
        <v>9054</v>
      </c>
      <c r="G265" t="s">
        <v>9055</v>
      </c>
      <c r="H265" s="6" t="s">
        <v>928</v>
      </c>
      <c r="I265" s="1" t="s">
        <v>49</v>
      </c>
      <c r="J265" s="1">
        <v>631891555</v>
      </c>
      <c r="K265" s="1"/>
      <c r="L265" s="1" t="s">
        <v>4875</v>
      </c>
      <c r="M265" s="2">
        <v>45199</v>
      </c>
      <c r="N265" s="1" t="s">
        <v>35</v>
      </c>
      <c r="O265" s="375" t="s">
        <v>7934</v>
      </c>
      <c r="P265" s="14" t="s">
        <v>9056</v>
      </c>
      <c r="Q265" s="92">
        <v>78.510000000000005</v>
      </c>
      <c r="R265" s="1">
        <v>1</v>
      </c>
      <c r="S265" s="128">
        <v>0.21</v>
      </c>
      <c r="T265" s="128">
        <v>0.2</v>
      </c>
      <c r="U265" s="363"/>
      <c r="V265" s="95">
        <f t="shared" si="5"/>
        <v>75.997680000000003</v>
      </c>
      <c r="W265" s="1" t="s">
        <v>4875</v>
      </c>
      <c r="X265" s="5" t="s">
        <v>9057</v>
      </c>
      <c r="Y265" s="2">
        <v>30218</v>
      </c>
      <c r="Z265" s="2">
        <v>45175</v>
      </c>
      <c r="AA265" s="377" t="s">
        <v>9399</v>
      </c>
      <c r="AB265" s="2">
        <v>45244</v>
      </c>
      <c r="AC265" s="80" t="s">
        <v>1339</v>
      </c>
      <c r="AD265" s="61"/>
      <c r="AF265" t="s">
        <v>3198</v>
      </c>
      <c r="AJ265" s="2"/>
      <c r="AM265" s="3"/>
      <c r="AT265" s="1"/>
    </row>
    <row r="266" spans="1:46">
      <c r="A266" s="1">
        <v>264</v>
      </c>
      <c r="B266" t="s">
        <v>37</v>
      </c>
      <c r="C266" s="2">
        <v>45176</v>
      </c>
      <c r="D266" s="2"/>
      <c r="E266" s="1" t="s">
        <v>3213</v>
      </c>
      <c r="F266" t="s">
        <v>9061</v>
      </c>
      <c r="G266" t="s">
        <v>9062</v>
      </c>
      <c r="H266" s="6" t="s">
        <v>232</v>
      </c>
      <c r="I266" s="1" t="s">
        <v>144</v>
      </c>
      <c r="J266" s="1">
        <v>643896429</v>
      </c>
      <c r="K266" s="1"/>
      <c r="L266" s="1" t="s">
        <v>3213</v>
      </c>
      <c r="M266" s="2">
        <v>45199</v>
      </c>
      <c r="N266" s="1" t="s">
        <v>35</v>
      </c>
      <c r="O266" s="375" t="s">
        <v>7968</v>
      </c>
      <c r="P266" s="14" t="s">
        <v>9063</v>
      </c>
      <c r="Q266" s="92">
        <v>132.22999999999999</v>
      </c>
      <c r="R266" s="1">
        <v>1</v>
      </c>
      <c r="S266" s="128">
        <v>0.21</v>
      </c>
      <c r="T266" s="128">
        <v>0.2</v>
      </c>
      <c r="U266" s="363"/>
      <c r="V266" s="95">
        <f t="shared" si="5"/>
        <v>127.99863999999999</v>
      </c>
      <c r="W266" t="s">
        <v>9144</v>
      </c>
      <c r="X266" s="5" t="s">
        <v>9145</v>
      </c>
      <c r="Y266" s="2">
        <v>34669</v>
      </c>
      <c r="Z266" s="2">
        <v>45176</v>
      </c>
      <c r="AA266" s="377" t="s">
        <v>9475</v>
      </c>
      <c r="AB266" s="2">
        <v>45252</v>
      </c>
      <c r="AC266" s="80" t="s">
        <v>1339</v>
      </c>
      <c r="AD266" s="61"/>
      <c r="AF266" t="s">
        <v>3198</v>
      </c>
      <c r="AI266" t="s">
        <v>3108</v>
      </c>
      <c r="AJ266" s="2">
        <v>45194</v>
      </c>
      <c r="AM266" s="2">
        <v>45196</v>
      </c>
      <c r="AT266" s="1"/>
    </row>
    <row r="267" spans="1:46">
      <c r="A267" s="1">
        <v>265</v>
      </c>
      <c r="B267" t="s">
        <v>37</v>
      </c>
      <c r="C267" s="2">
        <v>45194</v>
      </c>
      <c r="D267" s="2"/>
      <c r="E267" s="1" t="s">
        <v>3213</v>
      </c>
      <c r="F267" t="s">
        <v>9061</v>
      </c>
      <c r="G267" t="s">
        <v>9062</v>
      </c>
      <c r="H267" s="6" t="s">
        <v>232</v>
      </c>
      <c r="I267" s="1" t="s">
        <v>144</v>
      </c>
      <c r="J267" s="1">
        <v>643896429</v>
      </c>
      <c r="K267" s="1"/>
      <c r="L267" s="1" t="s">
        <v>3213</v>
      </c>
      <c r="M267" s="2">
        <v>45199</v>
      </c>
      <c r="N267" s="1" t="s">
        <v>35</v>
      </c>
      <c r="O267" s="375" t="s">
        <v>7968</v>
      </c>
      <c r="P267" s="14" t="s">
        <v>9064</v>
      </c>
      <c r="Q267" s="92">
        <v>132.22999999999999</v>
      </c>
      <c r="R267" s="1">
        <v>1</v>
      </c>
      <c r="S267" s="128">
        <v>0.21</v>
      </c>
      <c r="T267" s="128">
        <v>0.2</v>
      </c>
      <c r="U267" s="363"/>
      <c r="V267" s="95">
        <f t="shared" si="5"/>
        <v>127.99863999999999</v>
      </c>
      <c r="W267" s="1" t="s">
        <v>9178</v>
      </c>
      <c r="X267" s="5" t="s">
        <v>9179</v>
      </c>
      <c r="Y267" s="2">
        <v>44930</v>
      </c>
      <c r="Z267" s="2">
        <v>45194</v>
      </c>
      <c r="AA267" s="377" t="s">
        <v>9475</v>
      </c>
      <c r="AB267" s="2">
        <v>45252</v>
      </c>
      <c r="AC267" s="80" t="s">
        <v>1339</v>
      </c>
      <c r="AD267" s="61"/>
      <c r="AF267" t="s">
        <v>3198</v>
      </c>
      <c r="AI267" t="s">
        <v>3108</v>
      </c>
      <c r="AJ267" s="2">
        <v>45196</v>
      </c>
      <c r="AM267" s="2">
        <v>45196</v>
      </c>
      <c r="AT267" s="1"/>
    </row>
    <row r="268" spans="1:46">
      <c r="A268" s="1">
        <v>266</v>
      </c>
      <c r="B268" t="s">
        <v>3526</v>
      </c>
      <c r="C268" s="2">
        <v>45177</v>
      </c>
      <c r="D268" s="2"/>
      <c r="E268" s="1" t="s">
        <v>169</v>
      </c>
      <c r="F268" t="s">
        <v>9068</v>
      </c>
      <c r="G268" t="s">
        <v>9069</v>
      </c>
      <c r="H268" s="6" t="s">
        <v>259</v>
      </c>
      <c r="I268" s="1" t="s">
        <v>1959</v>
      </c>
      <c r="K268" s="1" t="s">
        <v>7759</v>
      </c>
      <c r="L268" s="1" t="s">
        <v>169</v>
      </c>
      <c r="M268" s="2">
        <v>45199</v>
      </c>
      <c r="N268" s="1" t="s">
        <v>35</v>
      </c>
      <c r="O268" s="375" t="s">
        <v>7925</v>
      </c>
      <c r="P268" s="14" t="s">
        <v>9070</v>
      </c>
      <c r="Q268" s="92">
        <v>132.22999999999999</v>
      </c>
      <c r="R268" s="1">
        <v>1</v>
      </c>
      <c r="S268" s="128">
        <v>0.21</v>
      </c>
      <c r="T268" s="128">
        <v>0.2</v>
      </c>
      <c r="U268" s="363"/>
      <c r="V268" s="95">
        <f t="shared" si="5"/>
        <v>127.99863999999999</v>
      </c>
      <c r="W268" t="s">
        <v>9122</v>
      </c>
      <c r="X268" s="5" t="s">
        <v>9123</v>
      </c>
      <c r="Y268" s="2">
        <v>32223</v>
      </c>
      <c r="Z268" s="2">
        <v>45177</v>
      </c>
      <c r="AA268" s="377" t="s">
        <v>10045</v>
      </c>
      <c r="AB268" s="2">
        <v>45358</v>
      </c>
      <c r="AC268" s="80" t="s">
        <v>1339</v>
      </c>
      <c r="AD268" s="61"/>
      <c r="AE268" s="162">
        <v>45282</v>
      </c>
      <c r="AF268" t="s">
        <v>3198</v>
      </c>
      <c r="AI268" t="s">
        <v>3108</v>
      </c>
      <c r="AJ268" s="2">
        <v>45187</v>
      </c>
      <c r="AM268" s="3">
        <v>45187</v>
      </c>
      <c r="AT268" s="1"/>
    </row>
    <row r="269" spans="1:46">
      <c r="A269" s="1">
        <v>267</v>
      </c>
      <c r="B269" t="s">
        <v>3526</v>
      </c>
      <c r="C269" s="2">
        <v>45177</v>
      </c>
      <c r="D269" s="2"/>
      <c r="E269" s="1" t="s">
        <v>9071</v>
      </c>
      <c r="F269" t="s">
        <v>9072</v>
      </c>
      <c r="G269" t="s">
        <v>9073</v>
      </c>
      <c r="H269" s="6" t="s">
        <v>293</v>
      </c>
      <c r="I269" s="1" t="s">
        <v>9074</v>
      </c>
      <c r="K269" s="1" t="s">
        <v>9076</v>
      </c>
      <c r="L269" s="1" t="s">
        <v>9071</v>
      </c>
      <c r="M269" s="2">
        <v>45199</v>
      </c>
      <c r="N269" s="1" t="s">
        <v>35</v>
      </c>
      <c r="O269" s="375" t="s">
        <v>7926</v>
      </c>
      <c r="P269" s="14" t="s">
        <v>9075</v>
      </c>
      <c r="Q269" s="92">
        <v>132.22999999999999</v>
      </c>
      <c r="R269" s="1">
        <v>1</v>
      </c>
      <c r="S269" s="128">
        <v>0.21</v>
      </c>
      <c r="T269" s="128">
        <v>0.2</v>
      </c>
      <c r="U269" s="363"/>
      <c r="V269" s="95">
        <f t="shared" si="5"/>
        <v>127.99863999999999</v>
      </c>
      <c r="W269" t="s">
        <v>9087</v>
      </c>
      <c r="X269" s="5" t="s">
        <v>9088</v>
      </c>
      <c r="Y269" s="2">
        <v>30975</v>
      </c>
      <c r="Z269" s="2">
        <v>45177</v>
      </c>
      <c r="AA269" s="285" t="s">
        <v>10050</v>
      </c>
      <c r="AB269" s="2">
        <v>45369</v>
      </c>
      <c r="AC269" s="80" t="s">
        <v>1339</v>
      </c>
      <c r="AD269" s="61"/>
      <c r="AE269" s="292">
        <v>45274</v>
      </c>
      <c r="AF269" t="s">
        <v>3198</v>
      </c>
      <c r="AI269" s="61" t="s">
        <v>3470</v>
      </c>
      <c r="AJ269" s="2">
        <v>45181</v>
      </c>
      <c r="AM269" s="3">
        <v>45190</v>
      </c>
      <c r="AT269" s="1"/>
    </row>
    <row r="270" spans="1:46">
      <c r="A270" s="1">
        <v>268</v>
      </c>
      <c r="B270" t="s">
        <v>119</v>
      </c>
      <c r="C270" s="2">
        <v>45181</v>
      </c>
      <c r="D270" s="2"/>
      <c r="E270" s="1" t="s">
        <v>494</v>
      </c>
      <c r="F270" t="s">
        <v>9110</v>
      </c>
      <c r="G270" s="61" t="s">
        <v>5059</v>
      </c>
      <c r="H270" s="6" t="s">
        <v>242</v>
      </c>
      <c r="I270" s="1" t="s">
        <v>86</v>
      </c>
      <c r="J270" s="8"/>
      <c r="K270" s="1" t="s">
        <v>8094</v>
      </c>
      <c r="L270" t="s">
        <v>174</v>
      </c>
      <c r="M270" s="2">
        <v>45199</v>
      </c>
      <c r="N270" s="1" t="s">
        <v>35</v>
      </c>
      <c r="O270" s="375" t="s">
        <v>7934</v>
      </c>
      <c r="P270" s="14" t="s">
        <v>9077</v>
      </c>
      <c r="Q270" s="187">
        <v>78.510000000000005</v>
      </c>
      <c r="R270" s="1">
        <v>1</v>
      </c>
      <c r="S270" s="128">
        <v>0.21</v>
      </c>
      <c r="T270" s="128">
        <v>0.2</v>
      </c>
      <c r="U270" s="363"/>
      <c r="V270" s="95">
        <f t="shared" si="5"/>
        <v>75.997680000000003</v>
      </c>
      <c r="W270" t="s">
        <v>7267</v>
      </c>
      <c r="X270" s="5" t="s">
        <v>9430</v>
      </c>
      <c r="Y270" s="2">
        <v>33938</v>
      </c>
      <c r="Z270" s="2">
        <v>45181</v>
      </c>
      <c r="AA270" s="377" t="s">
        <v>9429</v>
      </c>
      <c r="AB270" s="3">
        <v>45247</v>
      </c>
      <c r="AC270" s="80" t="s">
        <v>1339</v>
      </c>
      <c r="AF270" t="s">
        <v>3198</v>
      </c>
      <c r="AJ270" s="2"/>
      <c r="AM270" s="74"/>
      <c r="AT270" s="1"/>
    </row>
    <row r="271" spans="1:46">
      <c r="A271" s="1">
        <v>269</v>
      </c>
      <c r="B271" t="s">
        <v>52</v>
      </c>
      <c r="C271" s="2">
        <v>45181</v>
      </c>
      <c r="D271" s="2"/>
      <c r="E271" s="1" t="s">
        <v>256</v>
      </c>
      <c r="F271" s="31" t="s">
        <v>155</v>
      </c>
      <c r="G271" s="31" t="s">
        <v>138</v>
      </c>
      <c r="H271" s="33" t="s">
        <v>227</v>
      </c>
      <c r="I271" s="30" t="s">
        <v>203</v>
      </c>
      <c r="J271" s="44">
        <v>631130911</v>
      </c>
      <c r="K271" s="44" t="s">
        <v>5906</v>
      </c>
      <c r="L271" t="s">
        <v>4432</v>
      </c>
      <c r="M271" s="2">
        <v>45199</v>
      </c>
      <c r="N271" s="1" t="s">
        <v>35</v>
      </c>
      <c r="O271" s="375" t="s">
        <v>7934</v>
      </c>
      <c r="P271" s="14" t="s">
        <v>9078</v>
      </c>
      <c r="Q271" s="187">
        <v>78.510000000000005</v>
      </c>
      <c r="R271" s="1">
        <v>1</v>
      </c>
      <c r="S271" s="90">
        <v>0.21</v>
      </c>
      <c r="T271" s="90">
        <v>0.2</v>
      </c>
      <c r="V271" s="95">
        <f t="shared" si="5"/>
        <v>75.997680000000003</v>
      </c>
      <c r="W271" t="s">
        <v>6571</v>
      </c>
      <c r="X271" s="5" t="s">
        <v>9079</v>
      </c>
      <c r="Y271" s="2">
        <v>28378</v>
      </c>
      <c r="Z271" s="2">
        <v>45181</v>
      </c>
      <c r="AA271" s="377" t="s">
        <v>9429</v>
      </c>
      <c r="AB271" s="3">
        <v>45247</v>
      </c>
      <c r="AC271" s="80" t="s">
        <v>1339</v>
      </c>
      <c r="AF271" t="s">
        <v>3198</v>
      </c>
      <c r="AJ271" s="2"/>
      <c r="AM271" s="74"/>
      <c r="AT271" s="1"/>
    </row>
    <row r="272" spans="1:46">
      <c r="A272" s="1">
        <v>270</v>
      </c>
      <c r="B272" t="s">
        <v>37</v>
      </c>
      <c r="C272" s="2">
        <v>45181</v>
      </c>
      <c r="D272" s="2"/>
      <c r="E272" s="1" t="s">
        <v>9080</v>
      </c>
      <c r="F272" t="s">
        <v>9081</v>
      </c>
      <c r="G272" t="s">
        <v>9082</v>
      </c>
      <c r="H272" s="6" t="s">
        <v>245</v>
      </c>
      <c r="I272" s="1" t="s">
        <v>54</v>
      </c>
      <c r="J272" s="1">
        <v>643250244</v>
      </c>
      <c r="K272" s="1"/>
      <c r="L272" s="1" t="s">
        <v>9080</v>
      </c>
      <c r="M272" s="2">
        <v>45199</v>
      </c>
      <c r="N272" s="1" t="s">
        <v>35</v>
      </c>
      <c r="O272" s="375" t="s">
        <v>7934</v>
      </c>
      <c r="P272" s="14" t="s">
        <v>9083</v>
      </c>
      <c r="Q272" s="92">
        <v>78.510000000000005</v>
      </c>
      <c r="R272" s="1">
        <v>1</v>
      </c>
      <c r="S272" s="128">
        <v>0.21</v>
      </c>
      <c r="T272" s="128">
        <v>0</v>
      </c>
      <c r="U272" s="363"/>
      <c r="V272" s="95">
        <f t="shared" si="5"/>
        <v>94.997100000000003</v>
      </c>
      <c r="W272" s="1" t="s">
        <v>9080</v>
      </c>
      <c r="X272" s="5" t="s">
        <v>9085</v>
      </c>
      <c r="Y272" s="2">
        <v>33849</v>
      </c>
      <c r="Z272" s="2">
        <v>45181</v>
      </c>
      <c r="AA272" s="377" t="s">
        <v>9429</v>
      </c>
      <c r="AB272" s="3">
        <v>45247</v>
      </c>
      <c r="AC272" s="80" t="s">
        <v>1339</v>
      </c>
      <c r="AD272" s="61"/>
      <c r="AF272" t="s">
        <v>3198</v>
      </c>
      <c r="AI272" s="61"/>
      <c r="AJ272" s="2"/>
      <c r="AM272" s="3"/>
      <c r="AT272" s="1"/>
    </row>
    <row r="273" spans="1:46">
      <c r="A273" s="1">
        <v>271</v>
      </c>
      <c r="B273" t="s">
        <v>7245</v>
      </c>
      <c r="C273" s="2">
        <v>45182</v>
      </c>
      <c r="D273" s="2"/>
      <c r="E273" t="s">
        <v>1522</v>
      </c>
      <c r="F273" t="s">
        <v>3233</v>
      </c>
      <c r="G273" t="s">
        <v>3241</v>
      </c>
      <c r="H273" s="6" t="s">
        <v>3234</v>
      </c>
      <c r="I273" t="s">
        <v>3235</v>
      </c>
      <c r="J273" s="8">
        <v>680761760</v>
      </c>
      <c r="K273" s="8" t="s">
        <v>6232</v>
      </c>
      <c r="L273" t="s">
        <v>1522</v>
      </c>
      <c r="M273" s="2">
        <v>45199</v>
      </c>
      <c r="N273" s="1" t="s">
        <v>35</v>
      </c>
      <c r="O273" s="14" t="s">
        <v>7926</v>
      </c>
      <c r="P273" s="14" t="s">
        <v>9091</v>
      </c>
      <c r="Q273" s="187">
        <v>132.22999999999999</v>
      </c>
      <c r="R273" s="1">
        <v>1</v>
      </c>
      <c r="S273" s="128">
        <v>0.21</v>
      </c>
      <c r="T273" s="128">
        <v>0.2</v>
      </c>
      <c r="V273" s="95">
        <f t="shared" si="5"/>
        <v>127.99863999999999</v>
      </c>
      <c r="W273" t="s">
        <v>9127</v>
      </c>
      <c r="X273" s="5" t="s">
        <v>9128</v>
      </c>
      <c r="Y273" s="2">
        <v>34851</v>
      </c>
      <c r="Z273" s="2">
        <v>45182</v>
      </c>
      <c r="AA273" s="61"/>
      <c r="AB273" s="1"/>
      <c r="AC273" s="61"/>
      <c r="AE273" s="3"/>
      <c r="AF273" t="s">
        <v>3198</v>
      </c>
      <c r="AI273" s="61" t="s">
        <v>3470</v>
      </c>
      <c r="AJ273" s="2">
        <v>45187</v>
      </c>
      <c r="AM273" s="74">
        <v>45196</v>
      </c>
      <c r="AT273" s="1"/>
    </row>
    <row r="274" spans="1:46">
      <c r="A274" s="1">
        <v>272</v>
      </c>
      <c r="B274" s="61" t="s">
        <v>33</v>
      </c>
      <c r="C274" s="2">
        <v>45182</v>
      </c>
      <c r="D274" s="2"/>
      <c r="E274" s="1" t="s">
        <v>3247</v>
      </c>
      <c r="F274" t="s">
        <v>9109</v>
      </c>
      <c r="G274" t="s">
        <v>3242</v>
      </c>
      <c r="H274" s="6" t="s">
        <v>304</v>
      </c>
      <c r="I274" t="s">
        <v>38</v>
      </c>
      <c r="J274" s="8">
        <v>646181264</v>
      </c>
      <c r="K274" s="114" t="s">
        <v>11744</v>
      </c>
      <c r="L274" s="1" t="s">
        <v>237</v>
      </c>
      <c r="M274" s="2">
        <v>45199</v>
      </c>
      <c r="N274" s="1" t="s">
        <v>35</v>
      </c>
      <c r="O274" s="14" t="s">
        <v>7925</v>
      </c>
      <c r="P274" s="14" t="s">
        <v>9092</v>
      </c>
      <c r="Q274" s="187">
        <v>132.22999999999999</v>
      </c>
      <c r="R274" s="1">
        <v>1</v>
      </c>
      <c r="S274" s="90">
        <v>0.21</v>
      </c>
      <c r="T274" s="90">
        <v>0.2</v>
      </c>
      <c r="V274" s="95">
        <f t="shared" si="5"/>
        <v>127.99863999999999</v>
      </c>
      <c r="W274" t="s">
        <v>9142</v>
      </c>
      <c r="X274" s="5" t="s">
        <v>9143</v>
      </c>
      <c r="Y274" s="2">
        <v>32874</v>
      </c>
      <c r="Z274" s="2">
        <v>45182</v>
      </c>
      <c r="AA274" s="377" t="s">
        <v>9723</v>
      </c>
      <c r="AB274" s="64">
        <v>45299</v>
      </c>
      <c r="AC274" s="80" t="s">
        <v>1339</v>
      </c>
      <c r="AE274" s="3"/>
      <c r="AF274" t="s">
        <v>3198</v>
      </c>
      <c r="AI274" s="76" t="s">
        <v>3108</v>
      </c>
      <c r="AJ274" s="2">
        <v>45195</v>
      </c>
      <c r="AM274" s="2"/>
      <c r="AT274" s="1"/>
    </row>
    <row r="275" spans="1:46">
      <c r="A275" s="1">
        <v>273</v>
      </c>
      <c r="B275" t="s">
        <v>3526</v>
      </c>
      <c r="C275" s="2">
        <v>45182</v>
      </c>
      <c r="D275" s="2"/>
      <c r="E275" s="1" t="s">
        <v>4593</v>
      </c>
      <c r="F275" t="s">
        <v>9108</v>
      </c>
      <c r="G275" t="s">
        <v>4595</v>
      </c>
      <c r="H275" s="6" t="s">
        <v>220</v>
      </c>
      <c r="I275" s="1" t="s">
        <v>4596</v>
      </c>
      <c r="J275" s="14">
        <v>607186191</v>
      </c>
      <c r="K275" t="s">
        <v>10337</v>
      </c>
      <c r="L275" s="1" t="s">
        <v>4593</v>
      </c>
      <c r="M275" s="2">
        <v>45199</v>
      </c>
      <c r="N275" s="1" t="s">
        <v>35</v>
      </c>
      <c r="O275" s="375" t="s">
        <v>7926</v>
      </c>
      <c r="P275" s="14" t="s">
        <v>9093</v>
      </c>
      <c r="Q275" s="92">
        <v>132.22999999999999</v>
      </c>
      <c r="R275" s="1">
        <v>1</v>
      </c>
      <c r="S275" s="128">
        <v>0.21</v>
      </c>
      <c r="T275" s="128">
        <v>0.2</v>
      </c>
      <c r="U275" s="363"/>
      <c r="V275" s="95">
        <f t="shared" si="5"/>
        <v>127.99863999999999</v>
      </c>
      <c r="W275" t="s">
        <v>9125</v>
      </c>
      <c r="X275" s="5" t="s">
        <v>9126</v>
      </c>
      <c r="Y275" s="2">
        <v>37876</v>
      </c>
      <c r="Z275" s="2">
        <v>45182</v>
      </c>
      <c r="AA275" s="377" t="s">
        <v>9496</v>
      </c>
      <c r="AB275" s="2">
        <v>45254</v>
      </c>
      <c r="AC275" s="80" t="s">
        <v>1339</v>
      </c>
      <c r="AD275" s="61"/>
      <c r="AF275" t="s">
        <v>3198</v>
      </c>
      <c r="AI275" s="61" t="s">
        <v>3470</v>
      </c>
      <c r="AJ275" s="2">
        <v>45187</v>
      </c>
      <c r="AM275" s="3">
        <v>45190</v>
      </c>
      <c r="AT275" s="1"/>
    </row>
    <row r="276" spans="1:46">
      <c r="A276" s="149">
        <v>274</v>
      </c>
      <c r="B276" s="150" t="s">
        <v>37</v>
      </c>
      <c r="C276" s="151">
        <v>45183</v>
      </c>
      <c r="D276" s="151"/>
      <c r="E276" s="149" t="s">
        <v>8868</v>
      </c>
      <c r="F276" s="191" t="s">
        <v>8869</v>
      </c>
      <c r="G276" s="153" t="s">
        <v>8870</v>
      </c>
      <c r="H276" s="152" t="s">
        <v>8871</v>
      </c>
      <c r="I276" s="149" t="s">
        <v>49</v>
      </c>
      <c r="J276" s="300"/>
      <c r="K276" s="300"/>
      <c r="L276" s="149" t="s">
        <v>8868</v>
      </c>
      <c r="M276" s="151">
        <v>45199</v>
      </c>
      <c r="N276" s="149" t="s">
        <v>35</v>
      </c>
      <c r="O276" s="150" t="s">
        <v>7929</v>
      </c>
      <c r="P276" s="191" t="s">
        <v>9094</v>
      </c>
      <c r="Q276" s="192">
        <v>0</v>
      </c>
      <c r="R276" s="149">
        <v>0</v>
      </c>
      <c r="S276" s="156">
        <v>0</v>
      </c>
      <c r="T276" s="156">
        <v>0</v>
      </c>
      <c r="U276" s="364"/>
      <c r="V276" s="157">
        <f t="shared" si="5"/>
        <v>0</v>
      </c>
      <c r="W276" s="153" t="s">
        <v>9035</v>
      </c>
      <c r="X276" s="225" t="s">
        <v>9150</v>
      </c>
      <c r="Y276" s="151">
        <v>29475</v>
      </c>
      <c r="Z276" s="151">
        <v>45183</v>
      </c>
      <c r="AA276" s="285" t="s">
        <v>10180</v>
      </c>
      <c r="AB276" s="2">
        <v>45378</v>
      </c>
      <c r="AC276" s="80" t="s">
        <v>1339</v>
      </c>
      <c r="AE276" s="3"/>
      <c r="AF276" t="s">
        <v>3198</v>
      </c>
      <c r="AI276" t="s">
        <v>3108</v>
      </c>
      <c r="AJ276" s="2">
        <v>45190</v>
      </c>
      <c r="AK276" s="74"/>
      <c r="AL276" s="74"/>
      <c r="AM276" s="3">
        <v>45190</v>
      </c>
      <c r="AT276" s="1"/>
    </row>
    <row r="277" spans="1:46">
      <c r="A277" s="149">
        <v>275</v>
      </c>
      <c r="B277" s="150" t="s">
        <v>37</v>
      </c>
      <c r="C277" s="151">
        <v>45183</v>
      </c>
      <c r="D277" s="151"/>
      <c r="E277" s="149" t="s">
        <v>8868</v>
      </c>
      <c r="F277" s="191" t="s">
        <v>8869</v>
      </c>
      <c r="G277" s="153" t="s">
        <v>8870</v>
      </c>
      <c r="H277" s="152" t="s">
        <v>8871</v>
      </c>
      <c r="I277" s="149" t="s">
        <v>49</v>
      </c>
      <c r="J277" s="300"/>
      <c r="K277" s="300"/>
      <c r="L277" s="149" t="s">
        <v>8868</v>
      </c>
      <c r="M277" s="151">
        <v>45199</v>
      </c>
      <c r="N277" s="149" t="s">
        <v>35</v>
      </c>
      <c r="O277" s="150" t="s">
        <v>7929</v>
      </c>
      <c r="P277" s="191" t="s">
        <v>9095</v>
      </c>
      <c r="Q277" s="192">
        <v>0</v>
      </c>
      <c r="R277" s="149">
        <v>0</v>
      </c>
      <c r="S277" s="156">
        <v>0</v>
      </c>
      <c r="T277" s="156">
        <v>0</v>
      </c>
      <c r="U277" s="364"/>
      <c r="V277" s="157">
        <f t="shared" si="5"/>
        <v>0</v>
      </c>
      <c r="W277" s="153" t="s">
        <v>8904</v>
      </c>
      <c r="X277" s="225" t="s">
        <v>9151</v>
      </c>
      <c r="Y277" s="151">
        <v>30199</v>
      </c>
      <c r="Z277" s="151">
        <v>45183</v>
      </c>
      <c r="AA277" s="285" t="s">
        <v>10180</v>
      </c>
      <c r="AB277" s="2">
        <v>45378</v>
      </c>
      <c r="AC277" s="80" t="s">
        <v>1339</v>
      </c>
      <c r="AE277" s="3"/>
      <c r="AF277" t="s">
        <v>3198</v>
      </c>
      <c r="AI277" t="s">
        <v>3108</v>
      </c>
      <c r="AJ277" s="2">
        <v>45190</v>
      </c>
      <c r="AK277" s="74"/>
      <c r="AL277" s="74"/>
      <c r="AM277" s="3">
        <v>45190</v>
      </c>
      <c r="AT277" s="1"/>
    </row>
    <row r="278" spans="1:46">
      <c r="A278" s="1">
        <v>276</v>
      </c>
      <c r="B278" t="s">
        <v>37</v>
      </c>
      <c r="C278" s="2">
        <v>45183</v>
      </c>
      <c r="D278" s="2"/>
      <c r="E278" t="s">
        <v>7177</v>
      </c>
      <c r="F278" t="s">
        <v>7141</v>
      </c>
      <c r="G278" s="61" t="s">
        <v>7142</v>
      </c>
      <c r="H278" s="1">
        <v>4130</v>
      </c>
      <c r="I278" s="1" t="s">
        <v>3681</v>
      </c>
      <c r="J278" s="8">
        <v>632227336</v>
      </c>
      <c r="K278" s="8"/>
      <c r="L278" t="s">
        <v>7177</v>
      </c>
      <c r="M278" s="2">
        <v>45199</v>
      </c>
      <c r="N278" s="164" t="s">
        <v>35</v>
      </c>
      <c r="O278" s="61" t="s">
        <v>7934</v>
      </c>
      <c r="P278" s="14" t="s">
        <v>9096</v>
      </c>
      <c r="Q278" s="187">
        <v>78.510000000000005</v>
      </c>
      <c r="R278" s="1">
        <v>1</v>
      </c>
      <c r="S278" s="128">
        <v>0.21</v>
      </c>
      <c r="T278" s="128">
        <v>0</v>
      </c>
      <c r="U278" s="363"/>
      <c r="V278" s="95">
        <f t="shared" si="5"/>
        <v>94.997100000000003</v>
      </c>
      <c r="W278" t="s">
        <v>7177</v>
      </c>
      <c r="X278" s="5" t="s">
        <v>9097</v>
      </c>
      <c r="Y278" s="2">
        <v>32465</v>
      </c>
      <c r="Z278" s="2">
        <v>45183</v>
      </c>
      <c r="AA278" s="377" t="s">
        <v>9429</v>
      </c>
      <c r="AB278" s="3">
        <v>45247</v>
      </c>
      <c r="AC278" s="80" t="s">
        <v>1339</v>
      </c>
      <c r="AE278" s="3"/>
      <c r="AF278" t="s">
        <v>3198</v>
      </c>
      <c r="AJ278" s="2"/>
      <c r="AM278" s="74"/>
      <c r="AT278" s="1"/>
    </row>
    <row r="279" spans="1:46">
      <c r="A279" s="1">
        <v>277</v>
      </c>
      <c r="B279" t="s">
        <v>52</v>
      </c>
      <c r="C279" s="2">
        <v>45183</v>
      </c>
      <c r="D279" s="2"/>
      <c r="E279" s="1" t="s">
        <v>256</v>
      </c>
      <c r="F279" s="31" t="s">
        <v>155</v>
      </c>
      <c r="G279" s="31" t="s">
        <v>138</v>
      </c>
      <c r="H279" s="33" t="s">
        <v>227</v>
      </c>
      <c r="I279" s="30" t="s">
        <v>203</v>
      </c>
      <c r="J279" s="30">
        <v>631130911</v>
      </c>
      <c r="K279" s="44" t="s">
        <v>5906</v>
      </c>
      <c r="L279" s="1" t="s">
        <v>4432</v>
      </c>
      <c r="M279" s="2">
        <v>45199</v>
      </c>
      <c r="N279" s="1" t="s">
        <v>35</v>
      </c>
      <c r="O279" s="61" t="s">
        <v>7926</v>
      </c>
      <c r="P279" s="14" t="s">
        <v>5756</v>
      </c>
      <c r="Q279" s="187">
        <v>132.22999999999999</v>
      </c>
      <c r="R279" s="1">
        <v>1</v>
      </c>
      <c r="S279" s="90">
        <v>0.21</v>
      </c>
      <c r="T279" s="90">
        <v>0.2</v>
      </c>
      <c r="U279" s="363"/>
      <c r="V279" s="95">
        <f t="shared" si="5"/>
        <v>127.99863999999999</v>
      </c>
      <c r="W279" t="s">
        <v>5842</v>
      </c>
      <c r="X279" s="5" t="s">
        <v>9121</v>
      </c>
      <c r="Y279" s="2">
        <v>37635</v>
      </c>
      <c r="Z279" s="2">
        <v>45183</v>
      </c>
      <c r="AA279" s="377" t="s">
        <v>9542</v>
      </c>
      <c r="AB279" s="2">
        <v>45259</v>
      </c>
      <c r="AC279" s="80" t="s">
        <v>1339</v>
      </c>
      <c r="AF279" t="s">
        <v>3198</v>
      </c>
      <c r="AI279" s="61" t="s">
        <v>3470</v>
      </c>
      <c r="AJ279" s="2">
        <v>45187</v>
      </c>
      <c r="AM279" s="3">
        <v>45191</v>
      </c>
    </row>
    <row r="280" spans="1:46">
      <c r="A280" s="1">
        <v>278</v>
      </c>
      <c r="B280" t="s">
        <v>37</v>
      </c>
      <c r="C280" s="2">
        <v>45184</v>
      </c>
      <c r="D280" s="2"/>
      <c r="E280" s="1" t="s">
        <v>3213</v>
      </c>
      <c r="F280" t="s">
        <v>9061</v>
      </c>
      <c r="G280" t="s">
        <v>9062</v>
      </c>
      <c r="H280" s="6" t="s">
        <v>232</v>
      </c>
      <c r="I280" s="1" t="s">
        <v>144</v>
      </c>
      <c r="J280" s="1">
        <v>643896429</v>
      </c>
      <c r="K280" s="1"/>
      <c r="L280" s="1" t="s">
        <v>3213</v>
      </c>
      <c r="M280" s="2">
        <v>45199</v>
      </c>
      <c r="N280" s="1" t="s">
        <v>35</v>
      </c>
      <c r="O280" s="61" t="s">
        <v>7934</v>
      </c>
      <c r="P280" s="14" t="s">
        <v>9098</v>
      </c>
      <c r="Q280" s="187">
        <v>78.510000000000005</v>
      </c>
      <c r="R280" s="1">
        <v>1</v>
      </c>
      <c r="S280" s="90">
        <v>0.21</v>
      </c>
      <c r="T280" s="90">
        <v>0.2</v>
      </c>
      <c r="U280" s="363"/>
      <c r="V280" s="95">
        <f t="shared" si="5"/>
        <v>75.997680000000003</v>
      </c>
      <c r="W280" s="1" t="s">
        <v>3213</v>
      </c>
      <c r="X280" s="5" t="s">
        <v>9099</v>
      </c>
      <c r="Y280" s="2">
        <v>33668</v>
      </c>
      <c r="Z280" s="2">
        <v>45184</v>
      </c>
      <c r="AA280" s="377" t="s">
        <v>9320</v>
      </c>
      <c r="AB280" s="2">
        <v>45236</v>
      </c>
      <c r="AC280" s="80" t="s">
        <v>1339</v>
      </c>
      <c r="AF280" t="s">
        <v>3198</v>
      </c>
      <c r="AJ280" s="2"/>
      <c r="AM280" s="3"/>
      <c r="AS280" t="s">
        <v>7968</v>
      </c>
    </row>
    <row r="281" spans="1:46">
      <c r="A281" s="1">
        <v>279</v>
      </c>
      <c r="B281" t="s">
        <v>3526</v>
      </c>
      <c r="C281" s="2">
        <v>45184</v>
      </c>
      <c r="D281" s="2"/>
      <c r="E281" s="1" t="s">
        <v>9100</v>
      </c>
      <c r="F281" t="s">
        <v>9107</v>
      </c>
      <c r="G281" t="s">
        <v>9101</v>
      </c>
      <c r="H281" s="6" t="s">
        <v>294</v>
      </c>
      <c r="I281" s="1" t="s">
        <v>49</v>
      </c>
      <c r="J281" s="30"/>
      <c r="K281" s="1" t="s">
        <v>7759</v>
      </c>
      <c r="L281" s="1" t="s">
        <v>9100</v>
      </c>
      <c r="M281" s="2">
        <v>45199</v>
      </c>
      <c r="N281" s="1" t="s">
        <v>35</v>
      </c>
      <c r="O281" s="61" t="s">
        <v>7934</v>
      </c>
      <c r="P281" s="14" t="s">
        <v>9102</v>
      </c>
      <c r="Q281" s="187">
        <v>78.510000000000005</v>
      </c>
      <c r="R281" s="1">
        <v>1</v>
      </c>
      <c r="S281" s="90">
        <v>0.21</v>
      </c>
      <c r="T281" s="90">
        <v>0.2</v>
      </c>
      <c r="U281" s="363"/>
      <c r="V281" s="95">
        <f t="shared" si="5"/>
        <v>75.997680000000003</v>
      </c>
      <c r="W281" s="1" t="s">
        <v>9103</v>
      </c>
      <c r="X281" s="5" t="s">
        <v>9104</v>
      </c>
      <c r="Y281" s="2">
        <v>31205</v>
      </c>
      <c r="Z281" s="2">
        <v>45184</v>
      </c>
      <c r="AA281" s="377" t="s">
        <v>9428</v>
      </c>
      <c r="AB281" s="3">
        <v>45247</v>
      </c>
      <c r="AC281" s="80" t="s">
        <v>1339</v>
      </c>
      <c r="AF281" t="s">
        <v>3198</v>
      </c>
      <c r="AJ281" s="2"/>
      <c r="AM281" s="3"/>
    </row>
    <row r="282" spans="1:46">
      <c r="A282" s="1">
        <v>280</v>
      </c>
      <c r="B282" t="s">
        <v>33</v>
      </c>
      <c r="C282" s="2">
        <v>45184</v>
      </c>
      <c r="D282" s="2"/>
      <c r="E282" s="1" t="s">
        <v>9105</v>
      </c>
      <c r="F282" t="s">
        <v>9106</v>
      </c>
      <c r="G282" t="s">
        <v>9111</v>
      </c>
      <c r="H282" s="6" t="s">
        <v>219</v>
      </c>
      <c r="I282" s="1" t="s">
        <v>38</v>
      </c>
      <c r="J282" s="30"/>
      <c r="K282" s="114" t="s">
        <v>11744</v>
      </c>
      <c r="L282" s="1" t="s">
        <v>237</v>
      </c>
      <c r="M282" s="2">
        <v>45199</v>
      </c>
      <c r="N282" s="1" t="s">
        <v>35</v>
      </c>
      <c r="O282" s="61" t="s">
        <v>7926</v>
      </c>
      <c r="P282" s="14" t="s">
        <v>9112</v>
      </c>
      <c r="Q282" s="187">
        <v>132.22999999999999</v>
      </c>
      <c r="R282" s="1">
        <v>1</v>
      </c>
      <c r="S282" s="90">
        <v>0.21</v>
      </c>
      <c r="T282" s="90">
        <v>0.2</v>
      </c>
      <c r="U282" s="363"/>
      <c r="V282" s="95">
        <f t="shared" si="5"/>
        <v>127.99863999999999</v>
      </c>
      <c r="W282" t="s">
        <v>9113</v>
      </c>
      <c r="X282" s="5" t="s">
        <v>9114</v>
      </c>
      <c r="Y282" s="2">
        <v>29905</v>
      </c>
      <c r="Z282" s="2">
        <v>45184</v>
      </c>
      <c r="AA282" s="377" t="s">
        <v>9428</v>
      </c>
      <c r="AB282" s="3">
        <v>45250</v>
      </c>
      <c r="AC282" s="80" t="s">
        <v>1339</v>
      </c>
      <c r="AF282" t="s">
        <v>3198</v>
      </c>
      <c r="AI282" s="287" t="s">
        <v>3470</v>
      </c>
      <c r="AJ282" s="2">
        <v>45187</v>
      </c>
      <c r="AM282" s="3">
        <v>45197</v>
      </c>
    </row>
    <row r="283" spans="1:46">
      <c r="A283" s="1">
        <v>281</v>
      </c>
      <c r="B283" t="s">
        <v>37</v>
      </c>
      <c r="C283" s="2">
        <v>45184</v>
      </c>
      <c r="D283" s="2"/>
      <c r="E283" s="1" t="s">
        <v>9140</v>
      </c>
      <c r="F283" t="s">
        <v>9115</v>
      </c>
      <c r="G283" t="s">
        <v>9116</v>
      </c>
      <c r="H283" s="6" t="s">
        <v>219</v>
      </c>
      <c r="I283" s="1" t="s">
        <v>38</v>
      </c>
      <c r="J283" s="30">
        <v>631256176</v>
      </c>
      <c r="K283" s="44"/>
      <c r="L283" s="1" t="s">
        <v>9140</v>
      </c>
      <c r="M283" s="2">
        <v>45199</v>
      </c>
      <c r="N283" s="1" t="s">
        <v>35</v>
      </c>
      <c r="O283" s="61" t="s">
        <v>7934</v>
      </c>
      <c r="P283" s="14" t="s">
        <v>9117</v>
      </c>
      <c r="Q283" s="187">
        <v>78.510000000000005</v>
      </c>
      <c r="R283" s="1">
        <v>1</v>
      </c>
      <c r="S283" s="90">
        <v>0.21</v>
      </c>
      <c r="T283" s="90">
        <v>0</v>
      </c>
      <c r="U283" s="363"/>
      <c r="V283" s="95">
        <f t="shared" si="5"/>
        <v>94.997100000000003</v>
      </c>
      <c r="W283" s="1" t="s">
        <v>9140</v>
      </c>
      <c r="X283" s="5" t="s">
        <v>9118</v>
      </c>
      <c r="Y283" s="2">
        <v>34094</v>
      </c>
      <c r="Z283" s="2">
        <v>45184</v>
      </c>
      <c r="AA283" s="61"/>
      <c r="AB283" s="2"/>
      <c r="AC283" s="133"/>
      <c r="AF283" t="s">
        <v>3198</v>
      </c>
      <c r="AJ283" s="2"/>
      <c r="AM283" s="3"/>
    </row>
    <row r="284" spans="1:46">
      <c r="A284" s="1">
        <v>282</v>
      </c>
      <c r="B284" t="s">
        <v>40</v>
      </c>
      <c r="C284" s="2">
        <v>45187</v>
      </c>
      <c r="D284" s="2"/>
      <c r="E284" s="1" t="s">
        <v>6033</v>
      </c>
      <c r="F284" t="s">
        <v>6034</v>
      </c>
      <c r="G284" t="s">
        <v>9129</v>
      </c>
      <c r="H284" s="6" t="s">
        <v>221</v>
      </c>
      <c r="I284" s="1" t="s">
        <v>34</v>
      </c>
      <c r="J284" s="30"/>
      <c r="K284" s="301" t="s">
        <v>8357</v>
      </c>
      <c r="L284" s="1" t="s">
        <v>6033</v>
      </c>
      <c r="M284" s="2">
        <v>45199</v>
      </c>
      <c r="N284" s="1" t="s">
        <v>35</v>
      </c>
      <c r="O284" s="61" t="s">
        <v>7926</v>
      </c>
      <c r="P284" s="14" t="s">
        <v>9130</v>
      </c>
      <c r="Q284" s="187">
        <v>132.22999999999999</v>
      </c>
      <c r="R284" s="1">
        <v>1</v>
      </c>
      <c r="S284" s="90">
        <v>0.21</v>
      </c>
      <c r="T284" s="90">
        <v>0.2</v>
      </c>
      <c r="U284" s="363"/>
      <c r="V284" s="95">
        <f t="shared" si="5"/>
        <v>127.99863999999999</v>
      </c>
      <c r="W284" t="s">
        <v>9146</v>
      </c>
      <c r="X284" s="5" t="s">
        <v>9147</v>
      </c>
      <c r="Y284" s="2">
        <v>35864</v>
      </c>
      <c r="Z284" s="2">
        <v>45187</v>
      </c>
      <c r="AA284" s="377" t="s">
        <v>9429</v>
      </c>
      <c r="AB284" s="3">
        <v>45250</v>
      </c>
      <c r="AC284" s="80" t="s">
        <v>1339</v>
      </c>
      <c r="AF284" t="s">
        <v>3198</v>
      </c>
      <c r="AI284" s="61" t="s">
        <v>3470</v>
      </c>
      <c r="AJ284" s="2">
        <v>45190</v>
      </c>
      <c r="AM284" s="3">
        <v>45194</v>
      </c>
    </row>
    <row r="285" spans="1:46">
      <c r="A285" s="1">
        <v>283</v>
      </c>
      <c r="B285" s="61" t="s">
        <v>33</v>
      </c>
      <c r="C285" s="2">
        <v>45187</v>
      </c>
      <c r="D285" s="2"/>
      <c r="E285" s="1" t="s">
        <v>4477</v>
      </c>
      <c r="F285" s="61" t="s">
        <v>4478</v>
      </c>
      <c r="G285" s="61" t="s">
        <v>4479</v>
      </c>
      <c r="H285" s="6" t="s">
        <v>304</v>
      </c>
      <c r="I285" t="s">
        <v>4480</v>
      </c>
      <c r="J285" s="8"/>
      <c r="K285" s="114" t="s">
        <v>11744</v>
      </c>
      <c r="L285" t="s">
        <v>237</v>
      </c>
      <c r="M285" s="2">
        <v>45199</v>
      </c>
      <c r="N285" s="1" t="s">
        <v>35</v>
      </c>
      <c r="O285" s="61" t="s">
        <v>7934</v>
      </c>
      <c r="P285" s="14" t="s">
        <v>9131</v>
      </c>
      <c r="Q285" s="163">
        <v>78.510000000000005</v>
      </c>
      <c r="R285" s="1">
        <v>1</v>
      </c>
      <c r="S285" s="90">
        <v>0.21</v>
      </c>
      <c r="T285" s="90">
        <v>0.2</v>
      </c>
      <c r="V285" s="95">
        <f t="shared" ref="V285:V308" si="6">SUM(Q285-(Q285*T285))*S285+(Q285-(Q285*T285))</f>
        <v>75.997680000000003</v>
      </c>
      <c r="W285" t="s">
        <v>6894</v>
      </c>
      <c r="X285" s="5" t="s">
        <v>9132</v>
      </c>
      <c r="Y285" s="2">
        <v>32436</v>
      </c>
      <c r="Z285" s="2">
        <v>45187</v>
      </c>
      <c r="AA285" s="377" t="s">
        <v>9429</v>
      </c>
      <c r="AB285" s="3">
        <v>45247</v>
      </c>
      <c r="AC285" s="80" t="s">
        <v>1339</v>
      </c>
      <c r="AF285" t="s">
        <v>3198</v>
      </c>
      <c r="AJ285" s="2"/>
      <c r="AK285" s="1"/>
      <c r="AM285" s="74"/>
      <c r="AT285" s="1"/>
    </row>
    <row r="286" spans="1:46">
      <c r="A286" s="1">
        <v>284</v>
      </c>
      <c r="B286" t="s">
        <v>4321</v>
      </c>
      <c r="C286" s="2">
        <v>45187</v>
      </c>
      <c r="D286" s="2"/>
      <c r="E286" s="1" t="s">
        <v>4731</v>
      </c>
      <c r="F286" s="14" t="s">
        <v>4732</v>
      </c>
      <c r="G286" t="s">
        <v>4733</v>
      </c>
      <c r="H286" s="6" t="s">
        <v>250</v>
      </c>
      <c r="I286" s="1" t="s">
        <v>86</v>
      </c>
      <c r="J286" s="295">
        <v>678011818</v>
      </c>
      <c r="K286" s="8" t="s">
        <v>5991</v>
      </c>
      <c r="L286" t="s">
        <v>4731</v>
      </c>
      <c r="M286" s="2">
        <v>45199</v>
      </c>
      <c r="N286" s="1" t="s">
        <v>35</v>
      </c>
      <c r="O286" s="61" t="s">
        <v>7934</v>
      </c>
      <c r="P286" s="14" t="s">
        <v>9133</v>
      </c>
      <c r="Q286" s="92">
        <v>78.510000000000005</v>
      </c>
      <c r="R286" s="1">
        <v>1</v>
      </c>
      <c r="S286" s="90">
        <v>0.21</v>
      </c>
      <c r="T286" s="90">
        <v>0.2</v>
      </c>
      <c r="V286" s="95">
        <f t="shared" si="6"/>
        <v>75.997680000000003</v>
      </c>
      <c r="W286" t="s">
        <v>6896</v>
      </c>
      <c r="X286" s="5" t="s">
        <v>9134</v>
      </c>
      <c r="Y286" s="2">
        <v>30776</v>
      </c>
      <c r="Z286" s="2">
        <v>45187</v>
      </c>
      <c r="AA286" s="377" t="s">
        <v>9429</v>
      </c>
      <c r="AB286" s="3">
        <v>45247</v>
      </c>
      <c r="AC286" s="80" t="s">
        <v>1339</v>
      </c>
      <c r="AF286" t="s">
        <v>3198</v>
      </c>
      <c r="AI286" s="14"/>
      <c r="AJ286" s="2"/>
      <c r="AM286" s="74"/>
      <c r="AT286" s="1"/>
    </row>
    <row r="287" spans="1:46">
      <c r="A287" s="1">
        <v>285</v>
      </c>
      <c r="B287" t="s">
        <v>4321</v>
      </c>
      <c r="C287" s="2">
        <v>45187</v>
      </c>
      <c r="D287" s="2"/>
      <c r="E287" s="1" t="s">
        <v>9135</v>
      </c>
      <c r="F287" t="s">
        <v>9136</v>
      </c>
      <c r="G287" t="s">
        <v>9137</v>
      </c>
      <c r="H287" s="6" t="s">
        <v>242</v>
      </c>
      <c r="I287" s="1" t="s">
        <v>86</v>
      </c>
      <c r="J287" s="30"/>
      <c r="K287" s="8" t="s">
        <v>5991</v>
      </c>
      <c r="L287" s="1" t="s">
        <v>9135</v>
      </c>
      <c r="M287" s="2">
        <v>45199</v>
      </c>
      <c r="N287" s="1" t="s">
        <v>35</v>
      </c>
      <c r="O287" s="61" t="s">
        <v>7926</v>
      </c>
      <c r="P287" s="14" t="s">
        <v>9138</v>
      </c>
      <c r="Q287" s="187">
        <v>132.22999999999999</v>
      </c>
      <c r="R287" s="1">
        <v>1</v>
      </c>
      <c r="S287" s="90">
        <v>0.21</v>
      </c>
      <c r="T287" s="90">
        <v>0.2</v>
      </c>
      <c r="U287" s="363"/>
      <c r="V287" s="95">
        <f t="shared" si="6"/>
        <v>127.99863999999999</v>
      </c>
      <c r="W287" s="1" t="s">
        <v>9139</v>
      </c>
      <c r="X287" s="5" t="s">
        <v>9164</v>
      </c>
      <c r="Y287" s="2">
        <v>35319</v>
      </c>
      <c r="Z287" s="2">
        <v>45187</v>
      </c>
      <c r="AA287" s="377" t="s">
        <v>9466</v>
      </c>
      <c r="AB287" s="3">
        <v>45251</v>
      </c>
      <c r="AC287" s="80" t="s">
        <v>1339</v>
      </c>
      <c r="AF287" t="s">
        <v>3198</v>
      </c>
      <c r="AI287" s="61" t="s">
        <v>3470</v>
      </c>
      <c r="AJ287" s="2">
        <v>45195</v>
      </c>
      <c r="AM287" s="3">
        <v>45197</v>
      </c>
    </row>
    <row r="288" spans="1:46">
      <c r="A288" s="1">
        <v>286</v>
      </c>
      <c r="B288" t="s">
        <v>7036</v>
      </c>
      <c r="C288" s="2">
        <v>45188</v>
      </c>
      <c r="D288" s="2"/>
      <c r="E288" s="1" t="s">
        <v>6375</v>
      </c>
      <c r="F288" t="s">
        <v>6376</v>
      </c>
      <c r="G288" s="61" t="s">
        <v>6377</v>
      </c>
      <c r="H288" s="6" t="s">
        <v>294</v>
      </c>
      <c r="I288" s="1" t="s">
        <v>103</v>
      </c>
      <c r="J288" s="8">
        <v>660744167</v>
      </c>
      <c r="K288" s="8" t="s">
        <v>6332</v>
      </c>
      <c r="L288" s="1" t="s">
        <v>6375</v>
      </c>
      <c r="M288" s="2">
        <v>45199</v>
      </c>
      <c r="N288" s="1" t="s">
        <v>35</v>
      </c>
      <c r="O288" s="61" t="s">
        <v>7926</v>
      </c>
      <c r="P288" s="14" t="s">
        <v>9141</v>
      </c>
      <c r="Q288" s="187">
        <v>132.22999999999999</v>
      </c>
      <c r="R288" s="1">
        <v>1</v>
      </c>
      <c r="S288" s="90">
        <v>0.21</v>
      </c>
      <c r="T288" s="90">
        <v>0.2</v>
      </c>
      <c r="U288" s="363"/>
      <c r="V288" s="95">
        <f t="shared" si="6"/>
        <v>127.99863999999999</v>
      </c>
      <c r="W288" t="s">
        <v>9167</v>
      </c>
      <c r="X288" s="5" t="s">
        <v>9168</v>
      </c>
      <c r="Y288" s="2">
        <v>36518</v>
      </c>
      <c r="Z288" s="2">
        <v>45188</v>
      </c>
      <c r="AA288" s="377" t="s">
        <v>9466</v>
      </c>
      <c r="AB288" s="3">
        <v>45253</v>
      </c>
      <c r="AC288" s="80" t="s">
        <v>1339</v>
      </c>
      <c r="AF288" t="s">
        <v>3198</v>
      </c>
      <c r="AI288" s="61" t="s">
        <v>3470</v>
      </c>
      <c r="AJ288" s="2">
        <v>45195</v>
      </c>
      <c r="AM288" s="3">
        <v>45197</v>
      </c>
    </row>
    <row r="289" spans="1:46">
      <c r="A289" s="1">
        <v>287</v>
      </c>
      <c r="B289" t="s">
        <v>4321</v>
      </c>
      <c r="C289" s="2">
        <v>45189</v>
      </c>
      <c r="D289" s="2"/>
      <c r="E289" s="1" t="s">
        <v>7226</v>
      </c>
      <c r="F289" s="61" t="s">
        <v>7162</v>
      </c>
      <c r="G289" s="61" t="s">
        <v>7163</v>
      </c>
      <c r="H289" s="6" t="s">
        <v>239</v>
      </c>
      <c r="I289" s="1" t="s">
        <v>86</v>
      </c>
      <c r="J289" s="8"/>
      <c r="K289" s="8" t="s">
        <v>5991</v>
      </c>
      <c r="L289" t="s">
        <v>7161</v>
      </c>
      <c r="M289" s="2">
        <v>45199</v>
      </c>
      <c r="N289" s="1" t="s">
        <v>35</v>
      </c>
      <c r="O289" s="61" t="s">
        <v>7925</v>
      </c>
      <c r="P289" s="14" t="s">
        <v>8076</v>
      </c>
      <c r="Q289" s="92">
        <v>132.22999999999999</v>
      </c>
      <c r="R289" s="1">
        <v>1</v>
      </c>
      <c r="S289" s="128">
        <v>0.21</v>
      </c>
      <c r="T289" s="128">
        <v>0.2</v>
      </c>
      <c r="U289" s="1"/>
      <c r="V289" s="95">
        <f t="shared" si="6"/>
        <v>127.99863999999999</v>
      </c>
      <c r="W289" t="s">
        <v>8113</v>
      </c>
      <c r="X289" s="5" t="s">
        <v>9180</v>
      </c>
      <c r="Y289" s="3">
        <v>30893</v>
      </c>
      <c r="Z289" s="2">
        <v>45189</v>
      </c>
      <c r="AA289" s="377" t="s">
        <v>9807</v>
      </c>
      <c r="AB289" s="2">
        <v>45313</v>
      </c>
      <c r="AC289" s="80" t="s">
        <v>1339</v>
      </c>
      <c r="AF289" t="s">
        <v>3198</v>
      </c>
      <c r="AI289" t="s">
        <v>3108</v>
      </c>
      <c r="AJ289" s="3">
        <v>45196</v>
      </c>
      <c r="AM289" s="3">
        <v>45197</v>
      </c>
    </row>
    <row r="290" spans="1:46" ht="14.25" customHeight="1">
      <c r="A290" s="1">
        <v>288</v>
      </c>
      <c r="B290" t="s">
        <v>33</v>
      </c>
      <c r="C290" s="2">
        <v>45189</v>
      </c>
      <c r="D290" s="2"/>
      <c r="E290" s="1" t="s">
        <v>8596</v>
      </c>
      <c r="F290" t="s">
        <v>8636</v>
      </c>
      <c r="G290" s="61" t="s">
        <v>8597</v>
      </c>
      <c r="H290" s="6" t="s">
        <v>219</v>
      </c>
      <c r="I290" s="1" t="s">
        <v>38</v>
      </c>
      <c r="J290" s="8"/>
      <c r="K290" s="114" t="s">
        <v>11744</v>
      </c>
      <c r="L290" s="1" t="s">
        <v>237</v>
      </c>
      <c r="M290" s="2">
        <v>45199</v>
      </c>
      <c r="N290" s="1" t="s">
        <v>35</v>
      </c>
      <c r="O290" s="61" t="s">
        <v>7926</v>
      </c>
      <c r="P290" s="14" t="s">
        <v>9149</v>
      </c>
      <c r="Q290" s="187">
        <v>132.22999999999999</v>
      </c>
      <c r="R290" s="1">
        <v>1</v>
      </c>
      <c r="S290" s="128">
        <v>0.21</v>
      </c>
      <c r="T290" s="128">
        <v>0.2</v>
      </c>
      <c r="U290" s="363"/>
      <c r="V290" s="95">
        <f t="shared" si="6"/>
        <v>127.99863999999999</v>
      </c>
      <c r="W290" t="s">
        <v>9165</v>
      </c>
      <c r="X290" s="5" t="s">
        <v>9166</v>
      </c>
      <c r="Y290" s="211">
        <v>29587</v>
      </c>
      <c r="Z290" s="2">
        <v>45189</v>
      </c>
      <c r="AA290" s="377" t="s">
        <v>10045</v>
      </c>
      <c r="AB290" s="3">
        <v>45358</v>
      </c>
      <c r="AC290" s="80" t="s">
        <v>1339</v>
      </c>
      <c r="AE290" s="162">
        <v>45272</v>
      </c>
      <c r="AF290" t="s">
        <v>3198</v>
      </c>
      <c r="AI290" s="61" t="s">
        <v>3470</v>
      </c>
      <c r="AJ290" s="3">
        <v>45195</v>
      </c>
      <c r="AM290" s="74">
        <v>45202</v>
      </c>
    </row>
    <row r="291" spans="1:46" ht="14.25" customHeight="1">
      <c r="A291" s="1">
        <v>289</v>
      </c>
      <c r="B291" t="s">
        <v>3526</v>
      </c>
      <c r="C291" s="2">
        <v>45191</v>
      </c>
      <c r="D291" s="2"/>
      <c r="E291" s="1" t="s">
        <v>7432</v>
      </c>
      <c r="F291" t="s">
        <v>9153</v>
      </c>
      <c r="G291" s="61" t="s">
        <v>9154</v>
      </c>
      <c r="H291" s="6" t="s">
        <v>242</v>
      </c>
      <c r="I291" s="1" t="s">
        <v>86</v>
      </c>
      <c r="J291" s="8">
        <v>643852427</v>
      </c>
      <c r="K291" s="1"/>
      <c r="L291" s="1" t="s">
        <v>7432</v>
      </c>
      <c r="M291" s="2">
        <v>45199</v>
      </c>
      <c r="N291" s="1" t="s">
        <v>35</v>
      </c>
      <c r="O291" s="61" t="s">
        <v>7934</v>
      </c>
      <c r="P291" s="14" t="s">
        <v>9155</v>
      </c>
      <c r="Q291" s="187">
        <v>78.510000000000005</v>
      </c>
      <c r="R291" s="1">
        <v>1</v>
      </c>
      <c r="S291" s="128">
        <v>0.21</v>
      </c>
      <c r="T291" s="128">
        <v>0.2</v>
      </c>
      <c r="U291" s="363"/>
      <c r="V291" s="95">
        <f t="shared" si="6"/>
        <v>75.997680000000003</v>
      </c>
      <c r="W291" s="1" t="s">
        <v>7432</v>
      </c>
      <c r="X291" s="5" t="s">
        <v>9156</v>
      </c>
      <c r="Y291" s="211">
        <v>28078</v>
      </c>
      <c r="Z291" s="2">
        <v>45191</v>
      </c>
      <c r="AA291" s="395" t="s">
        <v>9608</v>
      </c>
      <c r="AB291" s="2">
        <v>45273</v>
      </c>
      <c r="AC291" s="80" t="s">
        <v>1339</v>
      </c>
      <c r="AD291" t="s">
        <v>9544</v>
      </c>
      <c r="AE291" s="292">
        <v>45259</v>
      </c>
      <c r="AF291" t="s">
        <v>3198</v>
      </c>
      <c r="AJ291" s="3"/>
      <c r="AM291" s="74"/>
      <c r="AS291" s="1"/>
    </row>
    <row r="292" spans="1:46" ht="14.25" customHeight="1">
      <c r="A292" s="1">
        <v>290</v>
      </c>
      <c r="B292" t="s">
        <v>37</v>
      </c>
      <c r="C292" s="2">
        <v>45194</v>
      </c>
      <c r="D292" s="2"/>
      <c r="E292" s="1" t="s">
        <v>9162</v>
      </c>
      <c r="F292" t="s">
        <v>9161</v>
      </c>
      <c r="G292" s="61" t="s">
        <v>9157</v>
      </c>
      <c r="H292" s="6" t="s">
        <v>9158</v>
      </c>
      <c r="I292" s="1" t="s">
        <v>9159</v>
      </c>
      <c r="J292" s="8"/>
      <c r="K292" s="1"/>
      <c r="L292" s="1" t="s">
        <v>9162</v>
      </c>
      <c r="M292" s="2">
        <v>45199</v>
      </c>
      <c r="N292" s="1" t="s">
        <v>35</v>
      </c>
      <c r="O292" s="61" t="s">
        <v>7926</v>
      </c>
      <c r="P292" s="14" t="s">
        <v>9160</v>
      </c>
      <c r="Q292" s="187">
        <v>132.22999999999999</v>
      </c>
      <c r="R292" s="1">
        <v>1</v>
      </c>
      <c r="S292" s="128">
        <v>0.21</v>
      </c>
      <c r="T292" s="128">
        <v>0</v>
      </c>
      <c r="U292" s="363"/>
      <c r="V292" s="95">
        <f t="shared" si="6"/>
        <v>159.99829999999997</v>
      </c>
      <c r="W292" t="s">
        <v>9283</v>
      </c>
      <c r="X292" s="5" t="s">
        <v>9281</v>
      </c>
      <c r="Y292" s="211">
        <v>36892</v>
      </c>
      <c r="Z292" s="2">
        <v>45194</v>
      </c>
      <c r="AA292" s="285" t="s">
        <v>10591</v>
      </c>
      <c r="AB292" s="2">
        <v>45460</v>
      </c>
      <c r="AC292" s="80" t="s">
        <v>1339</v>
      </c>
      <c r="AE292" s="292">
        <v>45351</v>
      </c>
      <c r="AF292" t="s">
        <v>3198</v>
      </c>
      <c r="AI292" s="61" t="s">
        <v>3470</v>
      </c>
      <c r="AJ292" s="3">
        <v>45216</v>
      </c>
      <c r="AM292" s="74">
        <v>45236</v>
      </c>
      <c r="AS292" s="1"/>
    </row>
    <row r="293" spans="1:46" ht="14.25" customHeight="1">
      <c r="A293" s="1">
        <v>291</v>
      </c>
      <c r="B293" t="s">
        <v>37</v>
      </c>
      <c r="C293" s="2">
        <v>45194</v>
      </c>
      <c r="D293" s="2"/>
      <c r="E293" s="1" t="s">
        <v>9162</v>
      </c>
      <c r="F293" t="s">
        <v>9161</v>
      </c>
      <c r="G293" s="61" t="s">
        <v>9157</v>
      </c>
      <c r="H293" s="6" t="s">
        <v>9158</v>
      </c>
      <c r="I293" s="1" t="s">
        <v>9159</v>
      </c>
      <c r="J293" s="8"/>
      <c r="K293" s="1"/>
      <c r="L293" s="1" t="s">
        <v>9162</v>
      </c>
      <c r="M293" s="2">
        <v>45199</v>
      </c>
      <c r="N293" s="1" t="s">
        <v>35</v>
      </c>
      <c r="O293" s="61" t="s">
        <v>7926</v>
      </c>
      <c r="P293" s="14" t="s">
        <v>9284</v>
      </c>
      <c r="Q293" s="187">
        <v>132.22999999999999</v>
      </c>
      <c r="R293" s="1">
        <v>1</v>
      </c>
      <c r="S293" s="128">
        <v>0.21</v>
      </c>
      <c r="T293" s="128">
        <v>0</v>
      </c>
      <c r="U293" s="363"/>
      <c r="V293" s="95">
        <f t="shared" si="6"/>
        <v>159.99829999999997</v>
      </c>
      <c r="W293" t="s">
        <v>9286</v>
      </c>
      <c r="X293" s="5" t="s">
        <v>9285</v>
      </c>
      <c r="Y293" s="211">
        <v>37444</v>
      </c>
      <c r="Z293" s="2">
        <v>45194</v>
      </c>
      <c r="AA293" s="285" t="s">
        <v>10591</v>
      </c>
      <c r="AB293" s="2">
        <v>45460</v>
      </c>
      <c r="AC293" s="80" t="s">
        <v>1339</v>
      </c>
      <c r="AE293" s="292">
        <v>45351</v>
      </c>
      <c r="AF293" t="s">
        <v>3198</v>
      </c>
      <c r="AI293" s="61" t="s">
        <v>3470</v>
      </c>
      <c r="AJ293" s="3">
        <v>45216</v>
      </c>
      <c r="AM293" s="74">
        <v>45236</v>
      </c>
      <c r="AS293" s="1"/>
    </row>
    <row r="294" spans="1:46" ht="14.25" customHeight="1">
      <c r="A294" s="1">
        <v>292</v>
      </c>
      <c r="B294" t="s">
        <v>9170</v>
      </c>
      <c r="C294" s="2">
        <v>45196</v>
      </c>
      <c r="D294" s="2"/>
      <c r="E294" s="1" t="s">
        <v>256</v>
      </c>
      <c r="F294" s="31" t="s">
        <v>155</v>
      </c>
      <c r="G294" s="31" t="s">
        <v>138</v>
      </c>
      <c r="H294" s="33" t="s">
        <v>227</v>
      </c>
      <c r="I294" s="30" t="s">
        <v>203</v>
      </c>
      <c r="J294" s="30">
        <v>659409676</v>
      </c>
      <c r="K294" s="1" t="s">
        <v>9171</v>
      </c>
      <c r="L294" s="1" t="s">
        <v>256</v>
      </c>
      <c r="M294" s="2">
        <v>45199</v>
      </c>
      <c r="N294" s="1" t="s">
        <v>35</v>
      </c>
      <c r="O294" s="61" t="s">
        <v>7935</v>
      </c>
      <c r="P294" s="14" t="s">
        <v>9172</v>
      </c>
      <c r="Q294" s="187">
        <v>78.510000000000005</v>
      </c>
      <c r="R294" s="1">
        <v>1</v>
      </c>
      <c r="S294" s="128">
        <v>0.21</v>
      </c>
      <c r="T294" s="128">
        <v>0.2</v>
      </c>
      <c r="U294" s="363"/>
      <c r="V294" s="95">
        <f t="shared" si="6"/>
        <v>75.997680000000003</v>
      </c>
      <c r="W294" t="s">
        <v>1451</v>
      </c>
      <c r="X294" s="5" t="s">
        <v>9282</v>
      </c>
      <c r="Y294" s="211">
        <v>31452</v>
      </c>
      <c r="Z294" s="2">
        <v>45196</v>
      </c>
      <c r="AA294" s="377" t="s">
        <v>9398</v>
      </c>
      <c r="AB294" s="2">
        <v>45244</v>
      </c>
      <c r="AC294" s="80" t="s">
        <v>1339</v>
      </c>
      <c r="AF294" t="s">
        <v>3198</v>
      </c>
      <c r="AJ294" s="3"/>
      <c r="AM294" s="74"/>
      <c r="AS294" s="1"/>
    </row>
    <row r="295" spans="1:46">
      <c r="A295" s="1">
        <v>293</v>
      </c>
      <c r="B295" t="s">
        <v>4321</v>
      </c>
      <c r="C295" s="2">
        <v>45196</v>
      </c>
      <c r="D295" s="2"/>
      <c r="E295" s="1" t="s">
        <v>9173</v>
      </c>
      <c r="F295" t="s">
        <v>9174</v>
      </c>
      <c r="G295" s="61" t="s">
        <v>9186</v>
      </c>
      <c r="H295" s="6" t="s">
        <v>250</v>
      </c>
      <c r="I295" s="1" t="s">
        <v>86</v>
      </c>
      <c r="J295" s="8"/>
      <c r="K295" s="8" t="s">
        <v>5991</v>
      </c>
      <c r="L295" s="1" t="s">
        <v>9173</v>
      </c>
      <c r="M295" s="2">
        <v>45199</v>
      </c>
      <c r="N295" s="1" t="s">
        <v>35</v>
      </c>
      <c r="O295" s="61" t="s">
        <v>7934</v>
      </c>
      <c r="P295" s="14" t="s">
        <v>9175</v>
      </c>
      <c r="Q295" s="187">
        <v>78.510000000000005</v>
      </c>
      <c r="R295" s="1">
        <v>1</v>
      </c>
      <c r="S295" s="90">
        <v>0.21</v>
      </c>
      <c r="T295" s="90">
        <v>0.2</v>
      </c>
      <c r="U295" s="363"/>
      <c r="V295" s="95">
        <f t="shared" si="6"/>
        <v>75.997680000000003</v>
      </c>
      <c r="W295" s="1" t="s">
        <v>9173</v>
      </c>
      <c r="X295" s="5" t="s">
        <v>9176</v>
      </c>
      <c r="Y295" s="2">
        <v>33232</v>
      </c>
      <c r="Z295" s="2">
        <v>45196</v>
      </c>
      <c r="AA295" s="377" t="s">
        <v>9519</v>
      </c>
      <c r="AB295" s="2">
        <v>45254</v>
      </c>
      <c r="AC295" s="80" t="s">
        <v>1339</v>
      </c>
      <c r="AF295" t="s">
        <v>3198</v>
      </c>
      <c r="AI295" s="2"/>
      <c r="AJ295" s="2"/>
      <c r="AM295" s="3"/>
      <c r="AS295" s="1"/>
    </row>
    <row r="296" spans="1:46">
      <c r="A296" s="1">
        <v>294</v>
      </c>
      <c r="B296" t="s">
        <v>3526</v>
      </c>
      <c r="C296" s="2">
        <v>45197</v>
      </c>
      <c r="D296" s="2"/>
      <c r="E296" s="1" t="s">
        <v>9181</v>
      </c>
      <c r="F296" t="s">
        <v>9182</v>
      </c>
      <c r="G296" t="s">
        <v>9183</v>
      </c>
      <c r="H296" s="6" t="s">
        <v>294</v>
      </c>
      <c r="I296" s="1" t="s">
        <v>103</v>
      </c>
      <c r="J296" s="30"/>
      <c r="K296" s="1" t="s">
        <v>7759</v>
      </c>
      <c r="L296" s="1" t="s">
        <v>9181</v>
      </c>
      <c r="M296" s="2">
        <v>45199</v>
      </c>
      <c r="N296" s="1" t="s">
        <v>35</v>
      </c>
      <c r="O296" s="61" t="s">
        <v>7925</v>
      </c>
      <c r="P296" s="14" t="s">
        <v>9184</v>
      </c>
      <c r="Q296" s="187">
        <v>132.22999999999999</v>
      </c>
      <c r="R296" s="1">
        <v>1</v>
      </c>
      <c r="S296" s="90">
        <v>0.21</v>
      </c>
      <c r="T296" s="90">
        <v>0.2</v>
      </c>
      <c r="U296" s="363"/>
      <c r="V296" s="95">
        <f t="shared" si="6"/>
        <v>127.99863999999999</v>
      </c>
      <c r="W296" s="1" t="s">
        <v>9185</v>
      </c>
      <c r="X296" s="5" t="s">
        <v>9198</v>
      </c>
      <c r="Y296" s="2">
        <v>35926</v>
      </c>
      <c r="Z296" s="2">
        <v>45197</v>
      </c>
      <c r="AA296" s="377" t="s">
        <v>9886</v>
      </c>
      <c r="AB296" s="2">
        <v>45327</v>
      </c>
      <c r="AC296" s="80" t="s">
        <v>1339</v>
      </c>
      <c r="AF296" t="s">
        <v>3198</v>
      </c>
      <c r="AJ296" s="2"/>
      <c r="AM296" s="3"/>
    </row>
    <row r="297" spans="1:46">
      <c r="A297" s="1">
        <v>295</v>
      </c>
      <c r="B297" s="61" t="s">
        <v>37</v>
      </c>
      <c r="C297" s="2">
        <v>45197</v>
      </c>
      <c r="D297" s="2"/>
      <c r="E297" s="1" t="s">
        <v>4101</v>
      </c>
      <c r="F297" s="61" t="s">
        <v>9023</v>
      </c>
      <c r="G297" s="61" t="s">
        <v>4103</v>
      </c>
      <c r="H297" s="6" t="s">
        <v>1402</v>
      </c>
      <c r="I297" s="1" t="s">
        <v>3681</v>
      </c>
      <c r="J297" s="8">
        <v>666276574</v>
      </c>
      <c r="K297" s="8"/>
      <c r="L297" t="s">
        <v>4101</v>
      </c>
      <c r="M297" s="2">
        <v>45199</v>
      </c>
      <c r="N297" s="1" t="s">
        <v>35</v>
      </c>
      <c r="O297" s="61" t="s">
        <v>7934</v>
      </c>
      <c r="P297" s="14" t="s">
        <v>5862</v>
      </c>
      <c r="Q297" s="187">
        <v>78.510000000000005</v>
      </c>
      <c r="R297" s="1">
        <v>1</v>
      </c>
      <c r="S297" s="128">
        <v>0.21</v>
      </c>
      <c r="T297" s="128">
        <v>0.2</v>
      </c>
      <c r="U297" s="363"/>
      <c r="V297" s="95">
        <f t="shared" si="6"/>
        <v>75.997680000000003</v>
      </c>
      <c r="W297" s="1" t="s">
        <v>8990</v>
      </c>
      <c r="X297" s="5" t="s">
        <v>9192</v>
      </c>
      <c r="Y297" s="2">
        <v>32427</v>
      </c>
      <c r="Z297" s="2">
        <v>45197</v>
      </c>
      <c r="AA297" s="377" t="s">
        <v>9343</v>
      </c>
      <c r="AB297" s="2">
        <v>45226</v>
      </c>
      <c r="AC297" s="80" t="s">
        <v>1339</v>
      </c>
      <c r="AF297" t="s">
        <v>3198</v>
      </c>
      <c r="AJ297" s="2"/>
      <c r="AM297" s="74"/>
      <c r="AT297" s="1"/>
    </row>
    <row r="298" spans="1:46">
      <c r="A298" s="1">
        <v>296</v>
      </c>
      <c r="B298" t="s">
        <v>37</v>
      </c>
      <c r="C298" s="2">
        <v>45198</v>
      </c>
      <c r="D298" s="2"/>
      <c r="E298" t="s">
        <v>6323</v>
      </c>
      <c r="F298" t="s">
        <v>6227</v>
      </c>
      <c r="G298" t="s">
        <v>6228</v>
      </c>
      <c r="H298" s="6" t="s">
        <v>219</v>
      </c>
      <c r="I298" s="1" t="s">
        <v>38</v>
      </c>
      <c r="J298" s="8">
        <v>641203364</v>
      </c>
      <c r="K298" s="8"/>
      <c r="L298" t="s">
        <v>6323</v>
      </c>
      <c r="M298" s="2">
        <v>45199</v>
      </c>
      <c r="N298" s="1" t="s">
        <v>35</v>
      </c>
      <c r="O298" s="14" t="s">
        <v>7926</v>
      </c>
      <c r="P298" s="14" t="s">
        <v>9187</v>
      </c>
      <c r="Q298" s="187">
        <v>132.22999999999999</v>
      </c>
      <c r="R298" s="1">
        <v>1</v>
      </c>
      <c r="S298" s="90">
        <v>0.21</v>
      </c>
      <c r="T298" s="90">
        <v>0</v>
      </c>
      <c r="V298" s="95">
        <f t="shared" si="6"/>
        <v>159.99829999999997</v>
      </c>
      <c r="W298" t="s">
        <v>9199</v>
      </c>
      <c r="X298" s="5" t="s">
        <v>9200</v>
      </c>
      <c r="Y298" s="2">
        <v>38729</v>
      </c>
      <c r="Z298" s="2">
        <v>45198</v>
      </c>
      <c r="AA298" s="377" t="s">
        <v>9545</v>
      </c>
      <c r="AB298" s="3">
        <v>45259</v>
      </c>
      <c r="AC298" s="80" t="s">
        <v>1339</v>
      </c>
      <c r="AF298" t="s">
        <v>3198</v>
      </c>
      <c r="AI298" s="61" t="s">
        <v>3470</v>
      </c>
      <c r="AJ298" s="2">
        <v>45202</v>
      </c>
      <c r="AM298" s="74">
        <v>45203</v>
      </c>
      <c r="AT298" s="1"/>
    </row>
    <row r="299" spans="1:46">
      <c r="A299" s="1">
        <v>297</v>
      </c>
      <c r="B299" s="61" t="s">
        <v>3526</v>
      </c>
      <c r="C299" s="2">
        <v>45201</v>
      </c>
      <c r="D299" s="2"/>
      <c r="E299" s="1" t="s">
        <v>7462</v>
      </c>
      <c r="F299" s="61" t="s">
        <v>9188</v>
      </c>
      <c r="G299" s="61" t="s">
        <v>9189</v>
      </c>
      <c r="H299" s="6" t="s">
        <v>250</v>
      </c>
      <c r="I299" s="1" t="s">
        <v>86</v>
      </c>
      <c r="J299" s="8">
        <v>642134540</v>
      </c>
      <c r="K299" s="8"/>
      <c r="L299" s="1" t="s">
        <v>7462</v>
      </c>
      <c r="M299" s="2">
        <v>45230</v>
      </c>
      <c r="N299" s="1" t="s">
        <v>35</v>
      </c>
      <c r="O299" s="61" t="s">
        <v>7934</v>
      </c>
      <c r="P299" s="14" t="s">
        <v>9190</v>
      </c>
      <c r="Q299" s="187">
        <v>78.510000000000005</v>
      </c>
      <c r="R299" s="1">
        <v>1</v>
      </c>
      <c r="S299" s="128">
        <v>0.21</v>
      </c>
      <c r="T299" s="128">
        <v>0.2</v>
      </c>
      <c r="U299" s="363"/>
      <c r="V299" s="95">
        <f t="shared" si="6"/>
        <v>75.997680000000003</v>
      </c>
      <c r="W299" s="1" t="s">
        <v>7462</v>
      </c>
      <c r="X299" s="5" t="s">
        <v>9191</v>
      </c>
      <c r="Y299" s="2">
        <v>28489</v>
      </c>
      <c r="Z299" s="2">
        <v>45201</v>
      </c>
      <c r="AA299" s="377" t="s">
        <v>9519</v>
      </c>
      <c r="AB299" s="2">
        <v>45254</v>
      </c>
      <c r="AC299" s="80" t="s">
        <v>1339</v>
      </c>
      <c r="AF299" t="s">
        <v>3198</v>
      </c>
      <c r="AJ299" s="2"/>
      <c r="AM299" s="74"/>
      <c r="AT299" s="1"/>
    </row>
    <row r="300" spans="1:46">
      <c r="A300" s="1">
        <v>298</v>
      </c>
      <c r="B300" t="s">
        <v>7245</v>
      </c>
      <c r="C300" s="2">
        <v>45201</v>
      </c>
      <c r="D300" s="2"/>
      <c r="E300" t="s">
        <v>1522</v>
      </c>
      <c r="F300" t="s">
        <v>3233</v>
      </c>
      <c r="G300" t="s">
        <v>3241</v>
      </c>
      <c r="H300" s="6" t="s">
        <v>3234</v>
      </c>
      <c r="I300" t="s">
        <v>3235</v>
      </c>
      <c r="J300" s="8">
        <v>680761760</v>
      </c>
      <c r="K300" s="8" t="s">
        <v>6232</v>
      </c>
      <c r="L300" t="s">
        <v>1522</v>
      </c>
      <c r="M300" s="2">
        <v>45230</v>
      </c>
      <c r="N300" s="1" t="s">
        <v>35</v>
      </c>
      <c r="O300" s="14" t="s">
        <v>7926</v>
      </c>
      <c r="P300" s="14" t="s">
        <v>9193</v>
      </c>
      <c r="Q300" s="187">
        <v>132.22999999999999</v>
      </c>
      <c r="R300" s="1">
        <v>1</v>
      </c>
      <c r="S300" s="128">
        <v>0.21</v>
      </c>
      <c r="T300" s="128">
        <v>0.2</v>
      </c>
      <c r="V300" s="95">
        <f t="shared" si="6"/>
        <v>127.99863999999999</v>
      </c>
      <c r="W300" t="s">
        <v>9206</v>
      </c>
      <c r="X300" s="5" t="s">
        <v>9207</v>
      </c>
      <c r="Y300" s="2">
        <v>31756</v>
      </c>
      <c r="Z300" s="2">
        <v>45201</v>
      </c>
      <c r="AA300" s="377" t="s">
        <v>9545</v>
      </c>
      <c r="AB300" s="2">
        <v>45259</v>
      </c>
      <c r="AC300" s="80" t="s">
        <v>1339</v>
      </c>
      <c r="AE300" s="3"/>
      <c r="AF300" t="s">
        <v>3198</v>
      </c>
      <c r="AI300" s="61" t="s">
        <v>3470</v>
      </c>
      <c r="AJ300" s="2">
        <v>45202</v>
      </c>
      <c r="AM300" s="74">
        <v>45209</v>
      </c>
      <c r="AT300" s="1"/>
    </row>
    <row r="301" spans="1:46">
      <c r="A301" s="1">
        <v>299</v>
      </c>
      <c r="B301" t="s">
        <v>7245</v>
      </c>
      <c r="C301" s="2">
        <v>45202</v>
      </c>
      <c r="D301" s="2"/>
      <c r="E301" t="s">
        <v>1522</v>
      </c>
      <c r="F301" t="s">
        <v>3233</v>
      </c>
      <c r="G301" t="s">
        <v>3241</v>
      </c>
      <c r="H301" s="6" t="s">
        <v>3234</v>
      </c>
      <c r="I301" t="s">
        <v>3235</v>
      </c>
      <c r="J301" s="8">
        <v>680761760</v>
      </c>
      <c r="K301" s="8" t="s">
        <v>6232</v>
      </c>
      <c r="L301" t="s">
        <v>1522</v>
      </c>
      <c r="M301" s="2">
        <v>45230</v>
      </c>
      <c r="N301" s="1" t="s">
        <v>35</v>
      </c>
      <c r="O301" s="14" t="s">
        <v>7934</v>
      </c>
      <c r="P301" s="14" t="s">
        <v>9194</v>
      </c>
      <c r="Q301" s="187">
        <v>78.510000000000005</v>
      </c>
      <c r="R301" s="1">
        <v>1</v>
      </c>
      <c r="S301" s="128">
        <v>0.21</v>
      </c>
      <c r="T301" s="128">
        <v>0.2</v>
      </c>
      <c r="V301" s="95">
        <f t="shared" si="6"/>
        <v>75.997680000000003</v>
      </c>
      <c r="W301" t="s">
        <v>7305</v>
      </c>
      <c r="X301" s="5" t="s">
        <v>9195</v>
      </c>
      <c r="Y301" s="2">
        <v>33948</v>
      </c>
      <c r="Z301" s="2">
        <v>45202</v>
      </c>
      <c r="AA301" s="377" t="s">
        <v>9542</v>
      </c>
      <c r="AB301" s="3">
        <v>45259</v>
      </c>
      <c r="AC301" s="80" t="s">
        <v>1339</v>
      </c>
      <c r="AE301" s="3"/>
      <c r="AF301" t="s">
        <v>3198</v>
      </c>
      <c r="AJ301" s="2"/>
      <c r="AM301" s="74"/>
      <c r="AT301" s="1"/>
    </row>
    <row r="302" spans="1:46">
      <c r="A302" s="1">
        <v>300</v>
      </c>
      <c r="B302" s="61" t="s">
        <v>9196</v>
      </c>
      <c r="C302" s="2">
        <v>45202</v>
      </c>
      <c r="D302" s="2"/>
      <c r="E302" s="1" t="s">
        <v>4107</v>
      </c>
      <c r="F302" s="61" t="s">
        <v>4108</v>
      </c>
      <c r="G302" s="61" t="s">
        <v>4109</v>
      </c>
      <c r="H302" s="6" t="s">
        <v>259</v>
      </c>
      <c r="I302" s="1" t="s">
        <v>4110</v>
      </c>
      <c r="J302" s="1">
        <v>660981182</v>
      </c>
      <c r="K302" s="427" t="s">
        <v>10338</v>
      </c>
      <c r="L302" s="1" t="s">
        <v>4107</v>
      </c>
      <c r="M302" s="2">
        <v>45230</v>
      </c>
      <c r="N302" s="1" t="s">
        <v>35</v>
      </c>
      <c r="O302" s="14" t="s">
        <v>7925</v>
      </c>
      <c r="P302" s="14" t="s">
        <v>9197</v>
      </c>
      <c r="Q302" s="187">
        <v>132.22999999999999</v>
      </c>
      <c r="R302" s="1">
        <v>1</v>
      </c>
      <c r="S302" s="128">
        <v>0.21</v>
      </c>
      <c r="T302" s="128">
        <v>0.2</v>
      </c>
      <c r="U302" s="363"/>
      <c r="V302" s="95">
        <f t="shared" si="6"/>
        <v>127.99863999999999</v>
      </c>
      <c r="W302" t="s">
        <v>9250</v>
      </c>
      <c r="X302" s="5" t="s">
        <v>9251</v>
      </c>
      <c r="Y302" s="2">
        <v>31818</v>
      </c>
      <c r="Z302" s="2">
        <v>45202</v>
      </c>
      <c r="AA302" s="377" t="s">
        <v>9716</v>
      </c>
      <c r="AB302" s="2">
        <v>45299</v>
      </c>
      <c r="AC302" s="80" t="s">
        <v>1339</v>
      </c>
      <c r="AF302" t="s">
        <v>3198</v>
      </c>
      <c r="AI302" t="s">
        <v>3108</v>
      </c>
      <c r="AJ302" s="2">
        <v>45208</v>
      </c>
      <c r="AM302" s="74"/>
      <c r="AT302" s="1"/>
    </row>
    <row r="303" spans="1:46">
      <c r="A303" s="1">
        <v>301</v>
      </c>
      <c r="B303" t="s">
        <v>1242</v>
      </c>
      <c r="C303" s="2">
        <v>45202</v>
      </c>
      <c r="D303" s="2"/>
      <c r="E303" s="1" t="s">
        <v>9202</v>
      </c>
      <c r="F303" s="61" t="s">
        <v>9203</v>
      </c>
      <c r="G303" s="61" t="s">
        <v>9204</v>
      </c>
      <c r="H303" s="6" t="s">
        <v>221</v>
      </c>
      <c r="I303" s="1" t="s">
        <v>34</v>
      </c>
      <c r="J303" s="8"/>
      <c r="K303" s="8" t="s">
        <v>5905</v>
      </c>
      <c r="L303" s="31" t="s">
        <v>1250</v>
      </c>
      <c r="M303" s="2">
        <v>45230</v>
      </c>
      <c r="N303" s="1" t="s">
        <v>35</v>
      </c>
      <c r="O303" s="61" t="s">
        <v>7925</v>
      </c>
      <c r="P303" s="14" t="s">
        <v>9205</v>
      </c>
      <c r="Q303" s="187">
        <v>132.22999999999999</v>
      </c>
      <c r="R303" s="1">
        <v>1</v>
      </c>
      <c r="S303" s="128">
        <v>0.21</v>
      </c>
      <c r="T303" s="128">
        <v>0.2</v>
      </c>
      <c r="U303" s="363"/>
      <c r="V303" s="95">
        <f t="shared" si="6"/>
        <v>127.99863999999999</v>
      </c>
      <c r="W303" t="s">
        <v>9248</v>
      </c>
      <c r="X303" s="5" t="s">
        <v>9249</v>
      </c>
      <c r="Y303" s="2">
        <v>30682</v>
      </c>
      <c r="Z303" s="2">
        <v>45202</v>
      </c>
      <c r="AA303" s="377" t="s">
        <v>9732</v>
      </c>
      <c r="AB303" s="2">
        <v>45308</v>
      </c>
      <c r="AC303" s="80" t="s">
        <v>1339</v>
      </c>
      <c r="AF303" t="s">
        <v>3198</v>
      </c>
      <c r="AI303" t="s">
        <v>3108</v>
      </c>
      <c r="AJ303" s="2">
        <v>45208</v>
      </c>
      <c r="AM303" s="74">
        <v>45209</v>
      </c>
      <c r="AT303" s="1"/>
    </row>
    <row r="304" spans="1:46">
      <c r="A304" s="1">
        <v>302</v>
      </c>
      <c r="B304" s="61" t="s">
        <v>37</v>
      </c>
      <c r="C304" s="2">
        <v>45204</v>
      </c>
      <c r="D304" s="2"/>
      <c r="E304" s="1" t="s">
        <v>9209</v>
      </c>
      <c r="F304" s="61" t="s">
        <v>9210</v>
      </c>
      <c r="G304" s="61" t="s">
        <v>7964</v>
      </c>
      <c r="H304" s="6" t="s">
        <v>7966</v>
      </c>
      <c r="I304" s="1" t="s">
        <v>7965</v>
      </c>
      <c r="J304" s="8">
        <v>602887889</v>
      </c>
      <c r="K304" s="8"/>
      <c r="L304" s="1" t="s">
        <v>9209</v>
      </c>
      <c r="M304" s="2">
        <v>45230</v>
      </c>
      <c r="N304" s="1" t="s">
        <v>35</v>
      </c>
      <c r="O304" s="61" t="s">
        <v>7934</v>
      </c>
      <c r="P304" s="14" t="s">
        <v>9211</v>
      </c>
      <c r="Q304" s="187">
        <v>78.510000000000005</v>
      </c>
      <c r="R304" s="1">
        <v>1</v>
      </c>
      <c r="S304" s="128">
        <v>0.21</v>
      </c>
      <c r="T304" s="128">
        <v>0</v>
      </c>
      <c r="U304" s="363"/>
      <c r="V304" s="95">
        <f t="shared" si="6"/>
        <v>94.997100000000003</v>
      </c>
      <c r="W304" s="1" t="s">
        <v>9209</v>
      </c>
      <c r="X304" s="5" t="s">
        <v>9212</v>
      </c>
      <c r="Y304" s="2">
        <v>31467</v>
      </c>
      <c r="Z304" s="2">
        <v>45204</v>
      </c>
      <c r="AA304" s="377" t="s">
        <v>9553</v>
      </c>
      <c r="AB304" s="2">
        <v>45267</v>
      </c>
      <c r="AC304" s="80" t="s">
        <v>1339</v>
      </c>
      <c r="AF304" t="s">
        <v>3198</v>
      </c>
      <c r="AJ304" s="2"/>
      <c r="AM304" s="74"/>
      <c r="AT304" s="1"/>
    </row>
    <row r="305" spans="1:46">
      <c r="A305" s="1">
        <v>303</v>
      </c>
      <c r="B305" s="61" t="s">
        <v>7570</v>
      </c>
      <c r="C305" s="2">
        <v>45204</v>
      </c>
      <c r="D305" s="2"/>
      <c r="E305" s="1" t="s">
        <v>9213</v>
      </c>
      <c r="F305" s="61" t="s">
        <v>9214</v>
      </c>
      <c r="G305" s="61" t="s">
        <v>9215</v>
      </c>
      <c r="H305" s="6" t="s">
        <v>219</v>
      </c>
      <c r="I305" s="1" t="s">
        <v>38</v>
      </c>
      <c r="J305" s="8"/>
      <c r="K305" s="1" t="s">
        <v>9216</v>
      </c>
      <c r="L305" s="1" t="s">
        <v>9213</v>
      </c>
      <c r="M305" s="2">
        <v>45230</v>
      </c>
      <c r="N305" s="1" t="s">
        <v>35</v>
      </c>
      <c r="O305" s="61" t="s">
        <v>7925</v>
      </c>
      <c r="P305" s="14" t="s">
        <v>9217</v>
      </c>
      <c r="Q305" s="187">
        <v>132.22999999999999</v>
      </c>
      <c r="R305" s="1">
        <v>1</v>
      </c>
      <c r="S305" s="128">
        <v>0.21</v>
      </c>
      <c r="T305" s="128">
        <v>0.2</v>
      </c>
      <c r="U305" s="363"/>
      <c r="V305" s="95">
        <f t="shared" si="6"/>
        <v>127.99863999999999</v>
      </c>
      <c r="W305" t="s">
        <v>9252</v>
      </c>
      <c r="X305" s="5" t="s">
        <v>9253</v>
      </c>
      <c r="Y305" s="2">
        <v>36588</v>
      </c>
      <c r="Z305" s="2">
        <v>45204</v>
      </c>
      <c r="AA305" s="377" t="s">
        <v>9793</v>
      </c>
      <c r="AB305" s="2">
        <v>45308</v>
      </c>
      <c r="AC305" s="80" t="s">
        <v>1339</v>
      </c>
      <c r="AF305" t="s">
        <v>3198</v>
      </c>
      <c r="AI305" t="s">
        <v>3108</v>
      </c>
      <c r="AJ305" s="2">
        <v>45208</v>
      </c>
      <c r="AM305" s="74">
        <v>45222</v>
      </c>
      <c r="AT305" s="1"/>
    </row>
    <row r="306" spans="1:46">
      <c r="A306" s="1">
        <v>304</v>
      </c>
      <c r="B306" t="s">
        <v>3526</v>
      </c>
      <c r="C306" s="2">
        <v>45204</v>
      </c>
      <c r="D306" s="2"/>
      <c r="E306" s="1" t="s">
        <v>7468</v>
      </c>
      <c r="F306" t="s">
        <v>7469</v>
      </c>
      <c r="G306" s="61" t="s">
        <v>7470</v>
      </c>
      <c r="H306" s="6" t="s">
        <v>294</v>
      </c>
      <c r="I306" s="1" t="s">
        <v>103</v>
      </c>
      <c r="J306" s="8">
        <v>649440769</v>
      </c>
      <c r="K306" s="1" t="s">
        <v>7472</v>
      </c>
      <c r="L306" t="s">
        <v>7468</v>
      </c>
      <c r="M306" s="2">
        <v>45230</v>
      </c>
      <c r="N306" s="1" t="s">
        <v>35</v>
      </c>
      <c r="O306" s="61" t="s">
        <v>7926</v>
      </c>
      <c r="P306" s="14" t="s">
        <v>9230</v>
      </c>
      <c r="Q306" s="187">
        <v>132.22999999999999</v>
      </c>
      <c r="R306" s="1">
        <v>1</v>
      </c>
      <c r="S306" s="90">
        <v>0.21</v>
      </c>
      <c r="T306" s="90">
        <v>0.2</v>
      </c>
      <c r="V306" s="95">
        <f t="shared" si="6"/>
        <v>127.99863999999999</v>
      </c>
      <c r="W306" t="s">
        <v>9278</v>
      </c>
      <c r="X306" s="5" t="s">
        <v>9279</v>
      </c>
      <c r="Y306" s="2">
        <v>36332</v>
      </c>
      <c r="Z306" s="2">
        <v>45204</v>
      </c>
      <c r="AF306" t="s">
        <v>3198</v>
      </c>
      <c r="AI306" s="61" t="s">
        <v>3470</v>
      </c>
      <c r="AJ306" s="2">
        <v>45215</v>
      </c>
      <c r="AM306" s="3">
        <v>45216</v>
      </c>
      <c r="AT306" s="1"/>
    </row>
    <row r="307" spans="1:46">
      <c r="A307" s="1">
        <v>305</v>
      </c>
      <c r="B307" t="s">
        <v>6452</v>
      </c>
      <c r="C307" s="2">
        <v>45205</v>
      </c>
      <c r="D307" s="2"/>
      <c r="E307" s="1" t="s">
        <v>9231</v>
      </c>
      <c r="F307" t="s">
        <v>9232</v>
      </c>
      <c r="G307" s="61" t="s">
        <v>9233</v>
      </c>
      <c r="H307" s="6" t="s">
        <v>9234</v>
      </c>
      <c r="I307" s="1" t="s">
        <v>144</v>
      </c>
      <c r="J307" s="8">
        <v>637545818</v>
      </c>
      <c r="K307" s="8"/>
      <c r="L307" s="1" t="s">
        <v>9231</v>
      </c>
      <c r="M307" s="2">
        <v>45230</v>
      </c>
      <c r="N307" s="1" t="s">
        <v>35</v>
      </c>
      <c r="O307" s="61" t="s">
        <v>7931</v>
      </c>
      <c r="P307" s="14" t="s">
        <v>9235</v>
      </c>
      <c r="Q307" s="187">
        <v>78.510000000000005</v>
      </c>
      <c r="R307" s="1">
        <v>1</v>
      </c>
      <c r="S307" s="128">
        <v>0.21</v>
      </c>
      <c r="T307" s="128">
        <v>0.2</v>
      </c>
      <c r="U307" s="95"/>
      <c r="V307" s="95">
        <f t="shared" si="6"/>
        <v>75.997680000000003</v>
      </c>
      <c r="W307" s="1" t="s">
        <v>9231</v>
      </c>
      <c r="Y307" s="210"/>
      <c r="Z307" s="2"/>
      <c r="AA307" s="11"/>
      <c r="AB307" s="2"/>
      <c r="AC307" s="80"/>
      <c r="AI307" s="1"/>
      <c r="AJ307" s="1"/>
      <c r="AM307" s="8"/>
      <c r="AT307" s="1"/>
    </row>
    <row r="308" spans="1:46">
      <c r="A308" s="1">
        <v>306</v>
      </c>
      <c r="B308" t="s">
        <v>9170</v>
      </c>
      <c r="C308" s="2">
        <v>45208</v>
      </c>
      <c r="D308" s="2"/>
      <c r="E308" s="1" t="s">
        <v>256</v>
      </c>
      <c r="F308" s="31" t="s">
        <v>155</v>
      </c>
      <c r="G308" s="31" t="s">
        <v>138</v>
      </c>
      <c r="H308" s="33" t="s">
        <v>227</v>
      </c>
      <c r="I308" s="30" t="s">
        <v>203</v>
      </c>
      <c r="J308" s="30">
        <v>659409676</v>
      </c>
      <c r="K308" s="1" t="s">
        <v>9171</v>
      </c>
      <c r="L308" s="1" t="s">
        <v>256</v>
      </c>
      <c r="M308" s="2">
        <v>45230</v>
      </c>
      <c r="N308" s="1" t="s">
        <v>35</v>
      </c>
      <c r="O308" s="61" t="s">
        <v>7934</v>
      </c>
      <c r="P308" s="14" t="s">
        <v>9236</v>
      </c>
      <c r="Q308" s="187">
        <v>78.510000000000005</v>
      </c>
      <c r="R308" s="1">
        <v>1</v>
      </c>
      <c r="S308" s="90">
        <v>0.21</v>
      </c>
      <c r="T308" s="90">
        <v>0.2</v>
      </c>
      <c r="V308" s="95">
        <f t="shared" si="6"/>
        <v>75.997680000000003</v>
      </c>
      <c r="W308" t="s">
        <v>7379</v>
      </c>
      <c r="X308" s="5" t="s">
        <v>9237</v>
      </c>
      <c r="Y308" s="2">
        <v>33603</v>
      </c>
      <c r="Z308" s="2">
        <v>45208</v>
      </c>
      <c r="AB308" s="1"/>
      <c r="AF308" t="s">
        <v>3198</v>
      </c>
      <c r="AJ308" s="2"/>
      <c r="AM308" s="3"/>
      <c r="AT308" s="1"/>
    </row>
    <row r="309" spans="1:46" s="153" customFormat="1">
      <c r="A309" s="1">
        <v>307</v>
      </c>
      <c r="B309" s="150" t="s">
        <v>4092</v>
      </c>
      <c r="C309" s="2">
        <v>45208</v>
      </c>
      <c r="D309" s="2"/>
      <c r="E309" s="149" t="s">
        <v>2801</v>
      </c>
      <c r="F309" s="150" t="s">
        <v>4093</v>
      </c>
      <c r="G309" s="150" t="s">
        <v>5696</v>
      </c>
      <c r="H309" s="152" t="s">
        <v>928</v>
      </c>
      <c r="I309" s="149" t="s">
        <v>3681</v>
      </c>
      <c r="J309" s="300">
        <v>672818929</v>
      </c>
      <c r="K309" s="300"/>
      <c r="L309" s="153" t="s">
        <v>2801</v>
      </c>
      <c r="M309" s="2">
        <v>45230</v>
      </c>
      <c r="N309" s="149" t="s">
        <v>35</v>
      </c>
      <c r="O309" s="61" t="s">
        <v>7934</v>
      </c>
      <c r="P309" s="153" t="s">
        <v>9238</v>
      </c>
      <c r="Q309" s="155" t="s">
        <v>3407</v>
      </c>
      <c r="R309" s="149" t="s">
        <v>3407</v>
      </c>
      <c r="S309" s="156" t="s">
        <v>3407</v>
      </c>
      <c r="T309" s="156" t="s">
        <v>3407</v>
      </c>
      <c r="U309" s="149"/>
      <c r="V309" s="95">
        <v>0</v>
      </c>
      <c r="W309" s="153" t="s">
        <v>2801</v>
      </c>
      <c r="X309" s="5" t="s">
        <v>9239</v>
      </c>
      <c r="Y309" s="151">
        <v>31256</v>
      </c>
      <c r="Z309" s="2">
        <v>45208</v>
      </c>
      <c r="AA309" s="377" t="s">
        <v>9344</v>
      </c>
      <c r="AB309" s="64">
        <v>45230</v>
      </c>
      <c r="AC309" s="80" t="s">
        <v>1339</v>
      </c>
      <c r="AD309" s="61"/>
      <c r="AE309" s="61"/>
      <c r="AF309" s="153" t="s">
        <v>3198</v>
      </c>
      <c r="AG309" s="61"/>
      <c r="AH309" s="61"/>
      <c r="AI309" s="61"/>
      <c r="AJ309" s="61"/>
      <c r="AK309" s="61"/>
      <c r="AL309" s="61"/>
      <c r="AM309" s="61"/>
      <c r="AN309" s="61"/>
      <c r="AO309" s="61"/>
      <c r="AT309" s="149"/>
    </row>
    <row r="310" spans="1:46">
      <c r="A310" s="1">
        <v>308</v>
      </c>
      <c r="B310" s="61" t="s">
        <v>37</v>
      </c>
      <c r="C310" s="2">
        <v>45208</v>
      </c>
      <c r="D310" s="2"/>
      <c r="E310" s="1" t="s">
        <v>9240</v>
      </c>
      <c r="F310" s="61" t="s">
        <v>9241</v>
      </c>
      <c r="G310" s="61" t="s">
        <v>9242</v>
      </c>
      <c r="H310" s="6" t="s">
        <v>1424</v>
      </c>
      <c r="I310" s="1" t="s">
        <v>1425</v>
      </c>
      <c r="J310" s="8">
        <v>632740140</v>
      </c>
      <c r="K310" s="8"/>
      <c r="L310" s="1" t="s">
        <v>9240</v>
      </c>
      <c r="M310" s="2">
        <v>45230</v>
      </c>
      <c r="N310" s="1" t="s">
        <v>35</v>
      </c>
      <c r="O310" s="61" t="s">
        <v>7934</v>
      </c>
      <c r="P310" s="14" t="s">
        <v>9243</v>
      </c>
      <c r="Q310" s="187">
        <v>78.510000000000005</v>
      </c>
      <c r="R310" s="1">
        <v>1</v>
      </c>
      <c r="S310" s="128">
        <v>0.21</v>
      </c>
      <c r="T310" s="128">
        <v>0</v>
      </c>
      <c r="U310" s="363"/>
      <c r="V310" s="95">
        <f t="shared" ref="V310:V341" si="7">SUM(Q310-(Q310*T310))*S310+(Q310-(Q310*T310))</f>
        <v>94.997100000000003</v>
      </c>
      <c r="W310" s="1" t="s">
        <v>9240</v>
      </c>
      <c r="X310" s="5" t="s">
        <v>9244</v>
      </c>
      <c r="Y310" s="2">
        <v>35053</v>
      </c>
      <c r="Z310" s="2">
        <v>45208</v>
      </c>
      <c r="AA310" s="377" t="s">
        <v>9344</v>
      </c>
      <c r="AB310" s="64">
        <v>45236</v>
      </c>
      <c r="AC310" s="80" t="s">
        <v>1339</v>
      </c>
      <c r="AF310" t="s">
        <v>3198</v>
      </c>
      <c r="AJ310" s="2"/>
      <c r="AM310" s="74"/>
      <c r="AT310" s="1"/>
    </row>
    <row r="311" spans="1:46">
      <c r="A311" s="1">
        <v>309</v>
      </c>
      <c r="B311" s="61" t="s">
        <v>52</v>
      </c>
      <c r="C311" s="2">
        <v>45210</v>
      </c>
      <c r="D311" s="2"/>
      <c r="E311" s="1" t="s">
        <v>9255</v>
      </c>
      <c r="F311" s="61" t="s">
        <v>9256</v>
      </c>
      <c r="G311" s="61" t="s">
        <v>9257</v>
      </c>
      <c r="H311" s="6" t="s">
        <v>221</v>
      </c>
      <c r="I311" s="1" t="s">
        <v>34</v>
      </c>
      <c r="J311" s="8"/>
      <c r="K311" s="44" t="s">
        <v>5906</v>
      </c>
      <c r="L311" s="1" t="s">
        <v>4432</v>
      </c>
      <c r="M311" s="2">
        <v>45230</v>
      </c>
      <c r="N311" s="1" t="s">
        <v>35</v>
      </c>
      <c r="O311" s="61" t="s">
        <v>23</v>
      </c>
      <c r="P311" s="14" t="s">
        <v>9258</v>
      </c>
      <c r="Q311" s="187">
        <v>41.32</v>
      </c>
      <c r="R311" s="1">
        <v>1</v>
      </c>
      <c r="S311" s="128">
        <v>0.21</v>
      </c>
      <c r="T311" s="128">
        <v>0</v>
      </c>
      <c r="U311" s="363"/>
      <c r="V311" s="95">
        <f t="shared" si="7"/>
        <v>49.997199999999999</v>
      </c>
      <c r="W311" s="1"/>
      <c r="X311" s="5"/>
      <c r="Y311" s="2"/>
      <c r="Z311" s="2"/>
      <c r="AA311" s="61"/>
      <c r="AB311" s="2"/>
      <c r="AC311" s="80"/>
      <c r="AJ311" s="2"/>
      <c r="AM311" s="74"/>
      <c r="AT311" s="1"/>
    </row>
    <row r="312" spans="1:46">
      <c r="A312" s="1">
        <v>310</v>
      </c>
      <c r="B312" s="61" t="s">
        <v>52</v>
      </c>
      <c r="C312" s="2">
        <v>45210</v>
      </c>
      <c r="D312" s="2"/>
      <c r="E312" s="1" t="s">
        <v>9341</v>
      </c>
      <c r="F312" s="61" t="s">
        <v>9259</v>
      </c>
      <c r="G312" s="61" t="s">
        <v>9257</v>
      </c>
      <c r="H312" s="6" t="s">
        <v>221</v>
      </c>
      <c r="I312" s="1" t="s">
        <v>34</v>
      </c>
      <c r="J312" s="8"/>
      <c r="K312" s="44" t="s">
        <v>5906</v>
      </c>
      <c r="L312" s="1" t="s">
        <v>4432</v>
      </c>
      <c r="M312" s="2">
        <v>45230</v>
      </c>
      <c r="N312" s="1" t="s">
        <v>35</v>
      </c>
      <c r="O312" s="61" t="s">
        <v>23</v>
      </c>
      <c r="P312" s="14" t="s">
        <v>9260</v>
      </c>
      <c r="Q312" s="187">
        <v>41.32</v>
      </c>
      <c r="R312" s="1">
        <v>1</v>
      </c>
      <c r="S312" s="128">
        <v>0.21</v>
      </c>
      <c r="T312" s="128">
        <v>0</v>
      </c>
      <c r="U312" s="363"/>
      <c r="V312" s="95">
        <f t="shared" si="7"/>
        <v>49.997199999999999</v>
      </c>
      <c r="W312" s="1"/>
      <c r="X312" s="5"/>
      <c r="Y312" s="2"/>
      <c r="Z312" s="2"/>
      <c r="AA312" s="61"/>
      <c r="AB312" s="2"/>
      <c r="AC312" s="80"/>
      <c r="AJ312" s="2"/>
      <c r="AM312" s="74"/>
      <c r="AT312" s="1"/>
    </row>
    <row r="313" spans="1:46">
      <c r="A313" s="1">
        <v>311</v>
      </c>
      <c r="B313" s="61" t="s">
        <v>4321</v>
      </c>
      <c r="C313" s="2">
        <v>45210</v>
      </c>
      <c r="D313" s="2"/>
      <c r="E313" s="1" t="s">
        <v>5988</v>
      </c>
      <c r="F313" t="s">
        <v>5989</v>
      </c>
      <c r="G313" s="61" t="s">
        <v>5990</v>
      </c>
      <c r="H313" s="6" t="s">
        <v>242</v>
      </c>
      <c r="I313" s="1" t="s">
        <v>5083</v>
      </c>
      <c r="J313" s="8"/>
      <c r="K313" s="8" t="s">
        <v>5991</v>
      </c>
      <c r="L313" t="s">
        <v>5988</v>
      </c>
      <c r="M313" s="2">
        <v>45230</v>
      </c>
      <c r="N313" s="1" t="s">
        <v>35</v>
      </c>
      <c r="O313" s="61" t="s">
        <v>7926</v>
      </c>
      <c r="P313" s="14" t="s">
        <v>9261</v>
      </c>
      <c r="Q313" s="187">
        <v>132.22999999999999</v>
      </c>
      <c r="R313" s="1">
        <v>1</v>
      </c>
      <c r="S313" s="90">
        <v>0.21</v>
      </c>
      <c r="T313" s="90">
        <v>0.2</v>
      </c>
      <c r="V313" s="95">
        <f t="shared" si="7"/>
        <v>127.99863999999999</v>
      </c>
      <c r="W313" t="s">
        <v>9290</v>
      </c>
      <c r="X313" s="5" t="s">
        <v>9291</v>
      </c>
      <c r="Y313" s="2">
        <v>37506</v>
      </c>
      <c r="Z313" s="2">
        <v>45210</v>
      </c>
      <c r="AA313" s="285" t="s">
        <v>10191</v>
      </c>
      <c r="AB313" s="3">
        <v>45378</v>
      </c>
      <c r="AC313" s="80" t="s">
        <v>1339</v>
      </c>
      <c r="AE313" s="292">
        <v>45279</v>
      </c>
      <c r="AF313" t="s">
        <v>3198</v>
      </c>
      <c r="AI313" s="61" t="s">
        <v>3221</v>
      </c>
      <c r="AJ313" s="2">
        <v>45217</v>
      </c>
      <c r="AK313" s="61" t="s">
        <v>9347</v>
      </c>
      <c r="AL313" s="3">
        <v>45238</v>
      </c>
      <c r="AM313" s="74">
        <v>45236</v>
      </c>
      <c r="AT313" s="1"/>
    </row>
    <row r="314" spans="1:46" ht="15.75" customHeight="1">
      <c r="A314" s="1">
        <v>312</v>
      </c>
      <c r="B314" s="61" t="s">
        <v>9262</v>
      </c>
      <c r="C314" s="2">
        <v>45212</v>
      </c>
      <c r="D314" s="2"/>
      <c r="E314" s="30" t="s">
        <v>458</v>
      </c>
      <c r="F314" t="s">
        <v>84</v>
      </c>
      <c r="G314" s="103" t="s">
        <v>138</v>
      </c>
      <c r="H314" s="30" t="s">
        <v>227</v>
      </c>
      <c r="I314" s="31" t="s">
        <v>203</v>
      </c>
      <c r="J314" s="44"/>
      <c r="K314" s="1" t="s">
        <v>9171</v>
      </c>
      <c r="L314" t="s">
        <v>4432</v>
      </c>
      <c r="M314" s="2">
        <v>45230</v>
      </c>
      <c r="N314" s="1" t="s">
        <v>35</v>
      </c>
      <c r="O314" s="61" t="s">
        <v>7925</v>
      </c>
      <c r="P314" s="14" t="s">
        <v>9263</v>
      </c>
      <c r="Q314" s="187">
        <v>132.22999999999999</v>
      </c>
      <c r="R314" s="1">
        <v>1</v>
      </c>
      <c r="S314" s="90">
        <v>0.21</v>
      </c>
      <c r="T314" s="90">
        <v>0.2</v>
      </c>
      <c r="V314" s="95">
        <f t="shared" si="7"/>
        <v>127.99863999999999</v>
      </c>
      <c r="W314" t="s">
        <v>9264</v>
      </c>
      <c r="X314" s="5" t="s">
        <v>9292</v>
      </c>
      <c r="Y314" s="2">
        <v>35492</v>
      </c>
      <c r="Z314" s="2">
        <v>45212</v>
      </c>
      <c r="AA314" s="377" t="s">
        <v>10171</v>
      </c>
      <c r="AB314" s="2">
        <v>45377</v>
      </c>
      <c r="AC314" s="80" t="s">
        <v>1339</v>
      </c>
      <c r="AD314" s="61" t="s">
        <v>9265</v>
      </c>
      <c r="AE314" s="162">
        <v>45308</v>
      </c>
      <c r="AF314" t="s">
        <v>3198</v>
      </c>
      <c r="AI314" s="76" t="s">
        <v>3108</v>
      </c>
      <c r="AJ314" s="2">
        <v>45217</v>
      </c>
      <c r="AM314" s="2"/>
      <c r="AT314" s="1"/>
    </row>
    <row r="315" spans="1:46">
      <c r="A315" s="1">
        <v>313</v>
      </c>
      <c r="B315" s="61" t="s">
        <v>37</v>
      </c>
      <c r="C315" s="2">
        <v>45212</v>
      </c>
      <c r="D315" s="2"/>
      <c r="E315" s="1" t="s">
        <v>9266</v>
      </c>
      <c r="F315" s="61" t="s">
        <v>9267</v>
      </c>
      <c r="G315" s="61" t="s">
        <v>9268</v>
      </c>
      <c r="H315" s="6" t="s">
        <v>9269</v>
      </c>
      <c r="I315" s="1" t="s">
        <v>9270</v>
      </c>
      <c r="J315" s="8">
        <v>632961736</v>
      </c>
      <c r="K315" s="8"/>
      <c r="L315" s="1" t="s">
        <v>9266</v>
      </c>
      <c r="M315" s="2">
        <v>45230</v>
      </c>
      <c r="N315" s="1" t="s">
        <v>35</v>
      </c>
      <c r="O315" s="61" t="s">
        <v>7934</v>
      </c>
      <c r="P315" s="14" t="s">
        <v>9271</v>
      </c>
      <c r="Q315" s="187">
        <v>78.510000000000005</v>
      </c>
      <c r="R315" s="1">
        <v>1</v>
      </c>
      <c r="S315" s="128">
        <v>0.21</v>
      </c>
      <c r="T315" s="128">
        <v>0</v>
      </c>
      <c r="U315" s="363"/>
      <c r="V315" s="95">
        <f t="shared" si="7"/>
        <v>94.997100000000003</v>
      </c>
      <c r="W315" s="1" t="s">
        <v>9266</v>
      </c>
      <c r="X315" s="5" t="s">
        <v>9272</v>
      </c>
      <c r="Y315" s="2">
        <v>35599</v>
      </c>
      <c r="Z315" s="2">
        <v>45212</v>
      </c>
      <c r="AA315" s="377" t="s">
        <v>9732</v>
      </c>
      <c r="AB315" s="2">
        <v>45301</v>
      </c>
      <c r="AC315" s="80" t="s">
        <v>1339</v>
      </c>
      <c r="AF315" t="s">
        <v>3198</v>
      </c>
      <c r="AJ315" s="2"/>
      <c r="AM315" s="74"/>
      <c r="AT315" s="1"/>
    </row>
    <row r="316" spans="1:46">
      <c r="A316" s="1">
        <v>314</v>
      </c>
      <c r="B316" s="61" t="s">
        <v>119</v>
      </c>
      <c r="C316" s="2">
        <v>45215</v>
      </c>
      <c r="D316" s="2"/>
      <c r="E316" s="1" t="s">
        <v>9273</v>
      </c>
      <c r="F316" s="61" t="s">
        <v>9274</v>
      </c>
      <c r="G316" s="61" t="s">
        <v>9275</v>
      </c>
      <c r="H316" s="6" t="s">
        <v>226</v>
      </c>
      <c r="I316" s="1" t="s">
        <v>86</v>
      </c>
      <c r="J316" s="8"/>
      <c r="K316" s="1" t="s">
        <v>8094</v>
      </c>
      <c r="L316" t="s">
        <v>174</v>
      </c>
      <c r="M316" s="2">
        <v>45230</v>
      </c>
      <c r="N316" s="1" t="s">
        <v>35</v>
      </c>
      <c r="O316" s="61" t="s">
        <v>7925</v>
      </c>
      <c r="P316" s="14" t="s">
        <v>9276</v>
      </c>
      <c r="Q316" s="187">
        <v>132.22999999999999</v>
      </c>
      <c r="R316" s="1">
        <v>1</v>
      </c>
      <c r="S316" s="128">
        <v>0.21</v>
      </c>
      <c r="T316" s="128">
        <v>0.2</v>
      </c>
      <c r="U316" s="363"/>
      <c r="V316" s="95">
        <f t="shared" si="7"/>
        <v>127.99863999999999</v>
      </c>
      <c r="W316" t="s">
        <v>9301</v>
      </c>
      <c r="X316" s="5" t="s">
        <v>9302</v>
      </c>
      <c r="Y316" s="2">
        <v>35536</v>
      </c>
      <c r="Z316" s="2">
        <v>45215</v>
      </c>
      <c r="AA316" s="377" t="s">
        <v>10361</v>
      </c>
      <c r="AB316" s="2">
        <v>45419</v>
      </c>
      <c r="AC316" s="80" t="s">
        <v>1339</v>
      </c>
      <c r="AE316" s="162">
        <v>45341</v>
      </c>
      <c r="AF316" t="s">
        <v>3198</v>
      </c>
      <c r="AI316" t="s">
        <v>9277</v>
      </c>
      <c r="AJ316" s="2">
        <v>45218</v>
      </c>
      <c r="AM316" s="74">
        <v>45225</v>
      </c>
      <c r="AT316" s="1"/>
    </row>
    <row r="317" spans="1:46">
      <c r="A317" s="1">
        <v>315</v>
      </c>
      <c r="B317" s="61" t="s">
        <v>37</v>
      </c>
      <c r="C317" s="2">
        <v>45217</v>
      </c>
      <c r="D317" s="2"/>
      <c r="E317" s="1" t="s">
        <v>1944</v>
      </c>
      <c r="F317" s="61" t="s">
        <v>1945</v>
      </c>
      <c r="G317" s="61" t="s">
        <v>5910</v>
      </c>
      <c r="H317" s="6" t="s">
        <v>219</v>
      </c>
      <c r="I317" s="1" t="s">
        <v>38</v>
      </c>
      <c r="J317" s="1">
        <v>632886664</v>
      </c>
      <c r="K317" s="1"/>
      <c r="L317" s="1" t="s">
        <v>1944</v>
      </c>
      <c r="M317" s="2">
        <v>45230</v>
      </c>
      <c r="N317" s="1" t="s">
        <v>35</v>
      </c>
      <c r="O317" s="61" t="s">
        <v>7935</v>
      </c>
      <c r="P317" s="14" t="s">
        <v>9287</v>
      </c>
      <c r="Q317" s="187">
        <v>78.510000000000005</v>
      </c>
      <c r="R317" s="1">
        <v>1</v>
      </c>
      <c r="S317" s="128">
        <v>0.21</v>
      </c>
      <c r="T317" s="128">
        <v>0</v>
      </c>
      <c r="U317" s="363"/>
      <c r="V317" s="95">
        <f t="shared" si="7"/>
        <v>94.997100000000003</v>
      </c>
      <c r="W317" s="1" t="s">
        <v>1944</v>
      </c>
      <c r="X317" s="5" t="s">
        <v>9288</v>
      </c>
      <c r="Y317" s="2">
        <v>29587</v>
      </c>
      <c r="Z317" s="2">
        <v>45217</v>
      </c>
      <c r="AA317" s="377" t="s">
        <v>9543</v>
      </c>
      <c r="AB317" s="2">
        <v>45259</v>
      </c>
      <c r="AC317" s="80" t="s">
        <v>1339</v>
      </c>
      <c r="AF317" t="s">
        <v>3198</v>
      </c>
      <c r="AJ317" s="2"/>
      <c r="AM317" s="74"/>
      <c r="AT317" s="1"/>
    </row>
    <row r="318" spans="1:46">
      <c r="A318" s="1">
        <v>316</v>
      </c>
      <c r="B318" t="s">
        <v>33</v>
      </c>
      <c r="C318" s="2">
        <v>45217</v>
      </c>
      <c r="D318" s="2"/>
      <c r="E318" s="1" t="s">
        <v>5282</v>
      </c>
      <c r="F318" t="s">
        <v>5283</v>
      </c>
      <c r="G318" s="61" t="s">
        <v>5284</v>
      </c>
      <c r="H318" s="6" t="s">
        <v>3709</v>
      </c>
      <c r="I318" s="1" t="s">
        <v>5285</v>
      </c>
      <c r="K318" s="114" t="s">
        <v>11744</v>
      </c>
      <c r="L318" s="30" t="s">
        <v>237</v>
      </c>
      <c r="M318" s="2">
        <v>45230</v>
      </c>
      <c r="N318" s="1" t="s">
        <v>35</v>
      </c>
      <c r="O318" s="61" t="s">
        <v>7925</v>
      </c>
      <c r="P318" s="14" t="s">
        <v>9289</v>
      </c>
      <c r="Q318" s="92">
        <v>132.22999999999999</v>
      </c>
      <c r="R318" s="1">
        <v>1</v>
      </c>
      <c r="S318" s="90">
        <v>0.21</v>
      </c>
      <c r="T318" s="90">
        <v>0.2</v>
      </c>
      <c r="V318" s="95">
        <f t="shared" si="7"/>
        <v>127.99863999999999</v>
      </c>
      <c r="W318" t="s">
        <v>9309</v>
      </c>
      <c r="X318" s="5" t="s">
        <v>9310</v>
      </c>
      <c r="Y318" s="2">
        <v>29952</v>
      </c>
      <c r="Z318" s="2">
        <v>45217</v>
      </c>
      <c r="AA318" s="287" t="s">
        <v>9794</v>
      </c>
      <c r="AB318" s="64">
        <v>45308</v>
      </c>
      <c r="AC318" s="80" t="s">
        <v>1339</v>
      </c>
      <c r="AE318" s="61"/>
      <c r="AF318" t="s">
        <v>3198</v>
      </c>
      <c r="AI318" t="s">
        <v>3108</v>
      </c>
      <c r="AJ318" s="2">
        <v>45222</v>
      </c>
      <c r="AM318" s="3">
        <v>45225</v>
      </c>
      <c r="AT318" s="1"/>
    </row>
    <row r="319" spans="1:46">
      <c r="A319" s="1">
        <v>317</v>
      </c>
      <c r="B319" s="61" t="s">
        <v>33</v>
      </c>
      <c r="C319" s="2">
        <v>45218</v>
      </c>
      <c r="D319" s="2"/>
      <c r="E319" s="1" t="s">
        <v>6985</v>
      </c>
      <c r="F319" t="s">
        <v>6942</v>
      </c>
      <c r="G319" t="s">
        <v>6943</v>
      </c>
      <c r="H319" s="6" t="s">
        <v>304</v>
      </c>
      <c r="I319" s="1" t="s">
        <v>34</v>
      </c>
      <c r="J319" s="8"/>
      <c r="K319" s="114" t="s">
        <v>11744</v>
      </c>
      <c r="L319" t="s">
        <v>237</v>
      </c>
      <c r="M319" s="2">
        <v>45230</v>
      </c>
      <c r="N319" s="1" t="s">
        <v>35</v>
      </c>
      <c r="O319" s="61" t="s">
        <v>7934</v>
      </c>
      <c r="P319" s="14" t="s">
        <v>9293</v>
      </c>
      <c r="Q319" s="187">
        <v>78.510000000000005</v>
      </c>
      <c r="R319" s="1">
        <v>1</v>
      </c>
      <c r="S319" s="128">
        <v>0.21</v>
      </c>
      <c r="T319" s="128">
        <v>0.2</v>
      </c>
      <c r="V319" s="95">
        <f t="shared" si="7"/>
        <v>75.997680000000003</v>
      </c>
      <c r="W319" t="s">
        <v>7608</v>
      </c>
      <c r="X319" s="5" t="s">
        <v>9294</v>
      </c>
      <c r="Y319" s="2">
        <v>31413</v>
      </c>
      <c r="Z319" s="2">
        <v>45218</v>
      </c>
      <c r="AA319" s="377" t="s">
        <v>9554</v>
      </c>
      <c r="AB319" s="2">
        <v>45267</v>
      </c>
      <c r="AC319" s="80" t="s">
        <v>1339</v>
      </c>
      <c r="AJ319" s="2"/>
      <c r="AK319" s="2"/>
      <c r="AL319" s="2"/>
      <c r="AM319" s="2"/>
      <c r="AN319" s="2"/>
      <c r="AT319" s="1"/>
    </row>
    <row r="320" spans="1:46">
      <c r="A320" s="1">
        <v>318</v>
      </c>
      <c r="B320" t="s">
        <v>33</v>
      </c>
      <c r="C320" s="2">
        <v>45218</v>
      </c>
      <c r="D320" s="2"/>
      <c r="E320" s="1" t="s">
        <v>4537</v>
      </c>
      <c r="F320" t="s">
        <v>4540</v>
      </c>
      <c r="G320" s="61" t="s">
        <v>6316</v>
      </c>
      <c r="H320" s="6" t="s">
        <v>220</v>
      </c>
      <c r="I320" s="1" t="s">
        <v>39</v>
      </c>
      <c r="J320" s="8"/>
      <c r="K320" s="114" t="s">
        <v>11744</v>
      </c>
      <c r="L320" t="s">
        <v>237</v>
      </c>
      <c r="M320" s="2">
        <v>45230</v>
      </c>
      <c r="N320" s="1" t="s">
        <v>35</v>
      </c>
      <c r="O320" s="61" t="s">
        <v>7934</v>
      </c>
      <c r="P320" s="14" t="s">
        <v>9295</v>
      </c>
      <c r="Q320" s="187">
        <v>78.510000000000005</v>
      </c>
      <c r="R320" s="1">
        <v>1</v>
      </c>
      <c r="S320" s="128">
        <v>0.21</v>
      </c>
      <c r="T320" s="128">
        <v>0.2</v>
      </c>
      <c r="V320" s="95">
        <f t="shared" si="7"/>
        <v>75.997680000000003</v>
      </c>
      <c r="W320" t="s">
        <v>7193</v>
      </c>
      <c r="X320" s="5" t="s">
        <v>9296</v>
      </c>
      <c r="Y320" s="2">
        <v>30331</v>
      </c>
      <c r="Z320" s="2">
        <v>45218</v>
      </c>
      <c r="AA320" s="377" t="s">
        <v>9554</v>
      </c>
      <c r="AB320" s="2">
        <v>45267</v>
      </c>
      <c r="AC320" s="80" t="s">
        <v>1339</v>
      </c>
      <c r="AF320" t="s">
        <v>3198</v>
      </c>
      <c r="AJ320" s="2"/>
      <c r="AM320" s="74"/>
      <c r="AT320" s="1"/>
    </row>
    <row r="321" spans="1:46">
      <c r="A321" s="1">
        <v>319</v>
      </c>
      <c r="B321" s="61" t="s">
        <v>3526</v>
      </c>
      <c r="C321" s="2">
        <v>45218</v>
      </c>
      <c r="D321" s="2"/>
      <c r="E321" s="1" t="s">
        <v>9297</v>
      </c>
      <c r="F321" t="s">
        <v>9298</v>
      </c>
      <c r="G321" t="s">
        <v>9299</v>
      </c>
      <c r="H321" s="6" t="s">
        <v>294</v>
      </c>
      <c r="I321" s="1" t="s">
        <v>103</v>
      </c>
      <c r="J321" s="8"/>
      <c r="K321" s="1" t="s">
        <v>7759</v>
      </c>
      <c r="L321" s="1" t="s">
        <v>9297</v>
      </c>
      <c r="M321" s="2">
        <v>45230</v>
      </c>
      <c r="N321" s="1" t="s">
        <v>35</v>
      </c>
      <c r="O321" s="61" t="s">
        <v>7925</v>
      </c>
      <c r="P321" s="14" t="s">
        <v>9311</v>
      </c>
      <c r="Q321" s="187">
        <v>132.22999999999999</v>
      </c>
      <c r="R321" s="1">
        <v>1</v>
      </c>
      <c r="S321" s="128">
        <v>0.21</v>
      </c>
      <c r="T321" s="128">
        <v>0.2</v>
      </c>
      <c r="U321" s="363"/>
      <c r="V321" s="95">
        <f t="shared" si="7"/>
        <v>127.99863999999999</v>
      </c>
      <c r="W321" t="s">
        <v>9300</v>
      </c>
      <c r="X321" s="5" t="s">
        <v>9312</v>
      </c>
      <c r="Y321" s="2">
        <v>37169</v>
      </c>
      <c r="Z321" s="2">
        <v>45218</v>
      </c>
      <c r="AA321" s="377" t="s">
        <v>9807</v>
      </c>
      <c r="AB321" s="2">
        <v>45316</v>
      </c>
      <c r="AC321" s="80" t="s">
        <v>1339</v>
      </c>
      <c r="AF321" t="s">
        <v>3198</v>
      </c>
      <c r="AI321" s="76" t="s">
        <v>9313</v>
      </c>
      <c r="AJ321" s="2"/>
      <c r="AK321" s="2"/>
      <c r="AL321" s="2"/>
      <c r="AM321" s="2"/>
      <c r="AN321" s="2"/>
      <c r="AT321" s="1"/>
    </row>
    <row r="322" spans="1:46">
      <c r="A322" s="1">
        <v>320</v>
      </c>
      <c r="B322" s="61" t="s">
        <v>37</v>
      </c>
      <c r="C322" s="2">
        <v>45219</v>
      </c>
      <c r="D322" s="2"/>
      <c r="E322" s="1" t="s">
        <v>9303</v>
      </c>
      <c r="F322" t="s">
        <v>9304</v>
      </c>
      <c r="G322" t="s">
        <v>9305</v>
      </c>
      <c r="H322" s="6" t="s">
        <v>7966</v>
      </c>
      <c r="I322" s="1" t="s">
        <v>7965</v>
      </c>
      <c r="J322" s="8"/>
      <c r="K322" s="1"/>
      <c r="L322" s="1" t="s">
        <v>9303</v>
      </c>
      <c r="M322" s="2">
        <v>45230</v>
      </c>
      <c r="N322" s="1" t="s">
        <v>35</v>
      </c>
      <c r="O322" s="61" t="s">
        <v>7934</v>
      </c>
      <c r="P322" s="14" t="s">
        <v>9306</v>
      </c>
      <c r="Q322" s="187">
        <v>78.510000000000005</v>
      </c>
      <c r="R322" s="1">
        <v>1</v>
      </c>
      <c r="S322" s="128">
        <v>0.21</v>
      </c>
      <c r="T322" s="128">
        <v>0</v>
      </c>
      <c r="U322" s="363"/>
      <c r="V322" s="95">
        <f t="shared" si="7"/>
        <v>94.997100000000003</v>
      </c>
      <c r="W322" s="1" t="s">
        <v>9303</v>
      </c>
      <c r="X322" s="5" t="s">
        <v>9307</v>
      </c>
      <c r="Y322" s="2">
        <v>34486</v>
      </c>
      <c r="Z322" s="2">
        <v>45219</v>
      </c>
      <c r="AA322" s="377" t="s">
        <v>9554</v>
      </c>
      <c r="AB322" s="2">
        <v>45267</v>
      </c>
      <c r="AC322" s="80" t="s">
        <v>1339</v>
      </c>
      <c r="AF322" t="s">
        <v>3198</v>
      </c>
      <c r="AJ322" s="2"/>
      <c r="AK322" s="2"/>
      <c r="AL322" s="2"/>
      <c r="AM322" s="2"/>
      <c r="AN322" s="2"/>
      <c r="AT322" s="1"/>
    </row>
    <row r="323" spans="1:46">
      <c r="A323" s="1">
        <v>321</v>
      </c>
      <c r="B323" t="s">
        <v>3526</v>
      </c>
      <c r="C323" s="2">
        <v>45223</v>
      </c>
      <c r="D323" s="2"/>
      <c r="E323" s="1" t="s">
        <v>4512</v>
      </c>
      <c r="F323" t="s">
        <v>4613</v>
      </c>
      <c r="G323" t="s">
        <v>4614</v>
      </c>
      <c r="H323" s="6" t="s">
        <v>242</v>
      </c>
      <c r="I323" s="1" t="s">
        <v>86</v>
      </c>
      <c r="J323" s="1">
        <v>673821555</v>
      </c>
      <c r="K323" s="8" t="s">
        <v>7157</v>
      </c>
      <c r="L323" s="1" t="s">
        <v>6215</v>
      </c>
      <c r="M323" s="2">
        <v>45230</v>
      </c>
      <c r="N323" s="1" t="s">
        <v>35</v>
      </c>
      <c r="O323" s="61" t="s">
        <v>7926</v>
      </c>
      <c r="P323" s="14" t="s">
        <v>9314</v>
      </c>
      <c r="Q323" s="187">
        <v>132.22999999999999</v>
      </c>
      <c r="R323" s="1">
        <v>1</v>
      </c>
      <c r="S323" s="90">
        <v>0.21</v>
      </c>
      <c r="T323" s="90">
        <v>0.2</v>
      </c>
      <c r="U323" s="363"/>
      <c r="V323" s="95">
        <f t="shared" si="7"/>
        <v>127.99863999999999</v>
      </c>
      <c r="W323" t="s">
        <v>9322</v>
      </c>
      <c r="X323" s="5" t="s">
        <v>9323</v>
      </c>
      <c r="Y323" s="2">
        <v>34591</v>
      </c>
      <c r="Z323" s="2">
        <v>45223</v>
      </c>
      <c r="AA323" s="377" t="s">
        <v>9605</v>
      </c>
      <c r="AB323" s="64">
        <v>45273</v>
      </c>
      <c r="AC323" s="80" t="s">
        <v>1339</v>
      </c>
      <c r="AF323" t="s">
        <v>3198</v>
      </c>
      <c r="AI323" s="61" t="s">
        <v>3470</v>
      </c>
      <c r="AJ323" s="3">
        <v>45224</v>
      </c>
      <c r="AM323" s="3">
        <v>45236</v>
      </c>
      <c r="AS323" s="1" t="s">
        <v>7929</v>
      </c>
    </row>
    <row r="324" spans="1:46">
      <c r="A324" s="1">
        <v>322</v>
      </c>
      <c r="B324" s="61" t="s">
        <v>52</v>
      </c>
      <c r="C324" s="2">
        <v>45223</v>
      </c>
      <c r="D324" s="2"/>
      <c r="E324" s="1" t="s">
        <v>66</v>
      </c>
      <c r="F324" s="61" t="s">
        <v>65</v>
      </c>
      <c r="G324" s="61" t="s">
        <v>3666</v>
      </c>
      <c r="H324" s="6" t="s">
        <v>230</v>
      </c>
      <c r="I324" s="1" t="s">
        <v>34</v>
      </c>
      <c r="J324" s="8">
        <v>646968420</v>
      </c>
      <c r="K324" s="8" t="s">
        <v>5906</v>
      </c>
      <c r="L324" t="s">
        <v>4432</v>
      </c>
      <c r="M324" s="2">
        <v>45230</v>
      </c>
      <c r="N324" s="1" t="s">
        <v>35</v>
      </c>
      <c r="O324" s="61" t="s">
        <v>7926</v>
      </c>
      <c r="P324" s="14" t="s">
        <v>9315</v>
      </c>
      <c r="Q324" s="144">
        <v>132.22999999999999</v>
      </c>
      <c r="R324" s="1">
        <v>1</v>
      </c>
      <c r="S324" s="90">
        <v>0.21</v>
      </c>
      <c r="T324" s="90">
        <v>0.2</v>
      </c>
      <c r="U324" s="1"/>
      <c r="V324" s="95">
        <f t="shared" si="7"/>
        <v>127.99863999999999</v>
      </c>
      <c r="W324" t="s">
        <v>9324</v>
      </c>
      <c r="X324" s="5" t="s">
        <v>9325</v>
      </c>
      <c r="Y324" s="2">
        <v>35605</v>
      </c>
      <c r="Z324" s="2">
        <v>45223</v>
      </c>
      <c r="AA324" s="377" t="s">
        <v>9605</v>
      </c>
      <c r="AB324" s="64">
        <v>45273</v>
      </c>
      <c r="AC324" s="80" t="s">
        <v>1339</v>
      </c>
      <c r="AF324" t="s">
        <v>3198</v>
      </c>
      <c r="AI324" s="61" t="s">
        <v>3470</v>
      </c>
      <c r="AJ324" s="3">
        <v>45224</v>
      </c>
      <c r="AK324" s="1"/>
      <c r="AM324" s="74">
        <v>45236</v>
      </c>
      <c r="AT324" s="1"/>
    </row>
    <row r="325" spans="1:46">
      <c r="A325" s="1">
        <v>323</v>
      </c>
      <c r="B325" t="s">
        <v>1414</v>
      </c>
      <c r="C325" s="2">
        <v>45223</v>
      </c>
      <c r="D325" s="2"/>
      <c r="E325" s="1" t="s">
        <v>8548</v>
      </c>
      <c r="F325" t="s">
        <v>8549</v>
      </c>
      <c r="G325" t="s">
        <v>2115</v>
      </c>
      <c r="H325" s="6" t="s">
        <v>230</v>
      </c>
      <c r="I325" s="1" t="s">
        <v>8550</v>
      </c>
      <c r="J325" s="8"/>
      <c r="K325" s="396" t="s">
        <v>8355</v>
      </c>
      <c r="L325" s="1" t="s">
        <v>8548</v>
      </c>
      <c r="M325" s="2">
        <v>45230</v>
      </c>
      <c r="N325" s="1" t="s">
        <v>35</v>
      </c>
      <c r="O325" s="14" t="s">
        <v>7934</v>
      </c>
      <c r="P325" s="14" t="s">
        <v>9316</v>
      </c>
      <c r="Q325" s="187">
        <v>78.510000000000005</v>
      </c>
      <c r="R325" s="1">
        <v>1</v>
      </c>
      <c r="S325" s="128">
        <v>0.21</v>
      </c>
      <c r="T325" s="128">
        <v>0.2</v>
      </c>
      <c r="V325" s="95">
        <f t="shared" si="7"/>
        <v>75.997680000000003</v>
      </c>
      <c r="W325" t="s">
        <v>9317</v>
      </c>
      <c r="X325" s="5" t="s">
        <v>9459</v>
      </c>
      <c r="Y325" s="2">
        <v>33587</v>
      </c>
      <c r="Z325" s="2">
        <v>45223</v>
      </c>
      <c r="AA325" s="377" t="s">
        <v>9687</v>
      </c>
      <c r="AB325" s="64">
        <v>45289</v>
      </c>
      <c r="AC325" s="80" t="s">
        <v>1339</v>
      </c>
      <c r="AE325" s="3"/>
      <c r="AF325" t="s">
        <v>3198</v>
      </c>
      <c r="AJ325" s="2"/>
      <c r="AM325" s="74"/>
      <c r="AT325" s="1"/>
    </row>
    <row r="326" spans="1:46">
      <c r="A326" s="1">
        <v>324</v>
      </c>
      <c r="B326" t="s">
        <v>1242</v>
      </c>
      <c r="C326" s="2">
        <v>45223</v>
      </c>
      <c r="D326" s="2"/>
      <c r="E326" s="279" t="s">
        <v>7208</v>
      </c>
      <c r="F326" t="s">
        <v>7172</v>
      </c>
      <c r="G326" t="s">
        <v>7173</v>
      </c>
      <c r="H326" s="6" t="s">
        <v>227</v>
      </c>
      <c r="I326" s="1" t="s">
        <v>34</v>
      </c>
      <c r="J326" s="8"/>
      <c r="K326" s="8" t="s">
        <v>5905</v>
      </c>
      <c r="L326" s="31" t="s">
        <v>1250</v>
      </c>
      <c r="M326" s="2">
        <v>45230</v>
      </c>
      <c r="N326" s="1" t="s">
        <v>35</v>
      </c>
      <c r="O326" s="14" t="s">
        <v>7934</v>
      </c>
      <c r="P326" s="14" t="s">
        <v>9318</v>
      </c>
      <c r="Q326" s="187">
        <v>78.510000000000005</v>
      </c>
      <c r="R326" s="1">
        <v>1</v>
      </c>
      <c r="S326" s="90">
        <v>0.21</v>
      </c>
      <c r="T326" s="90">
        <v>0.2</v>
      </c>
      <c r="V326" s="95">
        <f t="shared" si="7"/>
        <v>75.997680000000003</v>
      </c>
      <c r="W326" t="s">
        <v>7211</v>
      </c>
      <c r="X326" s="5" t="s">
        <v>9319</v>
      </c>
      <c r="Y326" s="2">
        <v>32663</v>
      </c>
      <c r="Z326" s="2">
        <v>45223</v>
      </c>
      <c r="AA326" s="377" t="s">
        <v>9604</v>
      </c>
      <c r="AB326" s="64">
        <v>45272</v>
      </c>
      <c r="AC326" s="80" t="s">
        <v>1339</v>
      </c>
      <c r="AF326" t="s">
        <v>3198</v>
      </c>
      <c r="AJ326" s="3"/>
      <c r="AM326" s="74"/>
      <c r="AT326" s="1"/>
    </row>
    <row r="327" spans="1:46">
      <c r="A327" s="1">
        <v>325</v>
      </c>
      <c r="B327" t="s">
        <v>143</v>
      </c>
      <c r="C327" s="2">
        <v>45224</v>
      </c>
      <c r="D327" s="2"/>
      <c r="E327" t="s">
        <v>9345</v>
      </c>
      <c r="F327" t="s">
        <v>9326</v>
      </c>
      <c r="G327" t="s">
        <v>9327</v>
      </c>
      <c r="H327" s="6" t="s">
        <v>219</v>
      </c>
      <c r="I327" s="1" t="s">
        <v>38</v>
      </c>
      <c r="J327" s="8">
        <v>642367594</v>
      </c>
      <c r="K327" s="8"/>
      <c r="L327" t="s">
        <v>9345</v>
      </c>
      <c r="M327" s="2">
        <v>45230</v>
      </c>
      <c r="N327" s="1" t="s">
        <v>35</v>
      </c>
      <c r="O327" s="14" t="s">
        <v>7925</v>
      </c>
      <c r="P327" s="14" t="s">
        <v>9328</v>
      </c>
      <c r="Q327" s="187">
        <v>132.22999999999999</v>
      </c>
      <c r="R327" s="1">
        <v>1</v>
      </c>
      <c r="S327" s="90">
        <v>0.21</v>
      </c>
      <c r="T327" s="90">
        <v>0.2</v>
      </c>
      <c r="U327" s="363"/>
      <c r="V327" s="95">
        <f t="shared" si="7"/>
        <v>127.99863999999999</v>
      </c>
      <c r="W327" t="s">
        <v>9345</v>
      </c>
      <c r="X327" s="5" t="s">
        <v>9350</v>
      </c>
      <c r="Y327" s="2">
        <v>30723</v>
      </c>
      <c r="Z327" s="2">
        <v>45224</v>
      </c>
      <c r="AA327" s="377" t="s">
        <v>9804</v>
      </c>
      <c r="AB327" s="2">
        <v>45310</v>
      </c>
      <c r="AC327" s="80" t="s">
        <v>1339</v>
      </c>
      <c r="AF327" t="s">
        <v>3198</v>
      </c>
      <c r="AI327" t="s">
        <v>3108</v>
      </c>
      <c r="AJ327" s="3">
        <v>45236</v>
      </c>
      <c r="AM327" s="74">
        <v>45238</v>
      </c>
      <c r="AT327" s="1"/>
    </row>
    <row r="328" spans="1:46">
      <c r="A328" s="1">
        <v>326</v>
      </c>
      <c r="B328" t="s">
        <v>143</v>
      </c>
      <c r="C328" s="2">
        <v>45225</v>
      </c>
      <c r="D328" s="2"/>
      <c r="E328" s="8" t="s">
        <v>9330</v>
      </c>
      <c r="F328" t="s">
        <v>9333</v>
      </c>
      <c r="G328" t="s">
        <v>9331</v>
      </c>
      <c r="H328" s="6" t="s">
        <v>220</v>
      </c>
      <c r="I328" s="1" t="s">
        <v>39</v>
      </c>
      <c r="J328" s="8">
        <v>641154086</v>
      </c>
      <c r="K328" s="8"/>
      <c r="L328" s="8" t="s">
        <v>9330</v>
      </c>
      <c r="M328" s="2">
        <v>45230</v>
      </c>
      <c r="N328" s="1" t="s">
        <v>35</v>
      </c>
      <c r="O328" s="14" t="s">
        <v>7925</v>
      </c>
      <c r="P328" s="14" t="s">
        <v>9332</v>
      </c>
      <c r="Q328" s="187">
        <v>132.22999999999999</v>
      </c>
      <c r="R328" s="1">
        <v>1</v>
      </c>
      <c r="S328" s="90">
        <v>0.21</v>
      </c>
      <c r="T328" s="90">
        <v>0.2</v>
      </c>
      <c r="U328" s="363"/>
      <c r="V328" s="95">
        <f t="shared" si="7"/>
        <v>127.99863999999999</v>
      </c>
      <c r="W328" s="8" t="s">
        <v>9330</v>
      </c>
      <c r="X328" s="5" t="s">
        <v>9351</v>
      </c>
      <c r="Y328" s="2">
        <v>35761</v>
      </c>
      <c r="Z328" s="2">
        <v>45225</v>
      </c>
      <c r="AA328" s="377" t="s">
        <v>9804</v>
      </c>
      <c r="AB328" s="2">
        <v>45613</v>
      </c>
      <c r="AC328" s="80" t="s">
        <v>1339</v>
      </c>
      <c r="AF328" t="s">
        <v>3198</v>
      </c>
      <c r="AI328" t="s">
        <v>3108</v>
      </c>
      <c r="AJ328" s="3">
        <v>45236</v>
      </c>
      <c r="AM328" s="74">
        <v>45238</v>
      </c>
      <c r="AT328" s="1"/>
    </row>
    <row r="329" spans="1:46">
      <c r="A329" s="1">
        <v>327</v>
      </c>
      <c r="B329" t="s">
        <v>33</v>
      </c>
      <c r="C329" s="2">
        <v>45225</v>
      </c>
      <c r="D329" s="2"/>
      <c r="E329" s="1" t="s">
        <v>4537</v>
      </c>
      <c r="F329" t="s">
        <v>4540</v>
      </c>
      <c r="G329" s="61" t="s">
        <v>6316</v>
      </c>
      <c r="H329" s="6" t="s">
        <v>220</v>
      </c>
      <c r="I329" s="1" t="s">
        <v>39</v>
      </c>
      <c r="J329" s="8"/>
      <c r="K329" s="114" t="s">
        <v>11744</v>
      </c>
      <c r="L329" t="s">
        <v>237</v>
      </c>
      <c r="M329" s="2">
        <v>45230</v>
      </c>
      <c r="N329" s="1" t="s">
        <v>35</v>
      </c>
      <c r="O329" s="61" t="s">
        <v>7925</v>
      </c>
      <c r="P329" s="14" t="s">
        <v>4238</v>
      </c>
      <c r="Q329" s="187">
        <v>132.22999999999999</v>
      </c>
      <c r="R329" s="1">
        <v>1</v>
      </c>
      <c r="S329" s="128">
        <v>0.21</v>
      </c>
      <c r="T329" s="128">
        <v>0.2</v>
      </c>
      <c r="V329" s="95">
        <f t="shared" si="7"/>
        <v>127.99863999999999</v>
      </c>
      <c r="W329" t="s">
        <v>9352</v>
      </c>
      <c r="X329" s="5" t="s">
        <v>9353</v>
      </c>
      <c r="Y329" s="2">
        <v>31411</v>
      </c>
      <c r="Z329" s="2">
        <v>45225</v>
      </c>
      <c r="AA329" s="377" t="s">
        <v>9805</v>
      </c>
      <c r="AB329" s="2">
        <v>45310</v>
      </c>
      <c r="AC329" s="80" t="s">
        <v>1339</v>
      </c>
      <c r="AF329" t="s">
        <v>3198</v>
      </c>
      <c r="AI329" t="s">
        <v>3108</v>
      </c>
      <c r="AJ329" s="2">
        <v>45236</v>
      </c>
      <c r="AM329" s="74">
        <v>45238</v>
      </c>
      <c r="AT329" s="1"/>
    </row>
    <row r="330" spans="1:46">
      <c r="A330" s="1">
        <v>328</v>
      </c>
      <c r="B330" t="s">
        <v>3984</v>
      </c>
      <c r="C330" s="2">
        <v>45226</v>
      </c>
      <c r="D330" s="2"/>
      <c r="E330" s="8" t="s">
        <v>9334</v>
      </c>
      <c r="F330" t="s">
        <v>9335</v>
      </c>
      <c r="G330" t="s">
        <v>9336</v>
      </c>
      <c r="H330" s="6" t="s">
        <v>9337</v>
      </c>
      <c r="I330" s="1" t="s">
        <v>7218</v>
      </c>
      <c r="J330" s="8"/>
      <c r="K330" s="8"/>
      <c r="L330" s="8" t="s">
        <v>9334</v>
      </c>
      <c r="M330" s="2">
        <v>45230</v>
      </c>
      <c r="N330" s="1" t="s">
        <v>35</v>
      </c>
      <c r="O330" s="375" t="s">
        <v>7934</v>
      </c>
      <c r="P330" s="14" t="s">
        <v>9338</v>
      </c>
      <c r="Q330" s="187">
        <v>0</v>
      </c>
      <c r="R330" s="1">
        <v>0</v>
      </c>
      <c r="S330" s="90">
        <v>0</v>
      </c>
      <c r="T330" s="90">
        <v>0</v>
      </c>
      <c r="U330" s="363"/>
      <c r="V330" s="95">
        <f t="shared" si="7"/>
        <v>0</v>
      </c>
      <c r="W330" s="8" t="s">
        <v>9334</v>
      </c>
      <c r="X330" s="5" t="s">
        <v>9354</v>
      </c>
      <c r="Y330" s="2">
        <v>37876</v>
      </c>
      <c r="Z330" s="2">
        <v>45226</v>
      </c>
      <c r="AA330" s="377" t="s">
        <v>10200</v>
      </c>
      <c r="AB330" s="2">
        <v>45390</v>
      </c>
      <c r="AC330" s="80" t="s">
        <v>1339</v>
      </c>
      <c r="AE330" s="162">
        <v>45328</v>
      </c>
      <c r="AF330" t="s">
        <v>3198</v>
      </c>
      <c r="AI330" t="s">
        <v>3108</v>
      </c>
      <c r="AJ330" s="3">
        <v>45236</v>
      </c>
      <c r="AM330" s="74">
        <v>45237</v>
      </c>
      <c r="AT330" s="1"/>
    </row>
    <row r="331" spans="1:46">
      <c r="A331" s="1">
        <v>329</v>
      </c>
      <c r="B331" t="s">
        <v>7036</v>
      </c>
      <c r="C331" s="2">
        <v>45226</v>
      </c>
      <c r="D331" s="2"/>
      <c r="E331" s="1" t="s">
        <v>6375</v>
      </c>
      <c r="F331" t="s">
        <v>6376</v>
      </c>
      <c r="G331" s="61" t="s">
        <v>6377</v>
      </c>
      <c r="H331" s="6" t="s">
        <v>294</v>
      </c>
      <c r="I331" s="1" t="s">
        <v>103</v>
      </c>
      <c r="J331" s="8">
        <v>660744167</v>
      </c>
      <c r="K331" s="8" t="s">
        <v>6332</v>
      </c>
      <c r="L331" s="1" t="s">
        <v>6375</v>
      </c>
      <c r="M331" s="2">
        <v>45230</v>
      </c>
      <c r="N331" s="1" t="s">
        <v>35</v>
      </c>
      <c r="O331" s="61" t="s">
        <v>7926</v>
      </c>
      <c r="P331" s="14" t="s">
        <v>9340</v>
      </c>
      <c r="Q331" s="187">
        <v>132.22999999999999</v>
      </c>
      <c r="R331" s="1">
        <v>1</v>
      </c>
      <c r="S331" s="90">
        <v>0.21</v>
      </c>
      <c r="T331" s="90">
        <v>0.2</v>
      </c>
      <c r="U331" s="363"/>
      <c r="V331" s="95">
        <f t="shared" si="7"/>
        <v>127.99863999999999</v>
      </c>
      <c r="W331" t="s">
        <v>9348</v>
      </c>
      <c r="X331" s="5" t="s">
        <v>9349</v>
      </c>
      <c r="Y331" s="2">
        <v>33679</v>
      </c>
      <c r="Z331" s="2">
        <v>45226</v>
      </c>
      <c r="AA331" s="377" t="s">
        <v>9604</v>
      </c>
      <c r="AB331" s="64">
        <v>45273</v>
      </c>
      <c r="AC331" s="80" t="s">
        <v>1339</v>
      </c>
      <c r="AF331" t="s">
        <v>3198</v>
      </c>
      <c r="AI331" s="61" t="s">
        <v>9342</v>
      </c>
      <c r="AJ331" s="2">
        <v>45236</v>
      </c>
      <c r="AM331" s="3">
        <v>45243</v>
      </c>
    </row>
    <row r="332" spans="1:46">
      <c r="A332" s="1">
        <v>330</v>
      </c>
      <c r="B332" t="s">
        <v>4321</v>
      </c>
      <c r="C332" s="2">
        <v>45237</v>
      </c>
      <c r="D332" s="2"/>
      <c r="E332" s="1" t="s">
        <v>7226</v>
      </c>
      <c r="F332" s="61" t="s">
        <v>7162</v>
      </c>
      <c r="G332" s="61" t="s">
        <v>7163</v>
      </c>
      <c r="H332" s="6" t="s">
        <v>239</v>
      </c>
      <c r="I332" s="1" t="s">
        <v>86</v>
      </c>
      <c r="J332" s="8"/>
      <c r="K332" s="8" t="s">
        <v>5991</v>
      </c>
      <c r="L332" t="s">
        <v>7161</v>
      </c>
      <c r="M332" s="2">
        <v>45260</v>
      </c>
      <c r="N332" s="1" t="s">
        <v>35</v>
      </c>
      <c r="O332" s="61" t="s">
        <v>7925</v>
      </c>
      <c r="P332" s="14" t="s">
        <v>9355</v>
      </c>
      <c r="Q332" s="92">
        <v>41.32</v>
      </c>
      <c r="R332" s="1">
        <v>1</v>
      </c>
      <c r="S332" s="128">
        <v>0.21</v>
      </c>
      <c r="T332" s="128">
        <v>0</v>
      </c>
      <c r="U332" s="1"/>
      <c r="V332" s="95">
        <f t="shared" si="7"/>
        <v>49.997199999999999</v>
      </c>
      <c r="W332" t="s">
        <v>9356</v>
      </c>
      <c r="X332" s="5"/>
      <c r="Y332" s="3"/>
      <c r="Z332" s="2"/>
      <c r="AA332" s="11"/>
      <c r="AB332" s="2"/>
      <c r="AC332" s="133"/>
      <c r="AF332" t="s">
        <v>3198</v>
      </c>
      <c r="AI332" t="s">
        <v>3108</v>
      </c>
      <c r="AJ332" s="3">
        <v>45196</v>
      </c>
      <c r="AM332" s="3">
        <v>45197</v>
      </c>
    </row>
    <row r="333" spans="1:46">
      <c r="A333" s="1">
        <v>331</v>
      </c>
      <c r="B333" t="s">
        <v>9357</v>
      </c>
      <c r="C333" s="2">
        <v>45237</v>
      </c>
      <c r="D333" s="2"/>
      <c r="E333" s="1" t="s">
        <v>5165</v>
      </c>
      <c r="F333" t="s">
        <v>9358</v>
      </c>
      <c r="G333" s="61" t="s">
        <v>9359</v>
      </c>
      <c r="H333" s="6" t="s">
        <v>221</v>
      </c>
      <c r="I333" s="1" t="s">
        <v>34</v>
      </c>
      <c r="J333" s="8"/>
      <c r="K333" s="301" t="s">
        <v>9360</v>
      </c>
      <c r="L333" s="1" t="s">
        <v>5165</v>
      </c>
      <c r="M333" s="2">
        <v>45260</v>
      </c>
      <c r="N333" s="1" t="s">
        <v>35</v>
      </c>
      <c r="O333" s="61" t="s">
        <v>7926</v>
      </c>
      <c r="P333" s="14" t="s">
        <v>9361</v>
      </c>
      <c r="Q333" s="187">
        <v>132.22999999999999</v>
      </c>
      <c r="R333" s="1">
        <v>1</v>
      </c>
      <c r="S333" s="90">
        <v>0.21</v>
      </c>
      <c r="T333" s="90">
        <v>0.2</v>
      </c>
      <c r="U333" s="363"/>
      <c r="V333" s="95">
        <f t="shared" si="7"/>
        <v>127.99863999999999</v>
      </c>
      <c r="W333" t="s">
        <v>9362</v>
      </c>
      <c r="X333" s="5" t="s">
        <v>9422</v>
      </c>
      <c r="Y333" s="2">
        <v>30454</v>
      </c>
      <c r="Z333" s="2">
        <v>45237</v>
      </c>
      <c r="AA333" s="377" t="s">
        <v>9981</v>
      </c>
      <c r="AB333" s="2">
        <v>45349</v>
      </c>
      <c r="AC333" s="80" t="s">
        <v>1339</v>
      </c>
      <c r="AE333" s="162">
        <v>45330</v>
      </c>
      <c r="AF333" t="s">
        <v>3198</v>
      </c>
      <c r="AI333" s="287" t="s">
        <v>9363</v>
      </c>
      <c r="AJ333" s="2">
        <v>45246</v>
      </c>
      <c r="AM333" s="3"/>
    </row>
    <row r="334" spans="1:46">
      <c r="A334" s="1">
        <v>332</v>
      </c>
      <c r="B334" t="s">
        <v>6684</v>
      </c>
      <c r="C334" s="2">
        <v>45238</v>
      </c>
      <c r="D334" s="2"/>
      <c r="E334" s="1" t="s">
        <v>7436</v>
      </c>
      <c r="F334" t="s">
        <v>7988</v>
      </c>
      <c r="G334" s="61" t="s">
        <v>7989</v>
      </c>
      <c r="H334" s="6" t="s">
        <v>7966</v>
      </c>
      <c r="I334" s="1" t="s">
        <v>7965</v>
      </c>
      <c r="J334" s="8"/>
      <c r="K334" s="8"/>
      <c r="L334" s="1" t="s">
        <v>7436</v>
      </c>
      <c r="M334" s="2">
        <v>45260</v>
      </c>
      <c r="N334" s="1" t="s">
        <v>35</v>
      </c>
      <c r="O334" s="61" t="s">
        <v>7934</v>
      </c>
      <c r="P334" s="14" t="s">
        <v>9364</v>
      </c>
      <c r="Q334" s="187">
        <v>78.510000000000005</v>
      </c>
      <c r="R334" s="1">
        <v>1</v>
      </c>
      <c r="S334" s="90">
        <v>0.21</v>
      </c>
      <c r="T334" s="90">
        <v>0.2</v>
      </c>
      <c r="U334" s="363"/>
      <c r="V334" s="95">
        <f t="shared" si="7"/>
        <v>75.997680000000003</v>
      </c>
      <c r="W334" s="1" t="s">
        <v>7436</v>
      </c>
      <c r="X334" s="5" t="s">
        <v>9365</v>
      </c>
      <c r="Y334" s="2">
        <v>31352</v>
      </c>
      <c r="Z334" s="2">
        <v>45238</v>
      </c>
      <c r="AA334" s="377" t="s">
        <v>9615</v>
      </c>
      <c r="AB334" s="64">
        <v>45274</v>
      </c>
      <c r="AC334" s="80" t="s">
        <v>1339</v>
      </c>
      <c r="AF334" t="s">
        <v>3198</v>
      </c>
      <c r="AI334" s="287"/>
      <c r="AJ334" s="2"/>
      <c r="AM334" s="3"/>
    </row>
    <row r="335" spans="1:46">
      <c r="A335" s="1">
        <v>333</v>
      </c>
      <c r="B335" t="s">
        <v>37</v>
      </c>
      <c r="C335" s="2">
        <v>45238</v>
      </c>
      <c r="D335" s="2"/>
      <c r="E335" s="1" t="s">
        <v>1836</v>
      </c>
      <c r="F335" t="s">
        <v>2949</v>
      </c>
      <c r="G335" t="s">
        <v>6244</v>
      </c>
      <c r="H335" s="6" t="s">
        <v>245</v>
      </c>
      <c r="I335" s="1" t="s">
        <v>54</v>
      </c>
      <c r="J335" s="1">
        <v>643738430</v>
      </c>
      <c r="K335" s="1"/>
      <c r="L335" s="1" t="s">
        <v>1836</v>
      </c>
      <c r="M335" s="2">
        <v>45260</v>
      </c>
      <c r="N335" s="1" t="s">
        <v>35</v>
      </c>
      <c r="O335" s="14" t="s">
        <v>7934</v>
      </c>
      <c r="P335" s="14" t="s">
        <v>6245</v>
      </c>
      <c r="Q335" s="187">
        <v>78.510000000000005</v>
      </c>
      <c r="R335" s="1">
        <v>1</v>
      </c>
      <c r="S335" s="90">
        <v>0.21</v>
      </c>
      <c r="T335" s="90">
        <v>0</v>
      </c>
      <c r="U335" s="95"/>
      <c r="V335" s="95">
        <f t="shared" si="7"/>
        <v>94.997100000000003</v>
      </c>
      <c r="W335" s="1" t="s">
        <v>1836</v>
      </c>
      <c r="X335" s="5" t="s">
        <v>9368</v>
      </c>
      <c r="Y335" s="2">
        <v>32184</v>
      </c>
      <c r="Z335" s="2">
        <v>45238</v>
      </c>
      <c r="AA335" s="377" t="s">
        <v>9615</v>
      </c>
      <c r="AB335" s="64">
        <v>45274</v>
      </c>
      <c r="AC335" s="80" t="s">
        <v>1339</v>
      </c>
      <c r="AF335" t="s">
        <v>3198</v>
      </c>
      <c r="AI335" s="1"/>
    </row>
    <row r="336" spans="1:46">
      <c r="A336" s="1">
        <v>334</v>
      </c>
      <c r="B336" t="s">
        <v>6684</v>
      </c>
      <c r="C336" s="2">
        <v>45238</v>
      </c>
      <c r="D336" s="2"/>
      <c r="E336" t="s">
        <v>6685</v>
      </c>
      <c r="F336" t="s">
        <v>6686</v>
      </c>
      <c r="G336" t="s">
        <v>6687</v>
      </c>
      <c r="H336" s="6" t="s">
        <v>2579</v>
      </c>
      <c r="I336" t="s">
        <v>2580</v>
      </c>
      <c r="J336" s="8"/>
      <c r="K336" s="1" t="s">
        <v>7339</v>
      </c>
      <c r="L336" t="s">
        <v>6685</v>
      </c>
      <c r="M336" s="2">
        <v>45260</v>
      </c>
      <c r="N336" s="1" t="s">
        <v>35</v>
      </c>
      <c r="O336" s="61" t="s">
        <v>7928</v>
      </c>
      <c r="P336" s="14" t="s">
        <v>8300</v>
      </c>
      <c r="Q336" s="187">
        <v>132.22999999999999</v>
      </c>
      <c r="R336" s="1">
        <v>1</v>
      </c>
      <c r="S336" s="128">
        <v>0.21</v>
      </c>
      <c r="T336" s="128">
        <v>0.2</v>
      </c>
      <c r="V336" s="95">
        <f t="shared" si="7"/>
        <v>127.99863999999999</v>
      </c>
      <c r="W336" t="s">
        <v>8351</v>
      </c>
      <c r="X336" s="5" t="s">
        <v>9402</v>
      </c>
      <c r="Y336" s="3">
        <v>30167</v>
      </c>
      <c r="Z336" s="2">
        <v>45238</v>
      </c>
      <c r="AA336" s="287" t="s">
        <v>9845</v>
      </c>
      <c r="AB336" s="2">
        <v>45321</v>
      </c>
      <c r="AC336" s="80" t="s">
        <v>1339</v>
      </c>
      <c r="AF336" t="s">
        <v>3198</v>
      </c>
      <c r="AI336" t="s">
        <v>3108</v>
      </c>
      <c r="AJ336" s="3">
        <v>45244</v>
      </c>
      <c r="AM336" s="3">
        <v>45247</v>
      </c>
    </row>
    <row r="337" spans="1:46">
      <c r="A337" s="1">
        <v>335</v>
      </c>
      <c r="B337" t="s">
        <v>52</v>
      </c>
      <c r="C337" s="2">
        <v>45238</v>
      </c>
      <c r="D337" s="2"/>
      <c r="E337" s="1" t="s">
        <v>62</v>
      </c>
      <c r="F337" s="61" t="s">
        <v>63</v>
      </c>
      <c r="G337" s="61" t="s">
        <v>214</v>
      </c>
      <c r="H337" s="6" t="s">
        <v>219</v>
      </c>
      <c r="I337" s="1" t="s">
        <v>38</v>
      </c>
      <c r="J337" s="8">
        <v>607281764</v>
      </c>
      <c r="K337" s="44" t="s">
        <v>5906</v>
      </c>
      <c r="L337" t="s">
        <v>4432</v>
      </c>
      <c r="M337" s="2">
        <v>45260</v>
      </c>
      <c r="N337" t="s">
        <v>35</v>
      </c>
      <c r="O337" s="61" t="s">
        <v>7926</v>
      </c>
      <c r="P337" s="14" t="s">
        <v>8062</v>
      </c>
      <c r="Q337" s="92">
        <v>132.22999999999999</v>
      </c>
      <c r="R337" s="1">
        <v>1</v>
      </c>
      <c r="S337" s="128">
        <v>0.21</v>
      </c>
      <c r="T337" s="128">
        <v>0.2</v>
      </c>
      <c r="U337" s="1"/>
      <c r="V337" s="95">
        <f t="shared" si="7"/>
        <v>127.99863999999999</v>
      </c>
      <c r="W337" t="s">
        <v>8140</v>
      </c>
      <c r="X337" s="5" t="s">
        <v>9401</v>
      </c>
      <c r="Y337" s="2">
        <v>36160</v>
      </c>
      <c r="Z337" s="2">
        <v>45238</v>
      </c>
      <c r="AA337" s="377" t="s">
        <v>9695</v>
      </c>
      <c r="AB337" s="64">
        <v>45293</v>
      </c>
      <c r="AC337" s="80" t="s">
        <v>1339</v>
      </c>
      <c r="AF337" t="s">
        <v>3198</v>
      </c>
      <c r="AI337" s="61" t="s">
        <v>3470</v>
      </c>
      <c r="AJ337" s="2">
        <v>45244</v>
      </c>
      <c r="AM337" s="74">
        <v>45246</v>
      </c>
      <c r="AS337" s="96"/>
      <c r="AT337" s="1"/>
    </row>
    <row r="338" spans="1:46">
      <c r="A338" s="1">
        <v>336</v>
      </c>
      <c r="B338" s="61" t="s">
        <v>33</v>
      </c>
      <c r="C338" s="2">
        <v>45238</v>
      </c>
      <c r="D338" s="2"/>
      <c r="E338" s="1" t="s">
        <v>4245</v>
      </c>
      <c r="F338" t="s">
        <v>4246</v>
      </c>
      <c r="G338" s="61" t="s">
        <v>7517</v>
      </c>
      <c r="H338" s="6" t="s">
        <v>227</v>
      </c>
      <c r="I338" s="1" t="s">
        <v>4719</v>
      </c>
      <c r="J338" s="44"/>
      <c r="K338" s="114" t="s">
        <v>11744</v>
      </c>
      <c r="L338" t="s">
        <v>237</v>
      </c>
      <c r="M338" s="2">
        <v>45260</v>
      </c>
      <c r="N338" s="1" t="s">
        <v>35</v>
      </c>
      <c r="O338" s="61" t="s">
        <v>7934</v>
      </c>
      <c r="P338" s="14" t="s">
        <v>9366</v>
      </c>
      <c r="Q338" s="92">
        <v>78.510000000000005</v>
      </c>
      <c r="R338" s="1">
        <v>1</v>
      </c>
      <c r="S338" s="128">
        <v>0.21</v>
      </c>
      <c r="T338" s="128">
        <v>0.2</v>
      </c>
      <c r="U338" s="1"/>
      <c r="V338" s="95">
        <f t="shared" si="7"/>
        <v>75.997680000000003</v>
      </c>
      <c r="W338" t="s">
        <v>7590</v>
      </c>
      <c r="X338" s="5" t="s">
        <v>9367</v>
      </c>
      <c r="Y338" s="2">
        <v>35639</v>
      </c>
      <c r="Z338" s="2">
        <v>45238</v>
      </c>
      <c r="AA338" s="377" t="s">
        <v>9615</v>
      </c>
      <c r="AB338" s="64">
        <v>45274</v>
      </c>
      <c r="AC338" s="80" t="s">
        <v>1339</v>
      </c>
      <c r="AF338" t="s">
        <v>3198</v>
      </c>
      <c r="AJ338" s="2"/>
      <c r="AK338" s="2"/>
      <c r="AL338" s="3"/>
      <c r="AM338" s="74"/>
      <c r="AT338" s="1"/>
    </row>
    <row r="339" spans="1:46">
      <c r="A339" s="1">
        <v>337</v>
      </c>
      <c r="B339" t="s">
        <v>6684</v>
      </c>
      <c r="C339" s="2">
        <v>45239</v>
      </c>
      <c r="D339" s="2"/>
      <c r="E339" s="1" t="s">
        <v>7552</v>
      </c>
      <c r="F339" t="s">
        <v>9369</v>
      </c>
      <c r="G339" s="61" t="s">
        <v>9370</v>
      </c>
      <c r="H339" s="6" t="s">
        <v>4667</v>
      </c>
      <c r="I339" s="1" t="s">
        <v>4668</v>
      </c>
      <c r="J339" s="8">
        <v>624183600</v>
      </c>
      <c r="K339" s="8"/>
      <c r="L339" s="1" t="s">
        <v>7552</v>
      </c>
      <c r="M339" s="2">
        <v>45260</v>
      </c>
      <c r="N339" s="1" t="s">
        <v>35</v>
      </c>
      <c r="O339" s="61" t="s">
        <v>7934</v>
      </c>
      <c r="P339" s="14" t="s">
        <v>9371</v>
      </c>
      <c r="Q339" s="187">
        <v>78.510000000000005</v>
      </c>
      <c r="R339" s="1">
        <v>1</v>
      </c>
      <c r="S339" s="90">
        <v>0.21</v>
      </c>
      <c r="T339" s="90">
        <v>0.2</v>
      </c>
      <c r="U339" s="363"/>
      <c r="V339" s="95">
        <f t="shared" si="7"/>
        <v>75.997680000000003</v>
      </c>
      <c r="W339" s="1" t="s">
        <v>7552</v>
      </c>
      <c r="X339" s="5" t="s">
        <v>9372</v>
      </c>
      <c r="Y339" s="2">
        <v>34213</v>
      </c>
      <c r="Z339" s="2">
        <v>45239</v>
      </c>
      <c r="AA339" s="377" t="s">
        <v>9610</v>
      </c>
      <c r="AB339" s="64">
        <v>45273</v>
      </c>
      <c r="AC339" s="80" t="s">
        <v>1339</v>
      </c>
      <c r="AF339" t="s">
        <v>3198</v>
      </c>
      <c r="AJ339" s="2"/>
      <c r="AM339" s="3"/>
    </row>
    <row r="340" spans="1:46">
      <c r="A340" s="1">
        <v>338</v>
      </c>
      <c r="B340" t="s">
        <v>3526</v>
      </c>
      <c r="C340" s="2">
        <v>45239</v>
      </c>
      <c r="D340" s="2"/>
      <c r="E340" s="1" t="s">
        <v>8844</v>
      </c>
      <c r="F340" t="s">
        <v>8845</v>
      </c>
      <c r="G340" t="s">
        <v>8846</v>
      </c>
      <c r="H340" s="6" t="s">
        <v>8847</v>
      </c>
      <c r="I340" s="1" t="s">
        <v>4081</v>
      </c>
      <c r="J340" s="30">
        <v>632134816</v>
      </c>
      <c r="K340" s="30"/>
      <c r="L340" s="1" t="s">
        <v>8844</v>
      </c>
      <c r="M340" s="2">
        <v>45260</v>
      </c>
      <c r="N340" s="1" t="s">
        <v>35</v>
      </c>
      <c r="O340" s="61" t="s">
        <v>7968</v>
      </c>
      <c r="P340" s="14" t="s">
        <v>9373</v>
      </c>
      <c r="Q340" s="92">
        <v>132.22999999999999</v>
      </c>
      <c r="R340" s="1">
        <v>1</v>
      </c>
      <c r="S340" s="128">
        <v>0.21</v>
      </c>
      <c r="T340" s="128">
        <v>0.2</v>
      </c>
      <c r="U340" s="95"/>
      <c r="V340" s="95">
        <f t="shared" si="7"/>
        <v>127.99863999999999</v>
      </c>
      <c r="W340" s="3" t="s">
        <v>6479</v>
      </c>
      <c r="X340" s="5" t="s">
        <v>9427</v>
      </c>
      <c r="Y340" s="3">
        <v>30915</v>
      </c>
      <c r="Z340" s="2">
        <v>45239</v>
      </c>
      <c r="AA340" s="377" t="s">
        <v>9605</v>
      </c>
      <c r="AB340" s="2">
        <v>45278</v>
      </c>
      <c r="AC340" s="80" t="s">
        <v>1339</v>
      </c>
      <c r="AD340" s="61"/>
      <c r="AE340" s="61"/>
      <c r="AF340" t="s">
        <v>3198</v>
      </c>
      <c r="AI340" t="s">
        <v>8617</v>
      </c>
      <c r="AJ340" s="2">
        <v>45246</v>
      </c>
      <c r="AM340" s="3">
        <v>45247</v>
      </c>
      <c r="AT340" s="1"/>
    </row>
    <row r="341" spans="1:46">
      <c r="A341" s="1">
        <v>339</v>
      </c>
      <c r="B341" t="s">
        <v>3526</v>
      </c>
      <c r="C341" s="2">
        <v>45239</v>
      </c>
      <c r="D341" s="2"/>
      <c r="E341" s="1" t="s">
        <v>8844</v>
      </c>
      <c r="F341" t="s">
        <v>8845</v>
      </c>
      <c r="G341" t="s">
        <v>8846</v>
      </c>
      <c r="H341" s="6" t="s">
        <v>8847</v>
      </c>
      <c r="I341" s="1" t="s">
        <v>4081</v>
      </c>
      <c r="J341" s="30">
        <v>632134816</v>
      </c>
      <c r="K341" s="30"/>
      <c r="L341" s="1" t="s">
        <v>8844</v>
      </c>
      <c r="M341" s="2">
        <v>45260</v>
      </c>
      <c r="N341" s="1" t="s">
        <v>35</v>
      </c>
      <c r="O341" s="61" t="s">
        <v>7968</v>
      </c>
      <c r="P341" s="14" t="s">
        <v>9374</v>
      </c>
      <c r="Q341" s="92">
        <v>132.22999999999999</v>
      </c>
      <c r="R341" s="1">
        <v>1</v>
      </c>
      <c r="S341" s="128">
        <v>0.21</v>
      </c>
      <c r="T341" s="128">
        <v>0.2</v>
      </c>
      <c r="U341" s="95"/>
      <c r="V341" s="95">
        <f t="shared" si="7"/>
        <v>127.99863999999999</v>
      </c>
      <c r="W341" t="s">
        <v>9425</v>
      </c>
      <c r="X341" s="5" t="s">
        <v>9426</v>
      </c>
      <c r="Y341" s="3">
        <v>40150</v>
      </c>
      <c r="Z341" s="2">
        <v>45239</v>
      </c>
      <c r="AA341" s="377" t="s">
        <v>9605</v>
      </c>
      <c r="AB341" s="2">
        <v>45278</v>
      </c>
      <c r="AC341" s="80" t="s">
        <v>1339</v>
      </c>
      <c r="AD341" s="61"/>
      <c r="AE341" s="61"/>
      <c r="AF341" t="s">
        <v>3198</v>
      </c>
      <c r="AI341" t="s">
        <v>8617</v>
      </c>
      <c r="AJ341" s="2">
        <v>45246</v>
      </c>
      <c r="AM341" s="3">
        <v>45247</v>
      </c>
      <c r="AT341" s="1"/>
    </row>
    <row r="342" spans="1:46">
      <c r="A342" s="1">
        <v>340</v>
      </c>
      <c r="B342" t="s">
        <v>4321</v>
      </c>
      <c r="C342" s="2">
        <v>45239</v>
      </c>
      <c r="D342" s="2"/>
      <c r="E342" s="1" t="s">
        <v>4198</v>
      </c>
      <c r="F342" s="61" t="s">
        <v>4200</v>
      </c>
      <c r="G342" s="61" t="s">
        <v>4199</v>
      </c>
      <c r="H342" s="6" t="s">
        <v>239</v>
      </c>
      <c r="I342" s="1" t="s">
        <v>86</v>
      </c>
      <c r="J342" s="8">
        <v>693745341</v>
      </c>
      <c r="K342" s="8" t="s">
        <v>5991</v>
      </c>
      <c r="L342" t="s">
        <v>4198</v>
      </c>
      <c r="M342" s="2">
        <v>45260</v>
      </c>
      <c r="N342" s="1" t="s">
        <v>35</v>
      </c>
      <c r="O342" s="61" t="s">
        <v>7926</v>
      </c>
      <c r="P342" s="14" t="s">
        <v>9375</v>
      </c>
      <c r="Q342" s="92">
        <v>132.22999999999999</v>
      </c>
      <c r="R342" s="1">
        <v>1</v>
      </c>
      <c r="S342" s="90">
        <v>0.21</v>
      </c>
      <c r="T342" s="90">
        <v>0.2</v>
      </c>
      <c r="U342" s="72"/>
      <c r="V342" s="95">
        <f t="shared" ref="V342:V365" si="8">SUM(Q342-(Q342*T342))*S342+(Q342-(Q342*T342))</f>
        <v>127.99863999999999</v>
      </c>
      <c r="W342" t="s">
        <v>9416</v>
      </c>
      <c r="X342" s="5" t="s">
        <v>9417</v>
      </c>
      <c r="Y342" s="2">
        <v>28382</v>
      </c>
      <c r="Z342" s="2">
        <v>45239</v>
      </c>
      <c r="AA342" s="377" t="s">
        <v>9723</v>
      </c>
      <c r="AB342" s="3">
        <v>45299</v>
      </c>
      <c r="AC342" s="80" t="s">
        <v>1339</v>
      </c>
      <c r="AE342" s="3"/>
      <c r="AF342" t="s">
        <v>3198</v>
      </c>
      <c r="AI342" s="61" t="s">
        <v>3470</v>
      </c>
      <c r="AJ342" s="2">
        <v>45246</v>
      </c>
      <c r="AK342" s="1"/>
      <c r="AM342" s="74">
        <v>45250</v>
      </c>
      <c r="AT342" s="1"/>
    </row>
    <row r="343" spans="1:46">
      <c r="A343" s="1">
        <v>341</v>
      </c>
      <c r="B343" t="s">
        <v>3526</v>
      </c>
      <c r="C343" s="2">
        <v>45239</v>
      </c>
      <c r="D343" s="2"/>
      <c r="E343" s="1" t="s">
        <v>9376</v>
      </c>
      <c r="F343" s="61" t="s">
        <v>9377</v>
      </c>
      <c r="G343" s="61" t="s">
        <v>9378</v>
      </c>
      <c r="H343" s="6" t="s">
        <v>1062</v>
      </c>
      <c r="I343" s="1" t="s">
        <v>4749</v>
      </c>
      <c r="J343" s="8"/>
      <c r="K343" s="1" t="s">
        <v>7759</v>
      </c>
      <c r="L343" s="1" t="s">
        <v>9376</v>
      </c>
      <c r="M343" s="2">
        <v>45260</v>
      </c>
      <c r="N343" s="1" t="s">
        <v>35</v>
      </c>
      <c r="O343" s="61" t="s">
        <v>7925</v>
      </c>
      <c r="P343" s="14" t="s">
        <v>9379</v>
      </c>
      <c r="Q343" s="92">
        <v>132.22999999999999</v>
      </c>
      <c r="R343" s="1">
        <v>1</v>
      </c>
      <c r="S343" s="90">
        <v>0.21</v>
      </c>
      <c r="T343" s="90">
        <v>0.2</v>
      </c>
      <c r="U343" s="72"/>
      <c r="V343" s="95">
        <f t="shared" si="8"/>
        <v>127.99863999999999</v>
      </c>
      <c r="W343" t="s">
        <v>9418</v>
      </c>
      <c r="X343" s="5" t="s">
        <v>9419</v>
      </c>
      <c r="Y343" s="2">
        <v>37768</v>
      </c>
      <c r="Z343" s="2">
        <v>45239</v>
      </c>
      <c r="AA343" s="377" t="s">
        <v>9843</v>
      </c>
      <c r="AB343" s="2">
        <v>45320</v>
      </c>
      <c r="AC343" s="80" t="s">
        <v>1339</v>
      </c>
      <c r="AE343" s="3"/>
      <c r="AF343" t="s">
        <v>3198</v>
      </c>
      <c r="AI343" t="s">
        <v>3108</v>
      </c>
      <c r="AJ343" s="2">
        <v>45246</v>
      </c>
      <c r="AK343" s="1"/>
      <c r="AM343" s="74">
        <v>45253</v>
      </c>
      <c r="AT343" s="1"/>
    </row>
    <row r="344" spans="1:46">
      <c r="A344" s="1">
        <v>342</v>
      </c>
      <c r="B344" t="s">
        <v>423</v>
      </c>
      <c r="C344" s="2">
        <v>45239</v>
      </c>
      <c r="D344" s="2"/>
      <c r="E344" t="s">
        <v>3217</v>
      </c>
      <c r="F344" t="s">
        <v>91</v>
      </c>
      <c r="G344" t="s">
        <v>3218</v>
      </c>
      <c r="H344" s="6" t="s">
        <v>219</v>
      </c>
      <c r="I344" s="1" t="s">
        <v>38</v>
      </c>
      <c r="J344" s="8">
        <v>629562761</v>
      </c>
      <c r="K344" s="8" t="s">
        <v>6182</v>
      </c>
      <c r="L344" t="s">
        <v>3217</v>
      </c>
      <c r="M344" s="2">
        <v>45260</v>
      </c>
      <c r="N344" s="1" t="s">
        <v>35</v>
      </c>
      <c r="O344" s="61" t="s">
        <v>7925</v>
      </c>
      <c r="P344" s="14" t="s">
        <v>9380</v>
      </c>
      <c r="Q344" s="92">
        <v>132.22999999999999</v>
      </c>
      <c r="R344" s="1">
        <v>1</v>
      </c>
      <c r="S344" s="90">
        <v>0.21</v>
      </c>
      <c r="T344" s="90">
        <v>0.2</v>
      </c>
      <c r="V344" s="95">
        <f t="shared" si="8"/>
        <v>127.99863999999999</v>
      </c>
      <c r="W344" t="s">
        <v>9420</v>
      </c>
      <c r="X344" s="5" t="s">
        <v>9421</v>
      </c>
      <c r="Y344" s="2">
        <v>33714</v>
      </c>
      <c r="Z344" s="2">
        <v>45239</v>
      </c>
      <c r="AA344" s="398" t="s">
        <v>9935</v>
      </c>
      <c r="AB344" s="2">
        <v>45335</v>
      </c>
      <c r="AC344" s="80" t="s">
        <v>1339</v>
      </c>
      <c r="AD344" s="61" t="s">
        <v>9381</v>
      </c>
      <c r="AE344" s="162">
        <v>45330</v>
      </c>
      <c r="AF344" t="s">
        <v>3198</v>
      </c>
      <c r="AI344" t="s">
        <v>3108</v>
      </c>
      <c r="AJ344" s="2">
        <v>45246</v>
      </c>
      <c r="AL344" s="3"/>
      <c r="AM344" s="74">
        <v>45246</v>
      </c>
      <c r="AT344" s="1"/>
    </row>
    <row r="345" spans="1:46">
      <c r="A345" s="1">
        <v>343</v>
      </c>
      <c r="B345" t="s">
        <v>143</v>
      </c>
      <c r="C345" s="2">
        <v>45243</v>
      </c>
      <c r="D345" s="2"/>
      <c r="E345" t="s">
        <v>9431</v>
      </c>
      <c r="F345" t="s">
        <v>9382</v>
      </c>
      <c r="G345" t="s">
        <v>9383</v>
      </c>
      <c r="H345" s="6" t="s">
        <v>219</v>
      </c>
      <c r="I345" s="1" t="s">
        <v>4334</v>
      </c>
      <c r="J345" s="8">
        <v>612421723</v>
      </c>
      <c r="K345" s="8"/>
      <c r="L345" t="s">
        <v>9431</v>
      </c>
      <c r="M345" s="2">
        <v>45260</v>
      </c>
      <c r="N345" s="1" t="s">
        <v>35</v>
      </c>
      <c r="O345" s="14" t="s">
        <v>7925</v>
      </c>
      <c r="P345" s="14" t="s">
        <v>9384</v>
      </c>
      <c r="Q345" s="187">
        <v>132.22999999999999</v>
      </c>
      <c r="R345" s="1">
        <v>1</v>
      </c>
      <c r="S345" s="90">
        <v>0.21</v>
      </c>
      <c r="T345" s="90">
        <v>0.2</v>
      </c>
      <c r="U345" s="363"/>
      <c r="V345" s="95">
        <f t="shared" si="8"/>
        <v>127.99863999999999</v>
      </c>
      <c r="W345" t="s">
        <v>9431</v>
      </c>
      <c r="X345" s="5" t="s">
        <v>9432</v>
      </c>
      <c r="Y345" s="2">
        <v>31576</v>
      </c>
      <c r="Z345" s="2">
        <v>45243</v>
      </c>
      <c r="AA345" s="377" t="s">
        <v>9821</v>
      </c>
      <c r="AB345" s="2">
        <v>45316</v>
      </c>
      <c r="AC345" s="80" t="s">
        <v>1339</v>
      </c>
      <c r="AF345" t="s">
        <v>3198</v>
      </c>
      <c r="AI345" t="s">
        <v>3108</v>
      </c>
      <c r="AJ345" s="2">
        <v>45247</v>
      </c>
      <c r="AM345" s="74">
        <v>45247</v>
      </c>
      <c r="AT345" s="1"/>
    </row>
    <row r="346" spans="1:46">
      <c r="A346" s="1">
        <v>344</v>
      </c>
      <c r="B346" t="s">
        <v>1511</v>
      </c>
      <c r="C346" s="2">
        <v>45243</v>
      </c>
      <c r="D346" s="2"/>
      <c r="E346" s="1" t="s">
        <v>9433</v>
      </c>
      <c r="F346" t="s">
        <v>9385</v>
      </c>
      <c r="G346" t="s">
        <v>9386</v>
      </c>
      <c r="H346" s="6" t="s">
        <v>220</v>
      </c>
      <c r="I346" s="1" t="s">
        <v>39</v>
      </c>
      <c r="J346" s="8">
        <v>641363201</v>
      </c>
      <c r="K346" s="8"/>
      <c r="L346" s="1" t="s">
        <v>9433</v>
      </c>
      <c r="M346" s="2">
        <v>45260</v>
      </c>
      <c r="N346" s="1" t="s">
        <v>35</v>
      </c>
      <c r="O346" s="61" t="s">
        <v>7925</v>
      </c>
      <c r="P346" s="14" t="s">
        <v>9387</v>
      </c>
      <c r="Q346" s="187">
        <v>132.22999999999999</v>
      </c>
      <c r="R346" s="1">
        <v>1</v>
      </c>
      <c r="S346" s="90">
        <v>0.21</v>
      </c>
      <c r="T346" s="90">
        <v>0</v>
      </c>
      <c r="U346" s="363"/>
      <c r="V346" s="95">
        <f t="shared" si="8"/>
        <v>159.99829999999997</v>
      </c>
      <c r="W346" t="s">
        <v>9433</v>
      </c>
      <c r="X346" s="5" t="s">
        <v>9434</v>
      </c>
      <c r="Y346" s="2">
        <v>36284</v>
      </c>
      <c r="Z346" s="2">
        <v>45243</v>
      </c>
      <c r="AA346" s="377" t="s">
        <v>9820</v>
      </c>
      <c r="AB346" s="2">
        <v>45320</v>
      </c>
      <c r="AC346" s="80" t="s">
        <v>1339</v>
      </c>
      <c r="AF346" t="s">
        <v>3198</v>
      </c>
      <c r="AI346" t="s">
        <v>3108</v>
      </c>
      <c r="AJ346" s="2">
        <v>45247</v>
      </c>
      <c r="AL346" s="3"/>
      <c r="AM346" s="74">
        <v>45257</v>
      </c>
      <c r="AT346" s="1"/>
    </row>
    <row r="347" spans="1:46">
      <c r="A347" s="1">
        <v>345</v>
      </c>
      <c r="B347" t="s">
        <v>52</v>
      </c>
      <c r="C347" s="2">
        <v>45243</v>
      </c>
      <c r="D347" s="2"/>
      <c r="E347" s="1" t="s">
        <v>9388</v>
      </c>
      <c r="F347" s="61" t="s">
        <v>9389</v>
      </c>
      <c r="G347" s="61" t="s">
        <v>9390</v>
      </c>
      <c r="H347" s="6" t="s">
        <v>221</v>
      </c>
      <c r="I347" s="1" t="s">
        <v>34</v>
      </c>
      <c r="J347" s="8"/>
      <c r="K347" s="44" t="s">
        <v>5906</v>
      </c>
      <c r="L347" t="s">
        <v>4432</v>
      </c>
      <c r="M347" s="2">
        <v>45260</v>
      </c>
      <c r="N347" t="s">
        <v>35</v>
      </c>
      <c r="O347" s="61" t="s">
        <v>7926</v>
      </c>
      <c r="P347" s="14" t="s">
        <v>9391</v>
      </c>
      <c r="Q347" s="92">
        <v>132.22999999999999</v>
      </c>
      <c r="R347" s="1">
        <v>1</v>
      </c>
      <c r="S347" s="128">
        <v>0.21</v>
      </c>
      <c r="T347" s="128">
        <v>0.2</v>
      </c>
      <c r="U347" s="1"/>
      <c r="V347" s="95">
        <f t="shared" si="8"/>
        <v>127.99863999999999</v>
      </c>
      <c r="W347" t="s">
        <v>9423</v>
      </c>
      <c r="X347" s="5" t="s">
        <v>9424</v>
      </c>
      <c r="Y347" s="2">
        <v>37732</v>
      </c>
      <c r="Z347" s="2">
        <v>45243</v>
      </c>
      <c r="AA347" s="377" t="s">
        <v>9724</v>
      </c>
      <c r="AB347" s="3">
        <v>45299</v>
      </c>
      <c r="AC347" s="80" t="s">
        <v>1339</v>
      </c>
      <c r="AF347" t="s">
        <v>3198</v>
      </c>
      <c r="AI347" s="61" t="s">
        <v>3470</v>
      </c>
      <c r="AJ347" s="2">
        <v>45246</v>
      </c>
      <c r="AM347" s="74">
        <v>45258</v>
      </c>
      <c r="AS347" s="96"/>
      <c r="AT347" s="1"/>
    </row>
    <row r="348" spans="1:46">
      <c r="A348" s="1">
        <v>346</v>
      </c>
      <c r="B348" s="61" t="s">
        <v>37</v>
      </c>
      <c r="C348" s="2">
        <v>45244</v>
      </c>
      <c r="D348" s="2"/>
      <c r="E348" t="s">
        <v>7739</v>
      </c>
      <c r="F348" t="s">
        <v>7675</v>
      </c>
      <c r="G348" s="61" t="s">
        <v>6594</v>
      </c>
      <c r="H348" s="6" t="s">
        <v>219</v>
      </c>
      <c r="I348" s="1" t="s">
        <v>38</v>
      </c>
      <c r="J348" s="8">
        <v>602317928</v>
      </c>
      <c r="K348" s="8"/>
      <c r="L348" t="s">
        <v>7740</v>
      </c>
      <c r="M348" s="2">
        <v>45260</v>
      </c>
      <c r="N348" s="1" t="s">
        <v>35</v>
      </c>
      <c r="O348" s="61" t="s">
        <v>7934</v>
      </c>
      <c r="P348" s="14" t="s">
        <v>9393</v>
      </c>
      <c r="Q348" s="92">
        <v>78.510000000000005</v>
      </c>
      <c r="R348" s="1">
        <v>1</v>
      </c>
      <c r="S348" s="128">
        <v>0.21</v>
      </c>
      <c r="T348" s="128">
        <v>0</v>
      </c>
      <c r="U348" s="72"/>
      <c r="V348" s="95">
        <f t="shared" si="8"/>
        <v>94.997100000000003</v>
      </c>
      <c r="W348" t="s">
        <v>7740</v>
      </c>
      <c r="X348" s="5" t="s">
        <v>9394</v>
      </c>
      <c r="Y348" s="2">
        <v>32222</v>
      </c>
      <c r="Z348" s="2">
        <v>45244</v>
      </c>
      <c r="AA348" s="377" t="s">
        <v>9723</v>
      </c>
      <c r="AB348" s="3">
        <v>45299</v>
      </c>
      <c r="AC348" s="80" t="s">
        <v>1339</v>
      </c>
      <c r="AE348" s="3">
        <v>45275</v>
      </c>
      <c r="AF348" t="s">
        <v>3198</v>
      </c>
      <c r="AJ348" s="2"/>
      <c r="AK348" s="1"/>
      <c r="AM348" s="74"/>
      <c r="AT348" s="1"/>
    </row>
    <row r="349" spans="1:46">
      <c r="A349" s="1">
        <v>347</v>
      </c>
      <c r="B349" s="61" t="s">
        <v>33</v>
      </c>
      <c r="C349" s="2">
        <v>45245</v>
      </c>
      <c r="D349" s="2"/>
      <c r="E349" s="1" t="s">
        <v>3247</v>
      </c>
      <c r="F349" t="s">
        <v>9109</v>
      </c>
      <c r="G349" t="s">
        <v>3242</v>
      </c>
      <c r="H349" s="6" t="s">
        <v>304</v>
      </c>
      <c r="I349" t="s">
        <v>38</v>
      </c>
      <c r="J349" s="8">
        <v>646181264</v>
      </c>
      <c r="K349" s="114" t="s">
        <v>11744</v>
      </c>
      <c r="L349" s="1" t="s">
        <v>237</v>
      </c>
      <c r="M349" s="2">
        <v>45260</v>
      </c>
      <c r="N349" s="1" t="s">
        <v>35</v>
      </c>
      <c r="O349" s="14" t="s">
        <v>7925</v>
      </c>
      <c r="P349" s="14" t="s">
        <v>9403</v>
      </c>
      <c r="Q349" s="187">
        <v>132.22999999999999</v>
      </c>
      <c r="R349" s="1">
        <v>1</v>
      </c>
      <c r="S349" s="90">
        <v>0.21</v>
      </c>
      <c r="T349" s="90">
        <v>0.2</v>
      </c>
      <c r="V349" s="95">
        <f t="shared" si="8"/>
        <v>127.99863999999999</v>
      </c>
      <c r="W349" t="s">
        <v>9462</v>
      </c>
      <c r="X349" s="5" t="s">
        <v>9463</v>
      </c>
      <c r="Y349" s="2">
        <v>31100</v>
      </c>
      <c r="Z349" s="2">
        <v>45245</v>
      </c>
      <c r="AA349" s="377" t="s">
        <v>9888</v>
      </c>
      <c r="AB349" s="2">
        <v>45328</v>
      </c>
      <c r="AC349" s="80" t="s">
        <v>1339</v>
      </c>
      <c r="AE349" s="3"/>
      <c r="AF349" t="s">
        <v>3198</v>
      </c>
      <c r="AI349" t="s">
        <v>3108</v>
      </c>
      <c r="AJ349" s="2">
        <v>45250</v>
      </c>
      <c r="AM349" s="2">
        <v>45252</v>
      </c>
      <c r="AT349" s="1"/>
    </row>
    <row r="350" spans="1:46">
      <c r="A350" s="1">
        <v>348</v>
      </c>
      <c r="B350" t="s">
        <v>33</v>
      </c>
      <c r="C350" s="2">
        <v>45245</v>
      </c>
      <c r="D350" s="2"/>
      <c r="E350" s="1" t="s">
        <v>9404</v>
      </c>
      <c r="F350" t="s">
        <v>9405</v>
      </c>
      <c r="G350" t="s">
        <v>9406</v>
      </c>
      <c r="H350" s="6" t="s">
        <v>1229</v>
      </c>
      <c r="I350" s="1" t="s">
        <v>3454</v>
      </c>
      <c r="J350" s="8"/>
      <c r="K350" s="114" t="s">
        <v>11744</v>
      </c>
      <c r="L350" s="1" t="s">
        <v>237</v>
      </c>
      <c r="M350" s="2">
        <v>45260</v>
      </c>
      <c r="N350" s="1" t="s">
        <v>35</v>
      </c>
      <c r="O350" s="14" t="s">
        <v>7925</v>
      </c>
      <c r="P350" s="14" t="s">
        <v>9407</v>
      </c>
      <c r="Q350" s="187">
        <v>132.22999999999999</v>
      </c>
      <c r="R350" s="1">
        <v>1</v>
      </c>
      <c r="S350" s="90">
        <v>0.21</v>
      </c>
      <c r="T350" s="90">
        <v>0.2</v>
      </c>
      <c r="V350" s="95">
        <f t="shared" si="8"/>
        <v>127.99863999999999</v>
      </c>
      <c r="W350" t="s">
        <v>9464</v>
      </c>
      <c r="X350" s="5" t="s">
        <v>9465</v>
      </c>
      <c r="Y350" s="2">
        <v>33659</v>
      </c>
      <c r="Z350" s="2">
        <v>45245</v>
      </c>
      <c r="AA350" s="398" t="s">
        <v>10230</v>
      </c>
      <c r="AB350" s="2">
        <v>45393</v>
      </c>
      <c r="AC350" s="80" t="s">
        <v>1339</v>
      </c>
      <c r="AE350" s="162">
        <v>45334</v>
      </c>
      <c r="AF350" t="s">
        <v>3198</v>
      </c>
      <c r="AI350" t="s">
        <v>3108</v>
      </c>
      <c r="AJ350" s="2">
        <v>45250</v>
      </c>
      <c r="AL350" s="3"/>
      <c r="AM350" s="74">
        <v>45257</v>
      </c>
      <c r="AT350" s="1"/>
    </row>
    <row r="351" spans="1:46">
      <c r="A351" s="1">
        <v>349</v>
      </c>
      <c r="B351" t="s">
        <v>1242</v>
      </c>
      <c r="C351" s="2">
        <v>45245</v>
      </c>
      <c r="D351" s="2"/>
      <c r="E351" s="1" t="s">
        <v>6151</v>
      </c>
      <c r="F351" t="s">
        <v>1096</v>
      </c>
      <c r="G351" t="s">
        <v>1097</v>
      </c>
      <c r="H351" s="6" t="s">
        <v>227</v>
      </c>
      <c r="I351" s="1" t="s">
        <v>203</v>
      </c>
      <c r="J351" s="8"/>
      <c r="K351" s="8" t="s">
        <v>5905</v>
      </c>
      <c r="L351" s="31" t="s">
        <v>1250</v>
      </c>
      <c r="M351" s="2">
        <v>45260</v>
      </c>
      <c r="N351" s="1" t="s">
        <v>35</v>
      </c>
      <c r="O351" s="14" t="s">
        <v>7926</v>
      </c>
      <c r="P351" s="14" t="s">
        <v>6199</v>
      </c>
      <c r="Q351" s="187">
        <v>132.22999999999999</v>
      </c>
      <c r="R351" s="1">
        <v>1</v>
      </c>
      <c r="S351" s="90">
        <v>0.21</v>
      </c>
      <c r="T351" s="90">
        <v>0.2</v>
      </c>
      <c r="V351" s="95">
        <f t="shared" si="8"/>
        <v>127.99863999999999</v>
      </c>
      <c r="W351" t="s">
        <v>6339</v>
      </c>
      <c r="X351" s="5" t="s">
        <v>9474</v>
      </c>
      <c r="Y351" s="2">
        <v>33994</v>
      </c>
      <c r="Z351" s="2">
        <v>45245</v>
      </c>
      <c r="AA351" s="398" t="s">
        <v>9804</v>
      </c>
      <c r="AB351" s="2">
        <v>45308</v>
      </c>
      <c r="AC351" s="80" t="s">
        <v>1339</v>
      </c>
      <c r="AF351" t="s">
        <v>3198</v>
      </c>
      <c r="AI351" s="61" t="s">
        <v>3470</v>
      </c>
      <c r="AJ351" s="2">
        <v>45252</v>
      </c>
      <c r="AK351" s="3"/>
      <c r="AL351" s="3"/>
      <c r="AM351" s="74">
        <v>45257</v>
      </c>
      <c r="AT351" s="1"/>
    </row>
    <row r="352" spans="1:46">
      <c r="A352" s="1">
        <v>350</v>
      </c>
      <c r="B352" t="s">
        <v>40</v>
      </c>
      <c r="C352" s="2">
        <v>45245</v>
      </c>
      <c r="D352" s="2"/>
      <c r="E352" s="1" t="s">
        <v>9408</v>
      </c>
      <c r="F352" s="61" t="s">
        <v>9409</v>
      </c>
      <c r="G352" s="61" t="s">
        <v>9410</v>
      </c>
      <c r="H352" s="6" t="s">
        <v>221</v>
      </c>
      <c r="I352" s="1" t="s">
        <v>34</v>
      </c>
      <c r="J352" s="8"/>
      <c r="K352" s="301" t="s">
        <v>8357</v>
      </c>
      <c r="L352" s="1" t="s">
        <v>9408</v>
      </c>
      <c r="M352" s="2">
        <v>45260</v>
      </c>
      <c r="N352" s="1" t="s">
        <v>35</v>
      </c>
      <c r="O352" s="14" t="s">
        <v>7933</v>
      </c>
      <c r="P352" s="14" t="s">
        <v>9411</v>
      </c>
      <c r="Q352" s="144">
        <v>100</v>
      </c>
      <c r="R352" s="1">
        <v>1</v>
      </c>
      <c r="S352" s="90">
        <v>0.21</v>
      </c>
      <c r="T352" s="90">
        <v>0</v>
      </c>
      <c r="U352" s="379"/>
      <c r="V352" s="95">
        <f t="shared" si="8"/>
        <v>121</v>
      </c>
      <c r="X352" s="5"/>
      <c r="Y352" s="2"/>
      <c r="Z352" s="2">
        <v>45245</v>
      </c>
      <c r="AA352" s="284"/>
      <c r="AB352" s="2"/>
      <c r="AC352" s="80"/>
      <c r="AE352" s="3"/>
      <c r="AI352" s="1"/>
      <c r="AJ352" s="2"/>
      <c r="AK352" s="1"/>
      <c r="AM352" s="74"/>
      <c r="AT352" s="1"/>
    </row>
    <row r="353" spans="1:139">
      <c r="A353" s="1">
        <v>351</v>
      </c>
      <c r="B353" t="s">
        <v>3526</v>
      </c>
      <c r="C353" s="2">
        <v>45246</v>
      </c>
      <c r="D353" s="2"/>
      <c r="E353" s="1" t="s">
        <v>9412</v>
      </c>
      <c r="F353" s="61" t="s">
        <v>9413</v>
      </c>
      <c r="G353" s="61" t="s">
        <v>9414</v>
      </c>
      <c r="H353" s="6" t="s">
        <v>2654</v>
      </c>
      <c r="I353" s="1" t="s">
        <v>2359</v>
      </c>
      <c r="J353" s="8">
        <v>640910020</v>
      </c>
      <c r="K353" t="s">
        <v>10336</v>
      </c>
      <c r="L353" s="1" t="s">
        <v>9412</v>
      </c>
      <c r="M353" s="2">
        <v>45260</v>
      </c>
      <c r="N353" s="1" t="s">
        <v>35</v>
      </c>
      <c r="O353" s="14" t="s">
        <v>7925</v>
      </c>
      <c r="P353" s="14" t="s">
        <v>9415</v>
      </c>
      <c r="Q353" s="144">
        <v>132.22999999999999</v>
      </c>
      <c r="R353" s="1">
        <v>1</v>
      </c>
      <c r="S353" s="90">
        <v>0.21</v>
      </c>
      <c r="T353" s="90">
        <v>0.2</v>
      </c>
      <c r="U353" s="379"/>
      <c r="V353" s="95">
        <f t="shared" si="8"/>
        <v>127.99863999999999</v>
      </c>
      <c r="W353" t="s">
        <v>9472</v>
      </c>
      <c r="X353" s="5" t="s">
        <v>9473</v>
      </c>
      <c r="Y353" s="2">
        <v>35065</v>
      </c>
      <c r="Z353" s="2">
        <v>45246</v>
      </c>
      <c r="AA353" s="398" t="s">
        <v>9820</v>
      </c>
      <c r="AB353" s="2">
        <v>45316</v>
      </c>
      <c r="AC353" s="80" t="s">
        <v>1339</v>
      </c>
      <c r="AE353" s="3"/>
      <c r="AF353" t="s">
        <v>3198</v>
      </c>
      <c r="AI353" t="s">
        <v>3108</v>
      </c>
      <c r="AJ353" s="2">
        <v>45252</v>
      </c>
      <c r="AK353" s="1"/>
      <c r="AM353" s="74">
        <v>45272</v>
      </c>
      <c r="AT353" s="1"/>
    </row>
    <row r="354" spans="1:139" s="381" customFormat="1">
      <c r="A354" s="380">
        <v>352</v>
      </c>
      <c r="B354" s="381" t="s">
        <v>6452</v>
      </c>
      <c r="C354" s="382">
        <v>45247</v>
      </c>
      <c r="D354" s="382"/>
      <c r="E354" s="380" t="s">
        <v>9435</v>
      </c>
      <c r="F354" s="383" t="s">
        <v>9436</v>
      </c>
      <c r="G354" s="383" t="s">
        <v>9437</v>
      </c>
      <c r="H354" s="384" t="s">
        <v>1257</v>
      </c>
      <c r="I354" s="380" t="s">
        <v>1266</v>
      </c>
      <c r="J354" s="385"/>
      <c r="K354" s="380"/>
      <c r="L354" s="380" t="s">
        <v>9435</v>
      </c>
      <c r="M354" s="382">
        <v>45260</v>
      </c>
      <c r="N354" s="380" t="s">
        <v>35</v>
      </c>
      <c r="O354" s="386" t="s">
        <v>7931</v>
      </c>
      <c r="P354" s="387" t="s">
        <v>9438</v>
      </c>
      <c r="Q354" s="388">
        <v>152.07</v>
      </c>
      <c r="R354" s="380">
        <v>1</v>
      </c>
      <c r="S354" s="389">
        <v>0.21</v>
      </c>
      <c r="T354" s="389">
        <v>0</v>
      </c>
      <c r="U354" s="390"/>
      <c r="V354" s="391">
        <f t="shared" si="8"/>
        <v>184.00469999999999</v>
      </c>
      <c r="X354" s="402"/>
      <c r="Y354" s="382"/>
      <c r="Z354" s="382"/>
      <c r="AA354" s="383"/>
      <c r="AB354" s="382"/>
      <c r="AC354" s="392"/>
      <c r="AE354" s="393"/>
      <c r="AJ354" s="382"/>
      <c r="AK354" s="380"/>
      <c r="AM354" s="394"/>
      <c r="AT354" s="380"/>
    </row>
    <row r="355" spans="1:139">
      <c r="A355" s="1">
        <v>353</v>
      </c>
      <c r="B355" t="s">
        <v>143</v>
      </c>
      <c r="C355" s="2">
        <v>45247</v>
      </c>
      <c r="D355" s="2"/>
      <c r="E355" t="s">
        <v>9470</v>
      </c>
      <c r="F355" t="s">
        <v>9439</v>
      </c>
      <c r="G355" t="s">
        <v>9440</v>
      </c>
      <c r="H355" s="6" t="s">
        <v>219</v>
      </c>
      <c r="I355" s="1" t="s">
        <v>4334</v>
      </c>
      <c r="J355" s="8">
        <v>632863286</v>
      </c>
      <c r="K355" s="8"/>
      <c r="L355" t="s">
        <v>9470</v>
      </c>
      <c r="M355" s="2">
        <v>45260</v>
      </c>
      <c r="N355" s="1" t="s">
        <v>35</v>
      </c>
      <c r="O355" s="14" t="s">
        <v>7925</v>
      </c>
      <c r="P355" s="14" t="s">
        <v>9441</v>
      </c>
      <c r="Q355" s="187">
        <v>132.22999999999999</v>
      </c>
      <c r="R355" s="1">
        <v>1</v>
      </c>
      <c r="S355" s="90">
        <v>0.21</v>
      </c>
      <c r="T355" s="90">
        <v>0.2</v>
      </c>
      <c r="U355" s="363"/>
      <c r="V355" s="95">
        <f t="shared" si="8"/>
        <v>127.99863999999999</v>
      </c>
      <c r="W355" t="s">
        <v>9470</v>
      </c>
      <c r="X355" s="5" t="s">
        <v>9471</v>
      </c>
      <c r="Y355" s="2">
        <v>35713</v>
      </c>
      <c r="Z355" s="2">
        <v>45247</v>
      </c>
      <c r="AA355" s="398" t="s">
        <v>9820</v>
      </c>
      <c r="AB355" s="2">
        <v>45320</v>
      </c>
      <c r="AC355" s="80" t="s">
        <v>1339</v>
      </c>
      <c r="AF355" t="s">
        <v>3198</v>
      </c>
      <c r="AI355" t="s">
        <v>3894</v>
      </c>
      <c r="AJ355" s="2">
        <v>45252</v>
      </c>
      <c r="AM355" s="74">
        <v>45257</v>
      </c>
      <c r="AT355" s="1"/>
    </row>
    <row r="356" spans="1:139">
      <c r="A356" s="1">
        <v>354</v>
      </c>
      <c r="B356" t="s">
        <v>143</v>
      </c>
      <c r="C356" s="2">
        <v>45247</v>
      </c>
      <c r="D356" s="2"/>
      <c r="E356" t="s">
        <v>9485</v>
      </c>
      <c r="F356" t="s">
        <v>9442</v>
      </c>
      <c r="G356" t="s">
        <v>9443</v>
      </c>
      <c r="H356" s="6" t="s">
        <v>219</v>
      </c>
      <c r="I356" s="1" t="s">
        <v>4334</v>
      </c>
      <c r="J356" s="8">
        <v>624466934</v>
      </c>
      <c r="K356" s="8"/>
      <c r="L356" t="s">
        <v>9485</v>
      </c>
      <c r="M356" s="2">
        <v>45260</v>
      </c>
      <c r="N356" s="1" t="s">
        <v>35</v>
      </c>
      <c r="O356" s="14" t="s">
        <v>7925</v>
      </c>
      <c r="P356" s="14" t="s">
        <v>9444</v>
      </c>
      <c r="Q356" s="187">
        <v>132.22999999999999</v>
      </c>
      <c r="R356" s="1">
        <v>1</v>
      </c>
      <c r="S356" s="90">
        <v>0.21</v>
      </c>
      <c r="T356" s="90">
        <v>0.2</v>
      </c>
      <c r="U356" s="363"/>
      <c r="V356" s="95">
        <f t="shared" si="8"/>
        <v>127.99863999999999</v>
      </c>
      <c r="W356" t="s">
        <v>9485</v>
      </c>
      <c r="X356" s="5" t="s">
        <v>9486</v>
      </c>
      <c r="Y356" s="2">
        <v>36015</v>
      </c>
      <c r="Z356" s="2">
        <v>45247</v>
      </c>
      <c r="AA356" s="398" t="s">
        <v>9820</v>
      </c>
      <c r="AB356" s="2">
        <v>45320</v>
      </c>
      <c r="AC356" s="80" t="s">
        <v>1339</v>
      </c>
      <c r="AF356" t="s">
        <v>3198</v>
      </c>
      <c r="AI356" t="s">
        <v>3108</v>
      </c>
      <c r="AJ356" s="2">
        <v>45252</v>
      </c>
      <c r="AM356" s="74">
        <v>45257</v>
      </c>
      <c r="AT356" s="1"/>
    </row>
    <row r="357" spans="1:139">
      <c r="A357" s="1">
        <v>355</v>
      </c>
      <c r="B357" t="s">
        <v>33</v>
      </c>
      <c r="C357" s="2">
        <v>45247</v>
      </c>
      <c r="D357" s="2"/>
      <c r="E357" s="1" t="s">
        <v>1160</v>
      </c>
      <c r="F357" s="61" t="s">
        <v>1161</v>
      </c>
      <c r="G357" s="61" t="s">
        <v>9445</v>
      </c>
      <c r="H357" s="6" t="s">
        <v>236</v>
      </c>
      <c r="I357" s="1" t="s">
        <v>3851</v>
      </c>
      <c r="J357" s="8"/>
      <c r="K357" s="114" t="s">
        <v>11744</v>
      </c>
      <c r="L357" s="1" t="s">
        <v>237</v>
      </c>
      <c r="M357" s="2">
        <v>45260</v>
      </c>
      <c r="N357" s="1" t="s">
        <v>35</v>
      </c>
      <c r="O357" s="375" t="s">
        <v>7926</v>
      </c>
      <c r="P357" s="14" t="s">
        <v>9446</v>
      </c>
      <c r="Q357" s="144">
        <v>132.22999999999999</v>
      </c>
      <c r="R357" s="1">
        <v>1</v>
      </c>
      <c r="S357" s="90">
        <v>0.21</v>
      </c>
      <c r="T357" s="90">
        <v>0.2</v>
      </c>
      <c r="U357" s="379"/>
      <c r="V357" s="95">
        <f t="shared" si="8"/>
        <v>127.99863999999999</v>
      </c>
      <c r="W357" t="s">
        <v>9489</v>
      </c>
      <c r="X357" s="5" t="s">
        <v>9490</v>
      </c>
      <c r="Y357" s="2">
        <v>32874</v>
      </c>
      <c r="Z357" s="2">
        <v>45247</v>
      </c>
      <c r="AA357" s="398" t="s">
        <v>9732</v>
      </c>
      <c r="AB357" s="2">
        <v>45308</v>
      </c>
      <c r="AC357" s="80" t="s">
        <v>1339</v>
      </c>
      <c r="AE357" s="3"/>
      <c r="AF357" t="s">
        <v>3198</v>
      </c>
      <c r="AI357" s="287" t="s">
        <v>8935</v>
      </c>
      <c r="AJ357" s="2">
        <v>45252</v>
      </c>
      <c r="AK357" s="1"/>
      <c r="AM357" s="74">
        <v>45258</v>
      </c>
      <c r="AT357" s="1"/>
    </row>
    <row r="358" spans="1:139">
      <c r="A358" s="1">
        <v>356</v>
      </c>
      <c r="B358" t="s">
        <v>33</v>
      </c>
      <c r="C358" s="2">
        <v>45247</v>
      </c>
      <c r="D358" s="2"/>
      <c r="E358" s="1" t="s">
        <v>2629</v>
      </c>
      <c r="F358" s="61" t="s">
        <v>2630</v>
      </c>
      <c r="G358" s="61" t="s">
        <v>9447</v>
      </c>
      <c r="H358" s="6" t="s">
        <v>219</v>
      </c>
      <c r="I358" s="1" t="s">
        <v>38</v>
      </c>
      <c r="J358" s="8"/>
      <c r="K358" s="114" t="s">
        <v>11744</v>
      </c>
      <c r="L358" s="1" t="s">
        <v>237</v>
      </c>
      <c r="M358" s="2">
        <v>45260</v>
      </c>
      <c r="N358" s="1" t="s">
        <v>35</v>
      </c>
      <c r="O358" s="375" t="s">
        <v>7925</v>
      </c>
      <c r="P358" s="14" t="s">
        <v>9448</v>
      </c>
      <c r="Q358" s="144">
        <v>132.22999999999999</v>
      </c>
      <c r="R358" s="1">
        <v>1</v>
      </c>
      <c r="S358" s="90">
        <v>0.21</v>
      </c>
      <c r="T358" s="90">
        <v>0.2</v>
      </c>
      <c r="U358" s="379"/>
      <c r="V358" s="95">
        <f t="shared" si="8"/>
        <v>127.99863999999999</v>
      </c>
      <c r="W358" t="s">
        <v>9493</v>
      </c>
      <c r="X358" s="5" t="s">
        <v>9494</v>
      </c>
      <c r="Y358" s="2">
        <v>34335</v>
      </c>
      <c r="Z358" s="2">
        <v>45247</v>
      </c>
      <c r="AA358" s="398" t="s">
        <v>9844</v>
      </c>
      <c r="AB358" s="2">
        <v>45320</v>
      </c>
      <c r="AC358" s="80" t="s">
        <v>1339</v>
      </c>
      <c r="AE358" s="3"/>
      <c r="AF358" t="s">
        <v>3198</v>
      </c>
      <c r="AI358" s="14" t="s">
        <v>6757</v>
      </c>
      <c r="AJ358" s="2">
        <v>45252</v>
      </c>
      <c r="AK358" s="1"/>
      <c r="AM358" s="74">
        <v>45272</v>
      </c>
      <c r="AT358" s="1"/>
    </row>
    <row r="359" spans="1:139">
      <c r="A359" s="1">
        <v>357</v>
      </c>
      <c r="B359" t="s">
        <v>7245</v>
      </c>
      <c r="C359" s="2">
        <v>45247</v>
      </c>
      <c r="D359" s="2"/>
      <c r="E359" t="s">
        <v>1522</v>
      </c>
      <c r="F359" t="s">
        <v>3233</v>
      </c>
      <c r="G359" t="s">
        <v>3241</v>
      </c>
      <c r="H359" s="6" t="s">
        <v>3234</v>
      </c>
      <c r="I359" t="s">
        <v>3235</v>
      </c>
      <c r="J359" s="8">
        <v>680761760</v>
      </c>
      <c r="K359" s="8" t="s">
        <v>6232</v>
      </c>
      <c r="L359" t="s">
        <v>1522</v>
      </c>
      <c r="M359" s="2">
        <v>45260</v>
      </c>
      <c r="N359" s="1" t="s">
        <v>35</v>
      </c>
      <c r="O359" s="14" t="s">
        <v>7926</v>
      </c>
      <c r="P359" s="14" t="s">
        <v>9449</v>
      </c>
      <c r="Q359" s="144">
        <v>132.22999999999999</v>
      </c>
      <c r="R359" s="1">
        <v>1</v>
      </c>
      <c r="S359" s="128">
        <v>0.21</v>
      </c>
      <c r="T359" s="128">
        <v>0.2</v>
      </c>
      <c r="V359" s="95">
        <f t="shared" si="8"/>
        <v>127.99863999999999</v>
      </c>
      <c r="W359" t="s">
        <v>9487</v>
      </c>
      <c r="X359" s="5" t="s">
        <v>9488</v>
      </c>
      <c r="Y359" s="2">
        <v>33685</v>
      </c>
      <c r="Z359" s="2">
        <v>45247</v>
      </c>
      <c r="AA359" s="398" t="s">
        <v>9732</v>
      </c>
      <c r="AB359" s="2">
        <v>45308</v>
      </c>
      <c r="AC359" s="80" t="s">
        <v>1339</v>
      </c>
      <c r="AE359" s="3"/>
      <c r="AF359" t="s">
        <v>3198</v>
      </c>
      <c r="AI359" s="61" t="s">
        <v>3470</v>
      </c>
      <c r="AJ359" s="2">
        <v>45252</v>
      </c>
      <c r="AM359" s="74">
        <v>45254</v>
      </c>
      <c r="AT359" s="1"/>
    </row>
    <row r="360" spans="1:139">
      <c r="A360" s="1">
        <v>358</v>
      </c>
      <c r="B360" t="s">
        <v>3526</v>
      </c>
      <c r="C360" s="2">
        <v>45247</v>
      </c>
      <c r="D360" s="2"/>
      <c r="E360" s="1" t="s">
        <v>9450</v>
      </c>
      <c r="F360" s="61" t="s">
        <v>9451</v>
      </c>
      <c r="G360" s="61" t="s">
        <v>9452</v>
      </c>
      <c r="H360" s="6" t="s">
        <v>4604</v>
      </c>
      <c r="I360" s="1" t="s">
        <v>4605</v>
      </c>
      <c r="J360" s="8"/>
      <c r="K360" s="1" t="s">
        <v>7759</v>
      </c>
      <c r="L360" s="1" t="s">
        <v>9450</v>
      </c>
      <c r="M360" s="2">
        <v>45260</v>
      </c>
      <c r="N360" s="1" t="s">
        <v>35</v>
      </c>
      <c r="O360" s="375" t="s">
        <v>7925</v>
      </c>
      <c r="P360" s="14" t="s">
        <v>9453</v>
      </c>
      <c r="Q360" s="144">
        <v>132.22999999999999</v>
      </c>
      <c r="R360" s="1">
        <v>1</v>
      </c>
      <c r="S360" s="90">
        <v>0.21</v>
      </c>
      <c r="T360" s="90">
        <v>0.2</v>
      </c>
      <c r="U360" s="379"/>
      <c r="V360" s="95">
        <f t="shared" si="8"/>
        <v>127.99863999999999</v>
      </c>
      <c r="W360" t="s">
        <v>9476</v>
      </c>
      <c r="X360" s="5" t="s">
        <v>9477</v>
      </c>
      <c r="Y360" s="2">
        <v>32397</v>
      </c>
      <c r="Z360" s="2">
        <v>45247</v>
      </c>
      <c r="AA360" s="398" t="s">
        <v>9843</v>
      </c>
      <c r="AB360" s="2">
        <v>45320</v>
      </c>
      <c r="AC360" s="80" t="s">
        <v>1339</v>
      </c>
      <c r="AE360" s="3"/>
      <c r="AF360" t="s">
        <v>3198</v>
      </c>
      <c r="AI360" t="s">
        <v>4218</v>
      </c>
      <c r="AJ360" s="2">
        <v>45252</v>
      </c>
      <c r="AK360" s="1"/>
      <c r="AM360" s="74">
        <v>45258</v>
      </c>
      <c r="AT360" s="1"/>
    </row>
    <row r="361" spans="1:139">
      <c r="A361" s="1">
        <v>359</v>
      </c>
      <c r="B361" t="s">
        <v>4321</v>
      </c>
      <c r="C361" s="2">
        <v>45247</v>
      </c>
      <c r="D361" s="2"/>
      <c r="E361" s="1" t="s">
        <v>7226</v>
      </c>
      <c r="F361" s="61" t="s">
        <v>7162</v>
      </c>
      <c r="G361" s="61" t="s">
        <v>7163</v>
      </c>
      <c r="H361" s="6" t="s">
        <v>239</v>
      </c>
      <c r="I361" s="1" t="s">
        <v>86</v>
      </c>
      <c r="J361" s="8"/>
      <c r="K361" s="8" t="s">
        <v>5991</v>
      </c>
      <c r="L361" t="s">
        <v>7161</v>
      </c>
      <c r="M361" s="2">
        <v>45260</v>
      </c>
      <c r="N361" s="1" t="s">
        <v>35</v>
      </c>
      <c r="O361" s="61" t="s">
        <v>7925</v>
      </c>
      <c r="P361" s="14" t="s">
        <v>9454</v>
      </c>
      <c r="Q361" s="92">
        <v>132.22999999999999</v>
      </c>
      <c r="R361" s="1">
        <v>1</v>
      </c>
      <c r="S361" s="128">
        <v>0.21</v>
      </c>
      <c r="T361" s="128">
        <v>0.2</v>
      </c>
      <c r="U361" s="1"/>
      <c r="V361" s="95">
        <f t="shared" si="8"/>
        <v>127.99863999999999</v>
      </c>
      <c r="W361" t="s">
        <v>9478</v>
      </c>
      <c r="X361" s="5" t="s">
        <v>9479</v>
      </c>
      <c r="Y361" s="3">
        <v>31404</v>
      </c>
      <c r="Z361" s="2">
        <v>45247</v>
      </c>
      <c r="AA361" s="398" t="s">
        <v>9843</v>
      </c>
      <c r="AB361" s="2">
        <v>45320</v>
      </c>
      <c r="AC361" s="80" t="s">
        <v>1339</v>
      </c>
      <c r="AF361" t="s">
        <v>3198</v>
      </c>
      <c r="AI361" t="s">
        <v>3108</v>
      </c>
      <c r="AJ361" s="2">
        <v>45252</v>
      </c>
      <c r="AM361" s="3">
        <v>45253</v>
      </c>
    </row>
    <row r="362" spans="1:139" ht="14.25" customHeight="1">
      <c r="A362" s="1">
        <v>360</v>
      </c>
      <c r="B362" t="s">
        <v>40</v>
      </c>
      <c r="C362" s="2">
        <v>45247</v>
      </c>
      <c r="D362" s="2"/>
      <c r="E362" s="1" t="s">
        <v>7713</v>
      </c>
      <c r="F362" t="s">
        <v>7714</v>
      </c>
      <c r="G362" s="61" t="s">
        <v>7715</v>
      </c>
      <c r="H362" s="6" t="s">
        <v>221</v>
      </c>
      <c r="I362" s="1" t="s">
        <v>34</v>
      </c>
      <c r="J362">
        <v>647611187</v>
      </c>
      <c r="K362" s="301" t="s">
        <v>8357</v>
      </c>
      <c r="L362" s="1" t="s">
        <v>7713</v>
      </c>
      <c r="M362" s="2">
        <v>45260</v>
      </c>
      <c r="N362" t="s">
        <v>35</v>
      </c>
      <c r="O362" s="61" t="s">
        <v>7926</v>
      </c>
      <c r="P362" s="14" t="s">
        <v>9455</v>
      </c>
      <c r="Q362" s="187">
        <v>132.22999999999999</v>
      </c>
      <c r="R362" s="1">
        <v>1</v>
      </c>
      <c r="S362" s="128">
        <v>0.21</v>
      </c>
      <c r="T362" s="128">
        <v>0.2</v>
      </c>
      <c r="V362" s="95">
        <f t="shared" si="8"/>
        <v>127.99863999999999</v>
      </c>
      <c r="W362" t="s">
        <v>8011</v>
      </c>
      <c r="X362" s="5" t="s">
        <v>9495</v>
      </c>
      <c r="Y362" s="2">
        <v>38615</v>
      </c>
      <c r="Z362" s="2">
        <v>45247</v>
      </c>
      <c r="AA362" s="398" t="s">
        <v>9732</v>
      </c>
      <c r="AB362" s="2">
        <v>45308</v>
      </c>
      <c r="AC362" s="80" t="s">
        <v>1339</v>
      </c>
      <c r="AF362" t="s">
        <v>3198</v>
      </c>
      <c r="AI362" s="61" t="s">
        <v>9456</v>
      </c>
      <c r="AJ362" s="2">
        <v>45252</v>
      </c>
      <c r="AM362" s="3">
        <v>45268</v>
      </c>
      <c r="AS362" s="1"/>
      <c r="AT362" s="1"/>
    </row>
    <row r="363" spans="1:139">
      <c r="A363" s="1">
        <v>361</v>
      </c>
      <c r="B363" s="61" t="s">
        <v>33</v>
      </c>
      <c r="C363" s="2">
        <v>45247</v>
      </c>
      <c r="D363" s="2"/>
      <c r="E363" s="1" t="s">
        <v>7513</v>
      </c>
      <c r="F363" t="s">
        <v>7514</v>
      </c>
      <c r="G363" s="61" t="s">
        <v>7515</v>
      </c>
      <c r="H363" s="6" t="s">
        <v>304</v>
      </c>
      <c r="I363" s="1" t="s">
        <v>3851</v>
      </c>
      <c r="J363" s="44"/>
      <c r="K363" s="114" t="s">
        <v>11744</v>
      </c>
      <c r="L363" t="s">
        <v>237</v>
      </c>
      <c r="M363" s="2">
        <v>45260</v>
      </c>
      <c r="N363" s="1" t="s">
        <v>35</v>
      </c>
      <c r="O363" s="61" t="s">
        <v>7934</v>
      </c>
      <c r="P363" s="14" t="s">
        <v>9457</v>
      </c>
      <c r="Q363" s="92">
        <v>78.510000000000005</v>
      </c>
      <c r="R363" s="1">
        <v>1</v>
      </c>
      <c r="S363" s="128">
        <v>0.21</v>
      </c>
      <c r="T363" s="128">
        <v>0.2</v>
      </c>
      <c r="U363" s="1"/>
      <c r="V363" s="95">
        <f t="shared" si="8"/>
        <v>75.997680000000003</v>
      </c>
      <c r="W363" t="s">
        <v>7592</v>
      </c>
      <c r="X363" s="5" t="s">
        <v>9458</v>
      </c>
      <c r="Y363" s="2">
        <v>29556</v>
      </c>
      <c r="Z363" s="2">
        <v>45247</v>
      </c>
      <c r="AA363" s="398" t="s">
        <v>9695</v>
      </c>
      <c r="AB363" s="3">
        <v>45289</v>
      </c>
      <c r="AC363" s="80" t="s">
        <v>1339</v>
      </c>
      <c r="AF363" t="s">
        <v>3198</v>
      </c>
      <c r="AJ363" s="2"/>
      <c r="AK363" s="2"/>
      <c r="AM363" s="2"/>
      <c r="AT363" s="1"/>
    </row>
    <row r="364" spans="1:139">
      <c r="A364" s="1">
        <v>362</v>
      </c>
      <c r="B364" s="61" t="s">
        <v>33</v>
      </c>
      <c r="C364" s="2">
        <v>45247</v>
      </c>
      <c r="D364" s="2"/>
      <c r="E364" s="1" t="s">
        <v>9480</v>
      </c>
      <c r="F364" t="s">
        <v>9481</v>
      </c>
      <c r="G364" s="61" t="s">
        <v>6907</v>
      </c>
      <c r="H364" s="6" t="s">
        <v>304</v>
      </c>
      <c r="I364" s="1" t="s">
        <v>3851</v>
      </c>
      <c r="J364" s="44"/>
      <c r="K364" s="114" t="s">
        <v>11744</v>
      </c>
      <c r="L364" t="s">
        <v>237</v>
      </c>
      <c r="M364" s="2">
        <v>45260</v>
      </c>
      <c r="N364" s="1" t="s">
        <v>35</v>
      </c>
      <c r="O364" s="61" t="s">
        <v>7925</v>
      </c>
      <c r="P364" s="14" t="s">
        <v>9482</v>
      </c>
      <c r="Q364" s="92">
        <v>132.22999999999999</v>
      </c>
      <c r="R364" s="1">
        <v>1</v>
      </c>
      <c r="S364" s="128">
        <v>0.21</v>
      </c>
      <c r="T364" s="128">
        <v>0.2</v>
      </c>
      <c r="U364" s="1"/>
      <c r="V364" s="95">
        <f t="shared" si="8"/>
        <v>127.99863999999999</v>
      </c>
      <c r="W364" t="s">
        <v>9483</v>
      </c>
      <c r="X364" s="5" t="s">
        <v>9484</v>
      </c>
      <c r="Y364" s="2">
        <v>32555</v>
      </c>
      <c r="Z364" s="2">
        <v>45247</v>
      </c>
      <c r="AA364" s="398" t="s">
        <v>9843</v>
      </c>
      <c r="AB364" s="2">
        <v>45320</v>
      </c>
      <c r="AC364" s="80" t="s">
        <v>1339</v>
      </c>
      <c r="AF364" t="s">
        <v>3198</v>
      </c>
      <c r="AI364" t="s">
        <v>6757</v>
      </c>
      <c r="AJ364" s="2">
        <v>45252</v>
      </c>
      <c r="AK364" s="2"/>
      <c r="AM364" s="2">
        <v>45253</v>
      </c>
      <c r="AT364" s="1"/>
    </row>
    <row r="365" spans="1:139" s="196" customFormat="1">
      <c r="A365" s="1">
        <v>363</v>
      </c>
      <c r="B365" t="s">
        <v>40</v>
      </c>
      <c r="C365" s="2">
        <v>45250</v>
      </c>
      <c r="D365" s="2"/>
      <c r="E365" s="1" t="s">
        <v>6480</v>
      </c>
      <c r="F365" t="s">
        <v>6481</v>
      </c>
      <c r="G365" t="s">
        <v>6482</v>
      </c>
      <c r="H365" s="6" t="s">
        <v>227</v>
      </c>
      <c r="I365" s="1" t="s">
        <v>203</v>
      </c>
      <c r="J365" s="8"/>
      <c r="K365" s="301" t="s">
        <v>8357</v>
      </c>
      <c r="L365" t="s">
        <v>6480</v>
      </c>
      <c r="M365" s="2">
        <v>45260</v>
      </c>
      <c r="N365" s="1" t="s">
        <v>35</v>
      </c>
      <c r="O365" s="61" t="s">
        <v>7926</v>
      </c>
      <c r="P365" s="14" t="s">
        <v>9460</v>
      </c>
      <c r="Q365" s="187">
        <v>132.22999999999999</v>
      </c>
      <c r="R365" s="1">
        <v>1</v>
      </c>
      <c r="S365" s="128">
        <v>0.21</v>
      </c>
      <c r="T365" s="128">
        <v>0.2</v>
      </c>
      <c r="U365"/>
      <c r="V365" s="95">
        <f t="shared" si="8"/>
        <v>127.99863999999999</v>
      </c>
      <c r="W365" t="s">
        <v>9491</v>
      </c>
      <c r="X365" s="5" t="s">
        <v>9492</v>
      </c>
      <c r="Y365" s="2">
        <v>37674</v>
      </c>
      <c r="Z365" s="2">
        <v>45250</v>
      </c>
      <c r="AA365" s="398" t="s">
        <v>9732</v>
      </c>
      <c r="AB365" s="2">
        <v>45308</v>
      </c>
      <c r="AC365" s="80" t="s">
        <v>1339</v>
      </c>
      <c r="AD365"/>
      <c r="AE365"/>
      <c r="AF365" t="s">
        <v>3198</v>
      </c>
      <c r="AG365"/>
      <c r="AH365"/>
      <c r="AI365" s="61" t="s">
        <v>9461</v>
      </c>
      <c r="AJ365" s="2">
        <v>45252</v>
      </c>
      <c r="AK365"/>
      <c r="AL365"/>
      <c r="AM365" s="3">
        <v>45268</v>
      </c>
      <c r="AN365"/>
      <c r="AO365"/>
      <c r="AP365"/>
      <c r="AQ365"/>
      <c r="AR365"/>
      <c r="AS365"/>
      <c r="AT365" s="1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</row>
    <row r="366" spans="1:139">
      <c r="A366" s="149">
        <v>364</v>
      </c>
      <c r="B366" s="153" t="s">
        <v>340</v>
      </c>
      <c r="C366" s="151">
        <v>45251</v>
      </c>
      <c r="D366" s="151"/>
      <c r="E366" s="149"/>
      <c r="F366" s="153" t="s">
        <v>6829</v>
      </c>
      <c r="G366" s="256"/>
      <c r="H366" s="257"/>
      <c r="I366" s="258"/>
      <c r="J366" s="299"/>
      <c r="K366" s="1"/>
      <c r="L366" s="153"/>
      <c r="M366" s="154"/>
      <c r="N366" s="149"/>
      <c r="O366" s="1"/>
      <c r="P366" s="153" t="s">
        <v>9467</v>
      </c>
      <c r="Q366" s="222">
        <v>0</v>
      </c>
      <c r="R366" s="149">
        <v>0</v>
      </c>
      <c r="S366" s="223">
        <v>0</v>
      </c>
      <c r="T366" s="223">
        <v>0</v>
      </c>
      <c r="U366" s="149"/>
      <c r="V366" s="157">
        <v>0</v>
      </c>
      <c r="W366" s="153" t="s">
        <v>9468</v>
      </c>
      <c r="X366" s="225" t="s">
        <v>9469</v>
      </c>
      <c r="Y366" s="151">
        <v>30689</v>
      </c>
      <c r="Z366" s="151">
        <v>45251</v>
      </c>
      <c r="AA366" s="13" t="s">
        <v>10212</v>
      </c>
      <c r="AB366" s="3">
        <v>45392</v>
      </c>
      <c r="AC366" s="80" t="s">
        <v>1339</v>
      </c>
      <c r="AE366" s="292">
        <v>45366</v>
      </c>
      <c r="AF366" t="s">
        <v>3198</v>
      </c>
      <c r="AI366" t="s">
        <v>7067</v>
      </c>
      <c r="AJ366" s="2"/>
      <c r="AM366" s="74"/>
      <c r="AT366" s="1"/>
    </row>
    <row r="367" spans="1:139">
      <c r="A367" s="1">
        <v>365</v>
      </c>
      <c r="B367" t="s">
        <v>143</v>
      </c>
      <c r="C367" s="2">
        <v>45252</v>
      </c>
      <c r="D367" s="2"/>
      <c r="E367" t="s">
        <v>9527</v>
      </c>
      <c r="F367" t="s">
        <v>9497</v>
      </c>
      <c r="G367" t="s">
        <v>9383</v>
      </c>
      <c r="H367" s="6" t="s">
        <v>219</v>
      </c>
      <c r="I367" s="1" t="s">
        <v>4334</v>
      </c>
      <c r="J367" s="8">
        <v>632582110</v>
      </c>
      <c r="K367" s="8"/>
      <c r="L367" t="s">
        <v>9527</v>
      </c>
      <c r="M367" s="2">
        <v>45260</v>
      </c>
      <c r="N367" s="1" t="s">
        <v>35</v>
      </c>
      <c r="O367" s="14" t="s">
        <v>7925</v>
      </c>
      <c r="P367" s="14" t="s">
        <v>9498</v>
      </c>
      <c r="Q367" s="187">
        <v>132.22999999999999</v>
      </c>
      <c r="R367" s="1">
        <v>1</v>
      </c>
      <c r="S367" s="90">
        <v>0.21</v>
      </c>
      <c r="T367" s="90">
        <v>0.2</v>
      </c>
      <c r="U367" s="363"/>
      <c r="V367" s="95">
        <f t="shared" ref="V367:V399" si="9">SUM(Q367-(Q367*T367))*S367+(Q367-(Q367*T367))</f>
        <v>127.99863999999999</v>
      </c>
      <c r="W367" t="s">
        <v>9527</v>
      </c>
      <c r="X367" s="5" t="s">
        <v>9528</v>
      </c>
      <c r="Y367" s="2">
        <v>34103</v>
      </c>
      <c r="Z367" s="2">
        <v>45252</v>
      </c>
      <c r="AA367" s="378" t="s">
        <v>9329</v>
      </c>
      <c r="AB367" s="1"/>
      <c r="AC367" s="61"/>
      <c r="AF367" t="s">
        <v>3198</v>
      </c>
      <c r="AI367" t="s">
        <v>9499</v>
      </c>
      <c r="AJ367" s="2">
        <v>45258</v>
      </c>
      <c r="AM367" s="74">
        <v>45271</v>
      </c>
      <c r="AT367" s="1"/>
    </row>
    <row r="368" spans="1:139">
      <c r="A368" s="1">
        <v>366</v>
      </c>
      <c r="B368" t="s">
        <v>143</v>
      </c>
      <c r="C368" s="2">
        <v>45252</v>
      </c>
      <c r="D368" s="2"/>
      <c r="E368" t="s">
        <v>9529</v>
      </c>
      <c r="F368" t="s">
        <v>9500</v>
      </c>
      <c r="G368" t="s">
        <v>9501</v>
      </c>
      <c r="H368" s="6" t="s">
        <v>9502</v>
      </c>
      <c r="I368" s="1" t="s">
        <v>9503</v>
      </c>
      <c r="J368" s="8">
        <v>641489515</v>
      </c>
      <c r="K368" s="8"/>
      <c r="L368" s="76"/>
      <c r="M368" s="2">
        <v>45260</v>
      </c>
      <c r="N368" s="1" t="s">
        <v>35</v>
      </c>
      <c r="O368" s="14" t="s">
        <v>7925</v>
      </c>
      <c r="P368" s="14" t="s">
        <v>9504</v>
      </c>
      <c r="Q368" s="187">
        <v>132.22999999999999</v>
      </c>
      <c r="R368" s="1">
        <v>1</v>
      </c>
      <c r="S368" s="90">
        <v>0.21</v>
      </c>
      <c r="T368" s="90">
        <v>0</v>
      </c>
      <c r="U368" s="363"/>
      <c r="V368" s="95">
        <f t="shared" si="9"/>
        <v>159.99829999999997</v>
      </c>
      <c r="W368" t="s">
        <v>9529</v>
      </c>
      <c r="X368" s="5" t="s">
        <v>9720</v>
      </c>
      <c r="Y368" s="2">
        <v>32653</v>
      </c>
      <c r="Z368" s="2">
        <v>45252</v>
      </c>
      <c r="AA368" s="398" t="s">
        <v>9955</v>
      </c>
      <c r="AB368" s="2">
        <v>45342</v>
      </c>
      <c r="AC368" s="80" t="s">
        <v>1339</v>
      </c>
      <c r="AF368" t="s">
        <v>3198</v>
      </c>
      <c r="AI368" s="76" t="s">
        <v>3108</v>
      </c>
      <c r="AJ368" s="2"/>
      <c r="AM368" s="74"/>
      <c r="AT368" s="1"/>
    </row>
    <row r="369" spans="1:139">
      <c r="A369" s="1">
        <v>367</v>
      </c>
      <c r="B369" t="s">
        <v>143</v>
      </c>
      <c r="C369" s="2">
        <v>45252</v>
      </c>
      <c r="D369" s="2"/>
      <c r="E369" t="s">
        <v>9530</v>
      </c>
      <c r="F369" t="s">
        <v>9505</v>
      </c>
      <c r="G369" t="s">
        <v>9506</v>
      </c>
      <c r="H369" s="6" t="s">
        <v>9507</v>
      </c>
      <c r="I369" s="1" t="s">
        <v>9508</v>
      </c>
      <c r="J369" s="8"/>
      <c r="K369" s="8"/>
      <c r="L369" s="76"/>
      <c r="M369" s="2">
        <v>45260</v>
      </c>
      <c r="N369" s="1" t="s">
        <v>35</v>
      </c>
      <c r="O369" s="14" t="s">
        <v>7925</v>
      </c>
      <c r="P369" s="14" t="s">
        <v>9517</v>
      </c>
      <c r="Q369" s="187">
        <v>132.22999999999999</v>
      </c>
      <c r="R369" s="1">
        <v>1</v>
      </c>
      <c r="S369" s="90">
        <v>0.21</v>
      </c>
      <c r="T369" s="90">
        <v>0</v>
      </c>
      <c r="U369" s="363"/>
      <c r="V369" s="95">
        <f t="shared" si="9"/>
        <v>159.99829999999997</v>
      </c>
      <c r="W369" t="s">
        <v>9530</v>
      </c>
      <c r="X369" s="5" t="s">
        <v>9717</v>
      </c>
      <c r="Y369" s="2">
        <v>36195</v>
      </c>
      <c r="Z369" s="2">
        <v>45252</v>
      </c>
      <c r="AA369" s="398" t="s">
        <v>9955</v>
      </c>
      <c r="AB369" s="2">
        <v>45342</v>
      </c>
      <c r="AC369" s="80" t="s">
        <v>1339</v>
      </c>
      <c r="AF369" t="s">
        <v>3198</v>
      </c>
      <c r="AI369" s="76" t="s">
        <v>3108</v>
      </c>
      <c r="AJ369" s="2">
        <v>45299</v>
      </c>
      <c r="AM369" s="74"/>
      <c r="AT369" s="1"/>
    </row>
    <row r="370" spans="1:139">
      <c r="A370" s="1">
        <v>368</v>
      </c>
      <c r="B370" t="s">
        <v>37</v>
      </c>
      <c r="C370" s="2">
        <v>45253</v>
      </c>
      <c r="D370" s="2"/>
      <c r="E370" t="s">
        <v>9565</v>
      </c>
      <c r="F370" s="61" t="s">
        <v>9509</v>
      </c>
      <c r="G370" s="61" t="s">
        <v>9510</v>
      </c>
      <c r="H370" s="6" t="s">
        <v>245</v>
      </c>
      <c r="I370" s="1" t="s">
        <v>54</v>
      </c>
      <c r="J370" s="8">
        <v>631901841</v>
      </c>
      <c r="K370" s="8"/>
      <c r="L370" t="s">
        <v>9565</v>
      </c>
      <c r="M370" s="2">
        <v>45260</v>
      </c>
      <c r="N370" s="1" t="s">
        <v>35</v>
      </c>
      <c r="O370" s="14" t="s">
        <v>9511</v>
      </c>
      <c r="P370" s="14" t="s">
        <v>9512</v>
      </c>
      <c r="Q370" s="187">
        <v>132.22999999999999</v>
      </c>
      <c r="R370" s="1">
        <v>1</v>
      </c>
      <c r="S370" s="90">
        <v>0.21</v>
      </c>
      <c r="T370" s="90">
        <v>0</v>
      </c>
      <c r="U370" s="95"/>
      <c r="V370" s="95">
        <f t="shared" si="9"/>
        <v>159.99829999999997</v>
      </c>
      <c r="W370" t="s">
        <v>9565</v>
      </c>
      <c r="X370" s="5" t="s">
        <v>9566</v>
      </c>
      <c r="Y370" s="2">
        <v>33729</v>
      </c>
      <c r="Z370" s="2">
        <v>45252</v>
      </c>
      <c r="AA370" s="285" t="s">
        <v>10630</v>
      </c>
      <c r="AB370" s="2">
        <v>45472</v>
      </c>
      <c r="AC370" s="80" t="s">
        <v>1339</v>
      </c>
      <c r="AE370" s="436">
        <v>45404</v>
      </c>
      <c r="AF370" t="s">
        <v>3198</v>
      </c>
      <c r="AI370" t="s">
        <v>8750</v>
      </c>
      <c r="AJ370" s="3">
        <v>45268</v>
      </c>
      <c r="AM370" s="3">
        <v>45273</v>
      </c>
    </row>
    <row r="371" spans="1:139">
      <c r="A371" s="1">
        <v>369</v>
      </c>
      <c r="B371" s="61" t="s">
        <v>33</v>
      </c>
      <c r="C371" s="2">
        <v>45253</v>
      </c>
      <c r="D371" s="2"/>
      <c r="E371" s="1" t="s">
        <v>9513</v>
      </c>
      <c r="F371" t="s">
        <v>9514</v>
      </c>
      <c r="G371" s="61" t="s">
        <v>9515</v>
      </c>
      <c r="H371" s="6" t="s">
        <v>9516</v>
      </c>
      <c r="I371" s="1" t="s">
        <v>3681</v>
      </c>
      <c r="J371" s="44"/>
      <c r="K371" s="114" t="s">
        <v>11744</v>
      </c>
      <c r="L371" t="s">
        <v>237</v>
      </c>
      <c r="M371" s="2">
        <v>45260</v>
      </c>
      <c r="N371" s="1" t="s">
        <v>35</v>
      </c>
      <c r="O371" s="61" t="s">
        <v>7926</v>
      </c>
      <c r="P371" s="14" t="s">
        <v>9518</v>
      </c>
      <c r="Q371" s="92">
        <v>132.22999999999999</v>
      </c>
      <c r="R371" s="1">
        <v>1</v>
      </c>
      <c r="S371" s="128">
        <v>0.21</v>
      </c>
      <c r="T371" s="128">
        <v>0.2</v>
      </c>
      <c r="U371" s="1"/>
      <c r="V371" s="95">
        <f t="shared" si="9"/>
        <v>127.99863999999999</v>
      </c>
      <c r="W371" t="s">
        <v>9551</v>
      </c>
      <c r="X371" s="5" t="s">
        <v>9552</v>
      </c>
      <c r="Y371" s="2">
        <v>33630</v>
      </c>
      <c r="Z371" s="2">
        <v>45253</v>
      </c>
      <c r="AA371" s="398" t="s">
        <v>9804</v>
      </c>
      <c r="AB371" s="2">
        <v>45308</v>
      </c>
      <c r="AC371" s="80" t="s">
        <v>1339</v>
      </c>
      <c r="AF371" t="s">
        <v>3198</v>
      </c>
      <c r="AI371" t="s">
        <v>3470</v>
      </c>
      <c r="AJ371" s="2">
        <v>45259</v>
      </c>
      <c r="AK371" s="2"/>
      <c r="AM371" s="3">
        <v>45268</v>
      </c>
      <c r="AT371" s="1"/>
    </row>
    <row r="372" spans="1:139">
      <c r="A372" s="1">
        <v>370</v>
      </c>
      <c r="B372" t="s">
        <v>33</v>
      </c>
      <c r="C372" s="2">
        <v>45257</v>
      </c>
      <c r="D372" s="2"/>
      <c r="E372" s="1" t="s">
        <v>5021</v>
      </c>
      <c r="F372" t="s">
        <v>5014</v>
      </c>
      <c r="G372" t="s">
        <v>5020</v>
      </c>
      <c r="H372" s="6" t="s">
        <v>219</v>
      </c>
      <c r="I372" s="1" t="s">
        <v>38</v>
      </c>
      <c r="K372" s="114" t="s">
        <v>11744</v>
      </c>
      <c r="L372" s="1" t="s">
        <v>237</v>
      </c>
      <c r="M372" s="2">
        <v>45260</v>
      </c>
      <c r="N372" s="1" t="s">
        <v>35</v>
      </c>
      <c r="O372" s="14" t="s">
        <v>7925</v>
      </c>
      <c r="P372" s="14" t="s">
        <v>9520</v>
      </c>
      <c r="Q372" s="92">
        <v>132.22999999999999</v>
      </c>
      <c r="R372" s="1">
        <v>1</v>
      </c>
      <c r="S372" s="128">
        <v>0.21</v>
      </c>
      <c r="T372" s="128">
        <v>0.2</v>
      </c>
      <c r="U372" s="363"/>
      <c r="V372" s="95">
        <f t="shared" si="9"/>
        <v>127.99863999999999</v>
      </c>
      <c r="W372" t="s">
        <v>9549</v>
      </c>
      <c r="X372" s="5" t="s">
        <v>9550</v>
      </c>
      <c r="Y372" s="2">
        <v>35091</v>
      </c>
      <c r="Z372" s="2">
        <v>45257</v>
      </c>
      <c r="AA372" s="61" t="s">
        <v>9891</v>
      </c>
      <c r="AB372" s="2">
        <v>45334</v>
      </c>
      <c r="AC372" s="80" t="s">
        <v>1339</v>
      </c>
      <c r="AD372" s="61"/>
      <c r="AE372" s="182">
        <v>45359</v>
      </c>
      <c r="AF372" t="s">
        <v>3198</v>
      </c>
      <c r="AI372" t="s">
        <v>3108</v>
      </c>
      <c r="AJ372" s="2">
        <v>45259</v>
      </c>
      <c r="AM372" s="3">
        <v>45268</v>
      </c>
      <c r="AS372" s="1"/>
      <c r="AT372" s="1"/>
    </row>
    <row r="373" spans="1:139">
      <c r="A373" s="1">
        <v>371</v>
      </c>
      <c r="B373" s="61" t="s">
        <v>37</v>
      </c>
      <c r="C373" s="2">
        <v>45257</v>
      </c>
      <c r="D373" s="2"/>
      <c r="E373" t="s">
        <v>7791</v>
      </c>
      <c r="F373" t="s">
        <v>7681</v>
      </c>
      <c r="G373" s="61" t="s">
        <v>7682</v>
      </c>
      <c r="H373" s="6" t="s">
        <v>314</v>
      </c>
      <c r="I373" s="1" t="s">
        <v>7683</v>
      </c>
      <c r="J373" s="8">
        <v>631123756</v>
      </c>
      <c r="K373" s="302"/>
      <c r="L373"/>
      <c r="M373" s="2">
        <v>45260</v>
      </c>
      <c r="N373" s="1" t="s">
        <v>35</v>
      </c>
      <c r="O373" s="14" t="s">
        <v>7934</v>
      </c>
      <c r="P373" s="14" t="s">
        <v>9521</v>
      </c>
      <c r="Q373" s="187">
        <v>78.510000000000005</v>
      </c>
      <c r="R373" s="1">
        <v>1</v>
      </c>
      <c r="S373" s="128">
        <v>0.21</v>
      </c>
      <c r="T373" s="128">
        <v>0</v>
      </c>
      <c r="V373" s="95">
        <f t="shared" si="9"/>
        <v>94.997100000000003</v>
      </c>
      <c r="W373" t="s">
        <v>7791</v>
      </c>
      <c r="X373" s="5" t="s">
        <v>9522</v>
      </c>
      <c r="Y373" s="2">
        <v>32701</v>
      </c>
      <c r="Z373" s="2">
        <v>45257</v>
      </c>
      <c r="AA373" s="398" t="s">
        <v>9732</v>
      </c>
      <c r="AB373" s="3">
        <v>45307</v>
      </c>
      <c r="AC373" s="80" t="s">
        <v>1339</v>
      </c>
      <c r="AF373" t="s">
        <v>3198</v>
      </c>
      <c r="AJ373" s="2"/>
      <c r="AM373" s="74"/>
      <c r="AT373" s="1"/>
    </row>
    <row r="374" spans="1:139">
      <c r="A374" s="1">
        <v>372</v>
      </c>
      <c r="B374" t="s">
        <v>1414</v>
      </c>
      <c r="C374" s="2">
        <v>45257</v>
      </c>
      <c r="D374" s="2"/>
      <c r="E374" s="1" t="s">
        <v>1852</v>
      </c>
      <c r="F374" s="61" t="s">
        <v>9523</v>
      </c>
      <c r="G374" s="61" t="s">
        <v>9524</v>
      </c>
      <c r="H374" s="6" t="s">
        <v>230</v>
      </c>
      <c r="I374" s="1" t="s">
        <v>8550</v>
      </c>
      <c r="J374" s="8"/>
      <c r="K374" s="8"/>
      <c r="M374" s="2">
        <v>45260</v>
      </c>
      <c r="N374" s="1" t="s">
        <v>35</v>
      </c>
      <c r="O374" s="61" t="s">
        <v>7926</v>
      </c>
      <c r="P374" s="14" t="s">
        <v>9525</v>
      </c>
      <c r="Q374" s="92">
        <v>132.22999999999999</v>
      </c>
      <c r="R374" s="1">
        <v>1</v>
      </c>
      <c r="S374" s="128">
        <v>0.21</v>
      </c>
      <c r="T374" s="128">
        <v>0.2</v>
      </c>
      <c r="U374" s="95"/>
      <c r="V374" s="95">
        <f t="shared" si="9"/>
        <v>127.99863999999999</v>
      </c>
      <c r="W374" t="s">
        <v>9547</v>
      </c>
      <c r="X374" s="5" t="s">
        <v>9548</v>
      </c>
      <c r="Y374" s="3">
        <v>28671</v>
      </c>
      <c r="Z374" s="2">
        <v>45257</v>
      </c>
      <c r="AA374" s="398" t="s">
        <v>9796</v>
      </c>
      <c r="AB374" s="2">
        <v>45308</v>
      </c>
      <c r="AC374" s="80" t="s">
        <v>1339</v>
      </c>
      <c r="AF374" t="s">
        <v>3198</v>
      </c>
      <c r="AI374" t="s">
        <v>3470</v>
      </c>
      <c r="AJ374" s="3">
        <v>45259</v>
      </c>
      <c r="AM374" s="3">
        <v>45272</v>
      </c>
    </row>
    <row r="375" spans="1:139">
      <c r="A375" s="1">
        <v>373</v>
      </c>
      <c r="B375" t="s">
        <v>33</v>
      </c>
      <c r="C375" s="2">
        <v>45258</v>
      </c>
      <c r="D375" s="2"/>
      <c r="E375" s="1" t="s">
        <v>5021</v>
      </c>
      <c r="F375" t="s">
        <v>5014</v>
      </c>
      <c r="G375" t="s">
        <v>5020</v>
      </c>
      <c r="H375" s="6" t="s">
        <v>219</v>
      </c>
      <c r="I375" s="1" t="s">
        <v>38</v>
      </c>
      <c r="K375" s="114" t="s">
        <v>11744</v>
      </c>
      <c r="L375" s="1" t="s">
        <v>237</v>
      </c>
      <c r="M375" s="2">
        <v>45260</v>
      </c>
      <c r="N375" s="1" t="s">
        <v>35</v>
      </c>
      <c r="O375" s="14" t="s">
        <v>7925</v>
      </c>
      <c r="P375" s="14" t="s">
        <v>9531</v>
      </c>
      <c r="Q375" s="92">
        <v>132.22999999999999</v>
      </c>
      <c r="R375" s="1">
        <v>1</v>
      </c>
      <c r="S375" s="128">
        <v>0.21</v>
      </c>
      <c r="T375" s="128">
        <v>0.2</v>
      </c>
      <c r="U375" s="363"/>
      <c r="V375" s="95">
        <f t="shared" si="9"/>
        <v>127.99863999999999</v>
      </c>
      <c r="W375" t="s">
        <v>9563</v>
      </c>
      <c r="X375" s="5" t="s">
        <v>9564</v>
      </c>
      <c r="Y375" s="2">
        <v>31943</v>
      </c>
      <c r="Z375" s="2">
        <v>45258</v>
      </c>
      <c r="AA375" s="398" t="s">
        <v>9917</v>
      </c>
      <c r="AB375" s="2">
        <v>45334</v>
      </c>
      <c r="AC375" s="80" t="s">
        <v>1339</v>
      </c>
      <c r="AD375" s="61"/>
      <c r="AF375" t="s">
        <v>3198</v>
      </c>
      <c r="AI375" t="s">
        <v>6757</v>
      </c>
      <c r="AJ375" s="2">
        <v>45268</v>
      </c>
      <c r="AM375" s="74">
        <v>45273</v>
      </c>
      <c r="AS375" s="1"/>
      <c r="AT375" s="1"/>
    </row>
    <row r="376" spans="1:139">
      <c r="A376" s="1">
        <v>374</v>
      </c>
      <c r="B376" t="s">
        <v>1242</v>
      </c>
      <c r="C376" s="2">
        <v>45258</v>
      </c>
      <c r="D376" s="2"/>
      <c r="E376" s="1" t="s">
        <v>9532</v>
      </c>
      <c r="F376" s="61" t="s">
        <v>9533</v>
      </c>
      <c r="G376" s="61" t="s">
        <v>9534</v>
      </c>
      <c r="H376" s="6" t="s">
        <v>227</v>
      </c>
      <c r="I376" s="1" t="s">
        <v>4719</v>
      </c>
      <c r="J376" s="8"/>
      <c r="K376" s="8" t="s">
        <v>5905</v>
      </c>
      <c r="L376" s="31" t="s">
        <v>1250</v>
      </c>
      <c r="M376" s="2">
        <v>45260</v>
      </c>
      <c r="N376" s="1" t="s">
        <v>35</v>
      </c>
      <c r="O376" s="14" t="s">
        <v>7925</v>
      </c>
      <c r="P376" s="14" t="s">
        <v>9535</v>
      </c>
      <c r="Q376" s="144">
        <v>132.22999999999999</v>
      </c>
      <c r="R376" s="1">
        <v>1</v>
      </c>
      <c r="S376" s="90">
        <v>0.21</v>
      </c>
      <c r="T376" s="90">
        <v>0.2</v>
      </c>
      <c r="U376" s="379"/>
      <c r="V376" s="95">
        <f t="shared" si="9"/>
        <v>127.99863999999999</v>
      </c>
      <c r="W376" t="s">
        <v>10083</v>
      </c>
      <c r="X376" s="5" t="s">
        <v>9536</v>
      </c>
      <c r="Y376" s="2">
        <v>29254</v>
      </c>
      <c r="Z376" s="2">
        <v>45258</v>
      </c>
      <c r="AA376" s="398" t="s">
        <v>9938</v>
      </c>
      <c r="AB376" s="2">
        <v>45336</v>
      </c>
      <c r="AC376" s="80" t="s">
        <v>1339</v>
      </c>
      <c r="AE376" s="3"/>
      <c r="AF376" t="s">
        <v>3198</v>
      </c>
      <c r="AI376" t="s">
        <v>9537</v>
      </c>
      <c r="AJ376" s="2"/>
      <c r="AK376" s="1"/>
      <c r="AM376" s="74">
        <v>45273</v>
      </c>
      <c r="AT376" s="1"/>
    </row>
    <row r="377" spans="1:139">
      <c r="A377" s="1">
        <v>375</v>
      </c>
      <c r="B377" t="s">
        <v>37</v>
      </c>
      <c r="C377" s="2">
        <v>45259</v>
      </c>
      <c r="D377" s="2"/>
      <c r="E377" s="1" t="s">
        <v>9538</v>
      </c>
      <c r="F377" s="61" t="s">
        <v>9539</v>
      </c>
      <c r="G377" s="61" t="s">
        <v>9540</v>
      </c>
      <c r="H377" s="6" t="s">
        <v>241</v>
      </c>
      <c r="I377" s="1" t="s">
        <v>60</v>
      </c>
      <c r="J377" s="8"/>
      <c r="K377" s="8"/>
      <c r="L377" s="1" t="s">
        <v>9538</v>
      </c>
      <c r="M377" s="2">
        <v>45260</v>
      </c>
      <c r="N377" s="1" t="s">
        <v>35</v>
      </c>
      <c r="O377" s="14" t="s">
        <v>7925</v>
      </c>
      <c r="P377" s="14" t="s">
        <v>9541</v>
      </c>
      <c r="Q377" s="144">
        <v>41.32</v>
      </c>
      <c r="R377" s="1">
        <v>1</v>
      </c>
      <c r="S377" s="90">
        <v>0.21</v>
      </c>
      <c r="T377" s="90">
        <v>0</v>
      </c>
      <c r="U377" s="379"/>
      <c r="V377" s="95">
        <f t="shared" si="9"/>
        <v>49.997199999999999</v>
      </c>
      <c r="X377" s="5"/>
      <c r="Y377" s="2"/>
      <c r="Z377" s="2"/>
      <c r="AA377" s="284"/>
      <c r="AB377" s="2"/>
      <c r="AC377" s="80"/>
      <c r="AE377" s="3"/>
      <c r="AI377" s="76"/>
      <c r="AJ377" s="2"/>
      <c r="AK377" s="1"/>
      <c r="AM377" s="74"/>
      <c r="AT377" s="1"/>
    </row>
    <row r="378" spans="1:139" s="197" customFormat="1">
      <c r="A378" s="1">
        <v>376</v>
      </c>
      <c r="B378" s="61" t="s">
        <v>4321</v>
      </c>
      <c r="C378" s="2">
        <v>45268</v>
      </c>
      <c r="D378" s="2"/>
      <c r="E378" s="1" t="s">
        <v>3427</v>
      </c>
      <c r="F378" s="61" t="s">
        <v>3428</v>
      </c>
      <c r="G378" s="61" t="s">
        <v>3433</v>
      </c>
      <c r="H378" s="6" t="s">
        <v>3429</v>
      </c>
      <c r="I378" s="1" t="s">
        <v>86</v>
      </c>
      <c r="J378" s="1">
        <v>650379091</v>
      </c>
      <c r="K378" s="8" t="s">
        <v>5991</v>
      </c>
      <c r="L378" s="1" t="s">
        <v>3427</v>
      </c>
      <c r="M378" s="2">
        <v>45291</v>
      </c>
      <c r="N378" t="s">
        <v>35</v>
      </c>
      <c r="O378" s="14" t="s">
        <v>7925</v>
      </c>
      <c r="P378" s="14" t="s">
        <v>9558</v>
      </c>
      <c r="Q378" s="187">
        <v>132.22999999999999</v>
      </c>
      <c r="R378" s="1">
        <v>1</v>
      </c>
      <c r="S378" s="128">
        <v>0.21</v>
      </c>
      <c r="T378" s="128">
        <v>0.2</v>
      </c>
      <c r="U378"/>
      <c r="V378" s="95">
        <f t="shared" si="9"/>
        <v>127.99863999999999</v>
      </c>
      <c r="W378" t="s">
        <v>9559</v>
      </c>
      <c r="X378" s="5" t="s">
        <v>9936</v>
      </c>
      <c r="Y378" s="2">
        <v>28856</v>
      </c>
      <c r="Z378" s="2">
        <v>45268</v>
      </c>
      <c r="AA378" s="398" t="s">
        <v>9991</v>
      </c>
      <c r="AB378" s="64">
        <v>45355</v>
      </c>
      <c r="AC378" s="80" t="s">
        <v>1339</v>
      </c>
      <c r="AD378"/>
      <c r="AE378"/>
      <c r="AF378" t="s">
        <v>3198</v>
      </c>
      <c r="AG378"/>
      <c r="AH378"/>
      <c r="AI378" t="s">
        <v>3108</v>
      </c>
      <c r="AJ378" s="2">
        <v>45289</v>
      </c>
      <c r="AK378"/>
      <c r="AL378"/>
      <c r="AM378" s="2">
        <v>45289</v>
      </c>
      <c r="AN378"/>
      <c r="AO378"/>
      <c r="AP378"/>
      <c r="AQ378"/>
      <c r="AR378"/>
      <c r="AS378"/>
      <c r="AT378" s="1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</row>
    <row r="379" spans="1:139">
      <c r="A379" s="1">
        <v>377</v>
      </c>
      <c r="B379" t="s">
        <v>3526</v>
      </c>
      <c r="C379" s="2">
        <v>45268</v>
      </c>
      <c r="D379" s="2"/>
      <c r="E379" s="1" t="s">
        <v>9560</v>
      </c>
      <c r="F379" s="61" t="s">
        <v>9561</v>
      </c>
      <c r="G379" s="61" t="s">
        <v>5885</v>
      </c>
      <c r="H379" s="6" t="s">
        <v>294</v>
      </c>
      <c r="I379" s="1" t="s">
        <v>3681</v>
      </c>
      <c r="J379" s="8"/>
      <c r="K379" s="1" t="s">
        <v>7759</v>
      </c>
      <c r="L379" s="1" t="s">
        <v>9560</v>
      </c>
      <c r="M379" s="2">
        <v>45291</v>
      </c>
      <c r="N379" t="s">
        <v>35</v>
      </c>
      <c r="O379" s="375" t="s">
        <v>7926</v>
      </c>
      <c r="P379" s="14" t="s">
        <v>9562</v>
      </c>
      <c r="Q379" s="144">
        <v>132.22999999999999</v>
      </c>
      <c r="R379" s="1">
        <v>1</v>
      </c>
      <c r="S379" s="90">
        <v>0.21</v>
      </c>
      <c r="T379" s="90">
        <v>0.2</v>
      </c>
      <c r="U379" s="379"/>
      <c r="V379" s="95">
        <f t="shared" si="9"/>
        <v>127.99863999999999</v>
      </c>
      <c r="W379" t="s">
        <v>9662</v>
      </c>
      <c r="X379" s="5" t="s">
        <v>9663</v>
      </c>
      <c r="Y379" s="2">
        <v>36112</v>
      </c>
      <c r="Z379" s="2">
        <v>45268</v>
      </c>
      <c r="AA379" s="398" t="s">
        <v>9808</v>
      </c>
      <c r="AB379" s="2">
        <v>45313</v>
      </c>
      <c r="AC379" s="80" t="s">
        <v>1339</v>
      </c>
      <c r="AE379" s="3"/>
      <c r="AF379" t="s">
        <v>3198</v>
      </c>
      <c r="AI379" s="76" t="s">
        <v>3470</v>
      </c>
      <c r="AJ379" s="2">
        <v>45281</v>
      </c>
      <c r="AK379" s="1"/>
      <c r="AM379" s="74"/>
      <c r="AT379" s="1"/>
    </row>
    <row r="380" spans="1:139">
      <c r="A380" s="1">
        <v>378</v>
      </c>
      <c r="B380" s="61" t="s">
        <v>37</v>
      </c>
      <c r="C380" s="2">
        <v>45268</v>
      </c>
      <c r="D380" s="2"/>
      <c r="E380" t="s">
        <v>9571</v>
      </c>
      <c r="F380" t="s">
        <v>9567</v>
      </c>
      <c r="G380" s="61" t="s">
        <v>9568</v>
      </c>
      <c r="H380" s="6" t="s">
        <v>9569</v>
      </c>
      <c r="I380" s="1" t="s">
        <v>9570</v>
      </c>
      <c r="J380" s="8">
        <v>632991572</v>
      </c>
      <c r="K380" s="302"/>
      <c r="L380" t="s">
        <v>9571</v>
      </c>
      <c r="M380" s="2">
        <v>45291</v>
      </c>
      <c r="N380" s="1" t="s">
        <v>35</v>
      </c>
      <c r="O380" s="14" t="s">
        <v>7934</v>
      </c>
      <c r="P380" s="14" t="s">
        <v>9521</v>
      </c>
      <c r="Q380" s="187">
        <v>78.510000000000005</v>
      </c>
      <c r="R380" s="1">
        <v>1</v>
      </c>
      <c r="S380" s="128">
        <v>0.21</v>
      </c>
      <c r="T380" s="128">
        <v>0</v>
      </c>
      <c r="V380" s="95">
        <f t="shared" si="9"/>
        <v>94.997100000000003</v>
      </c>
      <c r="W380" t="s">
        <v>9571</v>
      </c>
      <c r="X380" s="5" t="s">
        <v>9572</v>
      </c>
      <c r="Y380" s="2">
        <v>32773</v>
      </c>
      <c r="Z380" s="2">
        <v>45268</v>
      </c>
      <c r="AA380" s="398" t="s">
        <v>9991</v>
      </c>
      <c r="AB380" s="3">
        <v>45348</v>
      </c>
      <c r="AC380" s="80" t="s">
        <v>1339</v>
      </c>
      <c r="AF380" t="s">
        <v>3198</v>
      </c>
      <c r="AJ380" s="2"/>
      <c r="AM380" s="74"/>
      <c r="AT380" s="1"/>
    </row>
    <row r="381" spans="1:139">
      <c r="A381" s="1">
        <v>379</v>
      </c>
      <c r="B381" t="s">
        <v>5635</v>
      </c>
      <c r="C381" s="2">
        <v>45271</v>
      </c>
      <c r="D381" s="2"/>
      <c r="E381" s="1" t="s">
        <v>8791</v>
      </c>
      <c r="F381" t="s">
        <v>8718</v>
      </c>
      <c r="G381" t="s">
        <v>8719</v>
      </c>
      <c r="H381" s="6" t="s">
        <v>1424</v>
      </c>
      <c r="I381" s="1" t="s">
        <v>34</v>
      </c>
      <c r="J381" s="1" t="s">
        <v>8720</v>
      </c>
      <c r="K381" s="1"/>
      <c r="L381" s="1" t="s">
        <v>8791</v>
      </c>
      <c r="M381" s="2">
        <v>45291</v>
      </c>
      <c r="N381" s="1" t="s">
        <v>35</v>
      </c>
      <c r="O381" s="61" t="s">
        <v>7933</v>
      </c>
      <c r="P381" s="14" t="s">
        <v>9556</v>
      </c>
      <c r="Q381" s="92">
        <v>100</v>
      </c>
      <c r="R381" s="1">
        <v>1</v>
      </c>
      <c r="S381" s="128">
        <v>0.21</v>
      </c>
      <c r="T381" s="128">
        <v>0</v>
      </c>
      <c r="U381" s="363"/>
      <c r="V381" s="95">
        <f t="shared" si="9"/>
        <v>121</v>
      </c>
      <c r="W381" t="s">
        <v>8791</v>
      </c>
      <c r="X381" s="5" t="s">
        <v>8792</v>
      </c>
      <c r="Y381" s="2">
        <v>32675</v>
      </c>
      <c r="Z381" s="2">
        <v>45271</v>
      </c>
      <c r="AA381" s="2"/>
      <c r="AB381" s="2"/>
      <c r="AC381" s="80"/>
      <c r="AD381" s="61"/>
      <c r="AE381" s="61"/>
      <c r="AJ381" s="2"/>
      <c r="AM381" s="3"/>
      <c r="AT381" s="1"/>
    </row>
    <row r="382" spans="1:139">
      <c r="A382" s="1">
        <v>380</v>
      </c>
      <c r="B382" t="s">
        <v>3526</v>
      </c>
      <c r="C382" s="2">
        <v>45271</v>
      </c>
      <c r="D382" s="2"/>
      <c r="E382" s="1" t="s">
        <v>9071</v>
      </c>
      <c r="F382" t="s">
        <v>9072</v>
      </c>
      <c r="G382" t="s">
        <v>9073</v>
      </c>
      <c r="H382" s="6" t="s">
        <v>293</v>
      </c>
      <c r="I382" s="1" t="s">
        <v>9074</v>
      </c>
      <c r="K382" s="1" t="s">
        <v>9076</v>
      </c>
      <c r="L382" s="1" t="s">
        <v>9071</v>
      </c>
      <c r="M382" s="2">
        <v>45291</v>
      </c>
      <c r="N382" s="1" t="s">
        <v>35</v>
      </c>
      <c r="O382" s="375" t="s">
        <v>7933</v>
      </c>
      <c r="P382" s="14" t="s">
        <v>9557</v>
      </c>
      <c r="Q382" s="92">
        <v>100</v>
      </c>
      <c r="R382" s="1">
        <v>1</v>
      </c>
      <c r="S382" s="128">
        <v>0.21</v>
      </c>
      <c r="T382" s="128">
        <v>0</v>
      </c>
      <c r="U382" s="363"/>
      <c r="V382" s="95">
        <f t="shared" si="9"/>
        <v>121</v>
      </c>
      <c r="W382" t="s">
        <v>9087</v>
      </c>
      <c r="X382" s="5" t="s">
        <v>9088</v>
      </c>
      <c r="Y382" s="2">
        <v>30975</v>
      </c>
      <c r="Z382" s="2">
        <v>45271</v>
      </c>
      <c r="AA382" s="2"/>
      <c r="AB382" s="2"/>
      <c r="AC382" s="80"/>
      <c r="AD382" s="61"/>
      <c r="AI382" s="61"/>
      <c r="AJ382" s="2"/>
      <c r="AM382" s="3"/>
      <c r="AT382" s="1"/>
    </row>
    <row r="383" spans="1:139">
      <c r="A383" s="1">
        <v>381</v>
      </c>
      <c r="B383" t="s">
        <v>3526</v>
      </c>
      <c r="C383" s="2">
        <v>45271</v>
      </c>
      <c r="D383" s="2"/>
      <c r="E383" s="1" t="s">
        <v>7499</v>
      </c>
      <c r="F383" t="s">
        <v>7500</v>
      </c>
      <c r="G383" s="61" t="s">
        <v>7501</v>
      </c>
      <c r="H383" s="6" t="s">
        <v>294</v>
      </c>
      <c r="I383" s="1" t="s">
        <v>103</v>
      </c>
      <c r="J383" s="8">
        <v>603449867</v>
      </c>
      <c r="K383" s="1" t="s">
        <v>7503</v>
      </c>
      <c r="L383" t="s">
        <v>7499</v>
      </c>
      <c r="M383" s="2">
        <v>45291</v>
      </c>
      <c r="N383" s="1" t="s">
        <v>35</v>
      </c>
      <c r="O383" s="14" t="s">
        <v>7934</v>
      </c>
      <c r="P383" s="14" t="s">
        <v>6429</v>
      </c>
      <c r="Q383" s="187">
        <v>78.510000000000005</v>
      </c>
      <c r="R383" s="1">
        <v>1</v>
      </c>
      <c r="S383" s="128">
        <v>0.21</v>
      </c>
      <c r="T383" s="128">
        <v>0.2</v>
      </c>
      <c r="V383" s="95">
        <f t="shared" si="9"/>
        <v>75.997680000000003</v>
      </c>
      <c r="W383" t="s">
        <v>4380</v>
      </c>
      <c r="X383" s="5" t="s">
        <v>9573</v>
      </c>
      <c r="Y383" s="2">
        <v>34901</v>
      </c>
      <c r="Z383" s="2">
        <v>45271</v>
      </c>
      <c r="AA383" s="398" t="s">
        <v>9732</v>
      </c>
      <c r="AB383" s="2">
        <v>45303</v>
      </c>
      <c r="AC383" s="80" t="s">
        <v>1339</v>
      </c>
      <c r="AF383" t="s">
        <v>3198</v>
      </c>
      <c r="AI383" s="61"/>
      <c r="AJ383" s="2"/>
      <c r="AM383" s="74"/>
      <c r="AT383" s="1"/>
    </row>
    <row r="384" spans="1:139">
      <c r="A384" s="1">
        <v>382</v>
      </c>
      <c r="B384" t="s">
        <v>52</v>
      </c>
      <c r="C384" s="2">
        <v>45271</v>
      </c>
      <c r="D384" s="2"/>
      <c r="E384" s="1" t="s">
        <v>9574</v>
      </c>
      <c r="F384" s="61" t="s">
        <v>9575</v>
      </c>
      <c r="G384" s="61" t="s">
        <v>9576</v>
      </c>
      <c r="H384" s="6" t="s">
        <v>221</v>
      </c>
      <c r="I384" s="1" t="s">
        <v>34</v>
      </c>
      <c r="J384" s="8"/>
      <c r="K384" s="44" t="s">
        <v>5906</v>
      </c>
      <c r="L384" t="s">
        <v>9574</v>
      </c>
      <c r="M384" s="2">
        <v>45291</v>
      </c>
      <c r="N384" t="s">
        <v>35</v>
      </c>
      <c r="O384" s="61" t="s">
        <v>7926</v>
      </c>
      <c r="P384" s="14" t="s">
        <v>9577</v>
      </c>
      <c r="Q384" s="92">
        <v>132.22999999999999</v>
      </c>
      <c r="R384" s="1">
        <v>1</v>
      </c>
      <c r="S384" s="128">
        <v>0.21</v>
      </c>
      <c r="T384" s="128">
        <v>0.2</v>
      </c>
      <c r="U384" s="1"/>
      <c r="V384" s="95">
        <f t="shared" si="9"/>
        <v>127.99863999999999</v>
      </c>
      <c r="W384" t="s">
        <v>9666</v>
      </c>
      <c r="X384" s="5" t="s">
        <v>9667</v>
      </c>
      <c r="Y384" s="2">
        <v>35755</v>
      </c>
      <c r="Z384" s="2">
        <v>45271</v>
      </c>
      <c r="AA384" s="398" t="s">
        <v>9887</v>
      </c>
      <c r="AB384" s="3">
        <v>45328</v>
      </c>
      <c r="AC384" s="80" t="s">
        <v>1339</v>
      </c>
      <c r="AF384" t="s">
        <v>3198</v>
      </c>
      <c r="AI384" s="81" t="s">
        <v>3470</v>
      </c>
      <c r="AJ384" s="2">
        <v>45281</v>
      </c>
      <c r="AM384" s="74">
        <v>45282</v>
      </c>
      <c r="AS384" s="96"/>
      <c r="AT384" s="1"/>
    </row>
    <row r="385" spans="1:139">
      <c r="A385" s="1">
        <v>383</v>
      </c>
      <c r="B385" t="s">
        <v>143</v>
      </c>
      <c r="C385" s="2">
        <v>45271</v>
      </c>
      <c r="D385" s="2"/>
      <c r="E385" t="s">
        <v>9688</v>
      </c>
      <c r="F385" t="s">
        <v>9578</v>
      </c>
      <c r="G385" t="s">
        <v>9579</v>
      </c>
      <c r="H385" s="6" t="s">
        <v>9580</v>
      </c>
      <c r="I385" s="1" t="s">
        <v>9581</v>
      </c>
      <c r="J385" s="8">
        <v>642772136</v>
      </c>
      <c r="K385" s="8"/>
      <c r="L385" t="s">
        <v>9688</v>
      </c>
      <c r="M385" s="2">
        <v>45291</v>
      </c>
      <c r="N385" s="1" t="s">
        <v>35</v>
      </c>
      <c r="O385" s="14" t="s">
        <v>7925</v>
      </c>
      <c r="P385" s="14" t="s">
        <v>9582</v>
      </c>
      <c r="Q385" s="187">
        <v>132.22999999999999</v>
      </c>
      <c r="R385" s="1">
        <v>1</v>
      </c>
      <c r="S385" s="90">
        <v>0.21</v>
      </c>
      <c r="T385" s="90">
        <v>0</v>
      </c>
      <c r="U385" s="363"/>
      <c r="V385" s="95">
        <f t="shared" si="9"/>
        <v>159.99829999999997</v>
      </c>
      <c r="W385" t="s">
        <v>9688</v>
      </c>
      <c r="X385" s="5" t="s">
        <v>9754</v>
      </c>
      <c r="Y385" s="2">
        <v>31940</v>
      </c>
      <c r="Z385" s="2">
        <v>45271</v>
      </c>
      <c r="AA385" s="398" t="s">
        <v>9955</v>
      </c>
      <c r="AB385" s="2">
        <v>45342</v>
      </c>
      <c r="AC385" s="80" t="s">
        <v>1339</v>
      </c>
      <c r="AF385" t="s">
        <v>3198</v>
      </c>
      <c r="AI385" t="s">
        <v>3108</v>
      </c>
      <c r="AJ385" s="2">
        <v>45303</v>
      </c>
      <c r="AM385" s="2">
        <v>45303</v>
      </c>
      <c r="AT385" s="1"/>
    </row>
    <row r="386" spans="1:139">
      <c r="A386" s="1">
        <v>384</v>
      </c>
      <c r="B386" t="s">
        <v>1242</v>
      </c>
      <c r="C386" s="2">
        <v>45271</v>
      </c>
      <c r="D386" s="2"/>
      <c r="E386" s="1" t="s">
        <v>344</v>
      </c>
      <c r="F386" s="61" t="s">
        <v>345</v>
      </c>
      <c r="G386" s="61" t="s">
        <v>1249</v>
      </c>
      <c r="H386" s="6" t="s">
        <v>221</v>
      </c>
      <c r="I386" s="1" t="s">
        <v>34</v>
      </c>
      <c r="J386" s="1">
        <v>677842922</v>
      </c>
      <c r="K386" s="1" t="s">
        <v>5905</v>
      </c>
      <c r="L386" s="30" t="s">
        <v>1250</v>
      </c>
      <c r="M386" s="2">
        <v>45291</v>
      </c>
      <c r="N386" t="s">
        <v>35</v>
      </c>
      <c r="O386" s="14" t="s">
        <v>7925</v>
      </c>
      <c r="P386" s="14" t="s">
        <v>9583</v>
      </c>
      <c r="Q386" s="187">
        <v>132.22999999999999</v>
      </c>
      <c r="R386" s="1">
        <v>1</v>
      </c>
      <c r="S386" s="90">
        <v>0.21</v>
      </c>
      <c r="T386" s="90">
        <v>0.2</v>
      </c>
      <c r="U386" s="363"/>
      <c r="V386" s="95">
        <f t="shared" si="9"/>
        <v>127.99863999999999</v>
      </c>
      <c r="W386" t="s">
        <v>9660</v>
      </c>
      <c r="X386" s="5" t="s">
        <v>9661</v>
      </c>
      <c r="Y386" s="2">
        <v>27193</v>
      </c>
      <c r="Z386" s="2">
        <v>45271</v>
      </c>
      <c r="AA386" s="398" t="s">
        <v>9982</v>
      </c>
      <c r="AB386" s="3">
        <v>45345</v>
      </c>
      <c r="AC386" s="80" t="s">
        <v>1339</v>
      </c>
      <c r="AF386" t="s">
        <v>3198</v>
      </c>
      <c r="AI386" t="s">
        <v>3108</v>
      </c>
      <c r="AJ386" s="2">
        <v>45281</v>
      </c>
      <c r="AL386" s="3"/>
      <c r="AM386" s="3">
        <v>45288</v>
      </c>
    </row>
    <row r="387" spans="1:139">
      <c r="A387" s="1">
        <v>385</v>
      </c>
      <c r="B387" t="s">
        <v>5635</v>
      </c>
      <c r="C387" s="2">
        <v>45271</v>
      </c>
      <c r="D387" s="2"/>
      <c r="E387" s="1" t="s">
        <v>9584</v>
      </c>
      <c r="F387" t="s">
        <v>9585</v>
      </c>
      <c r="G387" t="s">
        <v>9586</v>
      </c>
      <c r="H387" s="6" t="s">
        <v>2273</v>
      </c>
      <c r="I387" s="1" t="s">
        <v>2274</v>
      </c>
      <c r="K387" s="1" t="s">
        <v>7800</v>
      </c>
      <c r="L387" s="1" t="s">
        <v>9584</v>
      </c>
      <c r="M387" s="2">
        <v>45291</v>
      </c>
      <c r="N387" t="s">
        <v>35</v>
      </c>
      <c r="O387" s="61" t="s">
        <v>7925</v>
      </c>
      <c r="P387" s="14" t="s">
        <v>9587</v>
      </c>
      <c r="Q387" s="92">
        <v>132.22999999999999</v>
      </c>
      <c r="R387" s="1">
        <v>1</v>
      </c>
      <c r="S387" s="128">
        <v>0.21</v>
      </c>
      <c r="T387" s="128">
        <v>0.2</v>
      </c>
      <c r="U387" s="363"/>
      <c r="V387" s="95">
        <f t="shared" si="9"/>
        <v>127.99863999999999</v>
      </c>
      <c r="W387" t="s">
        <v>9654</v>
      </c>
      <c r="X387" s="5" t="s">
        <v>9655</v>
      </c>
      <c r="Y387" s="2">
        <v>34734</v>
      </c>
      <c r="Z387" s="2">
        <v>45271</v>
      </c>
      <c r="AA387" s="398" t="s">
        <v>9938</v>
      </c>
      <c r="AB387" s="2">
        <v>45336</v>
      </c>
      <c r="AC387" s="80" t="s">
        <v>1339</v>
      </c>
      <c r="AD387" s="61"/>
      <c r="AE387" s="61"/>
      <c r="AF387" t="s">
        <v>3198</v>
      </c>
      <c r="AI387" t="s">
        <v>3108</v>
      </c>
      <c r="AJ387" s="2">
        <v>45281</v>
      </c>
      <c r="AM387" s="2">
        <v>45299</v>
      </c>
      <c r="AT387" s="1"/>
    </row>
    <row r="388" spans="1:139">
      <c r="A388" s="1">
        <v>386</v>
      </c>
      <c r="B388" t="s">
        <v>40</v>
      </c>
      <c r="C388" s="2">
        <v>45271</v>
      </c>
      <c r="D388" s="2"/>
      <c r="E388" t="s">
        <v>3260</v>
      </c>
      <c r="F388" t="s">
        <v>3262</v>
      </c>
      <c r="G388" t="s">
        <v>3264</v>
      </c>
      <c r="H388" s="6" t="s">
        <v>227</v>
      </c>
      <c r="I388" t="s">
        <v>203</v>
      </c>
      <c r="J388" s="8">
        <v>661226886</v>
      </c>
      <c r="K388" s="1" t="s">
        <v>8357</v>
      </c>
      <c r="L388" t="s">
        <v>3260</v>
      </c>
      <c r="M388" s="2">
        <v>45291</v>
      </c>
      <c r="N388" s="1" t="s">
        <v>35</v>
      </c>
      <c r="O388" s="61" t="s">
        <v>7926</v>
      </c>
      <c r="P388" s="14" t="s">
        <v>9588</v>
      </c>
      <c r="Q388" s="92">
        <v>132.22999999999999</v>
      </c>
      <c r="R388" s="1">
        <v>1</v>
      </c>
      <c r="S388" s="128">
        <v>0.21</v>
      </c>
      <c r="T388" s="128">
        <v>0.2</v>
      </c>
      <c r="U388" s="1"/>
      <c r="V388" s="95">
        <f t="shared" si="9"/>
        <v>127.99863999999999</v>
      </c>
      <c r="W388" t="s">
        <v>9711</v>
      </c>
      <c r="X388" s="5" t="s">
        <v>9712</v>
      </c>
      <c r="Y388" s="2">
        <v>38186</v>
      </c>
      <c r="Z388" s="2">
        <v>45271</v>
      </c>
      <c r="AA388" s="398" t="s">
        <v>9807</v>
      </c>
      <c r="AB388" s="2">
        <v>45314</v>
      </c>
      <c r="AC388" s="80" t="s">
        <v>1339</v>
      </c>
      <c r="AF388" t="s">
        <v>3198</v>
      </c>
      <c r="AI388" s="76" t="s">
        <v>3470</v>
      </c>
      <c r="AJ388" s="2">
        <v>45299</v>
      </c>
      <c r="AM388" s="2">
        <v>45299</v>
      </c>
      <c r="AT388" s="1"/>
    </row>
    <row r="389" spans="1:139">
      <c r="A389" s="1">
        <v>387</v>
      </c>
      <c r="B389" t="s">
        <v>9589</v>
      </c>
      <c r="C389" s="2">
        <v>45271</v>
      </c>
      <c r="D389" s="2"/>
      <c r="E389" s="1" t="s">
        <v>9590</v>
      </c>
      <c r="F389" t="s">
        <v>9591</v>
      </c>
      <c r="G389" t="s">
        <v>9592</v>
      </c>
      <c r="H389" s="6" t="s">
        <v>227</v>
      </c>
      <c r="I389" t="s">
        <v>203</v>
      </c>
      <c r="K389" s="1" t="s">
        <v>9593</v>
      </c>
      <c r="L389" s="1" t="s">
        <v>9590</v>
      </c>
      <c r="M389" s="2">
        <v>45291</v>
      </c>
      <c r="N389" s="1" t="s">
        <v>35</v>
      </c>
      <c r="O389" s="61" t="s">
        <v>7926</v>
      </c>
      <c r="P389" s="14" t="s">
        <v>9594</v>
      </c>
      <c r="Q389" s="92">
        <v>132.22999999999999</v>
      </c>
      <c r="R389" s="1">
        <v>1</v>
      </c>
      <c r="S389" s="128">
        <v>0.21</v>
      </c>
      <c r="T389" s="128">
        <v>0.2</v>
      </c>
      <c r="U389" s="363"/>
      <c r="V389" s="95">
        <f t="shared" si="9"/>
        <v>127.99863999999999</v>
      </c>
      <c r="W389" t="s">
        <v>9664</v>
      </c>
      <c r="X389" s="5" t="s">
        <v>9665</v>
      </c>
      <c r="Y389" s="2">
        <v>37676</v>
      </c>
      <c r="Z389" s="2">
        <v>45271</v>
      </c>
      <c r="AA389" s="398" t="s">
        <v>9892</v>
      </c>
      <c r="AB389" s="2">
        <v>45328</v>
      </c>
      <c r="AC389" s="80" t="s">
        <v>1339</v>
      </c>
      <c r="AD389" s="61"/>
      <c r="AE389" s="61"/>
      <c r="AF389" t="s">
        <v>3198</v>
      </c>
      <c r="AI389" t="s">
        <v>3470</v>
      </c>
      <c r="AJ389" s="2">
        <v>45281</v>
      </c>
      <c r="AM389" s="3">
        <v>45287</v>
      </c>
      <c r="AT389" s="1"/>
    </row>
    <row r="390" spans="1:139">
      <c r="A390" s="1">
        <v>388</v>
      </c>
      <c r="B390" t="s">
        <v>37</v>
      </c>
      <c r="C390" s="2">
        <v>45271</v>
      </c>
      <c r="D390" s="2"/>
      <c r="E390" t="s">
        <v>9652</v>
      </c>
      <c r="F390" t="s">
        <v>9595</v>
      </c>
      <c r="G390" t="s">
        <v>9596</v>
      </c>
      <c r="H390" s="6" t="s">
        <v>7966</v>
      </c>
      <c r="I390" s="1" t="s">
        <v>7965</v>
      </c>
      <c r="J390" s="1">
        <v>632114560</v>
      </c>
      <c r="K390" s="1"/>
      <c r="L390" t="s">
        <v>9652</v>
      </c>
      <c r="M390" s="2">
        <v>45291</v>
      </c>
      <c r="N390" s="1" t="s">
        <v>35</v>
      </c>
      <c r="O390" s="61" t="s">
        <v>7925</v>
      </c>
      <c r="P390" s="14" t="s">
        <v>9597</v>
      </c>
      <c r="Q390" s="92">
        <v>132.22999999999999</v>
      </c>
      <c r="R390" s="1">
        <v>1</v>
      </c>
      <c r="S390" s="128">
        <v>0.21</v>
      </c>
      <c r="T390" s="128">
        <v>0</v>
      </c>
      <c r="U390" s="363"/>
      <c r="V390" s="95">
        <f t="shared" si="9"/>
        <v>159.99829999999997</v>
      </c>
      <c r="W390" t="s">
        <v>9652</v>
      </c>
      <c r="X390" s="5" t="s">
        <v>9653</v>
      </c>
      <c r="Y390" s="2">
        <v>33761</v>
      </c>
      <c r="Z390" s="2">
        <v>45271</v>
      </c>
      <c r="AA390" s="398" t="s">
        <v>9938</v>
      </c>
      <c r="AB390" s="2">
        <v>45336</v>
      </c>
      <c r="AC390" s="80" t="s">
        <v>1339</v>
      </c>
      <c r="AD390" s="61"/>
      <c r="AE390" s="61"/>
      <c r="AF390" t="s">
        <v>3198</v>
      </c>
      <c r="AI390" s="81" t="s">
        <v>3108</v>
      </c>
      <c r="AJ390" s="2">
        <v>45281</v>
      </c>
      <c r="AM390" s="3">
        <v>45282</v>
      </c>
      <c r="AT390" s="1"/>
    </row>
    <row r="391" spans="1:139">
      <c r="A391" s="1">
        <v>389</v>
      </c>
      <c r="B391" t="s">
        <v>33</v>
      </c>
      <c r="C391" s="2">
        <v>45272</v>
      </c>
      <c r="D391" s="2"/>
      <c r="E391" s="1" t="s">
        <v>9598</v>
      </c>
      <c r="F391" t="s">
        <v>9599</v>
      </c>
      <c r="G391" t="s">
        <v>9600</v>
      </c>
      <c r="H391" s="6" t="s">
        <v>219</v>
      </c>
      <c r="I391" s="1" t="s">
        <v>38</v>
      </c>
      <c r="K391" s="114" t="s">
        <v>11744</v>
      </c>
      <c r="L391" s="1" t="s">
        <v>237</v>
      </c>
      <c r="M391" s="2">
        <v>45291</v>
      </c>
      <c r="N391" s="1" t="s">
        <v>35</v>
      </c>
      <c r="O391" s="14" t="s">
        <v>7934</v>
      </c>
      <c r="P391" s="14" t="s">
        <v>9601</v>
      </c>
      <c r="Q391" s="92">
        <v>78.510000000000005</v>
      </c>
      <c r="R391" s="1">
        <v>1</v>
      </c>
      <c r="S391" s="128">
        <v>0.21</v>
      </c>
      <c r="T391" s="128">
        <v>0.2</v>
      </c>
      <c r="U391" s="363"/>
      <c r="V391" s="95">
        <f t="shared" si="9"/>
        <v>75.997680000000003</v>
      </c>
      <c r="W391" t="s">
        <v>9602</v>
      </c>
      <c r="X391" s="5" t="s">
        <v>9603</v>
      </c>
      <c r="Y391" s="2">
        <v>33253</v>
      </c>
      <c r="Z391" s="2">
        <v>45272</v>
      </c>
      <c r="AA391" s="398" t="s">
        <v>9806</v>
      </c>
      <c r="AB391" s="2">
        <v>45313</v>
      </c>
      <c r="AC391" s="80" t="s">
        <v>1339</v>
      </c>
      <c r="AD391" s="61"/>
      <c r="AF391" t="s">
        <v>3198</v>
      </c>
      <c r="AJ391" s="2"/>
      <c r="AM391" s="3"/>
      <c r="AS391" s="1"/>
      <c r="AT391" s="1"/>
    </row>
    <row r="392" spans="1:139">
      <c r="A392" s="1">
        <v>390</v>
      </c>
      <c r="B392" t="s">
        <v>37</v>
      </c>
      <c r="C392" s="2">
        <v>45273</v>
      </c>
      <c r="D392" s="2"/>
      <c r="E392" s="2" t="s">
        <v>9611</v>
      </c>
      <c r="F392" t="s">
        <v>9612</v>
      </c>
      <c r="G392" t="s">
        <v>8858</v>
      </c>
      <c r="H392" s="6" t="s">
        <v>7966</v>
      </c>
      <c r="I392" s="1" t="s">
        <v>7965</v>
      </c>
      <c r="K392" s="1"/>
      <c r="L392" s="2" t="s">
        <v>9611</v>
      </c>
      <c r="M392" s="2">
        <v>45291</v>
      </c>
      <c r="N392" s="1" t="s">
        <v>35</v>
      </c>
      <c r="O392" s="14" t="s">
        <v>7934</v>
      </c>
      <c r="P392" s="14" t="s">
        <v>9613</v>
      </c>
      <c r="Q392" s="92">
        <v>78.510000000000005</v>
      </c>
      <c r="R392" s="1">
        <v>1</v>
      </c>
      <c r="S392" s="128">
        <v>0.21</v>
      </c>
      <c r="T392" s="128">
        <v>0.2</v>
      </c>
      <c r="U392" s="363"/>
      <c r="V392" s="95">
        <f t="shared" si="9"/>
        <v>75.997680000000003</v>
      </c>
      <c r="W392" t="s">
        <v>9611</v>
      </c>
      <c r="X392" s="5" t="s">
        <v>9614</v>
      </c>
      <c r="Y392" s="2">
        <v>37179</v>
      </c>
      <c r="Z392" s="2">
        <v>45273</v>
      </c>
      <c r="AA392" s="398" t="s">
        <v>9808</v>
      </c>
      <c r="AB392" s="2">
        <v>45313</v>
      </c>
      <c r="AC392" s="80" t="s">
        <v>1339</v>
      </c>
      <c r="AD392" s="61"/>
      <c r="AE392" s="61"/>
      <c r="AF392" t="s">
        <v>3198</v>
      </c>
      <c r="AJ392" s="2"/>
      <c r="AM392" s="3"/>
      <c r="AT392" s="1"/>
    </row>
    <row r="393" spans="1:139">
      <c r="A393" s="1">
        <v>391</v>
      </c>
      <c r="B393" t="s">
        <v>33</v>
      </c>
      <c r="C393" s="2">
        <v>45274</v>
      </c>
      <c r="D393" s="2"/>
      <c r="E393" s="1" t="s">
        <v>9598</v>
      </c>
      <c r="F393" t="s">
        <v>164</v>
      </c>
      <c r="G393" t="s">
        <v>6943</v>
      </c>
      <c r="H393" s="6" t="s">
        <v>304</v>
      </c>
      <c r="I393" s="1" t="s">
        <v>34</v>
      </c>
      <c r="K393" s="114" t="s">
        <v>11744</v>
      </c>
      <c r="L393" s="1" t="s">
        <v>237</v>
      </c>
      <c r="M393" s="2">
        <v>45291</v>
      </c>
      <c r="N393" s="1" t="s">
        <v>35</v>
      </c>
      <c r="O393" s="14" t="s">
        <v>7925</v>
      </c>
      <c r="P393" s="14" t="s">
        <v>9616</v>
      </c>
      <c r="Q393" s="92">
        <v>132.22999999999999</v>
      </c>
      <c r="R393" s="1">
        <v>1</v>
      </c>
      <c r="S393" s="128">
        <v>0.21</v>
      </c>
      <c r="T393" s="128">
        <v>0.2</v>
      </c>
      <c r="U393" s="363"/>
      <c r="V393" s="95">
        <f t="shared" si="9"/>
        <v>127.99863999999999</v>
      </c>
      <c r="W393" t="s">
        <v>9617</v>
      </c>
      <c r="X393" s="5" t="s">
        <v>9700</v>
      </c>
      <c r="Y393" s="2">
        <v>33340</v>
      </c>
      <c r="Z393" s="2">
        <v>45274</v>
      </c>
      <c r="AA393" s="398" t="s">
        <v>9916</v>
      </c>
      <c r="AB393" s="2">
        <v>45334</v>
      </c>
      <c r="AC393" s="80" t="s">
        <v>1339</v>
      </c>
      <c r="AD393" s="61"/>
      <c r="AF393" t="s">
        <v>3198</v>
      </c>
      <c r="AJ393" s="2"/>
      <c r="AM393" s="3"/>
      <c r="AS393" s="1"/>
      <c r="AT393" s="1"/>
    </row>
    <row r="394" spans="1:139" s="197" customFormat="1">
      <c r="A394" s="1">
        <v>392</v>
      </c>
      <c r="B394" s="61" t="s">
        <v>4321</v>
      </c>
      <c r="C394" s="2">
        <v>45274</v>
      </c>
      <c r="D394" s="2"/>
      <c r="E394" s="1" t="s">
        <v>3427</v>
      </c>
      <c r="F394" s="61" t="s">
        <v>3428</v>
      </c>
      <c r="G394" s="61" t="s">
        <v>3433</v>
      </c>
      <c r="H394" s="6" t="s">
        <v>3429</v>
      </c>
      <c r="I394" s="1" t="s">
        <v>86</v>
      </c>
      <c r="J394" s="1">
        <v>650379091</v>
      </c>
      <c r="K394" s="8" t="s">
        <v>5991</v>
      </c>
      <c r="L394" s="1" t="s">
        <v>3427</v>
      </c>
      <c r="M394" s="2">
        <v>45291</v>
      </c>
      <c r="N394" t="s">
        <v>35</v>
      </c>
      <c r="O394" s="14" t="s">
        <v>7925</v>
      </c>
      <c r="P394" s="14" t="s">
        <v>9618</v>
      </c>
      <c r="Q394" s="187">
        <v>132.22999999999999</v>
      </c>
      <c r="R394" s="1">
        <v>1</v>
      </c>
      <c r="S394" s="128">
        <v>0.21</v>
      </c>
      <c r="T394" s="128">
        <v>0.2</v>
      </c>
      <c r="U394"/>
      <c r="V394" s="95">
        <f t="shared" si="9"/>
        <v>127.99863999999999</v>
      </c>
      <c r="W394" t="s">
        <v>9682</v>
      </c>
      <c r="X394" s="5" t="s">
        <v>9683</v>
      </c>
      <c r="Y394" s="2">
        <v>36084</v>
      </c>
      <c r="Z394" s="2">
        <v>45274</v>
      </c>
      <c r="AA394" s="398" t="s">
        <v>9981</v>
      </c>
      <c r="AB394" s="3">
        <v>45345</v>
      </c>
      <c r="AC394" s="80" t="s">
        <v>1339</v>
      </c>
      <c r="AD394"/>
      <c r="AE394"/>
      <c r="AF394" t="s">
        <v>3198</v>
      </c>
      <c r="AG394"/>
      <c r="AH394"/>
      <c r="AI394" t="s">
        <v>8367</v>
      </c>
      <c r="AJ394" s="2">
        <v>45288</v>
      </c>
      <c r="AK394"/>
      <c r="AL394"/>
      <c r="AM394" s="74">
        <v>45299</v>
      </c>
      <c r="AN394"/>
      <c r="AO394"/>
      <c r="AP394"/>
      <c r="AQ394"/>
      <c r="AR394"/>
      <c r="AS394"/>
      <c r="AT394" s="1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</row>
    <row r="395" spans="1:139">
      <c r="A395" s="1">
        <v>393</v>
      </c>
      <c r="B395" s="61" t="s">
        <v>33</v>
      </c>
      <c r="C395" s="2">
        <v>45274</v>
      </c>
      <c r="D395" s="2"/>
      <c r="E395" s="1" t="s">
        <v>9480</v>
      </c>
      <c r="F395" t="s">
        <v>9481</v>
      </c>
      <c r="G395" s="61" t="s">
        <v>6907</v>
      </c>
      <c r="H395" s="6" t="s">
        <v>304</v>
      </c>
      <c r="I395" s="1" t="s">
        <v>3851</v>
      </c>
      <c r="J395" s="44"/>
      <c r="K395" s="114" t="s">
        <v>11744</v>
      </c>
      <c r="L395" t="s">
        <v>237</v>
      </c>
      <c r="M395" s="2">
        <v>45291</v>
      </c>
      <c r="N395" s="1" t="s">
        <v>35</v>
      </c>
      <c r="O395" s="61" t="s">
        <v>7925</v>
      </c>
      <c r="P395" s="14" t="s">
        <v>9619</v>
      </c>
      <c r="Q395" s="92">
        <v>132.22999999999999</v>
      </c>
      <c r="R395" s="1">
        <v>1</v>
      </c>
      <c r="S395" s="128">
        <v>0.21</v>
      </c>
      <c r="T395" s="128">
        <v>0.2</v>
      </c>
      <c r="U395" s="1"/>
      <c r="V395" s="95">
        <f t="shared" si="9"/>
        <v>127.99863999999999</v>
      </c>
      <c r="W395" t="s">
        <v>9620</v>
      </c>
      <c r="X395" s="5" t="s">
        <v>9684</v>
      </c>
      <c r="Y395" s="2">
        <v>34101</v>
      </c>
      <c r="Z395" s="2">
        <v>45274</v>
      </c>
      <c r="AA395" s="398" t="s">
        <v>9981</v>
      </c>
      <c r="AB395" s="3">
        <v>45345</v>
      </c>
      <c r="AC395" s="80" t="s">
        <v>1339</v>
      </c>
      <c r="AF395" t="s">
        <v>3198</v>
      </c>
      <c r="AI395" t="s">
        <v>3108</v>
      </c>
      <c r="AJ395" s="2">
        <v>45288</v>
      </c>
      <c r="AK395" s="2"/>
      <c r="AM395" s="2">
        <v>45293</v>
      </c>
      <c r="AT395" s="1"/>
    </row>
    <row r="396" spans="1:139">
      <c r="A396" s="1">
        <v>394</v>
      </c>
      <c r="B396" t="s">
        <v>1414</v>
      </c>
      <c r="C396" s="2">
        <v>45274</v>
      </c>
      <c r="D396" s="2"/>
      <c r="E396" s="1" t="s">
        <v>4834</v>
      </c>
      <c r="F396" t="s">
        <v>4835</v>
      </c>
      <c r="G396" t="s">
        <v>4836</v>
      </c>
      <c r="H396" s="6" t="s">
        <v>227</v>
      </c>
      <c r="I396" s="1" t="s">
        <v>4719</v>
      </c>
      <c r="J396" s="8"/>
      <c r="K396" s="8"/>
      <c r="L396" t="s">
        <v>4834</v>
      </c>
      <c r="M396" s="2">
        <v>45291</v>
      </c>
      <c r="N396" s="1" t="s">
        <v>35</v>
      </c>
      <c r="O396" s="61" t="s">
        <v>7934</v>
      </c>
      <c r="P396" s="14" t="s">
        <v>9621</v>
      </c>
      <c r="Q396" s="187">
        <v>78.510000000000005</v>
      </c>
      <c r="R396" s="1">
        <v>1</v>
      </c>
      <c r="S396" s="90">
        <v>0.21</v>
      </c>
      <c r="T396" s="90">
        <v>0.2</v>
      </c>
      <c r="V396" s="95">
        <f t="shared" si="9"/>
        <v>75.997680000000003</v>
      </c>
      <c r="W396" t="s">
        <v>7745</v>
      </c>
      <c r="X396" s="5" t="s">
        <v>9622</v>
      </c>
      <c r="Y396" s="2">
        <v>31047</v>
      </c>
      <c r="Z396" s="2">
        <v>45274</v>
      </c>
      <c r="AA396" s="398" t="s">
        <v>9821</v>
      </c>
      <c r="AB396" s="2">
        <v>45316</v>
      </c>
      <c r="AC396" s="80" t="s">
        <v>1339</v>
      </c>
      <c r="AF396" t="s">
        <v>3198</v>
      </c>
      <c r="AJ396" s="2"/>
      <c r="AM396" s="3"/>
      <c r="AT396" s="1"/>
    </row>
    <row r="397" spans="1:139">
      <c r="A397" s="1">
        <v>395</v>
      </c>
      <c r="B397" s="61" t="s">
        <v>1414</v>
      </c>
      <c r="C397" s="2">
        <v>45278</v>
      </c>
      <c r="D397" s="2"/>
      <c r="E397" s="1" t="s">
        <v>176</v>
      </c>
      <c r="F397" s="61" t="s">
        <v>4460</v>
      </c>
      <c r="G397" s="61" t="s">
        <v>4461</v>
      </c>
      <c r="H397" s="6" t="s">
        <v>230</v>
      </c>
      <c r="I397" t="s">
        <v>1262</v>
      </c>
      <c r="J397" s="8">
        <v>637571817</v>
      </c>
      <c r="K397" s="8"/>
      <c r="L397" t="s">
        <v>176</v>
      </c>
      <c r="M397" s="2">
        <v>45291</v>
      </c>
      <c r="N397" s="1" t="s">
        <v>35</v>
      </c>
      <c r="O397" s="61" t="s">
        <v>7925</v>
      </c>
      <c r="P397" s="14" t="s">
        <v>9624</v>
      </c>
      <c r="Q397" s="163">
        <v>132.22999999999999</v>
      </c>
      <c r="R397" s="1">
        <v>1</v>
      </c>
      <c r="S397" s="90">
        <v>0.21</v>
      </c>
      <c r="T397" s="90">
        <v>0.2</v>
      </c>
      <c r="V397" s="95">
        <f t="shared" si="9"/>
        <v>127.99863999999999</v>
      </c>
      <c r="W397" t="s">
        <v>9698</v>
      </c>
      <c r="X397" s="5" t="s">
        <v>9699</v>
      </c>
      <c r="Y397" s="2">
        <v>34699</v>
      </c>
      <c r="Z397" s="2">
        <v>45278</v>
      </c>
      <c r="AA397" s="398" t="s">
        <v>10010</v>
      </c>
      <c r="AB397" s="3">
        <v>45355</v>
      </c>
      <c r="AC397" s="80" t="s">
        <v>1339</v>
      </c>
      <c r="AF397" t="s">
        <v>3198</v>
      </c>
      <c r="AI397" t="s">
        <v>3108</v>
      </c>
      <c r="AJ397" s="2">
        <v>45293</v>
      </c>
      <c r="AM397" s="74">
        <v>45299</v>
      </c>
      <c r="AT397" s="1"/>
    </row>
    <row r="398" spans="1:139">
      <c r="A398" s="1">
        <v>396</v>
      </c>
      <c r="B398" t="s">
        <v>7036</v>
      </c>
      <c r="C398" s="2">
        <v>45278</v>
      </c>
      <c r="D398" s="2"/>
      <c r="E398" s="2" t="s">
        <v>7093</v>
      </c>
      <c r="F398" t="s">
        <v>9625</v>
      </c>
      <c r="G398" t="s">
        <v>9626</v>
      </c>
      <c r="H398" s="6" t="s">
        <v>250</v>
      </c>
      <c r="I398" s="1" t="s">
        <v>86</v>
      </c>
      <c r="K398" s="1"/>
      <c r="L398" s="2" t="s">
        <v>7093</v>
      </c>
      <c r="M398" s="2">
        <v>45291</v>
      </c>
      <c r="N398" s="1" t="s">
        <v>35</v>
      </c>
      <c r="O398" s="61" t="s">
        <v>7934</v>
      </c>
      <c r="P398" s="14" t="s">
        <v>9627</v>
      </c>
      <c r="Q398" s="92">
        <v>78.510000000000005</v>
      </c>
      <c r="R398" s="1">
        <v>1</v>
      </c>
      <c r="S398" s="128">
        <v>0.21</v>
      </c>
      <c r="T398" s="128">
        <v>0.2</v>
      </c>
      <c r="U398" s="363"/>
      <c r="V398" s="95">
        <f t="shared" si="9"/>
        <v>75.997680000000003</v>
      </c>
      <c r="W398" s="2" t="s">
        <v>7093</v>
      </c>
      <c r="X398" s="5" t="s">
        <v>9628</v>
      </c>
      <c r="Y398" s="2">
        <v>36937</v>
      </c>
      <c r="Z398" s="2">
        <v>45278</v>
      </c>
      <c r="AA398" s="398" t="s">
        <v>9806</v>
      </c>
      <c r="AB398" s="2">
        <v>45313</v>
      </c>
      <c r="AC398" s="80" t="s">
        <v>1339</v>
      </c>
      <c r="AD398" s="61"/>
      <c r="AE398" s="61"/>
      <c r="AF398" t="s">
        <v>3198</v>
      </c>
      <c r="AJ398" s="2"/>
      <c r="AM398" s="3"/>
      <c r="AT398" s="1"/>
    </row>
    <row r="399" spans="1:139">
      <c r="A399" s="1">
        <v>397</v>
      </c>
      <c r="B399" t="s">
        <v>7036</v>
      </c>
      <c r="C399" s="2">
        <v>45278</v>
      </c>
      <c r="D399" s="2"/>
      <c r="E399" s="2" t="s">
        <v>7427</v>
      </c>
      <c r="F399" t="s">
        <v>9629</v>
      </c>
      <c r="G399" t="s">
        <v>9630</v>
      </c>
      <c r="H399" s="6" t="s">
        <v>250</v>
      </c>
      <c r="I399" s="1" t="s">
        <v>86</v>
      </c>
      <c r="K399" s="1"/>
      <c r="L399" s="2" t="s">
        <v>7427</v>
      </c>
      <c r="M399" s="2">
        <v>45291</v>
      </c>
      <c r="N399" s="1" t="s">
        <v>35</v>
      </c>
      <c r="O399" s="61" t="s">
        <v>7934</v>
      </c>
      <c r="P399" s="14" t="s">
        <v>9631</v>
      </c>
      <c r="Q399" s="92">
        <v>78.510000000000005</v>
      </c>
      <c r="R399" s="1">
        <v>1</v>
      </c>
      <c r="S399" s="128">
        <v>0.21</v>
      </c>
      <c r="T399" s="128">
        <v>0.2</v>
      </c>
      <c r="U399" s="363"/>
      <c r="V399" s="95">
        <f t="shared" si="9"/>
        <v>75.997680000000003</v>
      </c>
      <c r="W399" s="2" t="s">
        <v>7427</v>
      </c>
      <c r="X399" s="5" t="s">
        <v>9632</v>
      </c>
      <c r="Y399" s="2">
        <v>34869</v>
      </c>
      <c r="Z399" s="2">
        <v>45278</v>
      </c>
      <c r="AA399" s="398" t="s">
        <v>9806</v>
      </c>
      <c r="AB399" s="2">
        <v>45313</v>
      </c>
      <c r="AC399" s="80" t="s">
        <v>1339</v>
      </c>
      <c r="AD399" s="61"/>
      <c r="AE399" s="61"/>
      <c r="AF399" t="s">
        <v>3198</v>
      </c>
      <c r="AJ399" s="2"/>
      <c r="AM399" s="3"/>
      <c r="AT399" s="1"/>
    </row>
    <row r="400" spans="1:139">
      <c r="A400" s="1">
        <v>398</v>
      </c>
      <c r="B400" t="s">
        <v>4715</v>
      </c>
      <c r="C400" s="2">
        <v>45204</v>
      </c>
      <c r="D400" s="2"/>
      <c r="E400" s="1" t="s">
        <v>4716</v>
      </c>
      <c r="F400" t="s">
        <v>5191</v>
      </c>
      <c r="G400" s="61" t="s">
        <v>5192</v>
      </c>
      <c r="H400" s="6" t="s">
        <v>236</v>
      </c>
      <c r="I400" s="1" t="s">
        <v>34</v>
      </c>
      <c r="J400" s="8"/>
      <c r="K400" s="8" t="s">
        <v>7002</v>
      </c>
      <c r="L400" t="s">
        <v>4716</v>
      </c>
      <c r="M400" s="2">
        <v>45291</v>
      </c>
      <c r="N400" s="1" t="s">
        <v>35</v>
      </c>
      <c r="O400" s="61" t="s">
        <v>9218</v>
      </c>
      <c r="P400" s="14" t="s">
        <v>9219</v>
      </c>
      <c r="Q400" s="187">
        <v>132.22999999999999</v>
      </c>
      <c r="R400" s="1">
        <v>1</v>
      </c>
      <c r="S400" s="128">
        <v>0.21</v>
      </c>
      <c r="T400" s="128">
        <v>0.2</v>
      </c>
      <c r="U400" s="209"/>
      <c r="V400" s="95">
        <f t="shared" ref="V400:V408" si="10">SUM(Q400-(Q400*T400))*S400+(Q400-(Q400*T400))+U400</f>
        <v>127.99863999999999</v>
      </c>
      <c r="W400" s="342" t="s">
        <v>5209</v>
      </c>
      <c r="Y400" s="210">
        <v>31754</v>
      </c>
      <c r="Z400" s="2">
        <v>45204</v>
      </c>
      <c r="AA400" s="11" t="s">
        <v>9633</v>
      </c>
      <c r="AB400" s="3">
        <v>45278</v>
      </c>
      <c r="AC400" s="80" t="s">
        <v>1339</v>
      </c>
      <c r="AF400" t="s">
        <v>3198</v>
      </c>
      <c r="AI400" s="1"/>
      <c r="AJ400" s="1"/>
      <c r="AM400" s="8"/>
      <c r="AT400" s="1"/>
    </row>
    <row r="401" spans="1:139">
      <c r="A401" s="1">
        <v>399</v>
      </c>
      <c r="B401" t="s">
        <v>4715</v>
      </c>
      <c r="C401" s="2">
        <v>45204</v>
      </c>
      <c r="D401" s="2"/>
      <c r="E401" s="1" t="s">
        <v>4716</v>
      </c>
      <c r="F401" t="s">
        <v>5191</v>
      </c>
      <c r="G401" s="61" t="s">
        <v>5192</v>
      </c>
      <c r="H401" s="6" t="s">
        <v>236</v>
      </c>
      <c r="I401" s="1" t="s">
        <v>34</v>
      </c>
      <c r="J401" s="8"/>
      <c r="K401" s="8" t="s">
        <v>7002</v>
      </c>
      <c r="L401" t="s">
        <v>4716</v>
      </c>
      <c r="M401" s="2">
        <v>45291</v>
      </c>
      <c r="N401" s="1" t="s">
        <v>35</v>
      </c>
      <c r="O401" s="61" t="s">
        <v>9218</v>
      </c>
      <c r="P401" s="14" t="s">
        <v>9220</v>
      </c>
      <c r="Q401" s="187">
        <v>132.22999999999999</v>
      </c>
      <c r="R401" s="1">
        <v>1</v>
      </c>
      <c r="S401" s="128">
        <v>0.21</v>
      </c>
      <c r="T401" s="128">
        <v>0.2</v>
      </c>
      <c r="U401" s="209"/>
      <c r="V401" s="95">
        <f t="shared" si="10"/>
        <v>127.99863999999999</v>
      </c>
      <c r="W401" s="343" t="s">
        <v>5210</v>
      </c>
      <c r="Y401" s="210">
        <v>28240</v>
      </c>
      <c r="Z401" s="2">
        <v>45204</v>
      </c>
      <c r="AA401" s="11" t="s">
        <v>9633</v>
      </c>
      <c r="AB401" s="3">
        <v>45278</v>
      </c>
      <c r="AC401" s="80" t="s">
        <v>1339</v>
      </c>
      <c r="AF401" t="s">
        <v>3198</v>
      </c>
      <c r="AI401" s="1"/>
      <c r="AJ401" s="1"/>
      <c r="AM401" s="8"/>
      <c r="AT401" s="1"/>
    </row>
    <row r="402" spans="1:139">
      <c r="A402" s="1">
        <v>400</v>
      </c>
      <c r="B402" t="s">
        <v>4715</v>
      </c>
      <c r="C402" s="2">
        <v>45204</v>
      </c>
      <c r="D402" s="2"/>
      <c r="E402" s="1" t="s">
        <v>4716</v>
      </c>
      <c r="F402" t="s">
        <v>5191</v>
      </c>
      <c r="G402" s="61" t="s">
        <v>5192</v>
      </c>
      <c r="H402" s="6" t="s">
        <v>236</v>
      </c>
      <c r="I402" s="1" t="s">
        <v>34</v>
      </c>
      <c r="J402" s="8"/>
      <c r="K402" s="8" t="s">
        <v>7002</v>
      </c>
      <c r="L402" t="s">
        <v>4716</v>
      </c>
      <c r="M402" s="2">
        <v>45291</v>
      </c>
      <c r="N402" s="1" t="s">
        <v>35</v>
      </c>
      <c r="O402" s="61" t="s">
        <v>9218</v>
      </c>
      <c r="P402" s="14" t="s">
        <v>9221</v>
      </c>
      <c r="Q402" s="187">
        <v>132.22999999999999</v>
      </c>
      <c r="R402" s="1">
        <v>1</v>
      </c>
      <c r="S402" s="128">
        <v>0.21</v>
      </c>
      <c r="T402" s="128">
        <v>0.2</v>
      </c>
      <c r="U402" s="209"/>
      <c r="V402" s="95">
        <f t="shared" si="10"/>
        <v>127.99863999999999</v>
      </c>
      <c r="W402" s="343" t="s">
        <v>5203</v>
      </c>
      <c r="Y402" s="210">
        <v>27001</v>
      </c>
      <c r="Z402" s="2">
        <v>45204</v>
      </c>
      <c r="AA402" s="11" t="s">
        <v>9633</v>
      </c>
      <c r="AB402" s="3">
        <v>45278</v>
      </c>
      <c r="AC402" s="80" t="s">
        <v>1339</v>
      </c>
      <c r="AF402" t="s">
        <v>3198</v>
      </c>
      <c r="AI402" s="1"/>
      <c r="AJ402" s="1"/>
      <c r="AM402" s="8"/>
      <c r="AT402" s="1"/>
    </row>
    <row r="403" spans="1:139">
      <c r="A403" s="1">
        <v>401</v>
      </c>
      <c r="B403" t="s">
        <v>4715</v>
      </c>
      <c r="C403" s="2">
        <v>45204</v>
      </c>
      <c r="D403" s="2"/>
      <c r="E403" s="1" t="s">
        <v>4716</v>
      </c>
      <c r="F403" t="s">
        <v>5191</v>
      </c>
      <c r="G403" s="61" t="s">
        <v>5192</v>
      </c>
      <c r="H403" s="6" t="s">
        <v>236</v>
      </c>
      <c r="I403" s="1" t="s">
        <v>34</v>
      </c>
      <c r="J403" s="8"/>
      <c r="K403" s="8" t="s">
        <v>7002</v>
      </c>
      <c r="L403" t="s">
        <v>4716</v>
      </c>
      <c r="M403" s="2">
        <v>45291</v>
      </c>
      <c r="N403" s="1" t="s">
        <v>35</v>
      </c>
      <c r="O403" s="61" t="s">
        <v>9218</v>
      </c>
      <c r="P403" s="14" t="s">
        <v>9222</v>
      </c>
      <c r="Q403" s="187">
        <v>132.22999999999999</v>
      </c>
      <c r="R403" s="1">
        <v>1</v>
      </c>
      <c r="S403" s="128">
        <v>0.21</v>
      </c>
      <c r="T403" s="128">
        <v>0.2</v>
      </c>
      <c r="U403" s="209"/>
      <c r="V403" s="95">
        <f t="shared" si="10"/>
        <v>127.99863999999999</v>
      </c>
      <c r="W403" s="343" t="s">
        <v>5204</v>
      </c>
      <c r="Y403" s="211">
        <v>27030</v>
      </c>
      <c r="Z403" s="2">
        <v>45204</v>
      </c>
      <c r="AA403" s="11" t="s">
        <v>9633</v>
      </c>
      <c r="AB403" s="3">
        <v>45278</v>
      </c>
      <c r="AC403" s="80" t="s">
        <v>1339</v>
      </c>
      <c r="AF403" t="s">
        <v>3198</v>
      </c>
      <c r="AI403" s="1"/>
      <c r="AJ403" s="1"/>
      <c r="AM403" s="8"/>
      <c r="AT403" s="1"/>
    </row>
    <row r="404" spans="1:139">
      <c r="A404" s="1">
        <v>402</v>
      </c>
      <c r="B404" t="s">
        <v>4715</v>
      </c>
      <c r="C404" s="2">
        <v>45204</v>
      </c>
      <c r="D404" s="2"/>
      <c r="E404" s="1" t="s">
        <v>4716</v>
      </c>
      <c r="F404" t="s">
        <v>5191</v>
      </c>
      <c r="G404" s="61" t="s">
        <v>5192</v>
      </c>
      <c r="H404" s="6" t="s">
        <v>236</v>
      </c>
      <c r="I404" s="1" t="s">
        <v>34</v>
      </c>
      <c r="J404" s="8"/>
      <c r="K404" s="8" t="s">
        <v>7002</v>
      </c>
      <c r="L404" t="s">
        <v>4716</v>
      </c>
      <c r="M404" s="2">
        <v>45291</v>
      </c>
      <c r="N404" s="1" t="s">
        <v>35</v>
      </c>
      <c r="O404" s="61" t="s">
        <v>9218</v>
      </c>
      <c r="P404" s="14" t="s">
        <v>9223</v>
      </c>
      <c r="Q404" s="187">
        <v>132.22999999999999</v>
      </c>
      <c r="R404" s="1">
        <v>1</v>
      </c>
      <c r="S404" s="128">
        <v>0.21</v>
      </c>
      <c r="T404" s="128">
        <v>0.2</v>
      </c>
      <c r="U404" s="209"/>
      <c r="V404" s="95">
        <f t="shared" si="10"/>
        <v>127.99863999999999</v>
      </c>
      <c r="W404" s="343" t="s">
        <v>5205</v>
      </c>
      <c r="Y404" s="211">
        <v>29952</v>
      </c>
      <c r="Z404" s="2">
        <v>45204</v>
      </c>
      <c r="AA404" s="11" t="s">
        <v>9633</v>
      </c>
      <c r="AB404" s="3">
        <v>45278</v>
      </c>
      <c r="AC404" s="80" t="s">
        <v>1339</v>
      </c>
      <c r="AF404" t="s">
        <v>3198</v>
      </c>
      <c r="AI404" s="1"/>
      <c r="AJ404" s="1"/>
      <c r="AM404" s="8"/>
      <c r="AT404" s="1"/>
    </row>
    <row r="405" spans="1:139">
      <c r="A405" s="1">
        <v>403</v>
      </c>
      <c r="B405" t="s">
        <v>4715</v>
      </c>
      <c r="C405" s="2">
        <v>45204</v>
      </c>
      <c r="D405" s="2"/>
      <c r="E405" s="1" t="s">
        <v>4716</v>
      </c>
      <c r="F405" t="s">
        <v>5191</v>
      </c>
      <c r="G405" s="61" t="s">
        <v>5192</v>
      </c>
      <c r="H405" s="6" t="s">
        <v>236</v>
      </c>
      <c r="I405" s="1" t="s">
        <v>34</v>
      </c>
      <c r="J405" s="8"/>
      <c r="K405" s="8" t="s">
        <v>7002</v>
      </c>
      <c r="L405" t="s">
        <v>4716</v>
      </c>
      <c r="M405" s="2">
        <v>45291</v>
      </c>
      <c r="N405" s="1" t="s">
        <v>35</v>
      </c>
      <c r="O405" s="61" t="s">
        <v>9218</v>
      </c>
      <c r="P405" s="14" t="s">
        <v>9224</v>
      </c>
      <c r="Q405" s="187">
        <v>132.22999999999999</v>
      </c>
      <c r="R405" s="1">
        <v>1</v>
      </c>
      <c r="S405" s="128">
        <v>0.21</v>
      </c>
      <c r="T405" s="128">
        <v>0.2</v>
      </c>
      <c r="U405" s="209"/>
      <c r="V405" s="95">
        <f t="shared" si="10"/>
        <v>127.99863999999999</v>
      </c>
      <c r="W405" s="343" t="s">
        <v>5206</v>
      </c>
      <c r="Y405" s="211">
        <v>27030</v>
      </c>
      <c r="Z405" s="2">
        <v>45204</v>
      </c>
      <c r="AA405" s="11" t="s">
        <v>9633</v>
      </c>
      <c r="AB405" s="3">
        <v>45278</v>
      </c>
      <c r="AC405" s="80" t="s">
        <v>1339</v>
      </c>
      <c r="AF405" t="s">
        <v>3198</v>
      </c>
      <c r="AI405" s="1"/>
      <c r="AJ405" s="1"/>
      <c r="AM405" s="8"/>
      <c r="AT405" s="1"/>
    </row>
    <row r="406" spans="1:139">
      <c r="A406" s="1">
        <v>404</v>
      </c>
      <c r="B406" t="s">
        <v>4715</v>
      </c>
      <c r="C406" s="2">
        <v>45204</v>
      </c>
      <c r="D406" s="2"/>
      <c r="E406" s="1" t="s">
        <v>4716</v>
      </c>
      <c r="F406" t="s">
        <v>5191</v>
      </c>
      <c r="G406" s="61" t="s">
        <v>5192</v>
      </c>
      <c r="H406" s="6" t="s">
        <v>236</v>
      </c>
      <c r="I406" s="1" t="s">
        <v>34</v>
      </c>
      <c r="J406" s="8"/>
      <c r="K406" s="8" t="s">
        <v>7002</v>
      </c>
      <c r="L406" t="s">
        <v>4716</v>
      </c>
      <c r="M406" s="2">
        <v>45291</v>
      </c>
      <c r="N406" s="1" t="s">
        <v>35</v>
      </c>
      <c r="O406" s="61" t="s">
        <v>9218</v>
      </c>
      <c r="P406" s="14" t="s">
        <v>9225</v>
      </c>
      <c r="Q406" s="187">
        <v>132.22999999999999</v>
      </c>
      <c r="R406" s="1">
        <v>1</v>
      </c>
      <c r="S406" s="128">
        <v>0.21</v>
      </c>
      <c r="T406" s="128">
        <v>0.2</v>
      </c>
      <c r="U406" s="209"/>
      <c r="V406" s="95">
        <f t="shared" si="10"/>
        <v>127.99863999999999</v>
      </c>
      <c r="W406" s="343" t="s">
        <v>5207</v>
      </c>
      <c r="Y406" s="211">
        <v>29689</v>
      </c>
      <c r="Z406" s="2">
        <v>45204</v>
      </c>
      <c r="AA406" s="11" t="s">
        <v>9633</v>
      </c>
      <c r="AB406" s="3">
        <v>45278</v>
      </c>
      <c r="AC406" s="80" t="s">
        <v>1339</v>
      </c>
      <c r="AF406" t="s">
        <v>3198</v>
      </c>
      <c r="AI406" s="1"/>
      <c r="AJ406" s="1"/>
      <c r="AM406" s="8"/>
      <c r="AT406" s="1"/>
    </row>
    <row r="407" spans="1:139">
      <c r="A407" s="1">
        <v>405</v>
      </c>
      <c r="B407" t="s">
        <v>4715</v>
      </c>
      <c r="C407" s="2">
        <v>45204</v>
      </c>
      <c r="D407" s="2"/>
      <c r="E407" s="1" t="s">
        <v>4716</v>
      </c>
      <c r="F407" t="s">
        <v>5191</v>
      </c>
      <c r="G407" s="61" t="s">
        <v>5192</v>
      </c>
      <c r="H407" s="6" t="s">
        <v>236</v>
      </c>
      <c r="I407" s="1" t="s">
        <v>34</v>
      </c>
      <c r="J407" s="8"/>
      <c r="K407" s="8" t="s">
        <v>7002</v>
      </c>
      <c r="L407" t="s">
        <v>4716</v>
      </c>
      <c r="M407" s="2">
        <v>45291</v>
      </c>
      <c r="N407" s="1" t="s">
        <v>35</v>
      </c>
      <c r="O407" s="61" t="s">
        <v>9218</v>
      </c>
      <c r="P407" s="14" t="s">
        <v>9226</v>
      </c>
      <c r="Q407" s="187">
        <v>132.22999999999999</v>
      </c>
      <c r="R407" s="1">
        <v>1</v>
      </c>
      <c r="S407" s="128">
        <v>0.21</v>
      </c>
      <c r="T407" s="128">
        <v>0.2</v>
      </c>
      <c r="U407" s="209"/>
      <c r="V407" s="95">
        <f t="shared" si="10"/>
        <v>127.99863999999999</v>
      </c>
      <c r="W407" s="343" t="s">
        <v>5208</v>
      </c>
      <c r="Y407" s="211">
        <v>31140</v>
      </c>
      <c r="Z407" s="2">
        <v>45204</v>
      </c>
      <c r="AA407" s="11" t="s">
        <v>9633</v>
      </c>
      <c r="AB407" s="3">
        <v>45278</v>
      </c>
      <c r="AC407" s="80" t="s">
        <v>1339</v>
      </c>
      <c r="AF407" t="s">
        <v>3198</v>
      </c>
      <c r="AI407" s="1"/>
      <c r="AJ407" s="1"/>
      <c r="AM407" s="8"/>
      <c r="AT407" s="1"/>
    </row>
    <row r="408" spans="1:139">
      <c r="A408" s="1">
        <v>406</v>
      </c>
      <c r="B408" t="s">
        <v>4715</v>
      </c>
      <c r="C408" s="2">
        <v>45204</v>
      </c>
      <c r="D408" s="2"/>
      <c r="E408" s="1" t="s">
        <v>4716</v>
      </c>
      <c r="F408" t="s">
        <v>5191</v>
      </c>
      <c r="G408" s="61" t="s">
        <v>5192</v>
      </c>
      <c r="H408" s="6" t="s">
        <v>236</v>
      </c>
      <c r="I408" s="1" t="s">
        <v>34</v>
      </c>
      <c r="J408" s="8"/>
      <c r="K408" s="8" t="s">
        <v>7002</v>
      </c>
      <c r="L408" t="s">
        <v>4716</v>
      </c>
      <c r="M408" s="2">
        <v>45291</v>
      </c>
      <c r="N408" s="1" t="s">
        <v>35</v>
      </c>
      <c r="O408" s="61" t="s">
        <v>9218</v>
      </c>
      <c r="P408" s="14" t="s">
        <v>9227</v>
      </c>
      <c r="Q408" s="187">
        <v>132.22999999999999</v>
      </c>
      <c r="R408" s="1">
        <v>1</v>
      </c>
      <c r="S408" s="128">
        <v>0.21</v>
      </c>
      <c r="T408" s="128">
        <v>0.2</v>
      </c>
      <c r="U408" s="209"/>
      <c r="V408" s="95">
        <f t="shared" si="10"/>
        <v>127.99863999999999</v>
      </c>
      <c r="W408" s="343" t="s">
        <v>7013</v>
      </c>
      <c r="Y408" s="210">
        <v>29888</v>
      </c>
      <c r="Z408" s="2">
        <v>45204</v>
      </c>
      <c r="AA408" s="11" t="s">
        <v>9633</v>
      </c>
      <c r="AB408" s="3">
        <v>45278</v>
      </c>
      <c r="AC408" s="80" t="s">
        <v>1339</v>
      </c>
      <c r="AF408" t="s">
        <v>3198</v>
      </c>
      <c r="AI408" s="1"/>
      <c r="AJ408" s="1"/>
      <c r="AM408" s="8"/>
      <c r="AT408" s="1"/>
    </row>
    <row r="409" spans="1:139">
      <c r="A409" s="1">
        <v>407</v>
      </c>
      <c r="B409" t="s">
        <v>61</v>
      </c>
      <c r="C409" s="2">
        <v>45278</v>
      </c>
      <c r="D409" s="2"/>
      <c r="E409" s="1" t="s">
        <v>1790</v>
      </c>
      <c r="F409" t="s">
        <v>1791</v>
      </c>
      <c r="G409" t="s">
        <v>7478</v>
      </c>
      <c r="H409" s="6" t="s">
        <v>241</v>
      </c>
      <c r="I409" s="1" t="s">
        <v>9634</v>
      </c>
      <c r="J409" s="44">
        <v>679088389</v>
      </c>
      <c r="K409" s="1"/>
      <c r="L409" s="1" t="s">
        <v>1790</v>
      </c>
      <c r="M409" s="2">
        <v>45291</v>
      </c>
      <c r="N409" s="1" t="s">
        <v>35</v>
      </c>
      <c r="O409" s="61" t="s">
        <v>7925</v>
      </c>
      <c r="P409" s="14" t="s">
        <v>9635</v>
      </c>
      <c r="Q409" s="92">
        <v>132.22999999999999</v>
      </c>
      <c r="R409" s="1">
        <v>1</v>
      </c>
      <c r="S409" s="128">
        <v>0.21</v>
      </c>
      <c r="T409" s="128">
        <v>0.2</v>
      </c>
      <c r="U409" s="363"/>
      <c r="V409" s="95">
        <f t="shared" ref="V409:V425" si="11">SUM(Q409-(Q409*T409))*S409+(Q409-(Q409*T409))</f>
        <v>127.99863999999999</v>
      </c>
      <c r="W409" t="s">
        <v>9696</v>
      </c>
      <c r="X409" s="5" t="s">
        <v>9697</v>
      </c>
      <c r="Y409" s="2">
        <v>34606</v>
      </c>
      <c r="Z409" s="2">
        <v>45278</v>
      </c>
      <c r="AA409" s="398" t="s">
        <v>10019</v>
      </c>
      <c r="AB409" s="2">
        <v>45358</v>
      </c>
      <c r="AC409" s="80" t="s">
        <v>1339</v>
      </c>
      <c r="AD409" s="61"/>
      <c r="AE409" s="61"/>
      <c r="AF409" t="s">
        <v>3198</v>
      </c>
      <c r="AI409" t="s">
        <v>3108</v>
      </c>
      <c r="AJ409" s="2">
        <v>45293</v>
      </c>
      <c r="AM409" s="3">
        <v>45299</v>
      </c>
      <c r="AT409" s="1"/>
    </row>
    <row r="410" spans="1:139">
      <c r="A410" s="1">
        <v>408</v>
      </c>
      <c r="B410" t="s">
        <v>45</v>
      </c>
      <c r="C410" s="2">
        <v>45279</v>
      </c>
      <c r="D410" s="2"/>
      <c r="E410" s="1" t="s">
        <v>9637</v>
      </c>
      <c r="F410" t="s">
        <v>9638</v>
      </c>
      <c r="G410" t="s">
        <v>9639</v>
      </c>
      <c r="H410" s="6" t="s">
        <v>241</v>
      </c>
      <c r="I410" s="1" t="s">
        <v>60</v>
      </c>
      <c r="K410" s="1" t="s">
        <v>8356</v>
      </c>
      <c r="L410" s="1" t="s">
        <v>9637</v>
      </c>
      <c r="M410" s="2">
        <v>45291</v>
      </c>
      <c r="N410" s="1" t="s">
        <v>35</v>
      </c>
      <c r="O410" s="61" t="s">
        <v>7925</v>
      </c>
      <c r="P410" s="14" t="s">
        <v>9640</v>
      </c>
      <c r="Q410" s="92">
        <v>132.22999999999999</v>
      </c>
      <c r="R410" s="1">
        <v>1</v>
      </c>
      <c r="S410" s="128">
        <v>0.21</v>
      </c>
      <c r="T410" s="128">
        <v>0.2</v>
      </c>
      <c r="U410" s="363"/>
      <c r="V410" s="95">
        <f t="shared" si="11"/>
        <v>127.99863999999999</v>
      </c>
      <c r="W410" t="s">
        <v>9718</v>
      </c>
      <c r="X410" s="5" t="s">
        <v>9719</v>
      </c>
      <c r="Y410" s="2">
        <v>34760</v>
      </c>
      <c r="Z410" s="2">
        <v>45279</v>
      </c>
      <c r="AA410" s="398" t="s">
        <v>10019</v>
      </c>
      <c r="AB410" s="2">
        <v>45358</v>
      </c>
      <c r="AC410" s="80" t="s">
        <v>1339</v>
      </c>
      <c r="AD410" s="61"/>
      <c r="AE410" s="61"/>
      <c r="AF410" t="s">
        <v>3198</v>
      </c>
      <c r="AI410" t="s">
        <v>9641</v>
      </c>
      <c r="AJ410" s="2">
        <v>45299</v>
      </c>
      <c r="AM410" s="3">
        <v>45306</v>
      </c>
      <c r="AT410" s="1"/>
    </row>
    <row r="411" spans="1:139" s="197" customFormat="1">
      <c r="A411" s="1">
        <v>409</v>
      </c>
      <c r="B411" s="61" t="s">
        <v>4321</v>
      </c>
      <c r="C411" s="2">
        <v>45279</v>
      </c>
      <c r="D411" s="2"/>
      <c r="E411" s="1" t="s">
        <v>3427</v>
      </c>
      <c r="F411" s="61" t="s">
        <v>3428</v>
      </c>
      <c r="G411" s="61" t="s">
        <v>3433</v>
      </c>
      <c r="H411" s="6" t="s">
        <v>3429</v>
      </c>
      <c r="I411" s="1" t="s">
        <v>86</v>
      </c>
      <c r="J411" s="1">
        <v>650379091</v>
      </c>
      <c r="K411" s="8" t="s">
        <v>5991</v>
      </c>
      <c r="L411" s="1" t="s">
        <v>3427</v>
      </c>
      <c r="M411" s="2">
        <v>45291</v>
      </c>
      <c r="N411" t="s">
        <v>35</v>
      </c>
      <c r="O411" s="14" t="s">
        <v>7926</v>
      </c>
      <c r="P411" s="14" t="s">
        <v>9795</v>
      </c>
      <c r="Q411" s="187">
        <v>132.22999999999999</v>
      </c>
      <c r="R411" s="1">
        <v>1</v>
      </c>
      <c r="S411" s="128">
        <v>0.21</v>
      </c>
      <c r="T411" s="128">
        <v>0.2</v>
      </c>
      <c r="U411"/>
      <c r="V411" s="95">
        <f t="shared" si="11"/>
        <v>127.99863999999999</v>
      </c>
      <c r="W411" t="s">
        <v>9733</v>
      </c>
      <c r="X411" s="5" t="s">
        <v>9734</v>
      </c>
      <c r="Y411" s="2">
        <v>35734</v>
      </c>
      <c r="Z411" s="2">
        <v>45279</v>
      </c>
      <c r="AA411" s="435" t="s">
        <v>10596</v>
      </c>
      <c r="AB411" s="64">
        <v>45460</v>
      </c>
      <c r="AC411" s="80" t="s">
        <v>1339</v>
      </c>
      <c r="AD411"/>
      <c r="AE411" s="292">
        <v>45342</v>
      </c>
      <c r="AF411" t="s">
        <v>3198</v>
      </c>
      <c r="AG411"/>
      <c r="AH411"/>
      <c r="AI411" t="s">
        <v>9642</v>
      </c>
      <c r="AJ411" s="2">
        <v>45299</v>
      </c>
      <c r="AK411"/>
      <c r="AL411"/>
      <c r="AM411" s="2">
        <v>45301</v>
      </c>
      <c r="AN411"/>
      <c r="AO411"/>
      <c r="AP411"/>
      <c r="AQ411"/>
      <c r="AR411"/>
      <c r="AS411"/>
      <c r="AT411" s="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</row>
    <row r="412" spans="1:139">
      <c r="A412" s="1">
        <v>410</v>
      </c>
      <c r="B412" t="s">
        <v>33</v>
      </c>
      <c r="C412" s="2">
        <v>45280</v>
      </c>
      <c r="D412" s="2"/>
      <c r="E412" s="1" t="s">
        <v>7726</v>
      </c>
      <c r="F412" t="s">
        <v>7708</v>
      </c>
      <c r="G412" s="61" t="s">
        <v>7709</v>
      </c>
      <c r="H412" s="6" t="s">
        <v>227</v>
      </c>
      <c r="I412" s="1" t="s">
        <v>4719</v>
      </c>
      <c r="K412" s="114" t="s">
        <v>11744</v>
      </c>
      <c r="L412" s="30" t="s">
        <v>237</v>
      </c>
      <c r="M412" s="2">
        <v>45291</v>
      </c>
      <c r="N412" s="1" t="s">
        <v>35</v>
      </c>
      <c r="O412" s="14" t="s">
        <v>7926</v>
      </c>
      <c r="P412" s="14" t="s">
        <v>9643</v>
      </c>
      <c r="Q412" s="92">
        <v>132.22999999999999</v>
      </c>
      <c r="R412" s="1">
        <v>1</v>
      </c>
      <c r="S412" s="90">
        <v>0.21</v>
      </c>
      <c r="T412" s="90">
        <v>0.2</v>
      </c>
      <c r="V412" s="95">
        <f t="shared" si="11"/>
        <v>127.99863999999999</v>
      </c>
      <c r="W412" t="s">
        <v>9714</v>
      </c>
      <c r="X412" s="5" t="s">
        <v>9715</v>
      </c>
      <c r="Y412" s="2">
        <v>38670</v>
      </c>
      <c r="Z412" s="2">
        <v>45280</v>
      </c>
      <c r="AA412" s="398" t="s">
        <v>9821</v>
      </c>
      <c r="AB412" s="2">
        <v>45316</v>
      </c>
      <c r="AC412" s="80" t="s">
        <v>1339</v>
      </c>
      <c r="AD412" s="61"/>
      <c r="AF412" t="s">
        <v>3198</v>
      </c>
      <c r="AI412" t="s">
        <v>3470</v>
      </c>
      <c r="AJ412" s="2">
        <v>45299</v>
      </c>
      <c r="AM412" s="2">
        <v>45301</v>
      </c>
      <c r="AT412" s="1"/>
    </row>
    <row r="413" spans="1:139">
      <c r="A413" s="1">
        <v>411</v>
      </c>
      <c r="B413" t="s">
        <v>143</v>
      </c>
      <c r="C413" s="2">
        <v>45280</v>
      </c>
      <c r="D413" s="2"/>
      <c r="E413" t="s">
        <v>9725</v>
      </c>
      <c r="F413" t="s">
        <v>9644</v>
      </c>
      <c r="G413" s="61" t="s">
        <v>9645</v>
      </c>
      <c r="H413" s="6" t="s">
        <v>219</v>
      </c>
      <c r="I413" s="1" t="s">
        <v>38</v>
      </c>
      <c r="J413" s="1">
        <v>641315949</v>
      </c>
      <c r="K413" s="1"/>
      <c r="L413" t="s">
        <v>9725</v>
      </c>
      <c r="M413" s="2">
        <v>45291</v>
      </c>
      <c r="N413" s="1" t="s">
        <v>35</v>
      </c>
      <c r="O413" s="375" t="s">
        <v>7925</v>
      </c>
      <c r="P413" s="14" t="s">
        <v>8292</v>
      </c>
      <c r="Q413" s="92">
        <v>132.22999999999999</v>
      </c>
      <c r="R413" s="1">
        <v>1</v>
      </c>
      <c r="S413" s="90">
        <v>0.21</v>
      </c>
      <c r="T413" s="90">
        <v>0</v>
      </c>
      <c r="U413" s="363"/>
      <c r="V413" s="95">
        <f t="shared" si="11"/>
        <v>159.99829999999997</v>
      </c>
      <c r="W413" t="s">
        <v>9725</v>
      </c>
      <c r="X413" s="5" t="s">
        <v>9726</v>
      </c>
      <c r="Y413" s="2">
        <v>34402</v>
      </c>
      <c r="Z413" s="2">
        <v>45280</v>
      </c>
      <c r="AA413" s="398" t="s">
        <v>10229</v>
      </c>
      <c r="AB413" s="2">
        <v>45397</v>
      </c>
      <c r="AC413" s="80" t="s">
        <v>1339</v>
      </c>
      <c r="AD413" s="61"/>
      <c r="AF413" t="s">
        <v>3198</v>
      </c>
      <c r="AI413" s="76" t="s">
        <v>3108</v>
      </c>
      <c r="AJ413" s="2">
        <v>45299</v>
      </c>
      <c r="AT413" s="1"/>
    </row>
    <row r="414" spans="1:139">
      <c r="A414" s="1">
        <v>412</v>
      </c>
      <c r="B414" t="s">
        <v>45</v>
      </c>
      <c r="C414" s="2">
        <v>45280</v>
      </c>
      <c r="D414" s="2"/>
      <c r="E414" s="1" t="s">
        <v>3287</v>
      </c>
      <c r="F414" t="s">
        <v>3288</v>
      </c>
      <c r="G414" t="s">
        <v>6159</v>
      </c>
      <c r="H414" s="6" t="s">
        <v>221</v>
      </c>
      <c r="I414" s="1" t="s">
        <v>34</v>
      </c>
      <c r="J414" s="1">
        <v>615165042</v>
      </c>
      <c r="K414" s="396" t="s">
        <v>8356</v>
      </c>
      <c r="L414" s="1" t="s">
        <v>3287</v>
      </c>
      <c r="M414" s="2">
        <v>45291</v>
      </c>
      <c r="N414" s="1" t="s">
        <v>35</v>
      </c>
      <c r="O414" s="61" t="s">
        <v>7926</v>
      </c>
      <c r="P414" s="14" t="s">
        <v>9735</v>
      </c>
      <c r="Q414" s="92">
        <v>132.22999999999999</v>
      </c>
      <c r="R414" s="1">
        <v>1</v>
      </c>
      <c r="S414" s="90">
        <v>0.21</v>
      </c>
      <c r="T414" s="90">
        <v>0.2</v>
      </c>
      <c r="U414" s="363"/>
      <c r="V414" s="95">
        <f t="shared" si="11"/>
        <v>127.99863999999999</v>
      </c>
      <c r="W414" t="s">
        <v>9736</v>
      </c>
      <c r="X414" s="5" t="s">
        <v>9737</v>
      </c>
      <c r="Y414" s="2">
        <v>35925</v>
      </c>
      <c r="Z414" s="2">
        <v>45280</v>
      </c>
      <c r="AA414" s="398" t="s">
        <v>9820</v>
      </c>
      <c r="AB414" s="2">
        <v>45316</v>
      </c>
      <c r="AC414" s="80" t="s">
        <v>1339</v>
      </c>
      <c r="AF414" t="s">
        <v>3198</v>
      </c>
      <c r="AI414" t="s">
        <v>3470</v>
      </c>
      <c r="AJ414" s="2">
        <v>45301</v>
      </c>
      <c r="AM414" s="2">
        <v>45301</v>
      </c>
    </row>
    <row r="415" spans="1:139">
      <c r="A415" s="1">
        <v>413</v>
      </c>
      <c r="B415" t="s">
        <v>1414</v>
      </c>
      <c r="C415" s="2">
        <v>45280</v>
      </c>
      <c r="D415" s="2"/>
      <c r="E415" s="1" t="s">
        <v>9646</v>
      </c>
      <c r="F415" t="s">
        <v>9647</v>
      </c>
      <c r="G415" s="61" t="s">
        <v>9648</v>
      </c>
      <c r="H415" s="6" t="s">
        <v>221</v>
      </c>
      <c r="I415" s="1" t="s">
        <v>34</v>
      </c>
      <c r="K415" s="396" t="s">
        <v>8355</v>
      </c>
      <c r="L415" s="1" t="s">
        <v>9646</v>
      </c>
      <c r="M415" s="2">
        <v>45291</v>
      </c>
      <c r="N415" s="1" t="s">
        <v>35</v>
      </c>
      <c r="O415" s="375" t="s">
        <v>7926</v>
      </c>
      <c r="P415" s="14" t="s">
        <v>9649</v>
      </c>
      <c r="Q415" s="92">
        <v>132.22999999999999</v>
      </c>
      <c r="R415" s="1">
        <v>1</v>
      </c>
      <c r="S415" s="90">
        <v>0.21</v>
      </c>
      <c r="T415" s="90">
        <v>0.2</v>
      </c>
      <c r="U415" s="363"/>
      <c r="V415" s="95">
        <f t="shared" si="11"/>
        <v>127.99863999999999</v>
      </c>
      <c r="W415" t="s">
        <v>9701</v>
      </c>
      <c r="X415" s="5" t="s">
        <v>9702</v>
      </c>
      <c r="Y415" s="2">
        <v>38981</v>
      </c>
      <c r="Z415" s="2">
        <v>45280</v>
      </c>
      <c r="AA415" s="399" t="s">
        <v>3383</v>
      </c>
      <c r="AB415" s="2"/>
      <c r="AC415" s="80"/>
      <c r="AD415" s="61"/>
      <c r="AF415" t="s">
        <v>3198</v>
      </c>
      <c r="AI415" t="s">
        <v>3470</v>
      </c>
      <c r="AJ415" s="2">
        <v>45293</v>
      </c>
      <c r="AM415" s="3">
        <v>45301</v>
      </c>
      <c r="AT415" s="1"/>
    </row>
    <row r="416" spans="1:139">
      <c r="A416" s="1">
        <v>414</v>
      </c>
      <c r="B416" s="61" t="s">
        <v>33</v>
      </c>
      <c r="C416" s="2">
        <v>45281</v>
      </c>
      <c r="D416" s="2"/>
      <c r="E416" s="1" t="s">
        <v>4477</v>
      </c>
      <c r="F416" s="61" t="s">
        <v>4478</v>
      </c>
      <c r="G416" s="61" t="s">
        <v>4479</v>
      </c>
      <c r="H416" s="6" t="s">
        <v>304</v>
      </c>
      <c r="I416" t="s">
        <v>4480</v>
      </c>
      <c r="J416" s="8"/>
      <c r="K416" s="114" t="s">
        <v>11744</v>
      </c>
      <c r="L416" t="s">
        <v>237</v>
      </c>
      <c r="M416" s="2">
        <v>45291</v>
      </c>
      <c r="N416" s="1" t="s">
        <v>35</v>
      </c>
      <c r="O416" s="61" t="s">
        <v>7925</v>
      </c>
      <c r="P416" s="14" t="s">
        <v>9650</v>
      </c>
      <c r="Q416" s="163">
        <v>132.22999999999999</v>
      </c>
      <c r="R416" s="1">
        <v>1</v>
      </c>
      <c r="S416" s="90">
        <v>0.21</v>
      </c>
      <c r="T416" s="90">
        <v>0.2</v>
      </c>
      <c r="V416" s="95">
        <f t="shared" si="11"/>
        <v>127.99863999999999</v>
      </c>
      <c r="W416" t="s">
        <v>9764</v>
      </c>
      <c r="X416" s="5" t="s">
        <v>9765</v>
      </c>
      <c r="Y416" s="2" t="s">
        <v>9651</v>
      </c>
      <c r="Z416" s="2">
        <v>45281</v>
      </c>
      <c r="AA416" s="398" t="s">
        <v>10019</v>
      </c>
      <c r="AB416" s="3">
        <v>45355</v>
      </c>
      <c r="AC416" s="80" t="s">
        <v>1339</v>
      </c>
      <c r="AF416" t="s">
        <v>3198</v>
      </c>
      <c r="AI416" t="s">
        <v>3108</v>
      </c>
      <c r="AJ416" s="2">
        <v>45303</v>
      </c>
      <c r="AK416" s="1"/>
      <c r="AM416" s="74">
        <v>45308</v>
      </c>
      <c r="AT416" s="1"/>
    </row>
    <row r="417" spans="1:46">
      <c r="A417" s="1">
        <v>415</v>
      </c>
      <c r="B417" t="s">
        <v>40</v>
      </c>
      <c r="C417" s="2">
        <v>45281</v>
      </c>
      <c r="D417" s="2"/>
      <c r="E417" s="1" t="s">
        <v>9656</v>
      </c>
      <c r="F417" t="s">
        <v>9657</v>
      </c>
      <c r="G417" t="s">
        <v>9658</v>
      </c>
      <c r="H417" s="6" t="s">
        <v>221</v>
      </c>
      <c r="I417" s="1" t="s">
        <v>34</v>
      </c>
      <c r="K417" s="301" t="s">
        <v>8357</v>
      </c>
      <c r="L417" s="1" t="s">
        <v>9656</v>
      </c>
      <c r="M417" s="2">
        <v>45291</v>
      </c>
      <c r="N417" s="1" t="s">
        <v>35</v>
      </c>
      <c r="O417" s="61" t="s">
        <v>7925</v>
      </c>
      <c r="P417" s="14" t="s">
        <v>9659</v>
      </c>
      <c r="Q417" s="92">
        <v>132.22999999999999</v>
      </c>
      <c r="R417" s="1">
        <v>1</v>
      </c>
      <c r="S417" s="128">
        <v>0.21</v>
      </c>
      <c r="T417" s="128">
        <v>0.2</v>
      </c>
      <c r="U417" s="363"/>
      <c r="V417" s="95">
        <f t="shared" si="11"/>
        <v>127.99863999999999</v>
      </c>
      <c r="W417" t="s">
        <v>9766</v>
      </c>
      <c r="X417" s="5" t="s">
        <v>9767</v>
      </c>
      <c r="Y417" s="2">
        <v>37022</v>
      </c>
      <c r="Z417" s="2">
        <v>45281</v>
      </c>
      <c r="AA417" s="398" t="s">
        <v>10019</v>
      </c>
      <c r="AB417" s="3">
        <v>45355</v>
      </c>
      <c r="AC417" s="80" t="s">
        <v>1339</v>
      </c>
      <c r="AD417" s="61"/>
      <c r="AE417" s="61"/>
      <c r="AF417" t="s">
        <v>3198</v>
      </c>
      <c r="AI417" t="s">
        <v>3108</v>
      </c>
      <c r="AJ417" s="2">
        <v>45303</v>
      </c>
      <c r="AM417" s="3"/>
      <c r="AT417" s="1"/>
    </row>
    <row r="418" spans="1:46">
      <c r="A418" s="1">
        <v>416</v>
      </c>
      <c r="B418" s="61" t="s">
        <v>33</v>
      </c>
      <c r="C418" s="2">
        <v>45282</v>
      </c>
      <c r="D418" s="2"/>
      <c r="E418" s="1" t="s">
        <v>4330</v>
      </c>
      <c r="F418" s="61" t="s">
        <v>4331</v>
      </c>
      <c r="G418" s="61" t="s">
        <v>4333</v>
      </c>
      <c r="H418" s="6" t="s">
        <v>219</v>
      </c>
      <c r="I418" s="1" t="s">
        <v>4334</v>
      </c>
      <c r="K418" s="114" t="s">
        <v>11744</v>
      </c>
      <c r="L418" s="1" t="s">
        <v>237</v>
      </c>
      <c r="M418" s="2">
        <v>45291</v>
      </c>
      <c r="N418" s="1" t="s">
        <v>35</v>
      </c>
      <c r="O418" s="61" t="s">
        <v>7925</v>
      </c>
      <c r="P418" s="14" t="s">
        <v>9669</v>
      </c>
      <c r="Q418" s="187">
        <v>132.22999999999999</v>
      </c>
      <c r="R418" s="1">
        <v>1</v>
      </c>
      <c r="S418" s="128">
        <v>0.21</v>
      </c>
      <c r="T418" s="128">
        <v>0.2</v>
      </c>
      <c r="U418" s="363"/>
      <c r="V418" s="95">
        <f t="shared" si="11"/>
        <v>127.99863999999999</v>
      </c>
      <c r="W418" t="s">
        <v>9772</v>
      </c>
      <c r="X418" s="5" t="s">
        <v>9773</v>
      </c>
      <c r="Y418" s="2">
        <v>32161</v>
      </c>
      <c r="Z418" s="2">
        <v>45282</v>
      </c>
      <c r="AA418" s="398" t="s">
        <v>10045</v>
      </c>
      <c r="AB418" s="3">
        <v>45358</v>
      </c>
      <c r="AC418" s="80" t="s">
        <v>1339</v>
      </c>
      <c r="AD418" s="61"/>
      <c r="AF418" t="s">
        <v>3198</v>
      </c>
      <c r="AI418" t="s">
        <v>3108</v>
      </c>
      <c r="AJ418" s="2">
        <v>45306</v>
      </c>
      <c r="AM418" s="3">
        <v>45307</v>
      </c>
    </row>
    <row r="419" spans="1:46">
      <c r="A419" s="1">
        <v>417</v>
      </c>
      <c r="B419" t="s">
        <v>143</v>
      </c>
      <c r="C419" s="2">
        <v>45282</v>
      </c>
      <c r="D419" s="2"/>
      <c r="E419" t="s">
        <v>9743</v>
      </c>
      <c r="F419" t="s">
        <v>9670</v>
      </c>
      <c r="G419" s="61" t="s">
        <v>9645</v>
      </c>
      <c r="H419" s="6" t="s">
        <v>219</v>
      </c>
      <c r="I419" s="1" t="s">
        <v>38</v>
      </c>
      <c r="J419" s="1">
        <v>632610848</v>
      </c>
      <c r="K419" s="1"/>
      <c r="L419" t="s">
        <v>9743</v>
      </c>
      <c r="M419" s="2">
        <v>45291</v>
      </c>
      <c r="N419" s="1" t="s">
        <v>35</v>
      </c>
      <c r="O419" s="375" t="s">
        <v>7925</v>
      </c>
      <c r="P419" s="14" t="s">
        <v>9671</v>
      </c>
      <c r="Q419" s="92">
        <v>132.22999999999999</v>
      </c>
      <c r="R419" s="1">
        <v>1</v>
      </c>
      <c r="S419" s="90">
        <v>0.21</v>
      </c>
      <c r="T419" s="90">
        <v>0</v>
      </c>
      <c r="U419" s="363"/>
      <c r="V419" s="95">
        <f t="shared" si="11"/>
        <v>159.99829999999997</v>
      </c>
      <c r="W419" t="s">
        <v>9743</v>
      </c>
      <c r="X419" s="5" t="s">
        <v>9781</v>
      </c>
      <c r="Y419" s="2">
        <v>31422</v>
      </c>
      <c r="Z419" s="2">
        <v>45282</v>
      </c>
      <c r="AA419" s="61"/>
      <c r="AB419" s="2"/>
      <c r="AC419" s="80"/>
      <c r="AD419" s="61"/>
      <c r="AF419" t="s">
        <v>3198</v>
      </c>
      <c r="AI419" t="s">
        <v>3108</v>
      </c>
      <c r="AJ419" s="2">
        <v>45306</v>
      </c>
      <c r="AM419" s="3">
        <v>45307</v>
      </c>
      <c r="AT419" s="1"/>
    </row>
    <row r="420" spans="1:46">
      <c r="A420" s="1">
        <v>418</v>
      </c>
      <c r="B420" s="61" t="s">
        <v>37</v>
      </c>
      <c r="C420" s="2">
        <v>45287</v>
      </c>
      <c r="D420" s="2"/>
      <c r="E420" s="1" t="s">
        <v>9672</v>
      </c>
      <c r="F420" s="61" t="s">
        <v>9673</v>
      </c>
      <c r="G420" s="61" t="s">
        <v>9674</v>
      </c>
      <c r="H420" s="6" t="s">
        <v>219</v>
      </c>
      <c r="I420" s="1" t="s">
        <v>38</v>
      </c>
      <c r="J420" s="1">
        <v>643546340</v>
      </c>
      <c r="K420" s="1"/>
      <c r="L420" s="1" t="s">
        <v>9672</v>
      </c>
      <c r="M420" s="2">
        <v>45291</v>
      </c>
      <c r="N420" s="1" t="s">
        <v>35</v>
      </c>
      <c r="O420" s="61" t="s">
        <v>7926</v>
      </c>
      <c r="P420" s="14" t="s">
        <v>9675</v>
      </c>
      <c r="Q420" s="187">
        <v>132.22999999999999</v>
      </c>
      <c r="R420" s="1">
        <v>1</v>
      </c>
      <c r="S420" s="128">
        <v>0.21</v>
      </c>
      <c r="T420" s="128">
        <v>0</v>
      </c>
      <c r="U420" s="363"/>
      <c r="V420" s="95">
        <f t="shared" si="11"/>
        <v>159.99829999999997</v>
      </c>
      <c r="X420" s="5" t="s">
        <v>9676</v>
      </c>
      <c r="Y420" s="2">
        <v>36405</v>
      </c>
      <c r="Z420" s="2">
        <v>45287</v>
      </c>
      <c r="AA420" s="398" t="s">
        <v>10082</v>
      </c>
      <c r="AB420" s="2">
        <v>45328</v>
      </c>
      <c r="AC420" s="80" t="s">
        <v>1339</v>
      </c>
      <c r="AD420" s="61"/>
      <c r="AF420" t="s">
        <v>3198</v>
      </c>
      <c r="AI420" t="s">
        <v>9677</v>
      </c>
      <c r="AJ420" s="2">
        <v>45301</v>
      </c>
      <c r="AM420" s="2">
        <v>45301</v>
      </c>
    </row>
    <row r="421" spans="1:46">
      <c r="A421" s="1">
        <v>419</v>
      </c>
      <c r="B421" s="61" t="s">
        <v>33</v>
      </c>
      <c r="C421" s="2">
        <v>45289</v>
      </c>
      <c r="D421" s="2"/>
      <c r="E421" s="1" t="s">
        <v>4330</v>
      </c>
      <c r="F421" s="61" t="s">
        <v>4331</v>
      </c>
      <c r="G421" s="61" t="s">
        <v>4333</v>
      </c>
      <c r="H421" s="6" t="s">
        <v>219</v>
      </c>
      <c r="I421" s="1" t="s">
        <v>4334</v>
      </c>
      <c r="K421" s="114" t="s">
        <v>11744</v>
      </c>
      <c r="L421" s="1" t="s">
        <v>237</v>
      </c>
      <c r="M421" s="2">
        <v>45291</v>
      </c>
      <c r="N421" s="1" t="s">
        <v>35</v>
      </c>
      <c r="O421" s="61" t="s">
        <v>7934</v>
      </c>
      <c r="P421" s="14" t="s">
        <v>9685</v>
      </c>
      <c r="Q421" s="187">
        <v>78.510000000000005</v>
      </c>
      <c r="R421" s="1">
        <v>1</v>
      </c>
      <c r="S421" s="90">
        <v>0.21</v>
      </c>
      <c r="T421" s="90">
        <v>0.2</v>
      </c>
      <c r="V421" s="95">
        <f t="shared" si="11"/>
        <v>75.997680000000003</v>
      </c>
      <c r="W421" t="s">
        <v>7692</v>
      </c>
      <c r="X421" s="5" t="s">
        <v>9686</v>
      </c>
      <c r="Y421" s="2">
        <v>30744</v>
      </c>
      <c r="Z421" s="2">
        <v>45289</v>
      </c>
      <c r="AA421" s="398" t="s">
        <v>9842</v>
      </c>
      <c r="AB421" s="3">
        <v>45320</v>
      </c>
      <c r="AC421" s="80" t="s">
        <v>1339</v>
      </c>
      <c r="AF421" t="s">
        <v>3198</v>
      </c>
      <c r="AJ421" s="2"/>
      <c r="AM421" s="3"/>
      <c r="AT421" s="1"/>
    </row>
    <row r="422" spans="1:46">
      <c r="B422" s="61"/>
      <c r="C422" s="2"/>
      <c r="D422" s="2"/>
      <c r="F422" s="61"/>
      <c r="G422" s="61"/>
      <c r="H422" s="6"/>
      <c r="K422" s="1"/>
      <c r="M422" s="2"/>
      <c r="N422" s="1"/>
      <c r="P422" s="14"/>
      <c r="Q422" s="187"/>
      <c r="R422" s="1"/>
      <c r="S422" s="128"/>
      <c r="T422" s="128"/>
      <c r="U422" s="363"/>
      <c r="V422" s="95">
        <f t="shared" si="11"/>
        <v>0</v>
      </c>
      <c r="X422" s="5"/>
      <c r="Y422" s="2"/>
      <c r="Z422" s="2"/>
      <c r="AA422" s="2"/>
      <c r="AB422" s="2"/>
      <c r="AC422" s="345"/>
      <c r="AD422" s="61"/>
      <c r="AJ422" s="2"/>
      <c r="AM422" s="3"/>
    </row>
    <row r="423" spans="1:46">
      <c r="B423" s="61"/>
      <c r="C423" s="2"/>
      <c r="D423" s="2"/>
      <c r="F423" s="61"/>
      <c r="G423" s="61"/>
      <c r="H423" s="6"/>
      <c r="K423" s="1"/>
      <c r="M423" s="2"/>
      <c r="N423" s="1"/>
      <c r="P423" s="14"/>
      <c r="Q423" s="187"/>
      <c r="R423" s="1"/>
      <c r="S423" s="128"/>
      <c r="T423" s="128"/>
      <c r="U423" s="363"/>
      <c r="V423" s="95">
        <f t="shared" si="11"/>
        <v>0</v>
      </c>
      <c r="X423" s="5"/>
      <c r="Y423" s="2"/>
      <c r="Z423" s="2"/>
      <c r="AA423" s="2"/>
      <c r="AB423" s="2"/>
      <c r="AC423" s="345"/>
      <c r="AD423" s="61"/>
      <c r="AJ423" s="2"/>
      <c r="AM423" s="3"/>
    </row>
    <row r="424" spans="1:46">
      <c r="B424" s="61"/>
      <c r="C424" s="2"/>
      <c r="D424" s="2"/>
      <c r="F424" s="61"/>
      <c r="G424" s="61"/>
      <c r="H424" s="6"/>
      <c r="K424" s="1"/>
      <c r="M424" s="2"/>
      <c r="N424" s="1"/>
      <c r="Q424" s="187"/>
      <c r="R424" s="1"/>
      <c r="S424" s="128"/>
      <c r="T424" s="128"/>
      <c r="U424" s="363"/>
      <c r="V424" s="95">
        <f t="shared" si="11"/>
        <v>0</v>
      </c>
      <c r="X424" s="5"/>
      <c r="Y424" s="2"/>
      <c r="Z424" s="2"/>
      <c r="AA424" s="2"/>
      <c r="AB424" s="2"/>
      <c r="AC424" s="345"/>
      <c r="AD424" s="61"/>
      <c r="AJ424" s="2"/>
      <c r="AM424" s="3"/>
    </row>
    <row r="425" spans="1:46">
      <c r="C425" s="2"/>
      <c r="D425" s="2"/>
      <c r="H425" s="6"/>
      <c r="K425" s="1"/>
      <c r="M425" s="2"/>
      <c r="N425" s="1"/>
      <c r="P425" s="14"/>
      <c r="Q425" s="92"/>
      <c r="R425" s="1"/>
      <c r="S425" s="128"/>
      <c r="T425" s="128"/>
      <c r="U425" s="363"/>
      <c r="V425" s="95">
        <f t="shared" si="11"/>
        <v>0</v>
      </c>
      <c r="X425" s="5"/>
      <c r="Y425" s="2"/>
      <c r="Z425" s="2"/>
      <c r="AA425" s="2"/>
      <c r="AB425" s="2"/>
      <c r="AC425" s="80"/>
      <c r="AD425" s="61"/>
      <c r="AE425" s="61"/>
      <c r="AJ425" s="2"/>
      <c r="AM425" s="3"/>
      <c r="AT425" s="1"/>
    </row>
    <row r="426" spans="1:46" s="366" customFormat="1">
      <c r="A426" s="365"/>
      <c r="B426" s="338" t="s">
        <v>18</v>
      </c>
      <c r="C426" s="365"/>
      <c r="D426" s="365"/>
      <c r="E426" s="365"/>
      <c r="H426" s="365"/>
      <c r="I426" s="365"/>
      <c r="J426" s="365"/>
      <c r="L426" s="365"/>
      <c r="M426" s="365"/>
      <c r="O426" s="369"/>
      <c r="V426" s="367">
        <f>SUBTOTAL(109,Tabla2[Total])</f>
        <v>45390.33554</v>
      </c>
      <c r="Z426" s="365"/>
      <c r="AO426" s="366">
        <f>SUBTOTAL(103,Tabla2[Caducidad del permiso])</f>
        <v>0</v>
      </c>
      <c r="AS426"/>
    </row>
    <row r="427" spans="1:46">
      <c r="AS427" s="366"/>
    </row>
    <row r="434" spans="45:45">
      <c r="AS434" s="96"/>
    </row>
  </sheetData>
  <phoneticPr fontId="14" type="noConversion"/>
  <dataValidations count="2">
    <dataValidation type="list" allowBlank="1" showInputMessage="1" showErrorMessage="1" sqref="P225 O367:O424 O2:O365" xr:uid="{E2ADCB32-7804-4F0C-B016-CFFA6F5BBA85}">
      <formula1>$AS$4:$AS$22</formula1>
    </dataValidation>
    <dataValidation type="list" allowBlank="1" showInputMessage="1" showErrorMessage="1" sqref="O366" xr:uid="{872CE071-6B7D-4B9D-B95A-62B11003B81E}">
      <formula1>$AT$4:$AT$15</formula1>
    </dataValidation>
  </dataValidations>
  <hyperlinks>
    <hyperlink ref="K107" r:id="rId1" xr:uid="{F4834E93-678E-4ABD-89F3-9CA83F49D468}"/>
    <hyperlink ref="K96" r:id="rId2" xr:uid="{064660C1-50C3-4AD1-B37B-CC9E9F1E7666}"/>
    <hyperlink ref="K97" r:id="rId3" xr:uid="{B18572F0-E311-4357-8B04-31985347C52F}"/>
    <hyperlink ref="K98" r:id="rId4" xr:uid="{7144FA3A-7761-4E3E-BE8A-C2111984AEF1}"/>
    <hyperlink ref="K104" r:id="rId5" display="mailto:loligarcia@bufetejuanramirez.com" xr:uid="{CF3248C9-E670-41AB-9E2F-0F16E898E364}"/>
    <hyperlink ref="K88" r:id="rId6" xr:uid="{CC28F9BE-2958-4BD7-B05F-25980A14CBDC}"/>
    <hyperlink ref="K89" r:id="rId7" xr:uid="{3BC263AE-7E29-47C3-A0C1-899EB6E7BAAF}"/>
    <hyperlink ref="K138" r:id="rId8" display="mailto:loligarcia@bufetejuanramirez.com" xr:uid="{83E2966F-849C-4045-895A-473B26789C03}"/>
    <hyperlink ref="K140" r:id="rId9" xr:uid="{93991957-FBEE-466A-A98B-1DDFB4A7E1A5}"/>
    <hyperlink ref="K141" r:id="rId10" xr:uid="{43C760E3-EF16-44E6-8DA5-6A22B52C94FE}"/>
    <hyperlink ref="K145" r:id="rId11" xr:uid="{E2B6B441-D55A-4079-93CF-567DBAD672D6}"/>
    <hyperlink ref="K152" r:id="rId12" xr:uid="{056D4DF8-D40E-418B-8E81-697522BC597D}"/>
    <hyperlink ref="K284" r:id="rId13" xr:uid="{7A23A8D4-3EE7-467D-8C95-AEF0B718F094}"/>
    <hyperlink ref="K325" r:id="rId14" xr:uid="{032F6539-A935-45C4-B244-178B5FBF2598}"/>
    <hyperlink ref="K118" r:id="rId15" xr:uid="{73F64D86-FB84-480D-822A-A68CAB560155}"/>
    <hyperlink ref="K333" r:id="rId16" xr:uid="{03BABBD9-C0A1-4E65-9190-B241A14E53C2}"/>
    <hyperlink ref="K352" r:id="rId17" xr:uid="{B09F25DF-CDF4-4DCA-9B49-04CA8B810775}"/>
    <hyperlink ref="K362" r:id="rId18" xr:uid="{3B27DA79-DC45-4056-B23F-720AFC92E053}"/>
    <hyperlink ref="K365" r:id="rId19" xr:uid="{876E4904-CE36-4E2F-93A4-D8F110411B63}"/>
    <hyperlink ref="K414" r:id="rId20" xr:uid="{89018486-CEF5-445D-9E38-33834C92C986}"/>
    <hyperlink ref="K415" r:id="rId21" xr:uid="{84CA161C-ECB3-4E08-92F8-06971DC6D9BA}"/>
    <hyperlink ref="K417" r:id="rId22" xr:uid="{D342539E-1A1E-4AC5-9211-96DA9B173CA9}"/>
    <hyperlink ref="K2" r:id="rId23" display="mailto:administracion@cohorsan.com" xr:uid="{4875F49E-778F-40A9-A93F-7A6F4A0CD19A}"/>
    <hyperlink ref="K5" r:id="rId24" display="mailto:administracion@cohorsan.com" xr:uid="{8DD1D3E5-05FA-465F-AEF4-A63920C334EA}"/>
    <hyperlink ref="K12" r:id="rId25" display="mailto:administracion@cohorsan.com" xr:uid="{B1D0EBCB-483A-41C2-A5EE-440ACA5F1CA3}"/>
    <hyperlink ref="K25" r:id="rId26" display="mailto:administracion@cohorsan.com" xr:uid="{65C769CC-A672-4186-8D50-7F5F70E2E572}"/>
    <hyperlink ref="K34" r:id="rId27" display="mailto:administracion@cohorsan.com" xr:uid="{FEE5A43D-76F6-40B4-A233-34CDD1C1560F}"/>
    <hyperlink ref="K39" r:id="rId28" display="mailto:administracion@cohorsan.com" xr:uid="{48AB4AFD-5A5F-45F2-B377-5CBD2583A70B}"/>
    <hyperlink ref="K44" r:id="rId29" display="mailto:administracion@cohorsan.com" xr:uid="{1BBC0FE0-7BEE-43CC-98C0-A1818632931C}"/>
    <hyperlink ref="K51" r:id="rId30" display="mailto:administracion@cohorsan.com" xr:uid="{C03580E2-BB0F-47E3-BDD1-C87B642AA393}"/>
    <hyperlink ref="K52" r:id="rId31" display="mailto:administracion@cohorsan.com" xr:uid="{C3B44026-6DCA-4332-A06D-2BB918233835}"/>
    <hyperlink ref="K53" r:id="rId32" display="mailto:administracion@cohorsan.com" xr:uid="{8FF5ADC0-374F-4224-9976-BB969C7F442D}"/>
    <hyperlink ref="K57" r:id="rId33" display="mailto:administracion@cohorsan.com" xr:uid="{F58E01EA-4460-478F-8F6F-A1B3F8ECA14C}"/>
    <hyperlink ref="K63" r:id="rId34" display="mailto:administracion@cohorsan.com" xr:uid="{BE104D00-A926-4F05-92B3-6DB22FD2EBC0}"/>
    <hyperlink ref="K68" r:id="rId35" display="mailto:administracion@cohorsan.com" xr:uid="{0B20BC0F-8096-4BAE-912F-D0B022A388D2}"/>
    <hyperlink ref="K71" r:id="rId36" display="mailto:administracion@cohorsan.com" xr:uid="{8A2C38B0-AF7E-4CA6-A530-B0A5EB2A777C}"/>
    <hyperlink ref="K76" r:id="rId37" display="mailto:administracion@cohorsan.com" xr:uid="{87318E10-23D5-418C-B24A-07DFE8CB3103}"/>
    <hyperlink ref="K77" r:id="rId38" display="mailto:administracion@cohorsan.com" xr:uid="{A41C883A-068F-47D1-A8EE-ED2656D7E3B0}"/>
    <hyperlink ref="K101" r:id="rId39" display="mailto:administracion@cohorsan.com" xr:uid="{A23A2BD6-39A5-4BDE-9274-DA4F65951953}"/>
    <hyperlink ref="K132" r:id="rId40" display="mailto:administracion@cohorsan.com" xr:uid="{1EC85FA5-BD6A-4777-8194-AD6DAFBA4992}"/>
    <hyperlink ref="K143" r:id="rId41" display="mailto:administracion@cohorsan.com" xr:uid="{8CFA21F4-5535-469D-A80A-FD3B660DC45E}"/>
    <hyperlink ref="K167" r:id="rId42" display="mailto:administracion@cohorsan.com" xr:uid="{76F720BB-89E4-4406-A984-4F991EC98665}"/>
    <hyperlink ref="K170" r:id="rId43" display="mailto:administracion@cohorsan.com" xr:uid="{300854B2-5DE4-46BB-826A-DFC9DAB2B832}"/>
    <hyperlink ref="K181" r:id="rId44" display="mailto:administracion@cohorsan.com" xr:uid="{6CED8C6C-E4FE-46EF-B0C3-49A3D63E3F2D}"/>
    <hyperlink ref="K188" r:id="rId45" display="mailto:administracion@cohorsan.com" xr:uid="{716D021F-2F47-4B90-B174-E54452E3321B}"/>
    <hyperlink ref="K189" r:id="rId46" display="mailto:administracion@cohorsan.com" xr:uid="{B47CD8BC-DD9B-4EB1-AB31-F6CDF9F55B87}"/>
    <hyperlink ref="K192" r:id="rId47" display="mailto:administracion@cohorsan.com" xr:uid="{BD608849-A7E5-4134-8319-B1B7EACBE4A3}"/>
    <hyperlink ref="K197" r:id="rId48" display="mailto:administracion@cohorsan.com" xr:uid="{18690B9D-898C-4819-B344-5712EE6564F7}"/>
    <hyperlink ref="K207" r:id="rId49" display="mailto:administracion@cohorsan.com" xr:uid="{DA990248-B524-4601-9CAD-28F7BAC886E2}"/>
    <hyperlink ref="K209" r:id="rId50" display="mailto:administracion@cohorsan.com" xr:uid="{FDF450A0-20C2-4119-AC61-042E7DEB6EEB}"/>
    <hyperlink ref="K214" r:id="rId51" display="mailto:administracion@cohorsan.com" xr:uid="{D8C48451-4947-4573-87A5-CE540B0263A9}"/>
    <hyperlink ref="K215" r:id="rId52" display="mailto:administracion@cohorsan.com" xr:uid="{2E04EE21-23C2-41C0-955C-C24927A1B702}"/>
    <hyperlink ref="K238" r:id="rId53" display="mailto:administracion@cohorsan.com" xr:uid="{B1D7377D-38ED-4D3E-9BA1-DB3ACFECCB78}"/>
    <hyperlink ref="K243" r:id="rId54" display="mailto:administracion@cohorsan.com" xr:uid="{B9258540-E0AC-4967-82C1-C8F8E682603F}"/>
    <hyperlink ref="K245" r:id="rId55" display="mailto:administracion@cohorsan.com" xr:uid="{FC06A338-49FC-42A8-BA91-B0D975A145E1}"/>
    <hyperlink ref="K253" r:id="rId56" display="mailto:administracion@cohorsan.com" xr:uid="{84EF4CC1-CD58-43E5-B109-3E5C97A28C20}"/>
    <hyperlink ref="K259" r:id="rId57" display="mailto:administracion@cohorsan.com" xr:uid="{406BEBF0-BFD0-4521-9B5E-54FE402425F6}"/>
    <hyperlink ref="K261" r:id="rId58" display="mailto:administracion@cohorsan.com" xr:uid="{621AE838-93C4-4889-BDF7-6FE507C78904}"/>
    <hyperlink ref="K263" r:id="rId59" display="mailto:administracion@cohorsan.com" xr:uid="{4C78291D-E014-4F40-BE6F-16E43D362D41}"/>
    <hyperlink ref="K274" r:id="rId60" display="mailto:administracion@cohorsan.com" xr:uid="{2C666390-4427-4AE5-A9A1-699153E49491}"/>
    <hyperlink ref="K282" r:id="rId61" display="mailto:administracion@cohorsan.com" xr:uid="{5B464A52-26D8-4B4A-86F8-012E0EF546CD}"/>
    <hyperlink ref="K285" r:id="rId62" display="mailto:administracion@cohorsan.com" xr:uid="{220AE9B3-80ED-4C8A-8262-20FCB339D677}"/>
    <hyperlink ref="K290" r:id="rId63" display="mailto:administracion@cohorsan.com" xr:uid="{77320772-A726-4A17-8E7E-4DE6C920B3CA}"/>
    <hyperlink ref="K318" r:id="rId64" display="mailto:administracion@cohorsan.com" xr:uid="{A80917E7-EDAF-481F-BF8F-00325613B265}"/>
    <hyperlink ref="K319" r:id="rId65" display="mailto:administracion@cohorsan.com" xr:uid="{5A8693FF-79CA-4496-B204-4E40EBDA71D0}"/>
    <hyperlink ref="K320" r:id="rId66" display="mailto:administracion@cohorsan.com" xr:uid="{323EFA6E-E5EC-418D-A2DB-E195D21D7DD6}"/>
    <hyperlink ref="K329" r:id="rId67" display="mailto:administracion@cohorsan.com" xr:uid="{53D9E6CB-D31F-4FA7-82F5-03BAF1E2F7B1}"/>
    <hyperlink ref="K338" r:id="rId68" display="mailto:administracion@cohorsan.com" xr:uid="{4445B858-5032-41B1-95C9-CBEF5E27431D}"/>
    <hyperlink ref="K349" r:id="rId69" display="mailto:administracion@cohorsan.com" xr:uid="{18893552-93A4-4303-99AA-22124AA5E6E7}"/>
    <hyperlink ref="K350" r:id="rId70" display="mailto:administracion@cohorsan.com" xr:uid="{2F93C220-4B3A-4265-9778-7EE99353870D}"/>
    <hyperlink ref="K357" r:id="rId71" display="mailto:administracion@cohorsan.com" xr:uid="{4971B6F3-C3A8-437A-8DA9-0C240C7CCA93}"/>
    <hyperlink ref="K358" r:id="rId72" display="mailto:administracion@cohorsan.com" xr:uid="{B9ECAA40-81A1-4BD0-8D8C-88198BB67437}"/>
    <hyperlink ref="K363" r:id="rId73" display="mailto:administracion@cohorsan.com" xr:uid="{3B95E673-85C0-4E55-B7C6-45E4A4CA5F3B}"/>
    <hyperlink ref="K364" r:id="rId74" display="mailto:administracion@cohorsan.com" xr:uid="{4E3579B9-053B-41E1-9AC3-8EB064A0CCFA}"/>
    <hyperlink ref="K371" r:id="rId75" display="mailto:administracion@cohorsan.com" xr:uid="{F9FCCBB9-F683-4F5C-9882-C550FFEBFF64}"/>
    <hyperlink ref="K372" r:id="rId76" display="mailto:administracion@cohorsan.com" xr:uid="{D4151BF5-0919-4370-BA24-DD5127E4CD5F}"/>
    <hyperlink ref="K375" r:id="rId77" display="mailto:administracion@cohorsan.com" xr:uid="{1F6FB167-13AF-424B-AE55-DE72A1FFFFD4}"/>
    <hyperlink ref="K391" r:id="rId78" display="mailto:administracion@cohorsan.com" xr:uid="{D69916F3-6658-40C3-B97A-C217544377F9}"/>
    <hyperlink ref="K393" r:id="rId79" display="mailto:administracion@cohorsan.com" xr:uid="{69826389-4824-471B-B697-FED3A0F46755}"/>
    <hyperlink ref="K395" r:id="rId80" display="mailto:administracion@cohorsan.com" xr:uid="{3228FE9D-946B-4EAE-B7D7-E53019A0D657}"/>
    <hyperlink ref="K412" r:id="rId81" display="mailto:administracion@cohorsan.com" xr:uid="{A5E1EE6E-6253-4BEA-AF9D-59CBF209CE35}"/>
    <hyperlink ref="K416" r:id="rId82" display="mailto:administracion@cohorsan.com" xr:uid="{EAD01770-BAEB-4476-AD04-17FEE4A757A1}"/>
    <hyperlink ref="K418" r:id="rId83" display="mailto:administracion@cohorsan.com" xr:uid="{3C0CC89B-9E6A-4C6A-9427-B57F41C90E8E}"/>
    <hyperlink ref="K421" r:id="rId84" display="mailto:administracion@cohorsan.com" xr:uid="{AEBF2DFE-864E-4DB7-BFDE-A1EF1D5776B9}"/>
  </hyperlinks>
  <pageMargins left="0.7" right="0.7" top="0.75" bottom="0.75" header="0.3" footer="0.3"/>
  <pageSetup paperSize="9" orientation="portrait" r:id="rId85"/>
  <drawing r:id="rId86"/>
  <tableParts count="2">
    <tablePart r:id="rId87"/>
    <tablePart r:id="rId88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89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93EF8-5232-4534-94CC-D91311F11F56}">
  <sheetPr codeName="Hoja8"/>
  <dimension ref="A1:EI432"/>
  <sheetViews>
    <sheetView topLeftCell="A67" zoomScale="85" zoomScaleNormal="85" workbookViewId="0">
      <selection activeCell="F89" sqref="F89"/>
    </sheetView>
  </sheetViews>
  <sheetFormatPr baseColWidth="10" defaultRowHeight="15"/>
  <cols>
    <col min="1" max="1" width="4.42578125" customWidth="1"/>
    <col min="2" max="2" width="29.42578125" customWidth="1"/>
    <col min="3" max="3" width="16.7109375" bestFit="1" customWidth="1"/>
    <col min="4" max="4" width="7.28515625" customWidth="1"/>
    <col min="5" max="5" width="12.42578125" bestFit="1" customWidth="1"/>
    <col min="6" max="6" width="42.140625" bestFit="1" customWidth="1"/>
    <col min="7" max="7" width="41.85546875" bestFit="1" customWidth="1"/>
    <col min="8" max="8" width="15.42578125" customWidth="1"/>
    <col min="9" max="9" width="24.85546875" bestFit="1" customWidth="1"/>
    <col min="10" max="10" width="13.5703125" bestFit="1" customWidth="1"/>
    <col min="11" max="11" width="37.85546875" bestFit="1" customWidth="1"/>
    <col min="12" max="12" width="12.42578125" bestFit="1" customWidth="1"/>
    <col min="13" max="13" width="12.7109375" bestFit="1" customWidth="1"/>
    <col min="14" max="14" width="32.5703125" customWidth="1"/>
    <col min="15" max="15" width="22.28515625" bestFit="1" customWidth="1"/>
    <col min="16" max="16" width="89.42578125" bestFit="1" customWidth="1"/>
    <col min="17" max="17" width="11.5703125" bestFit="1" customWidth="1"/>
    <col min="18" max="18" width="13.42578125" bestFit="1" customWidth="1"/>
    <col min="19" max="19" width="8.7109375" bestFit="1" customWidth="1"/>
    <col min="20" max="20" width="15" bestFit="1" customWidth="1"/>
    <col min="21" max="21" width="14.42578125" bestFit="1" customWidth="1"/>
    <col min="22" max="22" width="12.28515625" customWidth="1"/>
    <col min="23" max="23" width="10.42578125" bestFit="1" customWidth="1"/>
    <col min="24" max="24" width="18.28515625" bestFit="1" customWidth="1"/>
    <col min="25" max="25" width="14.85546875" customWidth="1"/>
    <col min="26" max="26" width="15.7109375" bestFit="1" customWidth="1"/>
    <col min="27" max="27" width="21.85546875" bestFit="1" customWidth="1"/>
    <col min="28" max="28" width="15.140625" bestFit="1" customWidth="1"/>
    <col min="29" max="29" width="7.140625" customWidth="1"/>
    <col min="30" max="30" width="60.85546875" bestFit="1" customWidth="1"/>
    <col min="31" max="31" width="13.85546875" bestFit="1" customWidth="1"/>
    <col min="32" max="32" width="15.7109375" bestFit="1" customWidth="1"/>
    <col min="33" max="33" width="14.85546875" bestFit="1" customWidth="1"/>
    <col min="34" max="34" width="13.28515625" bestFit="1" customWidth="1"/>
    <col min="35" max="36" width="16" bestFit="1" customWidth="1"/>
    <col min="37" max="37" width="11.85546875" bestFit="1" customWidth="1"/>
    <col min="38" max="38" width="15.5703125" bestFit="1" customWidth="1"/>
    <col min="39" max="39" width="15.42578125" bestFit="1" customWidth="1"/>
    <col min="40" max="40" width="15.7109375" bestFit="1" customWidth="1"/>
    <col min="41" max="41" width="14.7109375" bestFit="1" customWidth="1"/>
    <col min="45" max="45" width="22.42578125" bestFit="1" customWidth="1"/>
  </cols>
  <sheetData>
    <row r="1" spans="1:46" s="14" customFormat="1" ht="47.25" customHeight="1">
      <c r="A1" s="348"/>
      <c r="B1" s="348" t="s">
        <v>11793</v>
      </c>
      <c r="C1" s="349" t="s">
        <v>1</v>
      </c>
      <c r="D1" s="349" t="s">
        <v>9870</v>
      </c>
      <c r="E1" s="326" t="s">
        <v>2</v>
      </c>
      <c r="F1" s="350" t="s">
        <v>3</v>
      </c>
      <c r="G1" s="350" t="s">
        <v>4</v>
      </c>
      <c r="H1" s="351" t="s">
        <v>5</v>
      </c>
      <c r="I1" s="326" t="s">
        <v>6</v>
      </c>
      <c r="J1" s="326" t="s">
        <v>7</v>
      </c>
      <c r="K1" s="326" t="s">
        <v>8</v>
      </c>
      <c r="L1" s="326" t="s">
        <v>9</v>
      </c>
      <c r="M1" s="352" t="s">
        <v>10</v>
      </c>
      <c r="N1" s="326" t="s">
        <v>11</v>
      </c>
      <c r="O1" s="350" t="s">
        <v>7927</v>
      </c>
      <c r="P1" s="326" t="s">
        <v>12</v>
      </c>
      <c r="Q1" s="353" t="s">
        <v>13</v>
      </c>
      <c r="R1" s="326" t="s">
        <v>14</v>
      </c>
      <c r="S1" s="328" t="s">
        <v>15</v>
      </c>
      <c r="T1" s="329" t="s">
        <v>16</v>
      </c>
      <c r="U1" s="326" t="s">
        <v>7923</v>
      </c>
      <c r="V1" s="354" t="s">
        <v>18</v>
      </c>
      <c r="W1" s="355" t="s">
        <v>19</v>
      </c>
      <c r="X1" s="356" t="s">
        <v>20</v>
      </c>
      <c r="Y1" s="357" t="s">
        <v>21</v>
      </c>
      <c r="Z1" s="349" t="s">
        <v>7773</v>
      </c>
      <c r="AA1" s="358" t="s">
        <v>22</v>
      </c>
      <c r="AB1" s="359" t="s">
        <v>1338</v>
      </c>
      <c r="AC1" s="355" t="s">
        <v>7889</v>
      </c>
      <c r="AD1" s="359" t="s">
        <v>1490</v>
      </c>
      <c r="AE1" s="355" t="s">
        <v>153</v>
      </c>
      <c r="AF1" s="355" t="s">
        <v>218</v>
      </c>
      <c r="AG1" s="360" t="s">
        <v>3382</v>
      </c>
      <c r="AH1" s="355" t="s">
        <v>1359</v>
      </c>
      <c r="AI1" s="355" t="s">
        <v>25</v>
      </c>
      <c r="AJ1" s="357" t="s">
        <v>26</v>
      </c>
      <c r="AK1" s="357" t="s">
        <v>27</v>
      </c>
      <c r="AL1" s="357" t="s">
        <v>28</v>
      </c>
      <c r="AM1" s="357" t="s">
        <v>29</v>
      </c>
      <c r="AN1" s="361" t="s">
        <v>31</v>
      </c>
      <c r="AO1" s="362" t="s">
        <v>32</v>
      </c>
    </row>
    <row r="2" spans="1:46">
      <c r="A2" s="1">
        <v>1</v>
      </c>
      <c r="B2" s="61" t="s">
        <v>143</v>
      </c>
      <c r="C2" s="2">
        <v>45293</v>
      </c>
      <c r="D2" s="2"/>
      <c r="E2" s="1" t="s">
        <v>9692</v>
      </c>
      <c r="F2" s="61" t="s">
        <v>9693</v>
      </c>
      <c r="G2" s="61" t="s">
        <v>9694</v>
      </c>
      <c r="H2" s="6" t="s">
        <v>250</v>
      </c>
      <c r="I2" s="1" t="s">
        <v>1474</v>
      </c>
      <c r="J2" s="1"/>
      <c r="K2" s="1"/>
      <c r="L2" s="1" t="s">
        <v>9692</v>
      </c>
      <c r="M2" s="2">
        <v>45322</v>
      </c>
      <c r="N2" s="1" t="s">
        <v>35</v>
      </c>
      <c r="O2" s="61" t="s">
        <v>7926</v>
      </c>
      <c r="P2" s="14" t="s">
        <v>9689</v>
      </c>
      <c r="Q2" s="187">
        <v>132.22999999999999</v>
      </c>
      <c r="R2" s="1">
        <v>1</v>
      </c>
      <c r="S2" s="128">
        <v>0.21</v>
      </c>
      <c r="T2" s="128">
        <v>0</v>
      </c>
      <c r="U2" s="363"/>
      <c r="V2" s="126">
        <f t="shared" ref="V2:V24" si="0">SUM(Q2-(Q2*T2))*S2+(Q2-(Q2*T2))</f>
        <v>159.99829999999997</v>
      </c>
      <c r="W2" t="s">
        <v>9721</v>
      </c>
      <c r="X2" s="5" t="s">
        <v>9722</v>
      </c>
      <c r="Y2" s="2">
        <v>36844</v>
      </c>
      <c r="Z2" s="2">
        <v>45293</v>
      </c>
      <c r="AA2" s="11" t="s">
        <v>9890</v>
      </c>
      <c r="AB2" s="2">
        <v>45328</v>
      </c>
      <c r="AC2" s="133" t="s">
        <v>1339</v>
      </c>
      <c r="AD2" s="61"/>
      <c r="AF2" t="s">
        <v>3198</v>
      </c>
      <c r="AI2" s="61" t="s">
        <v>3470</v>
      </c>
      <c r="AJ2" s="2">
        <v>45299</v>
      </c>
      <c r="AM2" s="3">
        <v>45307</v>
      </c>
    </row>
    <row r="3" spans="1:46">
      <c r="A3" s="1">
        <v>2</v>
      </c>
      <c r="B3" s="61" t="s">
        <v>3526</v>
      </c>
      <c r="C3" s="2">
        <v>45293</v>
      </c>
      <c r="D3" s="2"/>
      <c r="E3" s="1" t="s">
        <v>7464</v>
      </c>
      <c r="F3" s="61" t="s">
        <v>9847</v>
      </c>
      <c r="G3" s="61" t="s">
        <v>7466</v>
      </c>
      <c r="H3" s="6" t="s">
        <v>294</v>
      </c>
      <c r="I3" s="1" t="s">
        <v>103</v>
      </c>
      <c r="J3" s="295"/>
      <c r="K3" s="114" t="s">
        <v>7580</v>
      </c>
      <c r="L3" t="s">
        <v>7464</v>
      </c>
      <c r="M3" s="2">
        <v>45322</v>
      </c>
      <c r="N3" s="1" t="s">
        <v>35</v>
      </c>
      <c r="O3" s="61" t="s">
        <v>7934</v>
      </c>
      <c r="P3" s="14" t="s">
        <v>9690</v>
      </c>
      <c r="Q3" s="187">
        <v>78.510000000000005</v>
      </c>
      <c r="R3" s="1">
        <v>1</v>
      </c>
      <c r="S3" s="128">
        <v>0.21</v>
      </c>
      <c r="T3" s="128">
        <v>0.2</v>
      </c>
      <c r="U3" s="363"/>
      <c r="V3" s="126">
        <f t="shared" si="0"/>
        <v>75.997680000000003</v>
      </c>
      <c r="W3" t="s">
        <v>7583</v>
      </c>
      <c r="X3" s="6" t="s">
        <v>9691</v>
      </c>
      <c r="Y3" s="2">
        <v>35139</v>
      </c>
      <c r="Z3" s="2">
        <v>45293</v>
      </c>
      <c r="AA3" s="11" t="s">
        <v>9889</v>
      </c>
      <c r="AB3" s="3">
        <v>45324</v>
      </c>
      <c r="AC3" s="133" t="s">
        <v>1339</v>
      </c>
      <c r="AF3" t="s">
        <v>3198</v>
      </c>
      <c r="AJ3" s="2"/>
      <c r="AM3" s="74"/>
      <c r="AS3" t="s">
        <v>7772</v>
      </c>
      <c r="AT3" s="1"/>
    </row>
    <row r="4" spans="1:46">
      <c r="A4" s="1">
        <v>3</v>
      </c>
      <c r="B4" s="61" t="s">
        <v>33</v>
      </c>
      <c r="C4" s="2">
        <v>45299</v>
      </c>
      <c r="D4" s="2"/>
      <c r="E4" s="1" t="s">
        <v>9703</v>
      </c>
      <c r="F4" s="61" t="s">
        <v>9848</v>
      </c>
      <c r="G4" s="61" t="s">
        <v>9704</v>
      </c>
      <c r="H4" s="6" t="s">
        <v>219</v>
      </c>
      <c r="I4" s="1" t="s">
        <v>4334</v>
      </c>
      <c r="J4" s="1"/>
      <c r="K4" s="114" t="s">
        <v>11744</v>
      </c>
      <c r="L4" s="1" t="s">
        <v>237</v>
      </c>
      <c r="M4" s="2">
        <v>45322</v>
      </c>
      <c r="N4" s="1" t="s">
        <v>35</v>
      </c>
      <c r="O4" s="61" t="s">
        <v>23</v>
      </c>
      <c r="P4" s="14" t="s">
        <v>9707</v>
      </c>
      <c r="Q4" s="187">
        <v>41.32</v>
      </c>
      <c r="R4" s="1">
        <v>1</v>
      </c>
      <c r="S4" s="90">
        <v>0.21</v>
      </c>
      <c r="T4" s="90">
        <v>0</v>
      </c>
      <c r="U4" s="363"/>
      <c r="V4" s="126">
        <f t="shared" si="0"/>
        <v>49.997199999999999</v>
      </c>
      <c r="X4" s="5"/>
      <c r="Y4" s="2"/>
      <c r="Z4" s="2">
        <v>45299</v>
      </c>
      <c r="AA4" s="11"/>
      <c r="AB4" s="2"/>
      <c r="AC4" s="133"/>
      <c r="AF4" t="s">
        <v>3198</v>
      </c>
      <c r="AJ4" s="2"/>
      <c r="AS4" s="1" t="s">
        <v>7925</v>
      </c>
    </row>
    <row r="5" spans="1:46">
      <c r="A5" s="1">
        <v>4</v>
      </c>
      <c r="B5" s="61" t="s">
        <v>52</v>
      </c>
      <c r="C5" s="2">
        <v>45299</v>
      </c>
      <c r="D5" s="2"/>
      <c r="E5" s="1" t="s">
        <v>9705</v>
      </c>
      <c r="F5" s="61" t="s">
        <v>9849</v>
      </c>
      <c r="G5" s="61" t="s">
        <v>9706</v>
      </c>
      <c r="H5" s="6" t="s">
        <v>221</v>
      </c>
      <c r="I5" s="1" t="s">
        <v>34</v>
      </c>
      <c r="J5" s="1"/>
      <c r="K5" s="44" t="s">
        <v>5906</v>
      </c>
      <c r="L5" t="s">
        <v>4432</v>
      </c>
      <c r="M5" s="2">
        <v>45322</v>
      </c>
      <c r="N5" s="1" t="s">
        <v>35</v>
      </c>
      <c r="O5" s="61" t="s">
        <v>23</v>
      </c>
      <c r="P5" s="14" t="s">
        <v>9708</v>
      </c>
      <c r="Q5" s="187">
        <v>41.32</v>
      </c>
      <c r="R5" s="1">
        <v>1</v>
      </c>
      <c r="S5" s="90">
        <v>0.21</v>
      </c>
      <c r="T5" s="90">
        <v>0</v>
      </c>
      <c r="U5" s="363"/>
      <c r="V5" s="126">
        <f t="shared" si="0"/>
        <v>49.997199999999999</v>
      </c>
      <c r="X5" s="5"/>
      <c r="Y5" s="2"/>
      <c r="Z5" s="2">
        <v>45299</v>
      </c>
      <c r="AA5" s="11"/>
      <c r="AB5" s="2"/>
      <c r="AC5" s="133"/>
      <c r="AF5" t="s">
        <v>3198</v>
      </c>
      <c r="AJ5" s="2"/>
      <c r="AS5" s="1" t="s">
        <v>7928</v>
      </c>
    </row>
    <row r="6" spans="1:46">
      <c r="A6" s="1">
        <v>5</v>
      </c>
      <c r="B6" t="s">
        <v>7730</v>
      </c>
      <c r="C6" s="2">
        <v>45299</v>
      </c>
      <c r="D6" s="2"/>
      <c r="E6" s="1" t="s">
        <v>4358</v>
      </c>
      <c r="F6" s="61" t="s">
        <v>9850</v>
      </c>
      <c r="G6" s="61" t="s">
        <v>7728</v>
      </c>
      <c r="H6" s="6" t="s">
        <v>220</v>
      </c>
      <c r="I6" s="1" t="s">
        <v>39</v>
      </c>
      <c r="J6" s="8" t="s">
        <v>7729</v>
      </c>
      <c r="K6" s="8"/>
      <c r="L6" s="1" t="s">
        <v>4358</v>
      </c>
      <c r="M6" s="2">
        <v>45322</v>
      </c>
      <c r="N6" s="1" t="s">
        <v>35</v>
      </c>
      <c r="O6" s="61" t="s">
        <v>7925</v>
      </c>
      <c r="P6" s="14" t="s">
        <v>9709</v>
      </c>
      <c r="Q6" s="187">
        <v>132.22999999999999</v>
      </c>
      <c r="R6" s="1">
        <v>1</v>
      </c>
      <c r="S6" s="128">
        <v>0.21</v>
      </c>
      <c r="T6" s="128">
        <v>0.2</v>
      </c>
      <c r="U6" s="363"/>
      <c r="V6" s="126">
        <f t="shared" si="0"/>
        <v>127.99863999999999</v>
      </c>
      <c r="W6" t="s">
        <v>9810</v>
      </c>
      <c r="X6" s="5" t="s">
        <v>9811</v>
      </c>
      <c r="Y6" s="2">
        <v>33863</v>
      </c>
      <c r="Z6" s="2">
        <v>45299</v>
      </c>
      <c r="AA6" s="11" t="s">
        <v>10129</v>
      </c>
      <c r="AB6" s="3">
        <v>45370</v>
      </c>
      <c r="AC6" s="133" t="s">
        <v>1339</v>
      </c>
      <c r="AD6" s="314" t="s">
        <v>9710</v>
      </c>
      <c r="AF6" t="s">
        <v>3198</v>
      </c>
      <c r="AI6" t="s">
        <v>3392</v>
      </c>
      <c r="AJ6" s="2">
        <v>45314</v>
      </c>
      <c r="AM6" s="74">
        <v>45315</v>
      </c>
      <c r="AS6" s="1" t="s">
        <v>7929</v>
      </c>
      <c r="AT6" s="1"/>
    </row>
    <row r="7" spans="1:46">
      <c r="A7" s="1">
        <v>6</v>
      </c>
      <c r="B7" t="s">
        <v>52</v>
      </c>
      <c r="C7" s="2">
        <v>45299</v>
      </c>
      <c r="D7" s="2"/>
      <c r="E7" s="1" t="s">
        <v>62</v>
      </c>
      <c r="F7" s="61" t="s">
        <v>63</v>
      </c>
      <c r="G7" s="61" t="s">
        <v>214</v>
      </c>
      <c r="H7" s="6" t="s">
        <v>219</v>
      </c>
      <c r="I7" s="1" t="s">
        <v>38</v>
      </c>
      <c r="J7" s="8">
        <v>607281764</v>
      </c>
      <c r="K7" s="44" t="s">
        <v>5906</v>
      </c>
      <c r="L7" t="s">
        <v>4432</v>
      </c>
      <c r="M7" s="2">
        <v>45322</v>
      </c>
      <c r="N7" t="s">
        <v>35</v>
      </c>
      <c r="O7" s="61" t="s">
        <v>7926</v>
      </c>
      <c r="P7" s="14" t="s">
        <v>9713</v>
      </c>
      <c r="Q7" s="92">
        <v>132.22999999999999</v>
      </c>
      <c r="R7" s="1">
        <v>1</v>
      </c>
      <c r="S7" s="128">
        <v>0.21</v>
      </c>
      <c r="T7" s="128">
        <v>0.2</v>
      </c>
      <c r="U7" s="95"/>
      <c r="V7" s="126">
        <f t="shared" si="0"/>
        <v>127.99863999999999</v>
      </c>
      <c r="W7" t="s">
        <v>9768</v>
      </c>
      <c r="X7" s="5" t="s">
        <v>9769</v>
      </c>
      <c r="Y7" s="2">
        <v>37782</v>
      </c>
      <c r="Z7" s="2">
        <v>45299</v>
      </c>
      <c r="AA7" s="76" t="s">
        <v>9914</v>
      </c>
      <c r="AB7" s="64">
        <v>45334</v>
      </c>
      <c r="AC7" s="133" t="s">
        <v>1339</v>
      </c>
      <c r="AF7" t="s">
        <v>3198</v>
      </c>
      <c r="AI7" s="61" t="s">
        <v>3470</v>
      </c>
      <c r="AJ7" s="2">
        <v>45303</v>
      </c>
      <c r="AM7" s="74">
        <v>45307</v>
      </c>
      <c r="AS7" t="s">
        <v>9758</v>
      </c>
      <c r="AT7" s="1"/>
    </row>
    <row r="8" spans="1:46">
      <c r="A8" s="1">
        <v>7</v>
      </c>
      <c r="B8" t="s">
        <v>7245</v>
      </c>
      <c r="C8" s="2">
        <v>45300</v>
      </c>
      <c r="D8" s="2"/>
      <c r="E8" s="1" t="s">
        <v>1522</v>
      </c>
      <c r="F8" s="61" t="s">
        <v>3233</v>
      </c>
      <c r="G8" t="s">
        <v>3241</v>
      </c>
      <c r="H8" s="6" t="s">
        <v>3234</v>
      </c>
      <c r="I8" t="s">
        <v>3235</v>
      </c>
      <c r="J8" s="8">
        <v>680761760</v>
      </c>
      <c r="K8" s="8" t="s">
        <v>6232</v>
      </c>
      <c r="L8" t="s">
        <v>1522</v>
      </c>
      <c r="M8" s="2">
        <v>45322</v>
      </c>
      <c r="N8" s="1" t="s">
        <v>35</v>
      </c>
      <c r="O8" s="14" t="s">
        <v>7926</v>
      </c>
      <c r="P8" s="14" t="s">
        <v>9727</v>
      </c>
      <c r="Q8" s="187">
        <v>132.22999999999999</v>
      </c>
      <c r="R8" s="1">
        <v>1</v>
      </c>
      <c r="S8" s="128">
        <v>0.21</v>
      </c>
      <c r="T8" s="128">
        <v>0.2</v>
      </c>
      <c r="U8" s="363"/>
      <c r="V8" s="126">
        <f t="shared" si="0"/>
        <v>127.99863999999999</v>
      </c>
      <c r="W8" t="s">
        <v>9782</v>
      </c>
      <c r="X8" s="5" t="s">
        <v>9783</v>
      </c>
      <c r="Y8" s="2">
        <v>34639</v>
      </c>
      <c r="Z8" s="2">
        <v>45300</v>
      </c>
      <c r="AA8" s="11" t="s">
        <v>9937</v>
      </c>
      <c r="AB8" s="2">
        <v>45336</v>
      </c>
      <c r="AC8" s="133" t="s">
        <v>1339</v>
      </c>
      <c r="AE8" s="3"/>
      <c r="AF8" t="s">
        <v>3198</v>
      </c>
      <c r="AI8" s="61" t="s">
        <v>3470</v>
      </c>
      <c r="AJ8" s="2">
        <v>45306</v>
      </c>
      <c r="AM8" s="74">
        <v>45309</v>
      </c>
      <c r="AS8" s="1" t="s">
        <v>7934</v>
      </c>
      <c r="AT8" s="1"/>
    </row>
    <row r="9" spans="1:46">
      <c r="A9" s="1">
        <v>8</v>
      </c>
      <c r="B9" t="s">
        <v>1414</v>
      </c>
      <c r="C9" s="2">
        <v>45300</v>
      </c>
      <c r="D9" s="2"/>
      <c r="E9" s="1" t="s">
        <v>9728</v>
      </c>
      <c r="F9" s="61" t="s">
        <v>9851</v>
      </c>
      <c r="G9" t="s">
        <v>9729</v>
      </c>
      <c r="H9" s="6" t="s">
        <v>230</v>
      </c>
      <c r="I9" s="1" t="s">
        <v>8550</v>
      </c>
      <c r="J9" s="1"/>
      <c r="K9" s="396" t="s">
        <v>8355</v>
      </c>
      <c r="L9" s="1" t="s">
        <v>9728</v>
      </c>
      <c r="M9" s="2">
        <v>45322</v>
      </c>
      <c r="N9" s="1" t="s">
        <v>35</v>
      </c>
      <c r="O9" s="14" t="s">
        <v>7926</v>
      </c>
      <c r="P9" s="14" t="s">
        <v>9730</v>
      </c>
      <c r="Q9" s="187">
        <v>132.22999999999999</v>
      </c>
      <c r="R9" s="1">
        <v>1</v>
      </c>
      <c r="S9" s="128">
        <v>0.21</v>
      </c>
      <c r="T9" s="128">
        <v>0.2</v>
      </c>
      <c r="U9" s="363"/>
      <c r="V9" s="126">
        <f t="shared" si="0"/>
        <v>127.99863999999999</v>
      </c>
      <c r="W9" t="s">
        <v>9799</v>
      </c>
      <c r="X9" s="5" t="s">
        <v>9800</v>
      </c>
      <c r="Y9" s="3">
        <v>38404</v>
      </c>
      <c r="Z9" s="2">
        <v>45300</v>
      </c>
      <c r="AA9" s="11" t="s">
        <v>9933</v>
      </c>
      <c r="AB9" s="2">
        <v>45335</v>
      </c>
      <c r="AC9" s="133" t="s">
        <v>1339</v>
      </c>
      <c r="AF9" t="s">
        <v>3198</v>
      </c>
      <c r="AI9" s="61" t="s">
        <v>9731</v>
      </c>
      <c r="AJ9" s="3">
        <v>45306</v>
      </c>
      <c r="AM9" s="3">
        <v>45315</v>
      </c>
      <c r="AS9" s="1" t="s">
        <v>7935</v>
      </c>
    </row>
    <row r="10" spans="1:46">
      <c r="A10" s="1">
        <v>9</v>
      </c>
      <c r="B10" t="s">
        <v>1511</v>
      </c>
      <c r="C10" s="2">
        <v>45301</v>
      </c>
      <c r="D10" s="2"/>
      <c r="E10" s="1" t="s">
        <v>4664</v>
      </c>
      <c r="F10" s="61" t="s">
        <v>9852</v>
      </c>
      <c r="G10" s="61" t="s">
        <v>4666</v>
      </c>
      <c r="H10" s="6" t="s">
        <v>4667</v>
      </c>
      <c r="I10" s="1" t="s">
        <v>4668</v>
      </c>
      <c r="J10" s="8"/>
      <c r="K10" s="8"/>
      <c r="L10" t="s">
        <v>4664</v>
      </c>
      <c r="M10" s="2">
        <v>45322</v>
      </c>
      <c r="N10" s="1" t="s">
        <v>35</v>
      </c>
      <c r="O10" s="14" t="s">
        <v>7934</v>
      </c>
      <c r="P10" s="14" t="s">
        <v>9846</v>
      </c>
      <c r="Q10" s="187">
        <v>78.510000000000005</v>
      </c>
      <c r="R10" s="1">
        <v>1</v>
      </c>
      <c r="S10" s="90">
        <v>0.21</v>
      </c>
      <c r="T10" s="90">
        <v>0.2</v>
      </c>
      <c r="U10" s="363"/>
      <c r="V10" s="126">
        <f t="shared" si="0"/>
        <v>75.997680000000003</v>
      </c>
      <c r="W10" t="s">
        <v>7584</v>
      </c>
      <c r="X10" s="6" t="s">
        <v>9738</v>
      </c>
      <c r="Y10" s="2">
        <v>35964</v>
      </c>
      <c r="Z10" s="2">
        <v>45301</v>
      </c>
      <c r="AA10" s="11" t="s">
        <v>9890</v>
      </c>
      <c r="AB10" s="64">
        <v>45328</v>
      </c>
      <c r="AC10" s="133" t="s">
        <v>1339</v>
      </c>
      <c r="AF10" t="s">
        <v>3198</v>
      </c>
      <c r="AI10" s="81"/>
      <c r="AJ10" s="3"/>
      <c r="AM10" s="3"/>
      <c r="AS10" s="1" t="s">
        <v>7930</v>
      </c>
      <c r="AT10" s="1"/>
    </row>
    <row r="11" spans="1:46">
      <c r="A11" s="1">
        <v>10</v>
      </c>
      <c r="B11" t="s">
        <v>143</v>
      </c>
      <c r="C11" s="2">
        <v>45301</v>
      </c>
      <c r="D11" s="2"/>
      <c r="E11" s="1" t="s">
        <v>9739</v>
      </c>
      <c r="F11" s="61" t="s">
        <v>9853</v>
      </c>
      <c r="G11" t="s">
        <v>9740</v>
      </c>
      <c r="H11" s="6" t="s">
        <v>219</v>
      </c>
      <c r="I11" s="1" t="s">
        <v>4334</v>
      </c>
      <c r="J11" s="1"/>
      <c r="K11" s="1"/>
      <c r="L11" s="1" t="s">
        <v>9739</v>
      </c>
      <c r="M11" s="2">
        <v>45322</v>
      </c>
      <c r="N11" s="1" t="s">
        <v>35</v>
      </c>
      <c r="O11" s="61" t="s">
        <v>7933</v>
      </c>
      <c r="P11" s="14" t="s">
        <v>9741</v>
      </c>
      <c r="Q11" s="187">
        <v>100</v>
      </c>
      <c r="R11" s="1">
        <v>1</v>
      </c>
      <c r="S11" s="128">
        <v>0.21</v>
      </c>
      <c r="T11" s="128">
        <v>0</v>
      </c>
      <c r="U11" s="363"/>
      <c r="V11" s="126">
        <f t="shared" si="0"/>
        <v>121</v>
      </c>
      <c r="W11" s="1" t="s">
        <v>9739</v>
      </c>
      <c r="X11" s="5" t="s">
        <v>9742</v>
      </c>
      <c r="Y11" s="3"/>
      <c r="Z11" s="2">
        <v>45301</v>
      </c>
      <c r="AA11" s="11" t="s">
        <v>10130</v>
      </c>
      <c r="AB11" s="2">
        <v>45370</v>
      </c>
      <c r="AC11" s="133" t="s">
        <v>1339</v>
      </c>
      <c r="AE11" s="3"/>
      <c r="AF11" t="s">
        <v>3198</v>
      </c>
      <c r="AJ11" s="3"/>
      <c r="AM11" s="3"/>
      <c r="AS11" s="1" t="s">
        <v>7937</v>
      </c>
    </row>
    <row r="12" spans="1:46">
      <c r="A12" s="1">
        <v>11</v>
      </c>
      <c r="B12" t="s">
        <v>37</v>
      </c>
      <c r="C12" s="2">
        <v>45301</v>
      </c>
      <c r="D12" s="2"/>
      <c r="E12" s="1" t="s">
        <v>9830</v>
      </c>
      <c r="F12" s="61" t="s">
        <v>9854</v>
      </c>
      <c r="G12" t="s">
        <v>9744</v>
      </c>
      <c r="H12" s="6" t="s">
        <v>220</v>
      </c>
      <c r="I12" s="1" t="s">
        <v>39</v>
      </c>
      <c r="J12" s="8">
        <v>624314871</v>
      </c>
      <c r="K12" s="1"/>
      <c r="L12" s="1" t="s">
        <v>9830</v>
      </c>
      <c r="M12" s="2">
        <v>45322</v>
      </c>
      <c r="N12" s="1" t="s">
        <v>35</v>
      </c>
      <c r="O12" s="61" t="s">
        <v>7925</v>
      </c>
      <c r="P12" s="14" t="s">
        <v>9745</v>
      </c>
      <c r="Q12" s="187">
        <v>132.22999999999999</v>
      </c>
      <c r="R12" s="1">
        <v>1</v>
      </c>
      <c r="S12" s="128">
        <v>0.21</v>
      </c>
      <c r="T12" s="128">
        <v>0</v>
      </c>
      <c r="U12" s="363"/>
      <c r="V12" s="126">
        <f t="shared" si="0"/>
        <v>159.99829999999997</v>
      </c>
      <c r="W12" s="1" t="s">
        <v>9830</v>
      </c>
      <c r="X12" s="5" t="s">
        <v>9831</v>
      </c>
      <c r="Y12" s="2">
        <v>33907</v>
      </c>
      <c r="Z12" s="2">
        <v>45301</v>
      </c>
      <c r="AA12" s="11" t="s">
        <v>10170</v>
      </c>
      <c r="AB12" s="2">
        <v>45377</v>
      </c>
      <c r="AC12" s="133" t="s">
        <v>1339</v>
      </c>
      <c r="AF12" t="s">
        <v>3198</v>
      </c>
      <c r="AI12" t="s">
        <v>9746</v>
      </c>
      <c r="AJ12" s="2">
        <v>45317</v>
      </c>
      <c r="AM12" s="74">
        <v>45317</v>
      </c>
      <c r="AS12" s="1" t="s">
        <v>7936</v>
      </c>
    </row>
    <row r="13" spans="1:46">
      <c r="A13" s="1">
        <v>12</v>
      </c>
      <c r="B13" t="s">
        <v>61</v>
      </c>
      <c r="C13" s="2">
        <v>45301</v>
      </c>
      <c r="D13" s="2"/>
      <c r="E13" s="1" t="s">
        <v>9748</v>
      </c>
      <c r="F13" s="61" t="s">
        <v>9855</v>
      </c>
      <c r="G13" t="s">
        <v>9749</v>
      </c>
      <c r="H13" s="6" t="s">
        <v>241</v>
      </c>
      <c r="I13" s="1" t="s">
        <v>60</v>
      </c>
      <c r="J13" s="1"/>
      <c r="K13" s="301" t="s">
        <v>9747</v>
      </c>
      <c r="L13" s="1" t="s">
        <v>9748</v>
      </c>
      <c r="M13" s="2">
        <v>45322</v>
      </c>
      <c r="N13" s="1" t="s">
        <v>35</v>
      </c>
      <c r="O13" s="61" t="s">
        <v>7933</v>
      </c>
      <c r="P13" s="14" t="s">
        <v>9750</v>
      </c>
      <c r="Q13" s="187">
        <v>100</v>
      </c>
      <c r="R13" s="1">
        <v>1</v>
      </c>
      <c r="S13" s="128">
        <v>0.21</v>
      </c>
      <c r="T13" s="128">
        <v>0</v>
      </c>
      <c r="U13" s="363"/>
      <c r="V13" s="126">
        <f t="shared" si="0"/>
        <v>121</v>
      </c>
      <c r="X13" s="5"/>
      <c r="Y13" s="2"/>
      <c r="Z13" s="2"/>
      <c r="AA13" s="11"/>
      <c r="AB13" s="2"/>
      <c r="AC13" s="345"/>
      <c r="AJ13" s="3"/>
      <c r="AM13" s="3"/>
      <c r="AS13" s="1" t="s">
        <v>7968</v>
      </c>
    </row>
    <row r="14" spans="1:46">
      <c r="A14" s="1">
        <v>13</v>
      </c>
      <c r="B14" t="s">
        <v>6684</v>
      </c>
      <c r="C14" s="2">
        <v>45302</v>
      </c>
      <c r="D14" s="2"/>
      <c r="E14" s="1" t="s">
        <v>7436</v>
      </c>
      <c r="F14" s="61" t="s">
        <v>9856</v>
      </c>
      <c r="G14" s="61" t="s">
        <v>7989</v>
      </c>
      <c r="H14" s="6" t="s">
        <v>7966</v>
      </c>
      <c r="I14" s="1" t="s">
        <v>7965</v>
      </c>
      <c r="J14" s="8"/>
      <c r="K14" s="8"/>
      <c r="L14" s="1" t="s">
        <v>7436</v>
      </c>
      <c r="M14" s="2">
        <v>45322</v>
      </c>
      <c r="N14" s="1" t="s">
        <v>35</v>
      </c>
      <c r="O14" s="61" t="s">
        <v>7968</v>
      </c>
      <c r="P14" s="14" t="s">
        <v>9751</v>
      </c>
      <c r="Q14" s="187">
        <v>132.22999999999999</v>
      </c>
      <c r="R14" s="1">
        <v>1</v>
      </c>
      <c r="S14" s="90">
        <v>0.21</v>
      </c>
      <c r="T14" s="90">
        <v>0</v>
      </c>
      <c r="U14" s="363"/>
      <c r="V14" s="126">
        <f t="shared" si="0"/>
        <v>159.99829999999997</v>
      </c>
      <c r="W14" s="1" t="s">
        <v>8145</v>
      </c>
      <c r="X14" s="5" t="s">
        <v>9752</v>
      </c>
      <c r="Y14" s="2">
        <v>43779</v>
      </c>
      <c r="Z14" s="2">
        <v>45302</v>
      </c>
      <c r="AA14" s="11" t="s">
        <v>10169</v>
      </c>
      <c r="AB14" s="2">
        <v>45377</v>
      </c>
      <c r="AC14" s="133" t="s">
        <v>1339</v>
      </c>
      <c r="AF14" t="s">
        <v>3198</v>
      </c>
      <c r="AI14" s="61" t="s">
        <v>9753</v>
      </c>
      <c r="AJ14" s="2"/>
      <c r="AM14" s="3">
        <v>45366</v>
      </c>
      <c r="AS14" s="1" t="s">
        <v>7977</v>
      </c>
    </row>
    <row r="15" spans="1:46">
      <c r="A15" s="1">
        <v>14</v>
      </c>
      <c r="B15" s="61" t="s">
        <v>7475</v>
      </c>
      <c r="C15" s="2">
        <v>45303</v>
      </c>
      <c r="D15" s="2"/>
      <c r="E15" s="1" t="s">
        <v>7476</v>
      </c>
      <c r="F15" s="61" t="s">
        <v>9857</v>
      </c>
      <c r="G15" s="61" t="s">
        <v>7478</v>
      </c>
      <c r="H15" s="6" t="s">
        <v>241</v>
      </c>
      <c r="I15" s="1" t="s">
        <v>60</v>
      </c>
      <c r="J15" s="44">
        <v>679088389</v>
      </c>
      <c r="K15" s="44" t="s">
        <v>7480</v>
      </c>
      <c r="L15" t="s">
        <v>7476</v>
      </c>
      <c r="M15" s="2">
        <v>45322</v>
      </c>
      <c r="N15" s="1" t="s">
        <v>35</v>
      </c>
      <c r="O15" s="61" t="s">
        <v>7934</v>
      </c>
      <c r="P15" s="14" t="s">
        <v>9755</v>
      </c>
      <c r="Q15" s="187">
        <v>78.510000000000005</v>
      </c>
      <c r="R15" s="1">
        <v>1</v>
      </c>
      <c r="S15" s="128">
        <v>0.21</v>
      </c>
      <c r="T15" s="128">
        <v>0.2</v>
      </c>
      <c r="U15" s="373"/>
      <c r="V15" s="126">
        <f t="shared" si="0"/>
        <v>75.997680000000003</v>
      </c>
      <c r="W15" t="s">
        <v>7550</v>
      </c>
      <c r="X15" s="6" t="s">
        <v>9756</v>
      </c>
      <c r="Y15" s="2">
        <v>36595</v>
      </c>
      <c r="Z15" s="2">
        <v>45303</v>
      </c>
      <c r="AA15" s="11" t="s">
        <v>9934</v>
      </c>
      <c r="AB15" s="2">
        <v>45335</v>
      </c>
      <c r="AC15" s="133" t="s">
        <v>1339</v>
      </c>
      <c r="AF15" t="s">
        <v>3198</v>
      </c>
      <c r="AJ15" s="2"/>
      <c r="AM15" s="74"/>
      <c r="AS15" s="1" t="s">
        <v>8060</v>
      </c>
      <c r="AT15" s="1"/>
    </row>
    <row r="16" spans="1:46">
      <c r="A16" s="1">
        <v>15</v>
      </c>
      <c r="B16" t="s">
        <v>33</v>
      </c>
      <c r="C16" s="2">
        <v>45303</v>
      </c>
      <c r="D16" s="2"/>
      <c r="E16" s="1" t="s">
        <v>9757</v>
      </c>
      <c r="F16" s="61" t="s">
        <v>9858</v>
      </c>
      <c r="G16" t="s">
        <v>5053</v>
      </c>
      <c r="H16" s="6" t="s">
        <v>236</v>
      </c>
      <c r="I16" s="1" t="s">
        <v>68</v>
      </c>
      <c r="J16" s="30"/>
      <c r="K16" s="114" t="s">
        <v>11744</v>
      </c>
      <c r="L16" s="1" t="s">
        <v>237</v>
      </c>
      <c r="M16" s="2">
        <v>45322</v>
      </c>
      <c r="N16" s="1" t="s">
        <v>35</v>
      </c>
      <c r="O16" s="61" t="s">
        <v>9758</v>
      </c>
      <c r="P16" s="14" t="s">
        <v>9759</v>
      </c>
      <c r="Q16" s="187">
        <v>132.22999999999999</v>
      </c>
      <c r="R16" s="1">
        <v>1</v>
      </c>
      <c r="S16" s="128">
        <v>0.21</v>
      </c>
      <c r="T16" s="128">
        <v>0.2</v>
      </c>
      <c r="U16" s="363"/>
      <c r="V16" s="126">
        <f t="shared" si="0"/>
        <v>127.99863999999999</v>
      </c>
      <c r="W16" t="s">
        <v>9801</v>
      </c>
      <c r="X16" s="5" t="s">
        <v>9802</v>
      </c>
      <c r="Y16" s="2">
        <v>32254</v>
      </c>
      <c r="Z16" s="2">
        <v>45303</v>
      </c>
      <c r="AA16" s="11" t="s">
        <v>9918</v>
      </c>
      <c r="AB16" s="2">
        <v>45334</v>
      </c>
      <c r="AC16" s="133" t="s">
        <v>1339</v>
      </c>
      <c r="AE16" s="3"/>
      <c r="AF16" t="s">
        <v>3198</v>
      </c>
      <c r="AI16" s="61" t="s">
        <v>3470</v>
      </c>
      <c r="AJ16" s="2">
        <v>45308</v>
      </c>
      <c r="AM16" s="3">
        <v>45316</v>
      </c>
      <c r="AS16" s="1" t="s">
        <v>8174</v>
      </c>
    </row>
    <row r="17" spans="1:46">
      <c r="A17" s="1">
        <v>16</v>
      </c>
      <c r="B17" t="s">
        <v>143</v>
      </c>
      <c r="C17" s="2">
        <v>45303</v>
      </c>
      <c r="D17" s="2"/>
      <c r="E17" s="1" t="s">
        <v>9760</v>
      </c>
      <c r="F17" s="61" t="s">
        <v>9761</v>
      </c>
      <c r="G17" t="s">
        <v>9762</v>
      </c>
      <c r="H17" s="6" t="s">
        <v>250</v>
      </c>
      <c r="I17" s="1" t="s">
        <v>86</v>
      </c>
      <c r="J17" s="1">
        <v>624523137</v>
      </c>
      <c r="K17" s="1"/>
      <c r="L17" s="1" t="s">
        <v>9760</v>
      </c>
      <c r="M17" s="2">
        <v>45322</v>
      </c>
      <c r="N17" s="1" t="s">
        <v>35</v>
      </c>
      <c r="O17" s="61" t="s">
        <v>7925</v>
      </c>
      <c r="P17" s="14" t="s">
        <v>9763</v>
      </c>
      <c r="Q17" s="187">
        <v>132.22999999999999</v>
      </c>
      <c r="R17" s="1">
        <v>1</v>
      </c>
      <c r="S17" s="128">
        <v>0.21</v>
      </c>
      <c r="T17" s="128">
        <v>0</v>
      </c>
      <c r="U17" s="363"/>
      <c r="V17" s="126">
        <f t="shared" si="0"/>
        <v>159.99829999999997</v>
      </c>
      <c r="W17" s="1" t="s">
        <v>9760</v>
      </c>
      <c r="X17" s="5" t="s">
        <v>9839</v>
      </c>
      <c r="Y17" s="3">
        <v>32418</v>
      </c>
      <c r="Z17" s="2">
        <v>45303</v>
      </c>
      <c r="AA17" s="11" t="s">
        <v>10131</v>
      </c>
      <c r="AB17" s="2">
        <v>45370</v>
      </c>
      <c r="AC17" s="133" t="s">
        <v>1339</v>
      </c>
      <c r="AF17" t="s">
        <v>3198</v>
      </c>
      <c r="AI17" t="s">
        <v>3392</v>
      </c>
      <c r="AJ17" s="3">
        <v>45320</v>
      </c>
      <c r="AM17" s="3">
        <v>45321</v>
      </c>
      <c r="AS17" s="1" t="s">
        <v>9218</v>
      </c>
    </row>
    <row r="18" spans="1:46">
      <c r="A18" s="1">
        <v>17</v>
      </c>
      <c r="B18" t="s">
        <v>45</v>
      </c>
      <c r="C18" s="2">
        <v>45303</v>
      </c>
      <c r="D18" s="2"/>
      <c r="E18" s="1" t="s">
        <v>6673</v>
      </c>
      <c r="F18" s="61" t="s">
        <v>9859</v>
      </c>
      <c r="G18" s="61" t="s">
        <v>6675</v>
      </c>
      <c r="H18" s="6" t="s">
        <v>221</v>
      </c>
      <c r="I18" s="1" t="s">
        <v>34</v>
      </c>
      <c r="J18" s="8">
        <v>695563127</v>
      </c>
      <c r="K18" s="304" t="s">
        <v>6681</v>
      </c>
      <c r="L18" t="s">
        <v>6673</v>
      </c>
      <c r="M18" s="2">
        <v>45322</v>
      </c>
      <c r="N18" s="1" t="s">
        <v>35</v>
      </c>
      <c r="O18" s="61" t="s">
        <v>7925</v>
      </c>
      <c r="P18" s="14" t="s">
        <v>9387</v>
      </c>
      <c r="Q18" s="92">
        <v>132.22999999999999</v>
      </c>
      <c r="R18" s="1">
        <v>1</v>
      </c>
      <c r="S18" s="128">
        <v>0.21</v>
      </c>
      <c r="T18" s="128">
        <v>0.2</v>
      </c>
      <c r="U18" s="95"/>
      <c r="V18" s="126">
        <f t="shared" si="0"/>
        <v>127.99863999999999</v>
      </c>
      <c r="W18" t="s">
        <v>9840</v>
      </c>
      <c r="X18" s="5" t="s">
        <v>9841</v>
      </c>
      <c r="Y18" s="2">
        <v>34482</v>
      </c>
      <c r="Z18" s="2">
        <v>45303</v>
      </c>
      <c r="AA18" s="11" t="s">
        <v>10131</v>
      </c>
      <c r="AB18" s="2">
        <v>45370</v>
      </c>
      <c r="AC18" s="133" t="s">
        <v>1339</v>
      </c>
      <c r="AD18" s="61"/>
      <c r="AF18" t="s">
        <v>3198</v>
      </c>
      <c r="AI18" t="s">
        <v>3392</v>
      </c>
      <c r="AJ18" s="2">
        <v>45320</v>
      </c>
      <c r="AM18" s="74">
        <v>45323</v>
      </c>
      <c r="AS18" t="s">
        <v>9511</v>
      </c>
      <c r="AT18" s="1"/>
    </row>
    <row r="19" spans="1:46" s="96" customFormat="1">
      <c r="A19" s="1">
        <v>18</v>
      </c>
      <c r="B19" s="96" t="s">
        <v>4189</v>
      </c>
      <c r="C19" s="97">
        <v>45239</v>
      </c>
      <c r="D19" s="97"/>
      <c r="E19" s="99" t="s">
        <v>4948</v>
      </c>
      <c r="F19" s="104" t="s">
        <v>4189</v>
      </c>
      <c r="G19" s="310" t="s">
        <v>188</v>
      </c>
      <c r="H19" s="311" t="s">
        <v>220</v>
      </c>
      <c r="I19" s="312" t="s">
        <v>92</v>
      </c>
      <c r="J19" s="310"/>
      <c r="K19" t="s">
        <v>8724</v>
      </c>
      <c r="L19" s="99" t="s">
        <v>4948</v>
      </c>
      <c r="M19" s="2">
        <v>45322</v>
      </c>
      <c r="N19" s="99" t="s">
        <v>35</v>
      </c>
      <c r="O19" s="61" t="s">
        <v>8060</v>
      </c>
      <c r="P19" s="98" t="s">
        <v>2518</v>
      </c>
      <c r="Q19" s="92">
        <v>132.22999999999999</v>
      </c>
      <c r="R19" s="1">
        <v>1</v>
      </c>
      <c r="S19" s="128">
        <v>0.21</v>
      </c>
      <c r="T19" s="128">
        <v>0.2</v>
      </c>
      <c r="U19" s="363"/>
      <c r="V19" s="126">
        <v>127.99863999999999</v>
      </c>
      <c r="W19" t="s">
        <v>129</v>
      </c>
      <c r="X19" s="5" t="s">
        <v>9678</v>
      </c>
      <c r="Y19" s="3">
        <v>28804</v>
      </c>
      <c r="Z19" s="2">
        <v>45239</v>
      </c>
      <c r="AA19" s="11" t="s">
        <v>9770</v>
      </c>
      <c r="AB19" s="2">
        <v>45306</v>
      </c>
      <c r="AC19" s="133" t="s">
        <v>1339</v>
      </c>
      <c r="AD19" s="61"/>
      <c r="AE19" s="61"/>
      <c r="AF19"/>
      <c r="AG19"/>
      <c r="AH19"/>
      <c r="AI19" s="61" t="s">
        <v>3470</v>
      </c>
      <c r="AJ19" s="2">
        <v>45287</v>
      </c>
      <c r="AK19"/>
      <c r="AL19"/>
      <c r="AM19" s="2">
        <v>45287</v>
      </c>
      <c r="AN19"/>
      <c r="AO19"/>
      <c r="AP19"/>
      <c r="AS19" t="s">
        <v>7931</v>
      </c>
      <c r="AT19" s="99"/>
    </row>
    <row r="20" spans="1:46" s="96" customFormat="1">
      <c r="A20" s="1">
        <v>19</v>
      </c>
      <c r="B20" s="96" t="s">
        <v>4189</v>
      </c>
      <c r="C20" s="97">
        <v>45239</v>
      </c>
      <c r="D20" s="97"/>
      <c r="E20" s="99" t="s">
        <v>4948</v>
      </c>
      <c r="F20" s="104" t="s">
        <v>4189</v>
      </c>
      <c r="G20" s="310" t="s">
        <v>188</v>
      </c>
      <c r="H20" s="311" t="s">
        <v>220</v>
      </c>
      <c r="I20" s="312" t="s">
        <v>92</v>
      </c>
      <c r="J20" s="310"/>
      <c r="K20" t="s">
        <v>8724</v>
      </c>
      <c r="L20" s="99" t="s">
        <v>4948</v>
      </c>
      <c r="M20" s="2">
        <v>45322</v>
      </c>
      <c r="N20" s="99" t="s">
        <v>35</v>
      </c>
      <c r="O20" s="61" t="s">
        <v>8060</v>
      </c>
      <c r="P20" s="96" t="s">
        <v>2534</v>
      </c>
      <c r="Q20" s="92">
        <v>132.22999999999999</v>
      </c>
      <c r="R20" s="1">
        <v>1</v>
      </c>
      <c r="S20" s="128">
        <v>0.21</v>
      </c>
      <c r="T20" s="128">
        <v>0.2</v>
      </c>
      <c r="U20" s="95"/>
      <c r="V20" s="126">
        <v>127.99863999999999</v>
      </c>
      <c r="W20" t="s">
        <v>189</v>
      </c>
      <c r="X20" s="6" t="s">
        <v>9680</v>
      </c>
      <c r="Y20" s="3">
        <v>29652</v>
      </c>
      <c r="Z20" s="2">
        <v>45239</v>
      </c>
      <c r="AA20" s="11" t="s">
        <v>9770</v>
      </c>
      <c r="AB20" s="2">
        <v>45306</v>
      </c>
      <c r="AC20" s="133" t="s">
        <v>1339</v>
      </c>
      <c r="AD20" s="61"/>
      <c r="AE20" s="61"/>
      <c r="AF20"/>
      <c r="AG20"/>
      <c r="AH20"/>
      <c r="AI20" s="61" t="s">
        <v>3470</v>
      </c>
      <c r="AJ20" s="2">
        <v>45287</v>
      </c>
      <c r="AK20"/>
      <c r="AL20"/>
      <c r="AM20" s="2">
        <v>45287</v>
      </c>
      <c r="AN20"/>
      <c r="AO20"/>
      <c r="AP20"/>
      <c r="AS20" t="s">
        <v>10536</v>
      </c>
      <c r="AT20" s="99"/>
    </row>
    <row r="21" spans="1:46" s="96" customFormat="1">
      <c r="A21" s="1">
        <v>20</v>
      </c>
      <c r="B21" s="96" t="s">
        <v>4189</v>
      </c>
      <c r="C21" s="97">
        <v>45239</v>
      </c>
      <c r="D21" s="97"/>
      <c r="E21" s="99" t="s">
        <v>4948</v>
      </c>
      <c r="F21" s="104" t="s">
        <v>4189</v>
      </c>
      <c r="G21" s="310" t="s">
        <v>188</v>
      </c>
      <c r="H21" s="311" t="s">
        <v>220</v>
      </c>
      <c r="I21" s="312" t="s">
        <v>92</v>
      </c>
      <c r="J21" s="310"/>
      <c r="K21" t="s">
        <v>8724</v>
      </c>
      <c r="L21" s="99" t="s">
        <v>4948</v>
      </c>
      <c r="M21" s="2">
        <v>45322</v>
      </c>
      <c r="N21" s="99" t="s">
        <v>35</v>
      </c>
      <c r="O21" s="61" t="s">
        <v>8060</v>
      </c>
      <c r="P21" s="96" t="s">
        <v>2536</v>
      </c>
      <c r="Q21" s="92">
        <v>132.22999999999999</v>
      </c>
      <c r="R21" s="1">
        <v>1</v>
      </c>
      <c r="S21" s="128">
        <v>0.21</v>
      </c>
      <c r="T21" s="128">
        <v>0.2</v>
      </c>
      <c r="U21" s="95"/>
      <c r="V21" s="126">
        <v>127.99863999999999</v>
      </c>
      <c r="W21" s="3" t="s">
        <v>94</v>
      </c>
      <c r="X21" s="5" t="s">
        <v>9679</v>
      </c>
      <c r="Y21" s="3">
        <v>26463</v>
      </c>
      <c r="Z21" s="2">
        <v>45239</v>
      </c>
      <c r="AA21" s="11" t="s">
        <v>9770</v>
      </c>
      <c r="AB21" s="2">
        <v>45306</v>
      </c>
      <c r="AC21" s="133" t="s">
        <v>1339</v>
      </c>
      <c r="AD21" s="61"/>
      <c r="AE21" s="61"/>
      <c r="AF21"/>
      <c r="AG21"/>
      <c r="AH21"/>
      <c r="AI21" s="61" t="s">
        <v>3470</v>
      </c>
      <c r="AJ21" s="2">
        <v>45287</v>
      </c>
      <c r="AK21"/>
      <c r="AL21"/>
      <c r="AM21" s="2">
        <v>45287</v>
      </c>
      <c r="AN21"/>
      <c r="AO21"/>
      <c r="AP21"/>
      <c r="AS21" t="s">
        <v>7933</v>
      </c>
      <c r="AT21" s="99"/>
    </row>
    <row r="22" spans="1:46" s="96" customFormat="1">
      <c r="A22" s="1">
        <v>21</v>
      </c>
      <c r="B22" s="96" t="s">
        <v>4189</v>
      </c>
      <c r="C22" s="97">
        <v>45239</v>
      </c>
      <c r="D22" s="97"/>
      <c r="E22" s="99" t="s">
        <v>4948</v>
      </c>
      <c r="F22" s="104" t="s">
        <v>4189</v>
      </c>
      <c r="G22" s="310" t="s">
        <v>188</v>
      </c>
      <c r="H22" s="311" t="s">
        <v>220</v>
      </c>
      <c r="I22" s="312" t="s">
        <v>92</v>
      </c>
      <c r="J22" s="310"/>
      <c r="K22" t="s">
        <v>8724</v>
      </c>
      <c r="L22" s="99" t="s">
        <v>4948</v>
      </c>
      <c r="M22" s="2">
        <v>45322</v>
      </c>
      <c r="N22" s="99" t="s">
        <v>35</v>
      </c>
      <c r="O22" s="61" t="s">
        <v>8060</v>
      </c>
      <c r="P22" s="96" t="s">
        <v>8725</v>
      </c>
      <c r="Q22" s="92">
        <v>132.22999999999999</v>
      </c>
      <c r="R22" s="1">
        <v>1</v>
      </c>
      <c r="S22" s="128">
        <v>0.21</v>
      </c>
      <c r="T22" s="128">
        <v>0.2</v>
      </c>
      <c r="U22" s="95"/>
      <c r="V22" s="126">
        <v>127.99863999999999</v>
      </c>
      <c r="W22" t="s">
        <v>9623</v>
      </c>
      <c r="X22" s="6" t="s">
        <v>9681</v>
      </c>
      <c r="Y22" s="3">
        <v>30534</v>
      </c>
      <c r="Z22" s="2">
        <v>45239</v>
      </c>
      <c r="AA22" s="11" t="s">
        <v>9770</v>
      </c>
      <c r="AB22" s="2">
        <v>45306</v>
      </c>
      <c r="AC22" s="133" t="s">
        <v>1339</v>
      </c>
      <c r="AD22" s="61"/>
      <c r="AE22" s="61"/>
      <c r="AF22"/>
      <c r="AG22"/>
      <c r="AH22"/>
      <c r="AI22" s="61" t="s">
        <v>3470</v>
      </c>
      <c r="AJ22" s="2">
        <v>45287</v>
      </c>
      <c r="AK22"/>
      <c r="AL22"/>
      <c r="AM22" s="2">
        <v>45287</v>
      </c>
      <c r="AN22"/>
      <c r="AO22"/>
      <c r="AP22"/>
      <c r="AS22" t="s">
        <v>11188</v>
      </c>
      <c r="AT22" s="99"/>
    </row>
    <row r="23" spans="1:46">
      <c r="A23" s="1">
        <v>22</v>
      </c>
      <c r="B23" t="s">
        <v>7245</v>
      </c>
      <c r="C23" s="2">
        <v>45306</v>
      </c>
      <c r="D23" s="2"/>
      <c r="E23" s="1" t="s">
        <v>1522</v>
      </c>
      <c r="F23" s="61" t="s">
        <v>3233</v>
      </c>
      <c r="G23" t="s">
        <v>3241</v>
      </c>
      <c r="H23" s="6" t="s">
        <v>3234</v>
      </c>
      <c r="I23" t="s">
        <v>3235</v>
      </c>
      <c r="J23" s="8">
        <v>680761760</v>
      </c>
      <c r="K23" s="8" t="s">
        <v>6232</v>
      </c>
      <c r="L23" t="s">
        <v>1522</v>
      </c>
      <c r="M23" s="2">
        <v>45322</v>
      </c>
      <c r="N23" s="1" t="s">
        <v>35</v>
      </c>
      <c r="O23" s="14" t="s">
        <v>7926</v>
      </c>
      <c r="P23" s="14" t="s">
        <v>9771</v>
      </c>
      <c r="Q23" s="187">
        <v>132.22999999999999</v>
      </c>
      <c r="R23" s="1">
        <v>1</v>
      </c>
      <c r="S23" s="128">
        <v>0.21</v>
      </c>
      <c r="T23" s="128">
        <v>0.2</v>
      </c>
      <c r="U23" s="363"/>
      <c r="V23" s="126">
        <f t="shared" ref="V23" si="1">SUM(Q23-(Q23*T23))*S23+(Q23-(Q23*T23))</f>
        <v>127.99863999999999</v>
      </c>
      <c r="W23" t="s">
        <v>9797</v>
      </c>
      <c r="X23" s="5" t="s">
        <v>9798</v>
      </c>
      <c r="Y23" s="2">
        <v>32237</v>
      </c>
      <c r="Z23" s="2">
        <v>45306</v>
      </c>
      <c r="AA23" s="11" t="s">
        <v>9932</v>
      </c>
      <c r="AB23" s="2">
        <v>45335</v>
      </c>
      <c r="AC23" s="133" t="s">
        <v>1339</v>
      </c>
      <c r="AE23" s="3"/>
      <c r="AF23" t="s">
        <v>3198</v>
      </c>
      <c r="AI23" s="61" t="s">
        <v>3470</v>
      </c>
      <c r="AJ23" s="2">
        <v>45308</v>
      </c>
      <c r="AM23" s="74"/>
      <c r="AS23" s="1"/>
      <c r="AT23" s="1"/>
    </row>
    <row r="24" spans="1:46">
      <c r="A24" s="1">
        <v>23</v>
      </c>
      <c r="B24" t="s">
        <v>9775</v>
      </c>
      <c r="C24" s="2">
        <v>45306</v>
      </c>
      <c r="D24" s="2"/>
      <c r="E24" s="1" t="s">
        <v>9776</v>
      </c>
      <c r="F24" s="61" t="s">
        <v>9777</v>
      </c>
      <c r="G24" t="s">
        <v>843</v>
      </c>
      <c r="H24" s="6" t="s">
        <v>227</v>
      </c>
      <c r="I24" s="1" t="s">
        <v>34</v>
      </c>
      <c r="J24" s="1"/>
      <c r="K24" s="396" t="s">
        <v>9778</v>
      </c>
      <c r="L24" s="1" t="s">
        <v>9776</v>
      </c>
      <c r="M24" s="2">
        <v>45322</v>
      </c>
      <c r="N24" s="1" t="s">
        <v>35</v>
      </c>
      <c r="O24" s="14" t="s">
        <v>7926</v>
      </c>
      <c r="P24" s="14" t="s">
        <v>9779</v>
      </c>
      <c r="Q24" s="187">
        <v>132.22999999999999</v>
      </c>
      <c r="R24" s="1">
        <v>1</v>
      </c>
      <c r="S24" s="128">
        <v>0.21</v>
      </c>
      <c r="T24" s="128">
        <v>0.2</v>
      </c>
      <c r="U24" s="95"/>
      <c r="V24" s="126">
        <f t="shared" si="0"/>
        <v>127.99863999999999</v>
      </c>
      <c r="W24" s="1" t="s">
        <v>8176</v>
      </c>
      <c r="X24" s="5" t="s">
        <v>9803</v>
      </c>
      <c r="Y24" s="2">
        <v>35331</v>
      </c>
      <c r="Z24" s="2">
        <v>45306</v>
      </c>
      <c r="AA24" s="11" t="s">
        <v>10498</v>
      </c>
      <c r="AB24" s="64">
        <v>45439</v>
      </c>
      <c r="AC24" s="133" t="s">
        <v>1339</v>
      </c>
      <c r="AE24" s="162">
        <v>45363</v>
      </c>
      <c r="AF24" t="s">
        <v>3198</v>
      </c>
      <c r="AI24" s="61" t="s">
        <v>9780</v>
      </c>
      <c r="AJ24" s="3">
        <v>45308</v>
      </c>
      <c r="AM24" s="3">
        <v>45317</v>
      </c>
    </row>
    <row r="25" spans="1:46">
      <c r="A25" s="1">
        <v>24</v>
      </c>
      <c r="B25" t="s">
        <v>37</v>
      </c>
      <c r="C25" s="2">
        <v>45307</v>
      </c>
      <c r="D25" s="2"/>
      <c r="E25" s="1" t="s">
        <v>9784</v>
      </c>
      <c r="F25" s="61" t="s">
        <v>9860</v>
      </c>
      <c r="G25" t="s">
        <v>9785</v>
      </c>
      <c r="H25" s="6" t="s">
        <v>1062</v>
      </c>
      <c r="I25" s="1" t="s">
        <v>1063</v>
      </c>
      <c r="J25" s="1">
        <v>632407260</v>
      </c>
      <c r="K25" s="1"/>
      <c r="L25" s="1" t="s">
        <v>9784</v>
      </c>
      <c r="M25" s="2">
        <v>45322</v>
      </c>
      <c r="N25" s="1" t="s">
        <v>35</v>
      </c>
      <c r="O25" s="14" t="s">
        <v>7925</v>
      </c>
      <c r="P25" s="14" t="s">
        <v>9786</v>
      </c>
      <c r="Q25" s="187">
        <v>132.22999999999999</v>
      </c>
      <c r="R25" s="1">
        <v>1</v>
      </c>
      <c r="S25" s="128">
        <v>0.21</v>
      </c>
      <c r="T25" s="128">
        <v>0</v>
      </c>
      <c r="U25" s="95"/>
      <c r="V25" s="126">
        <f t="shared" ref="V25:V32" si="2">SUM(Q25-(Q25*T25))*S25+(Q25-(Q25*T25))</f>
        <v>159.99829999999997</v>
      </c>
      <c r="W25" s="1" t="s">
        <v>9784</v>
      </c>
      <c r="X25" s="5" t="s">
        <v>9878</v>
      </c>
      <c r="Y25" s="2">
        <v>34614</v>
      </c>
      <c r="Z25" s="2">
        <v>45307</v>
      </c>
      <c r="AA25" s="11" t="s">
        <v>10164</v>
      </c>
      <c r="AB25" s="3">
        <v>45377</v>
      </c>
      <c r="AC25" s="133" t="s">
        <v>1339</v>
      </c>
      <c r="AF25" t="s">
        <v>3198</v>
      </c>
      <c r="AI25" t="s">
        <v>9787</v>
      </c>
      <c r="AJ25" s="3">
        <v>45327</v>
      </c>
      <c r="AM25" s="3">
        <v>45327</v>
      </c>
    </row>
    <row r="26" spans="1:46" ht="14.25" customHeight="1">
      <c r="A26" s="1">
        <v>25</v>
      </c>
      <c r="B26" t="s">
        <v>9170</v>
      </c>
      <c r="C26" s="2">
        <v>45307</v>
      </c>
      <c r="D26" s="2"/>
      <c r="E26" s="1" t="s">
        <v>256</v>
      </c>
      <c r="F26" s="103" t="s">
        <v>155</v>
      </c>
      <c r="G26" s="31" t="s">
        <v>138</v>
      </c>
      <c r="H26" s="33" t="s">
        <v>227</v>
      </c>
      <c r="I26" s="30" t="s">
        <v>203</v>
      </c>
      <c r="J26" s="30">
        <v>659409676</v>
      </c>
      <c r="K26" s="396" t="s">
        <v>9171</v>
      </c>
      <c r="L26" s="1" t="s">
        <v>256</v>
      </c>
      <c r="M26" s="2">
        <v>45322</v>
      </c>
      <c r="N26" s="1" t="s">
        <v>35</v>
      </c>
      <c r="O26" s="61" t="s">
        <v>7925</v>
      </c>
      <c r="P26" s="14" t="s">
        <v>9788</v>
      </c>
      <c r="Q26" s="187">
        <v>132.22999999999999</v>
      </c>
      <c r="R26" s="1">
        <v>1</v>
      </c>
      <c r="S26" s="128">
        <v>0.21</v>
      </c>
      <c r="T26" s="128">
        <v>0.2</v>
      </c>
      <c r="U26" s="363"/>
      <c r="V26" s="126">
        <f t="shared" ref="V26:V29" si="3">SUM(Q26-(Q26*T26))*S26+(Q26-(Q26*T26))</f>
        <v>127.99863999999999</v>
      </c>
      <c r="W26" t="s">
        <v>9876</v>
      </c>
      <c r="X26" s="5" t="s">
        <v>9877</v>
      </c>
      <c r="Y26" s="211">
        <v>35613</v>
      </c>
      <c r="Z26" s="2">
        <v>45307</v>
      </c>
      <c r="AA26" s="11" t="s">
        <v>10208</v>
      </c>
      <c r="AB26" s="2">
        <v>45392</v>
      </c>
      <c r="AC26" s="133" t="s">
        <v>1339</v>
      </c>
      <c r="AD26" t="s">
        <v>10207</v>
      </c>
      <c r="AF26" t="s">
        <v>3198</v>
      </c>
      <c r="AI26" t="s">
        <v>3392</v>
      </c>
      <c r="AJ26" s="3">
        <v>45324</v>
      </c>
      <c r="AM26" s="74">
        <v>45331</v>
      </c>
      <c r="AS26" s="1"/>
    </row>
    <row r="27" spans="1:46">
      <c r="A27" s="1">
        <v>26</v>
      </c>
      <c r="B27" t="s">
        <v>6873</v>
      </c>
      <c r="C27" s="2">
        <v>45307</v>
      </c>
      <c r="D27" s="2"/>
      <c r="E27" s="1" t="s">
        <v>6874</v>
      </c>
      <c r="F27" s="61" t="s">
        <v>9861</v>
      </c>
      <c r="G27" t="s">
        <v>6876</v>
      </c>
      <c r="H27" s="6" t="s">
        <v>219</v>
      </c>
      <c r="I27" s="1" t="s">
        <v>38</v>
      </c>
      <c r="J27" s="8">
        <v>622029130</v>
      </c>
      <c r="K27" s="8"/>
      <c r="L27" t="s">
        <v>6874</v>
      </c>
      <c r="M27" s="2">
        <v>45322</v>
      </c>
      <c r="N27" s="1" t="s">
        <v>35</v>
      </c>
      <c r="O27" s="61" t="s">
        <v>7934</v>
      </c>
      <c r="P27" s="14" t="s">
        <v>9789</v>
      </c>
      <c r="Q27" s="187">
        <v>78.510000000000005</v>
      </c>
      <c r="R27" s="1">
        <v>1</v>
      </c>
      <c r="S27" s="128">
        <v>0.21</v>
      </c>
      <c r="T27" s="128">
        <v>0.2</v>
      </c>
      <c r="U27" s="363"/>
      <c r="V27" s="126">
        <f t="shared" si="3"/>
        <v>75.997680000000003</v>
      </c>
      <c r="W27" t="s">
        <v>7064</v>
      </c>
      <c r="X27" s="6" t="s">
        <v>9790</v>
      </c>
      <c r="Y27" s="2">
        <v>20805</v>
      </c>
      <c r="Z27" s="2">
        <v>45307</v>
      </c>
      <c r="AA27" s="11" t="s">
        <v>9937</v>
      </c>
      <c r="AB27" s="2">
        <v>45336</v>
      </c>
      <c r="AC27" s="133" t="s">
        <v>1339</v>
      </c>
      <c r="AE27" s="3"/>
      <c r="AF27" t="s">
        <v>3198</v>
      </c>
      <c r="AJ27" s="2"/>
      <c r="AM27" s="74"/>
      <c r="AT27" s="1"/>
    </row>
    <row r="28" spans="1:46">
      <c r="A28" s="1">
        <v>27</v>
      </c>
      <c r="B28" s="61" t="s">
        <v>33</v>
      </c>
      <c r="C28" s="2">
        <v>45308</v>
      </c>
      <c r="D28" s="2"/>
      <c r="E28" s="1" t="s">
        <v>3030</v>
      </c>
      <c r="F28" s="61" t="s">
        <v>9862</v>
      </c>
      <c r="G28" t="s">
        <v>6907</v>
      </c>
      <c r="H28" s="6" t="s">
        <v>304</v>
      </c>
      <c r="I28" s="1" t="s">
        <v>34</v>
      </c>
      <c r="J28" s="8"/>
      <c r="K28" s="114" t="s">
        <v>11744</v>
      </c>
      <c r="L28" t="s">
        <v>237</v>
      </c>
      <c r="M28" s="2">
        <v>45322</v>
      </c>
      <c r="N28" s="1" t="s">
        <v>35</v>
      </c>
      <c r="O28" s="61" t="s">
        <v>7925</v>
      </c>
      <c r="P28" s="14" t="s">
        <v>9791</v>
      </c>
      <c r="Q28" s="187">
        <v>132.22999999999999</v>
      </c>
      <c r="R28" s="1">
        <v>1</v>
      </c>
      <c r="S28" s="128">
        <v>0.21</v>
      </c>
      <c r="T28" s="128">
        <v>0.2</v>
      </c>
      <c r="U28" s="363"/>
      <c r="V28" s="126">
        <f t="shared" si="3"/>
        <v>127.99863999999999</v>
      </c>
      <c r="W28" t="s">
        <v>9871</v>
      </c>
      <c r="X28" s="6" t="s">
        <v>9872</v>
      </c>
      <c r="Y28" s="2">
        <v>33920</v>
      </c>
      <c r="Z28" s="2">
        <v>45308</v>
      </c>
      <c r="AA28" s="11" t="s">
        <v>10164</v>
      </c>
      <c r="AB28" s="3">
        <v>45377</v>
      </c>
      <c r="AC28" s="133" t="s">
        <v>1339</v>
      </c>
      <c r="AF28" t="s">
        <v>3198</v>
      </c>
      <c r="AI28" t="s">
        <v>9792</v>
      </c>
      <c r="AJ28" s="2">
        <v>45322</v>
      </c>
      <c r="AM28" s="74"/>
      <c r="AT28" s="1"/>
    </row>
    <row r="29" spans="1:46">
      <c r="A29" s="1">
        <v>28</v>
      </c>
      <c r="B29" t="s">
        <v>33</v>
      </c>
      <c r="C29" s="2">
        <v>45313</v>
      </c>
      <c r="D29" s="2"/>
      <c r="E29" s="1" t="s">
        <v>5295</v>
      </c>
      <c r="F29" s="61" t="s">
        <v>9863</v>
      </c>
      <c r="G29" s="61" t="s">
        <v>4384</v>
      </c>
      <c r="H29" s="6" t="s">
        <v>219</v>
      </c>
      <c r="I29" s="1" t="s">
        <v>38</v>
      </c>
      <c r="J29" s="8"/>
      <c r="K29" s="114" t="s">
        <v>11744</v>
      </c>
      <c r="L29" s="31" t="s">
        <v>237</v>
      </c>
      <c r="M29" s="2">
        <v>45322</v>
      </c>
      <c r="N29" s="1" t="s">
        <v>35</v>
      </c>
      <c r="O29" s="61" t="s">
        <v>7925</v>
      </c>
      <c r="P29" s="14" t="s">
        <v>9809</v>
      </c>
      <c r="Q29" s="187">
        <v>132.22999999999999</v>
      </c>
      <c r="R29" s="1">
        <v>1</v>
      </c>
      <c r="S29" s="90">
        <v>0.21</v>
      </c>
      <c r="T29" s="90">
        <v>0.2</v>
      </c>
      <c r="U29" s="363"/>
      <c r="V29" s="126">
        <f t="shared" si="3"/>
        <v>127.99863999999999</v>
      </c>
      <c r="W29" t="s">
        <v>9893</v>
      </c>
      <c r="X29" s="6" t="s">
        <v>9894</v>
      </c>
      <c r="Y29" s="2">
        <v>34714</v>
      </c>
      <c r="Z29" s="2">
        <v>45313</v>
      </c>
      <c r="AA29" s="11" t="s">
        <v>10213</v>
      </c>
      <c r="AB29" s="3">
        <v>45392</v>
      </c>
      <c r="AC29" s="133" t="s">
        <v>1339</v>
      </c>
      <c r="AF29" t="s">
        <v>3198</v>
      </c>
      <c r="AI29" t="s">
        <v>3392</v>
      </c>
      <c r="AJ29" s="2">
        <v>45328</v>
      </c>
      <c r="AM29" s="74">
        <v>45330</v>
      </c>
      <c r="AT29" s="1"/>
    </row>
    <row r="30" spans="1:46">
      <c r="A30" s="1">
        <v>29</v>
      </c>
      <c r="B30" t="s">
        <v>3526</v>
      </c>
      <c r="C30" s="2">
        <v>45315</v>
      </c>
      <c r="D30" s="2"/>
      <c r="E30" s="1" t="s">
        <v>9812</v>
      </c>
      <c r="F30" s="61" t="s">
        <v>9864</v>
      </c>
      <c r="G30" t="s">
        <v>9813</v>
      </c>
      <c r="H30" s="6" t="s">
        <v>270</v>
      </c>
      <c r="I30" s="1" t="s">
        <v>49</v>
      </c>
      <c r="J30" s="1">
        <v>653184605</v>
      </c>
      <c r="K30" s="245" t="s">
        <v>10335</v>
      </c>
      <c r="L30" s="31" t="s">
        <v>237</v>
      </c>
      <c r="M30" s="2">
        <v>45322</v>
      </c>
      <c r="N30" s="1" t="s">
        <v>35</v>
      </c>
      <c r="O30" s="61" t="s">
        <v>7925</v>
      </c>
      <c r="P30" s="14" t="s">
        <v>9814</v>
      </c>
      <c r="Q30" s="187">
        <v>132.22999999999999</v>
      </c>
      <c r="R30" s="1">
        <v>1</v>
      </c>
      <c r="S30" s="128">
        <v>0.21</v>
      </c>
      <c r="T30" s="128">
        <v>0.2</v>
      </c>
      <c r="U30" s="95"/>
      <c r="V30" s="126">
        <f t="shared" si="2"/>
        <v>127.99863999999999</v>
      </c>
      <c r="W30" s="1" t="s">
        <v>9919</v>
      </c>
      <c r="X30" s="5" t="s">
        <v>9920</v>
      </c>
      <c r="Y30" s="2">
        <v>33341</v>
      </c>
      <c r="Z30" s="2">
        <v>45315</v>
      </c>
      <c r="AA30" s="11" t="s">
        <v>10256</v>
      </c>
      <c r="AB30" s="2">
        <v>45398</v>
      </c>
      <c r="AC30" s="133" t="s">
        <v>1339</v>
      </c>
      <c r="AD30" s="400" t="s">
        <v>9815</v>
      </c>
      <c r="AF30" t="s">
        <v>3198</v>
      </c>
      <c r="AI30" t="s">
        <v>3392</v>
      </c>
      <c r="AJ30" s="3">
        <v>45334</v>
      </c>
      <c r="AM30" s="3">
        <v>45336</v>
      </c>
    </row>
    <row r="31" spans="1:46">
      <c r="A31" s="1">
        <v>30</v>
      </c>
      <c r="B31" s="61" t="s">
        <v>33</v>
      </c>
      <c r="C31" s="2">
        <v>45315</v>
      </c>
      <c r="D31" s="2"/>
      <c r="E31" s="1" t="s">
        <v>4330</v>
      </c>
      <c r="F31" s="61" t="s">
        <v>9865</v>
      </c>
      <c r="G31" s="61" t="s">
        <v>4333</v>
      </c>
      <c r="H31" s="6" t="s">
        <v>219</v>
      </c>
      <c r="I31" s="1" t="s">
        <v>4334</v>
      </c>
      <c r="J31" s="1"/>
      <c r="K31" s="114" t="s">
        <v>11744</v>
      </c>
      <c r="L31" s="1" t="s">
        <v>237</v>
      </c>
      <c r="M31" s="2">
        <v>45322</v>
      </c>
      <c r="N31" s="1" t="s">
        <v>35</v>
      </c>
      <c r="O31" s="61" t="s">
        <v>7934</v>
      </c>
      <c r="P31" s="14" t="s">
        <v>9816</v>
      </c>
      <c r="Q31" s="187">
        <v>78.510000000000005</v>
      </c>
      <c r="R31" s="1">
        <v>1</v>
      </c>
      <c r="S31" s="128">
        <v>0.21</v>
      </c>
      <c r="T31" s="128">
        <v>0.2</v>
      </c>
      <c r="U31" s="363"/>
      <c r="V31" s="126">
        <f t="shared" ref="V31" si="4">SUM(Q31-(Q31*T31))*S31+(Q31-(Q31*T31))</f>
        <v>75.997680000000003</v>
      </c>
      <c r="W31" t="s">
        <v>8024</v>
      </c>
      <c r="X31" s="5" t="s">
        <v>9817</v>
      </c>
      <c r="Y31" s="2">
        <v>32488</v>
      </c>
      <c r="Z31" s="2">
        <v>45315</v>
      </c>
      <c r="AA31" s="11" t="s">
        <v>9983</v>
      </c>
      <c r="AB31" s="2">
        <v>45345</v>
      </c>
      <c r="AC31" s="133" t="s">
        <v>1339</v>
      </c>
      <c r="AD31" s="61"/>
      <c r="AF31" t="s">
        <v>3198</v>
      </c>
      <c r="AJ31" s="2"/>
      <c r="AM31" s="3"/>
    </row>
    <row r="32" spans="1:46">
      <c r="A32" s="1">
        <v>31</v>
      </c>
      <c r="B32" s="61" t="s">
        <v>33</v>
      </c>
      <c r="C32" s="2">
        <v>45317</v>
      </c>
      <c r="D32" s="2"/>
      <c r="E32" s="1" t="s">
        <v>6985</v>
      </c>
      <c r="F32" s="61" t="s">
        <v>9022</v>
      </c>
      <c r="G32" t="s">
        <v>6943</v>
      </c>
      <c r="H32" s="6" t="s">
        <v>304</v>
      </c>
      <c r="I32" s="1" t="s">
        <v>34</v>
      </c>
      <c r="J32" s="8"/>
      <c r="K32" s="114" t="s">
        <v>11744</v>
      </c>
      <c r="L32" t="s">
        <v>237</v>
      </c>
      <c r="M32" s="2">
        <v>45322</v>
      </c>
      <c r="N32" s="1" t="s">
        <v>35</v>
      </c>
      <c r="O32" s="61" t="s">
        <v>7934</v>
      </c>
      <c r="P32" s="14" t="s">
        <v>9822</v>
      </c>
      <c r="Q32" s="187">
        <v>78.510000000000005</v>
      </c>
      <c r="R32" s="1">
        <v>1</v>
      </c>
      <c r="S32" s="128">
        <v>0.21</v>
      </c>
      <c r="T32" s="128">
        <v>0.2</v>
      </c>
      <c r="U32" s="95"/>
      <c r="V32" s="126">
        <f t="shared" si="2"/>
        <v>75.997680000000003</v>
      </c>
      <c r="W32" s="1" t="s">
        <v>7604</v>
      </c>
      <c r="X32" s="5" t="s">
        <v>9823</v>
      </c>
      <c r="Y32" s="2">
        <v>36345</v>
      </c>
      <c r="Z32" s="2">
        <v>45317</v>
      </c>
      <c r="AA32" s="11" t="s">
        <v>10017</v>
      </c>
      <c r="AB32" s="2">
        <v>45352</v>
      </c>
      <c r="AC32" s="133" t="s">
        <v>1339</v>
      </c>
      <c r="AF32" t="s">
        <v>3198</v>
      </c>
      <c r="AI32" s="1"/>
    </row>
    <row r="33" spans="1:46">
      <c r="A33" s="1">
        <v>32</v>
      </c>
      <c r="B33" s="61" t="s">
        <v>6684</v>
      </c>
      <c r="C33" s="2">
        <v>45317</v>
      </c>
      <c r="D33" s="2"/>
      <c r="E33" s="1" t="s">
        <v>6685</v>
      </c>
      <c r="F33" s="61" t="s">
        <v>6686</v>
      </c>
      <c r="G33" t="s">
        <v>6687</v>
      </c>
      <c r="H33" s="6" t="s">
        <v>2579</v>
      </c>
      <c r="I33" t="s">
        <v>2580</v>
      </c>
      <c r="J33" s="8"/>
      <c r="K33" s="1" t="s">
        <v>7339</v>
      </c>
      <c r="L33" t="s">
        <v>6685</v>
      </c>
      <c r="M33" s="2">
        <v>45322</v>
      </c>
      <c r="N33" s="1" t="s">
        <v>35</v>
      </c>
      <c r="O33" s="61" t="s">
        <v>7934</v>
      </c>
      <c r="P33" s="14" t="s">
        <v>9824</v>
      </c>
      <c r="Q33" s="187">
        <v>78.510000000000005</v>
      </c>
      <c r="R33" s="1">
        <v>1</v>
      </c>
      <c r="S33" s="128">
        <v>0.21</v>
      </c>
      <c r="T33" s="128">
        <v>0.2</v>
      </c>
      <c r="U33" s="95"/>
      <c r="V33" s="126">
        <f t="shared" ref="V33" si="5">SUM(Q33-(Q33*T33))*S33+(Q33-(Q33*T33))</f>
        <v>75.997680000000003</v>
      </c>
      <c r="W33" s="1" t="s">
        <v>7483</v>
      </c>
      <c r="X33" s="5" t="s">
        <v>9825</v>
      </c>
      <c r="Y33" s="2">
        <v>28219</v>
      </c>
      <c r="Z33" s="2">
        <v>45317</v>
      </c>
      <c r="AA33" s="11" t="s">
        <v>10017</v>
      </c>
      <c r="AB33" s="2">
        <v>45355</v>
      </c>
      <c r="AC33" s="133" t="s">
        <v>1339</v>
      </c>
      <c r="AF33" t="s">
        <v>3198</v>
      </c>
      <c r="AI33" s="1"/>
    </row>
    <row r="34" spans="1:46">
      <c r="A34" s="1">
        <v>33</v>
      </c>
      <c r="B34" s="61" t="s">
        <v>6684</v>
      </c>
      <c r="C34" s="2">
        <v>45317</v>
      </c>
      <c r="D34" s="2"/>
      <c r="E34" s="1" t="s">
        <v>6685</v>
      </c>
      <c r="F34" s="61" t="s">
        <v>6686</v>
      </c>
      <c r="G34" t="s">
        <v>6687</v>
      </c>
      <c r="H34" s="6" t="s">
        <v>2579</v>
      </c>
      <c r="I34" t="s">
        <v>2580</v>
      </c>
      <c r="J34" s="8"/>
      <c r="K34" s="1" t="s">
        <v>7339</v>
      </c>
      <c r="L34" t="s">
        <v>6685</v>
      </c>
      <c r="M34" s="2">
        <v>45322</v>
      </c>
      <c r="N34" s="1" t="s">
        <v>35</v>
      </c>
      <c r="O34" s="61" t="s">
        <v>7934</v>
      </c>
      <c r="P34" s="14" t="s">
        <v>9826</v>
      </c>
      <c r="Q34" s="187">
        <v>78.510000000000005</v>
      </c>
      <c r="R34" s="1">
        <v>1</v>
      </c>
      <c r="S34" s="128">
        <v>0.21</v>
      </c>
      <c r="T34" s="128">
        <v>0.2</v>
      </c>
      <c r="U34" s="95"/>
      <c r="V34" s="126">
        <f t="shared" ref="V34:V37" si="6">SUM(Q34-(Q34*T34))*S34+(Q34-(Q34*T34))</f>
        <v>75.997680000000003</v>
      </c>
      <c r="W34" s="1" t="s">
        <v>7669</v>
      </c>
      <c r="X34" s="5" t="s">
        <v>9827</v>
      </c>
      <c r="Y34" s="2">
        <v>31333</v>
      </c>
      <c r="Z34" s="2">
        <v>45317</v>
      </c>
      <c r="AA34" s="11" t="s">
        <v>10017</v>
      </c>
      <c r="AB34" s="2">
        <v>45355</v>
      </c>
      <c r="AC34" s="133" t="s">
        <v>1339</v>
      </c>
      <c r="AF34" t="s">
        <v>3198</v>
      </c>
      <c r="AI34" s="1"/>
    </row>
    <row r="35" spans="1:46">
      <c r="A35" s="1">
        <v>34</v>
      </c>
      <c r="B35" s="61" t="s">
        <v>119</v>
      </c>
      <c r="C35" s="2">
        <v>45317</v>
      </c>
      <c r="D35" s="2"/>
      <c r="E35" s="1" t="s">
        <v>613</v>
      </c>
      <c r="F35" s="61" t="s">
        <v>9866</v>
      </c>
      <c r="G35" s="61" t="s">
        <v>3795</v>
      </c>
      <c r="H35" s="6" t="s">
        <v>239</v>
      </c>
      <c r="I35" s="1" t="s">
        <v>2585</v>
      </c>
      <c r="J35" s="1">
        <v>637421137</v>
      </c>
      <c r="K35" s="1" t="s">
        <v>8094</v>
      </c>
      <c r="L35" s="31" t="s">
        <v>174</v>
      </c>
      <c r="M35" s="2">
        <v>45322</v>
      </c>
      <c r="N35" s="1" t="s">
        <v>35</v>
      </c>
      <c r="O35" s="61" t="s">
        <v>7934</v>
      </c>
      <c r="P35" s="14" t="s">
        <v>9828</v>
      </c>
      <c r="Q35" s="92">
        <v>78.510000000000005</v>
      </c>
      <c r="R35" s="1">
        <v>1</v>
      </c>
      <c r="S35" s="90">
        <v>0.21</v>
      </c>
      <c r="T35" s="90">
        <v>0.2</v>
      </c>
      <c r="U35" s="95"/>
      <c r="V35" s="126">
        <f t="shared" si="6"/>
        <v>75.997680000000003</v>
      </c>
      <c r="W35" t="s">
        <v>7596</v>
      </c>
      <c r="X35" s="6" t="s">
        <v>9829</v>
      </c>
      <c r="Y35" s="2">
        <v>37069</v>
      </c>
      <c r="Z35" s="2">
        <v>45317</v>
      </c>
      <c r="AA35" s="11" t="s">
        <v>10017</v>
      </c>
      <c r="AB35" s="2">
        <v>45355</v>
      </c>
      <c r="AC35" s="133" t="s">
        <v>1339</v>
      </c>
      <c r="AF35" t="s">
        <v>3198</v>
      </c>
      <c r="AJ35" s="2"/>
      <c r="AK35" s="2"/>
      <c r="AM35" s="74"/>
      <c r="AT35" s="1"/>
    </row>
    <row r="36" spans="1:46">
      <c r="A36" s="1">
        <v>35</v>
      </c>
      <c r="B36" t="s">
        <v>33</v>
      </c>
      <c r="C36" s="2">
        <v>45320</v>
      </c>
      <c r="D36" s="2"/>
      <c r="E36" s="1" t="s">
        <v>2417</v>
      </c>
      <c r="F36" s="61" t="s">
        <v>9867</v>
      </c>
      <c r="G36" s="61" t="s">
        <v>7706</v>
      </c>
      <c r="H36" s="6" t="s">
        <v>219</v>
      </c>
      <c r="I36" s="1" t="s">
        <v>38</v>
      </c>
      <c r="J36" s="1"/>
      <c r="K36" s="114" t="s">
        <v>11744</v>
      </c>
      <c r="L36" s="30" t="s">
        <v>237</v>
      </c>
      <c r="M36" s="2">
        <v>45322</v>
      </c>
      <c r="N36" s="1" t="s">
        <v>35</v>
      </c>
      <c r="O36" s="61" t="s">
        <v>7934</v>
      </c>
      <c r="P36" s="14" t="s">
        <v>9832</v>
      </c>
      <c r="Q36" s="92">
        <v>78.510000000000005</v>
      </c>
      <c r="R36" s="1">
        <v>1</v>
      </c>
      <c r="S36" s="90">
        <v>0.21</v>
      </c>
      <c r="T36" s="90">
        <v>0.2</v>
      </c>
      <c r="U36" s="363"/>
      <c r="V36" s="126">
        <f t="shared" si="6"/>
        <v>75.997680000000003</v>
      </c>
      <c r="W36" t="s">
        <v>7838</v>
      </c>
      <c r="X36" s="5" t="s">
        <v>9833</v>
      </c>
      <c r="Y36" s="2">
        <v>32742</v>
      </c>
      <c r="Z36" s="2">
        <v>45320</v>
      </c>
      <c r="AA36" s="11" t="s">
        <v>10018</v>
      </c>
      <c r="AB36" s="2">
        <v>45355</v>
      </c>
      <c r="AC36" s="133" t="s">
        <v>1339</v>
      </c>
      <c r="AF36" t="s">
        <v>3198</v>
      </c>
      <c r="AJ36" s="2"/>
      <c r="AM36" s="3"/>
      <c r="AT36" s="1"/>
    </row>
    <row r="37" spans="1:46">
      <c r="A37" s="1">
        <v>36</v>
      </c>
      <c r="B37" t="s">
        <v>33</v>
      </c>
      <c r="C37" s="2">
        <v>45320</v>
      </c>
      <c r="D37" s="2"/>
      <c r="E37" s="1" t="s">
        <v>5282</v>
      </c>
      <c r="F37" s="61" t="s">
        <v>9868</v>
      </c>
      <c r="G37" s="61" t="s">
        <v>5284</v>
      </c>
      <c r="H37" s="6" t="s">
        <v>3709</v>
      </c>
      <c r="I37" s="1" t="s">
        <v>5285</v>
      </c>
      <c r="J37" s="1"/>
      <c r="K37" s="114" t="s">
        <v>11744</v>
      </c>
      <c r="L37" s="30" t="s">
        <v>237</v>
      </c>
      <c r="M37" s="2">
        <v>45322</v>
      </c>
      <c r="N37" s="1" t="s">
        <v>35</v>
      </c>
      <c r="O37" s="61" t="s">
        <v>7934</v>
      </c>
      <c r="P37" s="14" t="s">
        <v>9834</v>
      </c>
      <c r="Q37" s="92">
        <v>78.510000000000005</v>
      </c>
      <c r="R37" s="1">
        <v>1</v>
      </c>
      <c r="S37" s="90">
        <v>0.21</v>
      </c>
      <c r="T37" s="90">
        <v>0.2</v>
      </c>
      <c r="U37" s="363"/>
      <c r="V37" s="126">
        <f t="shared" si="6"/>
        <v>75.997680000000003</v>
      </c>
      <c r="W37" t="s">
        <v>7840</v>
      </c>
      <c r="X37" s="5" t="s">
        <v>9835</v>
      </c>
      <c r="Y37" s="2">
        <v>32092</v>
      </c>
      <c r="Z37" s="2">
        <v>45320</v>
      </c>
      <c r="AA37" s="11" t="s">
        <v>10018</v>
      </c>
      <c r="AB37" s="2">
        <v>45355</v>
      </c>
      <c r="AC37" s="133" t="s">
        <v>1339</v>
      </c>
      <c r="AF37" t="s">
        <v>3198</v>
      </c>
      <c r="AJ37" s="2"/>
      <c r="AT37" s="1"/>
    </row>
    <row r="38" spans="1:46">
      <c r="A38" s="1">
        <v>37</v>
      </c>
      <c r="B38" t="s">
        <v>33</v>
      </c>
      <c r="C38" s="2">
        <v>45320</v>
      </c>
      <c r="D38" s="2"/>
      <c r="E38" s="1" t="s">
        <v>3327</v>
      </c>
      <c r="F38" s="61" t="s">
        <v>9869</v>
      </c>
      <c r="G38" t="s">
        <v>3329</v>
      </c>
      <c r="H38" s="6" t="s">
        <v>304</v>
      </c>
      <c r="I38" s="1" t="s">
        <v>68</v>
      </c>
      <c r="J38" s="8"/>
      <c r="K38" s="114" t="s">
        <v>11744</v>
      </c>
      <c r="L38" s="30" t="s">
        <v>237</v>
      </c>
      <c r="M38" s="2">
        <v>45322</v>
      </c>
      <c r="N38" s="1" t="s">
        <v>35</v>
      </c>
      <c r="O38" s="61" t="s">
        <v>7934</v>
      </c>
      <c r="P38" s="14" t="s">
        <v>6245</v>
      </c>
      <c r="Q38" s="187">
        <v>78.510000000000005</v>
      </c>
      <c r="R38" s="1">
        <v>1</v>
      </c>
      <c r="S38" s="90">
        <v>0.21</v>
      </c>
      <c r="T38" s="90">
        <v>0.2</v>
      </c>
      <c r="U38" s="363"/>
      <c r="V38" s="126">
        <f t="shared" ref="V38:V39" si="7">SUM(Q38-(Q38*T38))*S38+(Q38-(Q38*T38))</f>
        <v>75.997680000000003</v>
      </c>
      <c r="W38" t="s">
        <v>8053</v>
      </c>
      <c r="X38" s="5" t="s">
        <v>9836</v>
      </c>
      <c r="Y38" s="2">
        <v>31477</v>
      </c>
      <c r="Z38" s="2">
        <v>45320</v>
      </c>
      <c r="AA38" s="11" t="s">
        <v>10018</v>
      </c>
      <c r="AB38" s="2">
        <v>45355</v>
      </c>
      <c r="AC38" s="133" t="s">
        <v>1339</v>
      </c>
      <c r="AF38" t="s">
        <v>3198</v>
      </c>
      <c r="AJ38" s="2"/>
      <c r="AM38" s="74"/>
      <c r="AS38" s="1"/>
    </row>
    <row r="39" spans="1:46">
      <c r="A39" s="1">
        <v>38</v>
      </c>
      <c r="B39" t="s">
        <v>3526</v>
      </c>
      <c r="C39" s="2">
        <v>45320</v>
      </c>
      <c r="D39" s="2"/>
      <c r="E39" s="1" t="s">
        <v>7896</v>
      </c>
      <c r="F39" s="61" t="s">
        <v>7897</v>
      </c>
      <c r="G39" t="s">
        <v>7898</v>
      </c>
      <c r="H39" s="6" t="s">
        <v>219</v>
      </c>
      <c r="I39" s="1" t="s">
        <v>4334</v>
      </c>
      <c r="J39" s="1"/>
      <c r="K39" s="1" t="s">
        <v>7759</v>
      </c>
      <c r="L39" s="1" t="s">
        <v>7896</v>
      </c>
      <c r="M39" s="2">
        <v>45322</v>
      </c>
      <c r="N39" s="1" t="s">
        <v>35</v>
      </c>
      <c r="O39" s="61" t="s">
        <v>7934</v>
      </c>
      <c r="P39" s="14" t="s">
        <v>9837</v>
      </c>
      <c r="Q39" s="187">
        <v>78.510000000000005</v>
      </c>
      <c r="R39" s="1">
        <v>1</v>
      </c>
      <c r="S39" s="128">
        <v>0.21</v>
      </c>
      <c r="T39" s="128">
        <v>0.2</v>
      </c>
      <c r="U39" s="363"/>
      <c r="V39" s="126">
        <f t="shared" si="7"/>
        <v>75.997680000000003</v>
      </c>
      <c r="W39" t="s">
        <v>8048</v>
      </c>
      <c r="X39" s="5" t="s">
        <v>9838</v>
      </c>
      <c r="Y39" s="3">
        <v>32464</v>
      </c>
      <c r="Z39" s="2">
        <v>45320</v>
      </c>
      <c r="AA39" s="377"/>
      <c r="AB39" s="2"/>
      <c r="AC39" s="345"/>
      <c r="AF39" t="s">
        <v>3198</v>
      </c>
      <c r="AJ39" s="3"/>
      <c r="AM39" s="3"/>
      <c r="AS39" s="1"/>
    </row>
    <row r="40" spans="1:46">
      <c r="A40" s="1">
        <v>39</v>
      </c>
      <c r="B40" t="s">
        <v>37</v>
      </c>
      <c r="C40" s="2">
        <v>45323</v>
      </c>
      <c r="D40" s="2"/>
      <c r="E40" s="1" t="s">
        <v>7998</v>
      </c>
      <c r="F40" s="61" t="s">
        <v>7807</v>
      </c>
      <c r="G40" t="s">
        <v>7819</v>
      </c>
      <c r="H40" s="6" t="s">
        <v>220</v>
      </c>
      <c r="I40" s="1" t="s">
        <v>39</v>
      </c>
      <c r="J40" s="1">
        <v>632358322</v>
      </c>
      <c r="K40" s="1"/>
      <c r="L40" s="1" t="s">
        <v>7998</v>
      </c>
      <c r="M40" s="2">
        <v>45351</v>
      </c>
      <c r="N40" s="1" t="s">
        <v>35</v>
      </c>
      <c r="O40" s="61" t="s">
        <v>7934</v>
      </c>
      <c r="P40" s="14" t="s">
        <v>9874</v>
      </c>
      <c r="Q40" s="187">
        <v>78.510000000000005</v>
      </c>
      <c r="R40" s="1">
        <v>1</v>
      </c>
      <c r="S40" s="128">
        <v>0.21</v>
      </c>
      <c r="T40" s="128">
        <v>0.2</v>
      </c>
      <c r="U40" s="363"/>
      <c r="V40" s="126">
        <f>SUM(Q40-(Q40*T40))*S40+(Q40-(Q40*T40))</f>
        <v>75.997680000000003</v>
      </c>
      <c r="W40" t="s">
        <v>7998</v>
      </c>
      <c r="X40" s="5" t="s">
        <v>9875</v>
      </c>
      <c r="Y40" s="3">
        <v>35365</v>
      </c>
      <c r="Z40" s="2">
        <v>45323</v>
      </c>
      <c r="AA40" s="11" t="s">
        <v>10017</v>
      </c>
      <c r="AB40" s="2">
        <v>45355</v>
      </c>
      <c r="AC40" s="133" t="s">
        <v>1339</v>
      </c>
      <c r="AF40" t="s">
        <v>3198</v>
      </c>
      <c r="AJ40" s="3"/>
      <c r="AM40" s="3"/>
      <c r="AS40" s="1"/>
    </row>
    <row r="41" spans="1:46">
      <c r="A41" s="1">
        <v>40</v>
      </c>
      <c r="B41" t="s">
        <v>37</v>
      </c>
      <c r="C41" s="2">
        <v>45327</v>
      </c>
      <c r="E41" s="1" t="s">
        <v>4502</v>
      </c>
      <c r="F41" s="61" t="s">
        <v>9879</v>
      </c>
      <c r="G41" t="s">
        <v>9880</v>
      </c>
      <c r="H41">
        <v>4630</v>
      </c>
      <c r="I41" t="s">
        <v>4147</v>
      </c>
      <c r="J41">
        <v>612500215</v>
      </c>
      <c r="L41" t="s">
        <v>4502</v>
      </c>
      <c r="M41" s="2">
        <v>45351</v>
      </c>
      <c r="N41" s="1" t="s">
        <v>35</v>
      </c>
      <c r="O41" s="61" t="s">
        <v>7934</v>
      </c>
      <c r="P41" s="14" t="s">
        <v>6688</v>
      </c>
      <c r="Q41" s="187">
        <v>78.510000000000005</v>
      </c>
      <c r="R41" s="1">
        <v>1</v>
      </c>
      <c r="S41" s="128">
        <v>0.21</v>
      </c>
      <c r="T41" s="128">
        <v>0.2</v>
      </c>
      <c r="U41" s="363"/>
      <c r="V41" s="126">
        <f>SUM(Q41-(Q41*T41))*S41+(Q41-(Q41*T41))</f>
        <v>75.997680000000003</v>
      </c>
      <c r="W41" t="s">
        <v>4502</v>
      </c>
      <c r="X41" s="5" t="s">
        <v>9901</v>
      </c>
      <c r="Y41" s="3">
        <v>31471</v>
      </c>
      <c r="Z41" s="3">
        <v>45327</v>
      </c>
      <c r="AA41" s="11" t="s">
        <v>9979</v>
      </c>
      <c r="AB41" s="2">
        <v>45344</v>
      </c>
      <c r="AC41" s="133" t="s">
        <v>1339</v>
      </c>
      <c r="AF41" t="s">
        <v>3198</v>
      </c>
    </row>
    <row r="42" spans="1:46">
      <c r="A42" s="1">
        <v>41</v>
      </c>
      <c r="B42" t="s">
        <v>37</v>
      </c>
      <c r="C42" s="2">
        <v>45327</v>
      </c>
      <c r="D42" s="2"/>
      <c r="E42" s="1" t="s">
        <v>4535</v>
      </c>
      <c r="F42" s="61" t="s">
        <v>4530</v>
      </c>
      <c r="G42" t="s">
        <v>6069</v>
      </c>
      <c r="H42" s="6" t="s">
        <v>221</v>
      </c>
      <c r="I42" s="1" t="s">
        <v>34</v>
      </c>
      <c r="J42" s="8">
        <v>631213737</v>
      </c>
      <c r="K42" s="8"/>
      <c r="L42" s="1" t="s">
        <v>4535</v>
      </c>
      <c r="M42" s="2">
        <v>45351</v>
      </c>
      <c r="N42" s="1" t="s">
        <v>35</v>
      </c>
      <c r="O42" s="61" t="s">
        <v>7934</v>
      </c>
      <c r="P42" s="14" t="s">
        <v>6465</v>
      </c>
      <c r="Q42" s="187">
        <v>78.510000000000005</v>
      </c>
      <c r="R42" s="1">
        <v>1</v>
      </c>
      <c r="S42" s="128">
        <v>0.21</v>
      </c>
      <c r="T42" s="128">
        <v>0</v>
      </c>
      <c r="U42" s="363"/>
      <c r="V42" s="126">
        <f t="shared" ref="V42" si="8">SUM(Q42-(Q42*T42))*S42+(Q42-(Q42*T42))</f>
        <v>94.997100000000003</v>
      </c>
      <c r="W42" t="s">
        <v>4535</v>
      </c>
      <c r="X42" s="6" t="s">
        <v>9881</v>
      </c>
      <c r="Y42" s="2">
        <v>32616</v>
      </c>
      <c r="Z42" s="3">
        <v>45327</v>
      </c>
      <c r="AA42" s="11" t="s">
        <v>9979</v>
      </c>
      <c r="AB42" s="2">
        <v>45344</v>
      </c>
      <c r="AC42" s="133" t="s">
        <v>1339</v>
      </c>
      <c r="AF42" t="s">
        <v>3198</v>
      </c>
      <c r="AI42" s="1"/>
      <c r="AL42" s="8"/>
      <c r="AS42" s="1"/>
    </row>
    <row r="43" spans="1:46">
      <c r="A43" s="1">
        <v>42</v>
      </c>
      <c r="B43" t="s">
        <v>33</v>
      </c>
      <c r="C43" s="2">
        <v>45327</v>
      </c>
      <c r="D43" s="2"/>
      <c r="E43" s="1" t="s">
        <v>2417</v>
      </c>
      <c r="F43" s="61" t="s">
        <v>2418</v>
      </c>
      <c r="G43" s="61" t="s">
        <v>7706</v>
      </c>
      <c r="H43" s="6" t="s">
        <v>219</v>
      </c>
      <c r="I43" s="1" t="s">
        <v>38</v>
      </c>
      <c r="J43" s="1"/>
      <c r="K43" s="114" t="s">
        <v>11744</v>
      </c>
      <c r="L43" s="30" t="s">
        <v>237</v>
      </c>
      <c r="M43" s="2">
        <v>45351</v>
      </c>
      <c r="N43" s="1" t="s">
        <v>35</v>
      </c>
      <c r="O43" s="61" t="s">
        <v>7925</v>
      </c>
      <c r="P43" s="14" t="s">
        <v>9882</v>
      </c>
      <c r="Q43" s="92">
        <v>132.22999999999999</v>
      </c>
      <c r="R43" s="1">
        <v>1</v>
      </c>
      <c r="S43" s="90">
        <v>0.21</v>
      </c>
      <c r="T43" s="90">
        <v>0.2</v>
      </c>
      <c r="U43" s="363"/>
      <c r="V43" s="126">
        <f t="shared" ref="V43:V44" si="9">SUM(Q43-(Q43*T43))*S43+(Q43-(Q43*T43))</f>
        <v>127.99863999999999</v>
      </c>
      <c r="W43" t="s">
        <v>7838</v>
      </c>
      <c r="X43" s="406" t="s">
        <v>10062</v>
      </c>
      <c r="Y43" s="2">
        <v>31604</v>
      </c>
      <c r="Z43" s="3">
        <v>45327</v>
      </c>
      <c r="AA43" t="s">
        <v>9883</v>
      </c>
      <c r="AB43" s="2"/>
      <c r="AC43" s="80"/>
      <c r="AF43" t="s">
        <v>3198</v>
      </c>
      <c r="AI43" t="s">
        <v>3392</v>
      </c>
      <c r="AJ43" s="2">
        <v>45362</v>
      </c>
      <c r="AL43" s="3"/>
      <c r="AM43" s="3">
        <v>45370</v>
      </c>
      <c r="AS43" s="1"/>
    </row>
    <row r="44" spans="1:46">
      <c r="A44" s="1">
        <v>43</v>
      </c>
      <c r="B44" s="61" t="s">
        <v>33</v>
      </c>
      <c r="C44" s="2">
        <v>45327</v>
      </c>
      <c r="D44" s="2"/>
      <c r="E44" s="1" t="s">
        <v>4330</v>
      </c>
      <c r="F44" s="61" t="s">
        <v>9865</v>
      </c>
      <c r="G44" s="61" t="s">
        <v>4333</v>
      </c>
      <c r="H44" s="6" t="s">
        <v>219</v>
      </c>
      <c r="I44" s="1" t="s">
        <v>4334</v>
      </c>
      <c r="J44" s="1"/>
      <c r="K44" s="114" t="s">
        <v>11744</v>
      </c>
      <c r="L44" s="1" t="s">
        <v>237</v>
      </c>
      <c r="M44" s="2">
        <v>45351</v>
      </c>
      <c r="N44" s="1" t="s">
        <v>35</v>
      </c>
      <c r="O44" s="61" t="s">
        <v>7925</v>
      </c>
      <c r="P44" s="14" t="s">
        <v>9884</v>
      </c>
      <c r="Q44" s="187">
        <v>132.22999999999999</v>
      </c>
      <c r="R44" s="1">
        <v>1</v>
      </c>
      <c r="S44" s="128">
        <v>0.21</v>
      </c>
      <c r="T44" s="128">
        <v>0.2</v>
      </c>
      <c r="U44" s="363"/>
      <c r="V44" s="126">
        <f t="shared" si="9"/>
        <v>127.99863999999999</v>
      </c>
      <c r="W44" t="s">
        <v>9943</v>
      </c>
      <c r="X44" s="5" t="s">
        <v>9942</v>
      </c>
      <c r="Y44" s="2">
        <v>31552</v>
      </c>
      <c r="Z44" s="3">
        <v>45327</v>
      </c>
      <c r="AA44" s="11" t="s">
        <v>10254</v>
      </c>
      <c r="AB44" s="2">
        <v>45398</v>
      </c>
      <c r="AC44" s="133" t="s">
        <v>1339</v>
      </c>
      <c r="AD44" s="61"/>
      <c r="AF44" t="s">
        <v>3198</v>
      </c>
      <c r="AI44" t="s">
        <v>9885</v>
      </c>
      <c r="AJ44" s="2">
        <v>45342</v>
      </c>
      <c r="AM44" s="3">
        <v>45364</v>
      </c>
    </row>
    <row r="45" spans="1:46">
      <c r="A45" s="1">
        <v>44</v>
      </c>
      <c r="B45" t="s">
        <v>37</v>
      </c>
      <c r="C45" s="2">
        <v>45329</v>
      </c>
      <c r="D45" s="2" t="s">
        <v>9900</v>
      </c>
      <c r="E45" t="s">
        <v>9895</v>
      </c>
      <c r="F45" s="61" t="s">
        <v>9896</v>
      </c>
      <c r="G45" t="s">
        <v>9897</v>
      </c>
      <c r="H45" s="6" t="s">
        <v>220</v>
      </c>
      <c r="I45" s="1" t="s">
        <v>39</v>
      </c>
      <c r="J45" s="1"/>
      <c r="K45" s="1"/>
      <c r="L45" s="1" t="s">
        <v>9895</v>
      </c>
      <c r="M45" s="2">
        <v>45351</v>
      </c>
      <c r="N45" s="1" t="s">
        <v>35</v>
      </c>
      <c r="O45" s="61" t="s">
        <v>7934</v>
      </c>
      <c r="P45" s="14" t="s">
        <v>9898</v>
      </c>
      <c r="Q45" s="187">
        <v>78.510000000000005</v>
      </c>
      <c r="R45" s="1">
        <v>1</v>
      </c>
      <c r="S45" s="128">
        <v>0.21</v>
      </c>
      <c r="T45" s="128">
        <v>0</v>
      </c>
      <c r="U45" s="363"/>
      <c r="V45" s="126">
        <f t="shared" ref="V45:V46" si="10">SUM(Q45-(Q45*T45))*S45+(Q45-(Q45*T45))</f>
        <v>94.997100000000003</v>
      </c>
      <c r="W45" s="1" t="s">
        <v>9895</v>
      </c>
      <c r="X45" s="5" t="s">
        <v>9899</v>
      </c>
      <c r="Y45" s="3">
        <v>36347</v>
      </c>
      <c r="Z45" s="2">
        <v>45329</v>
      </c>
      <c r="AA45" s="11" t="s">
        <v>9990</v>
      </c>
      <c r="AB45" s="2">
        <v>45348</v>
      </c>
      <c r="AC45" s="345"/>
      <c r="AF45" t="s">
        <v>3198</v>
      </c>
      <c r="AJ45" s="3"/>
      <c r="AM45" s="3"/>
      <c r="AS45" s="1"/>
    </row>
    <row r="46" spans="1:46">
      <c r="A46" s="1">
        <v>45</v>
      </c>
      <c r="B46" t="s">
        <v>143</v>
      </c>
      <c r="C46" s="2">
        <v>45331</v>
      </c>
      <c r="D46" s="2" t="s">
        <v>9900</v>
      </c>
      <c r="E46" t="s">
        <v>9944</v>
      </c>
      <c r="F46" s="61" t="s">
        <v>9902</v>
      </c>
      <c r="G46" t="s">
        <v>9903</v>
      </c>
      <c r="H46" s="6" t="s">
        <v>219</v>
      </c>
      <c r="I46" s="1" t="s">
        <v>4334</v>
      </c>
      <c r="J46" s="1">
        <v>612515984</v>
      </c>
      <c r="K46" s="1"/>
      <c r="L46" s="1" t="s">
        <v>9944</v>
      </c>
      <c r="M46" s="2">
        <v>45351</v>
      </c>
      <c r="N46" s="1" t="s">
        <v>35</v>
      </c>
      <c r="O46" s="61" t="s">
        <v>7925</v>
      </c>
      <c r="P46" s="14" t="s">
        <v>9904</v>
      </c>
      <c r="Q46" s="187">
        <v>132.22999999999999</v>
      </c>
      <c r="R46" s="1">
        <v>1</v>
      </c>
      <c r="S46" s="128">
        <v>0.21</v>
      </c>
      <c r="T46" s="128">
        <v>0</v>
      </c>
      <c r="U46" s="363"/>
      <c r="V46" s="126">
        <f t="shared" si="10"/>
        <v>159.99829999999997</v>
      </c>
      <c r="W46" t="s">
        <v>9944</v>
      </c>
      <c r="X46" s="5" t="s">
        <v>9945</v>
      </c>
      <c r="Y46" s="3">
        <v>33950</v>
      </c>
      <c r="Z46" s="2">
        <v>45331</v>
      </c>
      <c r="AA46" s="11" t="s">
        <v>10255</v>
      </c>
      <c r="AB46" s="2">
        <v>45398</v>
      </c>
      <c r="AC46" s="133" t="s">
        <v>1339</v>
      </c>
      <c r="AF46" t="s">
        <v>3198</v>
      </c>
      <c r="AI46" t="s">
        <v>3392</v>
      </c>
      <c r="AJ46" s="3">
        <v>45342</v>
      </c>
      <c r="AM46" s="3">
        <v>45344</v>
      </c>
      <c r="AS46" s="1"/>
    </row>
    <row r="47" spans="1:46" ht="14.25" customHeight="1">
      <c r="A47" s="1">
        <v>46</v>
      </c>
      <c r="B47" t="s">
        <v>143</v>
      </c>
      <c r="C47" s="2">
        <v>45331</v>
      </c>
      <c r="D47" s="2" t="s">
        <v>9900</v>
      </c>
      <c r="E47" t="s">
        <v>9950</v>
      </c>
      <c r="F47" s="61" t="s">
        <v>9905</v>
      </c>
      <c r="G47" t="s">
        <v>9906</v>
      </c>
      <c r="H47" s="6" t="s">
        <v>236</v>
      </c>
      <c r="I47" s="1" t="s">
        <v>110</v>
      </c>
      <c r="J47" s="1">
        <v>632749903</v>
      </c>
      <c r="K47" s="1"/>
      <c r="L47" s="1" t="s">
        <v>9950</v>
      </c>
      <c r="M47" s="2">
        <v>45351</v>
      </c>
      <c r="N47" s="1" t="s">
        <v>35</v>
      </c>
      <c r="O47" s="61" t="s">
        <v>7925</v>
      </c>
      <c r="P47" s="14" t="s">
        <v>9907</v>
      </c>
      <c r="Q47" s="187">
        <v>132.22999999999999</v>
      </c>
      <c r="R47" s="1">
        <v>1</v>
      </c>
      <c r="S47" s="128">
        <v>0.21</v>
      </c>
      <c r="T47" s="128">
        <v>0</v>
      </c>
      <c r="U47" s="363"/>
      <c r="V47" s="126">
        <f t="shared" ref="V47" si="11">SUM(Q47-(Q47*T47))*S47+(Q47-(Q47*T47))</f>
        <v>159.99829999999997</v>
      </c>
      <c r="W47" s="1" t="s">
        <v>9950</v>
      </c>
      <c r="X47" s="5" t="s">
        <v>9951</v>
      </c>
      <c r="Y47" s="3">
        <v>33788</v>
      </c>
      <c r="Z47" s="2">
        <v>45331</v>
      </c>
      <c r="AA47" s="11" t="s">
        <v>10255</v>
      </c>
      <c r="AB47" s="2">
        <v>45398</v>
      </c>
      <c r="AC47" s="133" t="s">
        <v>1339</v>
      </c>
      <c r="AF47" t="s">
        <v>3198</v>
      </c>
      <c r="AI47" t="s">
        <v>9792</v>
      </c>
      <c r="AJ47" s="3">
        <v>45342</v>
      </c>
      <c r="AM47" s="3">
        <v>45344</v>
      </c>
      <c r="AS47" s="1"/>
    </row>
    <row r="48" spans="1:46">
      <c r="A48" s="1">
        <v>47</v>
      </c>
      <c r="B48" t="s">
        <v>37</v>
      </c>
      <c r="C48" s="2">
        <v>45331</v>
      </c>
      <c r="D48" s="2"/>
      <c r="E48" s="1" t="s">
        <v>8050</v>
      </c>
      <c r="F48" s="61" t="s">
        <v>7902</v>
      </c>
      <c r="G48" t="s">
        <v>7903</v>
      </c>
      <c r="H48" s="6" t="s">
        <v>702</v>
      </c>
      <c r="I48" s="1" t="s">
        <v>3681</v>
      </c>
      <c r="J48" s="1">
        <v>641403657</v>
      </c>
      <c r="K48" s="1"/>
      <c r="L48" t="s">
        <v>8050</v>
      </c>
      <c r="M48" s="2">
        <v>45351</v>
      </c>
      <c r="N48" s="1" t="s">
        <v>35</v>
      </c>
      <c r="O48" s="61" t="s">
        <v>7934</v>
      </c>
      <c r="P48" s="14" t="s">
        <v>9908</v>
      </c>
      <c r="Q48" s="92">
        <v>78.510000000000005</v>
      </c>
      <c r="R48" s="1">
        <v>1</v>
      </c>
      <c r="S48" s="128">
        <v>0.21</v>
      </c>
      <c r="T48" s="128">
        <v>0</v>
      </c>
      <c r="U48" s="363"/>
      <c r="V48" s="126">
        <f t="shared" ref="V48:V49" si="12">SUM(Q48-(Q48*T48))*S48+(Q48-(Q48*T48))</f>
        <v>94.997100000000003</v>
      </c>
      <c r="W48" t="s">
        <v>8050</v>
      </c>
      <c r="X48" s="5" t="s">
        <v>9909</v>
      </c>
      <c r="Y48" s="3">
        <v>31731</v>
      </c>
      <c r="Z48" s="2">
        <v>45331</v>
      </c>
      <c r="AA48" s="11" t="s">
        <v>10166</v>
      </c>
      <c r="AB48" s="2">
        <v>45377</v>
      </c>
      <c r="AC48" s="133" t="s">
        <v>1339</v>
      </c>
      <c r="AF48" t="s">
        <v>3198</v>
      </c>
      <c r="AJ48" s="3"/>
      <c r="AM48" s="3"/>
      <c r="AS48" s="1"/>
    </row>
    <row r="49" spans="1:138">
      <c r="A49" s="1">
        <v>48</v>
      </c>
      <c r="B49" t="s">
        <v>33</v>
      </c>
      <c r="C49" s="2">
        <v>45331</v>
      </c>
      <c r="E49" s="1" t="s">
        <v>8064</v>
      </c>
      <c r="F49" s="61" t="s">
        <v>8065</v>
      </c>
      <c r="G49" t="s">
        <v>8066</v>
      </c>
      <c r="H49" s="6" t="s">
        <v>219</v>
      </c>
      <c r="I49" s="1" t="s">
        <v>4334</v>
      </c>
      <c r="J49" s="1"/>
      <c r="K49" s="114" t="s">
        <v>11744</v>
      </c>
      <c r="L49" t="s">
        <v>237</v>
      </c>
      <c r="M49" s="2">
        <v>45351</v>
      </c>
      <c r="N49" t="s">
        <v>35</v>
      </c>
      <c r="O49" s="61" t="s">
        <v>9758</v>
      </c>
      <c r="P49" s="14" t="s">
        <v>10006</v>
      </c>
      <c r="Q49" s="92">
        <v>132.22999999999999</v>
      </c>
      <c r="R49" s="1">
        <v>1</v>
      </c>
      <c r="S49" s="128">
        <v>0.21</v>
      </c>
      <c r="T49" s="128">
        <v>0.2</v>
      </c>
      <c r="U49" s="95"/>
      <c r="V49" s="126">
        <f t="shared" si="12"/>
        <v>127.99863999999999</v>
      </c>
      <c r="W49" t="s">
        <v>9910</v>
      </c>
      <c r="X49" s="5" t="s">
        <v>10007</v>
      </c>
      <c r="Y49" s="3">
        <v>36764</v>
      </c>
      <c r="Z49" s="2">
        <v>45331</v>
      </c>
      <c r="AA49" s="11" t="s">
        <v>10165</v>
      </c>
      <c r="AB49" s="3">
        <v>45390</v>
      </c>
      <c r="AF49" t="s">
        <v>3198</v>
      </c>
      <c r="AI49" t="s">
        <v>9911</v>
      </c>
      <c r="AJ49" s="3">
        <v>45350</v>
      </c>
      <c r="AM49" s="3">
        <v>45357</v>
      </c>
    </row>
    <row r="50" spans="1:138">
      <c r="A50" s="1">
        <v>49</v>
      </c>
      <c r="B50" t="s">
        <v>7245</v>
      </c>
      <c r="C50" s="2">
        <v>45334</v>
      </c>
      <c r="D50" s="2"/>
      <c r="E50" s="1" t="s">
        <v>1522</v>
      </c>
      <c r="F50" s="61" t="s">
        <v>3233</v>
      </c>
      <c r="G50" t="s">
        <v>3241</v>
      </c>
      <c r="H50" s="6" t="s">
        <v>3234</v>
      </c>
      <c r="I50" t="s">
        <v>3235</v>
      </c>
      <c r="J50" s="8">
        <v>680761760</v>
      </c>
      <c r="K50" s="8" t="s">
        <v>6232</v>
      </c>
      <c r="L50" t="s">
        <v>1522</v>
      </c>
      <c r="M50" s="2">
        <v>45351</v>
      </c>
      <c r="N50" s="1" t="s">
        <v>35</v>
      </c>
      <c r="O50" s="14" t="s">
        <v>7934</v>
      </c>
      <c r="P50" s="14" t="s">
        <v>9912</v>
      </c>
      <c r="Q50" s="187">
        <v>78.510000000000005</v>
      </c>
      <c r="R50" s="1">
        <v>1</v>
      </c>
      <c r="S50" s="128">
        <v>0.21</v>
      </c>
      <c r="T50" s="128">
        <v>0.2</v>
      </c>
      <c r="U50" s="363"/>
      <c r="V50" s="126">
        <f t="shared" ref="V50:V53" si="13">SUM(Q50-(Q50*T50))*S50+(Q50-(Q50*T50))</f>
        <v>75.997680000000003</v>
      </c>
      <c r="W50" t="s">
        <v>7497</v>
      </c>
      <c r="X50" s="5" t="s">
        <v>9913</v>
      </c>
      <c r="Y50" s="2">
        <v>36057</v>
      </c>
      <c r="Z50" s="2">
        <v>45334</v>
      </c>
      <c r="AA50" s="11" t="s">
        <v>10010</v>
      </c>
      <c r="AB50" s="2">
        <v>45351</v>
      </c>
      <c r="AC50" s="133" t="s">
        <v>1339</v>
      </c>
      <c r="AE50" s="3"/>
      <c r="AF50" t="s">
        <v>3198</v>
      </c>
      <c r="AI50" s="61"/>
      <c r="AJ50" s="2"/>
      <c r="AM50" s="74"/>
      <c r="AS50" s="1"/>
      <c r="AT50" s="1"/>
    </row>
    <row r="51" spans="1:138">
      <c r="A51" s="1">
        <v>50</v>
      </c>
      <c r="B51" t="s">
        <v>33</v>
      </c>
      <c r="C51" s="2">
        <v>45334</v>
      </c>
      <c r="E51" s="1" t="s">
        <v>5042</v>
      </c>
      <c r="F51" s="61" t="s">
        <v>5043</v>
      </c>
      <c r="G51" t="s">
        <v>5044</v>
      </c>
      <c r="H51" s="6" t="s">
        <v>219</v>
      </c>
      <c r="I51" s="1" t="s">
        <v>38</v>
      </c>
      <c r="J51" s="8"/>
      <c r="K51" s="114" t="s">
        <v>11744</v>
      </c>
      <c r="L51" t="s">
        <v>237</v>
      </c>
      <c r="M51" s="2">
        <v>45351</v>
      </c>
      <c r="N51" s="1" t="s">
        <v>35</v>
      </c>
      <c r="O51" s="14" t="s">
        <v>9758</v>
      </c>
      <c r="P51" s="14" t="s">
        <v>6735</v>
      </c>
      <c r="Q51" s="187">
        <v>132.22999999999999</v>
      </c>
      <c r="R51" s="1">
        <v>1</v>
      </c>
      <c r="S51" s="128">
        <v>0.21</v>
      </c>
      <c r="T51" s="128">
        <v>0.2</v>
      </c>
      <c r="U51" s="363"/>
      <c r="V51" s="126">
        <f t="shared" si="13"/>
        <v>127.99863999999999</v>
      </c>
      <c r="W51" t="s">
        <v>6788</v>
      </c>
      <c r="X51" s="5" t="s">
        <v>10001</v>
      </c>
      <c r="Y51" s="3">
        <v>36375</v>
      </c>
      <c r="Z51" s="2">
        <v>45334</v>
      </c>
      <c r="AA51" s="11" t="s">
        <v>10171</v>
      </c>
      <c r="AB51" s="3">
        <v>45377</v>
      </c>
      <c r="AC51" s="133" t="s">
        <v>1339</v>
      </c>
      <c r="AF51" t="s">
        <v>3198</v>
      </c>
      <c r="AI51" s="61" t="s">
        <v>3470</v>
      </c>
      <c r="AJ51" s="3">
        <v>45350</v>
      </c>
      <c r="AM51" s="3">
        <v>45351</v>
      </c>
    </row>
    <row r="52" spans="1:138">
      <c r="A52" s="1">
        <v>51</v>
      </c>
      <c r="B52" t="s">
        <v>33</v>
      </c>
      <c r="C52" s="2">
        <v>45334</v>
      </c>
      <c r="D52" s="2"/>
      <c r="E52" s="1" t="s">
        <v>3459</v>
      </c>
      <c r="F52" s="61" t="s">
        <v>3460</v>
      </c>
      <c r="G52" s="61" t="s">
        <v>3461</v>
      </c>
      <c r="H52" s="6" t="s">
        <v>219</v>
      </c>
      <c r="I52" s="1" t="s">
        <v>38</v>
      </c>
      <c r="J52" s="8">
        <v>600502530</v>
      </c>
      <c r="K52" s="114" t="s">
        <v>11744</v>
      </c>
      <c r="L52" t="s">
        <v>237</v>
      </c>
      <c r="M52" s="2">
        <v>45351</v>
      </c>
      <c r="N52" s="1" t="s">
        <v>35</v>
      </c>
      <c r="O52" s="14" t="s">
        <v>9758</v>
      </c>
      <c r="P52" s="14" t="s">
        <v>6191</v>
      </c>
      <c r="Q52" s="187">
        <v>132.22999999999999</v>
      </c>
      <c r="R52" s="1">
        <v>1</v>
      </c>
      <c r="S52" s="128">
        <v>0.21</v>
      </c>
      <c r="T52" s="128">
        <v>0.2</v>
      </c>
      <c r="U52" s="363"/>
      <c r="V52" s="126">
        <f t="shared" si="13"/>
        <v>127.99863999999999</v>
      </c>
      <c r="W52" t="s">
        <v>6319</v>
      </c>
      <c r="X52" s="5" t="s">
        <v>10000</v>
      </c>
      <c r="Y52" s="3">
        <v>37587</v>
      </c>
      <c r="Z52" s="2">
        <v>45334</v>
      </c>
      <c r="AA52" s="11" t="s">
        <v>10171</v>
      </c>
      <c r="AB52" s="3">
        <v>45377</v>
      </c>
      <c r="AC52" s="133" t="s">
        <v>1339</v>
      </c>
      <c r="AF52" t="s">
        <v>3198</v>
      </c>
      <c r="AI52" s="61" t="s">
        <v>3470</v>
      </c>
      <c r="AJ52" s="3">
        <v>45350</v>
      </c>
      <c r="AM52" s="3">
        <v>45351</v>
      </c>
      <c r="AS52" s="1"/>
    </row>
    <row r="53" spans="1:138" ht="14.25" customHeight="1">
      <c r="A53" s="1">
        <v>52</v>
      </c>
      <c r="B53" t="s">
        <v>33</v>
      </c>
      <c r="C53" s="2">
        <v>45335</v>
      </c>
      <c r="D53" s="2"/>
      <c r="E53" s="1" t="s">
        <v>3327</v>
      </c>
      <c r="F53" s="61" t="s">
        <v>3328</v>
      </c>
      <c r="G53" t="s">
        <v>3329</v>
      </c>
      <c r="H53" s="6" t="s">
        <v>304</v>
      </c>
      <c r="I53" s="1" t="s">
        <v>68</v>
      </c>
      <c r="J53" s="8"/>
      <c r="K53" s="114" t="s">
        <v>11744</v>
      </c>
      <c r="L53" s="30" t="s">
        <v>237</v>
      </c>
      <c r="M53" s="2">
        <v>45351</v>
      </c>
      <c r="N53" s="1" t="s">
        <v>35</v>
      </c>
      <c r="O53" s="61" t="s">
        <v>7934</v>
      </c>
      <c r="P53" s="14" t="s">
        <v>9922</v>
      </c>
      <c r="Q53" s="187">
        <v>78.510000000000005</v>
      </c>
      <c r="R53" s="1">
        <v>1</v>
      </c>
      <c r="S53" s="128">
        <v>0.21</v>
      </c>
      <c r="T53" s="128">
        <v>0.2</v>
      </c>
      <c r="U53" s="363"/>
      <c r="V53" s="126">
        <f t="shared" si="13"/>
        <v>75.997680000000003</v>
      </c>
      <c r="W53" t="s">
        <v>8161</v>
      </c>
      <c r="X53" s="5" t="s">
        <v>9923</v>
      </c>
      <c r="Y53" s="2">
        <v>31810</v>
      </c>
      <c r="Z53" s="2">
        <v>45335</v>
      </c>
      <c r="AA53" s="11" t="s">
        <v>10097</v>
      </c>
      <c r="AB53" s="2">
        <v>45370</v>
      </c>
      <c r="AC53" s="133" t="s">
        <v>1339</v>
      </c>
      <c r="AF53" t="s">
        <v>3198</v>
      </c>
      <c r="AJ53" s="3"/>
      <c r="AM53" s="3"/>
      <c r="AS53" s="1"/>
    </row>
    <row r="54" spans="1:138" ht="14.25" customHeight="1">
      <c r="A54" s="1">
        <v>53</v>
      </c>
      <c r="B54" t="s">
        <v>143</v>
      </c>
      <c r="C54" s="2">
        <v>45335</v>
      </c>
      <c r="D54" s="2" t="s">
        <v>9900</v>
      </c>
      <c r="E54" t="s">
        <v>10002</v>
      </c>
      <c r="F54" s="61" t="s">
        <v>6910</v>
      </c>
      <c r="G54" t="s">
        <v>9924</v>
      </c>
      <c r="H54" s="6" t="s">
        <v>236</v>
      </c>
      <c r="I54" s="1" t="s">
        <v>110</v>
      </c>
      <c r="J54" s="8">
        <v>643424679</v>
      </c>
      <c r="K54" s="1"/>
      <c r="L54" t="s">
        <v>10002</v>
      </c>
      <c r="M54" s="2">
        <v>45351</v>
      </c>
      <c r="N54" s="1" t="s">
        <v>35</v>
      </c>
      <c r="O54" s="61" t="s">
        <v>7925</v>
      </c>
      <c r="P54" s="14" t="s">
        <v>6912</v>
      </c>
      <c r="Q54" s="187">
        <v>132.22999999999999</v>
      </c>
      <c r="R54" s="1">
        <v>1</v>
      </c>
      <c r="S54" s="128">
        <v>0.21</v>
      </c>
      <c r="T54" s="128">
        <v>0</v>
      </c>
      <c r="U54" s="363"/>
      <c r="V54" s="126">
        <f t="shared" ref="V54:V59" si="14">SUM(Q54-(Q54*T54))*S54+(Q54-(Q54*T54))</f>
        <v>159.99829999999997</v>
      </c>
      <c r="W54" t="s">
        <v>10002</v>
      </c>
      <c r="X54" s="5" t="s">
        <v>10003</v>
      </c>
      <c r="Y54" s="2">
        <v>29218</v>
      </c>
      <c r="Z54" s="2">
        <v>45335</v>
      </c>
      <c r="AA54" s="11" t="s">
        <v>10340</v>
      </c>
      <c r="AB54" s="2">
        <v>45414</v>
      </c>
      <c r="AC54" s="133" t="s">
        <v>1339</v>
      </c>
      <c r="AF54" t="s">
        <v>3198</v>
      </c>
      <c r="AI54" t="s">
        <v>3392</v>
      </c>
      <c r="AJ54" s="3">
        <v>45350</v>
      </c>
      <c r="AM54" s="3">
        <v>45356</v>
      </c>
      <c r="AS54" s="1"/>
    </row>
    <row r="55" spans="1:138" ht="14.25" customHeight="1">
      <c r="A55" s="1">
        <v>54</v>
      </c>
      <c r="B55" t="s">
        <v>37</v>
      </c>
      <c r="C55" s="2">
        <v>45335</v>
      </c>
      <c r="D55" s="2" t="s">
        <v>9900</v>
      </c>
      <c r="E55" t="s">
        <v>10004</v>
      </c>
      <c r="F55" s="61" t="s">
        <v>9925</v>
      </c>
      <c r="G55" t="s">
        <v>9926</v>
      </c>
      <c r="H55" s="6" t="s">
        <v>3429</v>
      </c>
      <c r="I55" s="1" t="s">
        <v>86</v>
      </c>
      <c r="J55" s="8">
        <v>634154592</v>
      </c>
      <c r="K55" s="1"/>
      <c r="L55" t="s">
        <v>10004</v>
      </c>
      <c r="M55" s="2">
        <v>45351</v>
      </c>
      <c r="N55" s="1" t="s">
        <v>35</v>
      </c>
      <c r="O55" s="61" t="s">
        <v>7925</v>
      </c>
      <c r="P55" s="14" t="s">
        <v>9927</v>
      </c>
      <c r="Q55" s="187">
        <v>132.22999999999999</v>
      </c>
      <c r="R55" s="1">
        <v>1</v>
      </c>
      <c r="S55" s="128">
        <v>0.21</v>
      </c>
      <c r="T55" s="128">
        <v>0</v>
      </c>
      <c r="U55" s="363"/>
      <c r="V55" s="126">
        <f t="shared" si="14"/>
        <v>159.99829999999997</v>
      </c>
      <c r="W55" t="s">
        <v>10004</v>
      </c>
      <c r="X55" s="5" t="s">
        <v>10005</v>
      </c>
      <c r="Y55" s="2">
        <v>33184</v>
      </c>
      <c r="Z55" s="2">
        <v>45335</v>
      </c>
      <c r="AA55" s="11" t="s">
        <v>10267</v>
      </c>
      <c r="AB55" s="2">
        <v>45399</v>
      </c>
      <c r="AC55" s="133" t="s">
        <v>1339</v>
      </c>
      <c r="AF55" t="s">
        <v>3198</v>
      </c>
      <c r="AI55" t="s">
        <v>3392</v>
      </c>
      <c r="AJ55" s="3">
        <v>45350</v>
      </c>
      <c r="AM55" s="3">
        <v>45355</v>
      </c>
      <c r="AS55" s="1"/>
    </row>
    <row r="56" spans="1:138" ht="14.25" customHeight="1">
      <c r="A56" s="1">
        <v>55</v>
      </c>
      <c r="B56" t="s">
        <v>37</v>
      </c>
      <c r="C56" s="2">
        <v>45335</v>
      </c>
      <c r="D56" s="2"/>
      <c r="E56" s="1" t="s">
        <v>2906</v>
      </c>
      <c r="F56" s="61" t="s">
        <v>4139</v>
      </c>
      <c r="G56" t="s">
        <v>8703</v>
      </c>
      <c r="H56" s="6" t="s">
        <v>232</v>
      </c>
      <c r="I56" s="1" t="s">
        <v>144</v>
      </c>
      <c r="J56" s="1">
        <v>631884303</v>
      </c>
      <c r="K56" s="1"/>
      <c r="L56" s="1" t="s">
        <v>2906</v>
      </c>
      <c r="M56" s="2">
        <v>45351</v>
      </c>
      <c r="N56" s="1" t="s">
        <v>35</v>
      </c>
      <c r="O56" s="61" t="s">
        <v>7968</v>
      </c>
      <c r="P56" s="14" t="s">
        <v>9928</v>
      </c>
      <c r="Q56" s="187">
        <v>132.22999999999999</v>
      </c>
      <c r="R56" s="1">
        <v>1</v>
      </c>
      <c r="S56" s="128">
        <v>0.21</v>
      </c>
      <c r="T56" s="128">
        <v>0.2</v>
      </c>
      <c r="U56" s="363"/>
      <c r="V56" s="126">
        <f t="shared" ref="V56" si="15">SUM(Q56-(Q56*T56))*S56+(Q56-(Q56*T56))</f>
        <v>127.99863999999999</v>
      </c>
      <c r="W56" t="s">
        <v>9948</v>
      </c>
      <c r="X56" s="5" t="s">
        <v>9949</v>
      </c>
      <c r="Y56" s="2">
        <v>41720</v>
      </c>
      <c r="Z56" s="2">
        <v>45335</v>
      </c>
      <c r="AA56" s="11" t="s">
        <v>10477</v>
      </c>
      <c r="AB56" s="2">
        <v>45434</v>
      </c>
      <c r="AC56" s="133" t="s">
        <v>1339</v>
      </c>
      <c r="AE56" s="182">
        <v>45412</v>
      </c>
      <c r="AF56" t="s">
        <v>3198</v>
      </c>
      <c r="AI56" t="s">
        <v>3392</v>
      </c>
      <c r="AJ56" s="3">
        <v>45342</v>
      </c>
      <c r="AM56" s="3"/>
      <c r="AS56" s="1"/>
    </row>
    <row r="57" spans="1:138" ht="14.25" customHeight="1">
      <c r="A57" s="1">
        <v>56</v>
      </c>
      <c r="B57" t="s">
        <v>37</v>
      </c>
      <c r="C57" s="2">
        <v>45335</v>
      </c>
      <c r="D57" s="2"/>
      <c r="E57" s="1" t="s">
        <v>2906</v>
      </c>
      <c r="F57" s="61" t="s">
        <v>4139</v>
      </c>
      <c r="G57" t="s">
        <v>8703</v>
      </c>
      <c r="H57" s="6" t="s">
        <v>232</v>
      </c>
      <c r="I57" s="1" t="s">
        <v>144</v>
      </c>
      <c r="J57" s="1">
        <v>631884303</v>
      </c>
      <c r="K57" s="1"/>
      <c r="L57" s="1" t="s">
        <v>2906</v>
      </c>
      <c r="M57" s="2">
        <v>45351</v>
      </c>
      <c r="N57" s="1" t="s">
        <v>35</v>
      </c>
      <c r="O57" s="61" t="s">
        <v>7968</v>
      </c>
      <c r="P57" s="14" t="s">
        <v>9929</v>
      </c>
      <c r="Q57" s="187">
        <v>132.22999999999999</v>
      </c>
      <c r="R57" s="1">
        <v>1</v>
      </c>
      <c r="S57" s="128">
        <v>0.21</v>
      </c>
      <c r="T57" s="128">
        <v>0.2</v>
      </c>
      <c r="U57" s="363"/>
      <c r="V57" s="126">
        <f t="shared" ref="V57:V58" si="16">SUM(Q57-(Q57*T57))*S57+(Q57-(Q57*T57))</f>
        <v>127.99863999999999</v>
      </c>
      <c r="W57" t="s">
        <v>9952</v>
      </c>
      <c r="X57" s="5" t="s">
        <v>9953</v>
      </c>
      <c r="Y57" s="2">
        <v>39239</v>
      </c>
      <c r="Z57" s="2">
        <v>45335</v>
      </c>
      <c r="AA57" s="11" t="s">
        <v>10477</v>
      </c>
      <c r="AB57" s="2">
        <v>45434</v>
      </c>
      <c r="AC57" s="133" t="s">
        <v>1339</v>
      </c>
      <c r="AE57" s="182">
        <v>45412</v>
      </c>
      <c r="AF57" t="s">
        <v>3198</v>
      </c>
      <c r="AI57" t="s">
        <v>3392</v>
      </c>
      <c r="AJ57" s="3">
        <v>45342</v>
      </c>
      <c r="AM57" s="3"/>
      <c r="AS57" s="1"/>
    </row>
    <row r="58" spans="1:138" ht="14.25" customHeight="1">
      <c r="A58" s="1">
        <v>57</v>
      </c>
      <c r="B58" t="s">
        <v>37</v>
      </c>
      <c r="C58" s="2">
        <v>45335</v>
      </c>
      <c r="D58" s="2"/>
      <c r="E58" s="1" t="s">
        <v>2906</v>
      </c>
      <c r="F58" s="61" t="s">
        <v>4139</v>
      </c>
      <c r="G58" t="s">
        <v>8703</v>
      </c>
      <c r="H58" s="6" t="s">
        <v>232</v>
      </c>
      <c r="I58" s="1" t="s">
        <v>144</v>
      </c>
      <c r="J58" s="1">
        <v>631884303</v>
      </c>
      <c r="K58" s="1"/>
      <c r="L58" s="1" t="s">
        <v>2906</v>
      </c>
      <c r="M58" s="2">
        <v>45351</v>
      </c>
      <c r="N58" s="1" t="s">
        <v>35</v>
      </c>
      <c r="O58" s="61" t="s">
        <v>7968</v>
      </c>
      <c r="P58" s="14" t="s">
        <v>9930</v>
      </c>
      <c r="Q58" s="187">
        <v>132.22999999999999</v>
      </c>
      <c r="R58" s="1">
        <v>1</v>
      </c>
      <c r="S58" s="128">
        <v>0.21</v>
      </c>
      <c r="T58" s="128">
        <v>0.2</v>
      </c>
      <c r="U58" s="363"/>
      <c r="V58" s="126">
        <f t="shared" si="16"/>
        <v>127.99863999999999</v>
      </c>
      <c r="W58" t="s">
        <v>9946</v>
      </c>
      <c r="X58" s="5" t="s">
        <v>9947</v>
      </c>
      <c r="Y58" s="2">
        <v>40990</v>
      </c>
      <c r="Z58" s="2">
        <v>45335</v>
      </c>
      <c r="AA58" s="11" t="s">
        <v>10477</v>
      </c>
      <c r="AB58" s="2">
        <v>45434</v>
      </c>
      <c r="AC58" s="133" t="s">
        <v>1339</v>
      </c>
      <c r="AE58" s="182">
        <v>45412</v>
      </c>
      <c r="AF58" t="s">
        <v>3198</v>
      </c>
      <c r="AI58" t="s">
        <v>3392</v>
      </c>
      <c r="AJ58" s="3">
        <v>45342</v>
      </c>
      <c r="AM58" s="3"/>
      <c r="AS58" s="1"/>
    </row>
    <row r="59" spans="1:138" ht="14.25" customHeight="1">
      <c r="A59" s="1">
        <v>58</v>
      </c>
      <c r="B59" t="s">
        <v>4321</v>
      </c>
      <c r="C59" s="2">
        <v>45335</v>
      </c>
      <c r="D59" s="2"/>
      <c r="E59" s="1" t="s">
        <v>3427</v>
      </c>
      <c r="F59" s="61" t="s">
        <v>3428</v>
      </c>
      <c r="G59" s="61" t="s">
        <v>3433</v>
      </c>
      <c r="H59" s="6" t="s">
        <v>3429</v>
      </c>
      <c r="I59" s="1" t="s">
        <v>86</v>
      </c>
      <c r="J59" s="1">
        <v>650379091</v>
      </c>
      <c r="K59" s="8" t="s">
        <v>5991</v>
      </c>
      <c r="L59" s="1" t="s">
        <v>3427</v>
      </c>
      <c r="M59" s="2">
        <v>45351</v>
      </c>
      <c r="N59" s="1" t="s">
        <v>35</v>
      </c>
      <c r="O59" s="61" t="s">
        <v>7925</v>
      </c>
      <c r="P59" s="14" t="s">
        <v>9931</v>
      </c>
      <c r="Q59" s="187">
        <v>132.22999999999999</v>
      </c>
      <c r="R59" s="1">
        <v>1</v>
      </c>
      <c r="S59" s="128">
        <v>0.21</v>
      </c>
      <c r="T59" s="128">
        <v>0.2</v>
      </c>
      <c r="U59" s="363"/>
      <c r="V59" s="126">
        <f t="shared" si="14"/>
        <v>127.99863999999999</v>
      </c>
      <c r="W59" t="s">
        <v>10008</v>
      </c>
      <c r="X59" s="5" t="s">
        <v>10009</v>
      </c>
      <c r="Y59" s="2">
        <v>35965</v>
      </c>
      <c r="Z59" s="2">
        <v>45335</v>
      </c>
      <c r="AA59" s="11" t="s">
        <v>10267</v>
      </c>
      <c r="AB59" s="2">
        <v>45399</v>
      </c>
      <c r="AC59" s="133" t="s">
        <v>1339</v>
      </c>
      <c r="AF59" t="s">
        <v>3198</v>
      </c>
      <c r="AI59" t="s">
        <v>3392</v>
      </c>
      <c r="AJ59" s="3">
        <v>45350</v>
      </c>
      <c r="AM59" s="3">
        <v>45356</v>
      </c>
      <c r="AS59" s="1"/>
    </row>
    <row r="60" spans="1:138" s="197" customFormat="1">
      <c r="A60" s="1">
        <v>59</v>
      </c>
      <c r="B60" s="61" t="s">
        <v>1414</v>
      </c>
      <c r="C60" s="2">
        <v>45336</v>
      </c>
      <c r="D60" s="1"/>
      <c r="E60" s="1" t="s">
        <v>1079</v>
      </c>
      <c r="F60" s="61" t="s">
        <v>41</v>
      </c>
      <c r="G60" s="61" t="s">
        <v>2115</v>
      </c>
      <c r="H60" s="1" t="s">
        <v>230</v>
      </c>
      <c r="I60" t="s">
        <v>1262</v>
      </c>
      <c r="J60" s="8">
        <v>631212115</v>
      </c>
      <c r="K60" s="8" t="s">
        <v>6306</v>
      </c>
      <c r="L60" t="s">
        <v>1079</v>
      </c>
      <c r="M60" s="2">
        <v>45351</v>
      </c>
      <c r="N60" s="1" t="s">
        <v>35</v>
      </c>
      <c r="O60" s="61" t="s">
        <v>7934</v>
      </c>
      <c r="P60" s="14" t="s">
        <v>6579</v>
      </c>
      <c r="Q60" s="187">
        <v>78.510000000000005</v>
      </c>
      <c r="R60" s="1">
        <v>1</v>
      </c>
      <c r="S60" s="128">
        <v>0.21</v>
      </c>
      <c r="T60" s="128">
        <v>0.2</v>
      </c>
      <c r="U60" s="363"/>
      <c r="V60" s="126">
        <f t="shared" ref="V60:V61" si="17">SUM(Q60-(Q60*T60))*S60+(Q60-(Q60*T60))</f>
        <v>75.997680000000003</v>
      </c>
      <c r="W60" t="s">
        <v>2117</v>
      </c>
      <c r="X60" s="5" t="s">
        <v>10026</v>
      </c>
      <c r="Y60" s="2">
        <v>36758</v>
      </c>
      <c r="Z60" s="64">
        <v>45336</v>
      </c>
      <c r="AA60" s="11" t="s">
        <v>10027</v>
      </c>
      <c r="AB60" s="64">
        <v>45356</v>
      </c>
      <c r="AC60" s="133" t="s">
        <v>1339</v>
      </c>
      <c r="AD60"/>
      <c r="AE60"/>
      <c r="AF60" t="s">
        <v>3198</v>
      </c>
      <c r="AG60"/>
      <c r="AH60"/>
      <c r="AI60" s="2"/>
      <c r="AJ60"/>
      <c r="AK60"/>
      <c r="AL60" s="2"/>
      <c r="AM60"/>
      <c r="AN60"/>
      <c r="AO60"/>
      <c r="AP60"/>
      <c r="AQ60"/>
      <c r="AR60"/>
      <c r="AS60" s="1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</row>
    <row r="61" spans="1:138">
      <c r="A61" s="1">
        <v>60</v>
      </c>
      <c r="B61" s="61" t="s">
        <v>7475</v>
      </c>
      <c r="C61" s="2">
        <v>45338</v>
      </c>
      <c r="E61" s="1" t="s">
        <v>7476</v>
      </c>
      <c r="F61" s="61" t="s">
        <v>7477</v>
      </c>
      <c r="G61" s="61" t="s">
        <v>7478</v>
      </c>
      <c r="H61" s="6" t="s">
        <v>241</v>
      </c>
      <c r="I61" s="1" t="s">
        <v>60</v>
      </c>
      <c r="J61" s="44">
        <v>679088389</v>
      </c>
      <c r="K61" s="44" t="s">
        <v>7480</v>
      </c>
      <c r="L61" s="1" t="s">
        <v>7476</v>
      </c>
      <c r="M61" s="2">
        <v>45351</v>
      </c>
      <c r="N61" s="1" t="s">
        <v>35</v>
      </c>
      <c r="O61" s="61" t="s">
        <v>7934</v>
      </c>
      <c r="P61" s="14" t="s">
        <v>9939</v>
      </c>
      <c r="Q61" s="187">
        <v>78.510000000000005</v>
      </c>
      <c r="R61" s="1">
        <v>1</v>
      </c>
      <c r="S61" s="128">
        <v>0.21</v>
      </c>
      <c r="T61" s="128">
        <v>0.2</v>
      </c>
      <c r="V61" s="126">
        <f t="shared" si="17"/>
        <v>75.997680000000003</v>
      </c>
      <c r="W61" t="s">
        <v>8058</v>
      </c>
      <c r="X61" s="5" t="s">
        <v>9940</v>
      </c>
      <c r="Y61" s="2">
        <v>34335</v>
      </c>
      <c r="Z61" s="3">
        <v>45338</v>
      </c>
      <c r="AA61" s="11" t="s">
        <v>10285</v>
      </c>
      <c r="AB61" s="2">
        <v>45404</v>
      </c>
      <c r="AC61" s="80" t="s">
        <v>1339</v>
      </c>
      <c r="AF61" t="s">
        <v>3198</v>
      </c>
    </row>
    <row r="62" spans="1:138">
      <c r="A62" s="1">
        <v>62</v>
      </c>
      <c r="B62" t="s">
        <v>3526</v>
      </c>
      <c r="C62" s="2">
        <v>45341</v>
      </c>
      <c r="E62" s="1" t="s">
        <v>7432</v>
      </c>
      <c r="F62" s="61" t="s">
        <v>9153</v>
      </c>
      <c r="G62" s="61" t="s">
        <v>9154</v>
      </c>
      <c r="H62" s="6" t="s">
        <v>242</v>
      </c>
      <c r="I62" s="1" t="s">
        <v>86</v>
      </c>
      <c r="J62" s="8">
        <v>643852427</v>
      </c>
      <c r="K62" s="1"/>
      <c r="L62" s="1" t="s">
        <v>7432</v>
      </c>
      <c r="M62" s="3">
        <v>45351</v>
      </c>
      <c r="N62" s="1" t="s">
        <v>35</v>
      </c>
      <c r="O62" s="61" t="s">
        <v>7934</v>
      </c>
      <c r="P62" s="14" t="s">
        <v>9155</v>
      </c>
      <c r="Q62" s="187">
        <v>78.510000000000005</v>
      </c>
      <c r="R62" s="1">
        <v>1</v>
      </c>
      <c r="S62" s="128">
        <v>0.21</v>
      </c>
      <c r="T62" s="128">
        <v>0.2</v>
      </c>
      <c r="V62" s="126">
        <f t="shared" ref="V62" si="18">SUM(Q62-(Q62*T62))*S62+(Q62-(Q62*T62))</f>
        <v>75.997680000000003</v>
      </c>
      <c r="W62" s="1" t="s">
        <v>7432</v>
      </c>
      <c r="X62" s="404" t="s">
        <v>9956</v>
      </c>
      <c r="Y62" t="s">
        <v>9941</v>
      </c>
      <c r="Z62" s="3">
        <v>45341</v>
      </c>
      <c r="AA62" s="11" t="s">
        <v>10211</v>
      </c>
      <c r="AB62" s="3">
        <v>45392</v>
      </c>
      <c r="AC62" s="133" t="s">
        <v>1339</v>
      </c>
      <c r="AF62" t="s">
        <v>3198</v>
      </c>
    </row>
    <row r="63" spans="1:138">
      <c r="A63" s="1">
        <v>63</v>
      </c>
      <c r="B63" s="61" t="s">
        <v>33</v>
      </c>
      <c r="C63" s="2">
        <v>45344</v>
      </c>
      <c r="D63" s="2" t="s">
        <v>9900</v>
      </c>
      <c r="E63" t="s">
        <v>9958</v>
      </c>
      <c r="F63" s="61" t="s">
        <v>9959</v>
      </c>
      <c r="G63" s="61" t="s">
        <v>9960</v>
      </c>
      <c r="H63" s="6" t="s">
        <v>219</v>
      </c>
      <c r="I63" s="1" t="s">
        <v>4334</v>
      </c>
      <c r="J63" s="44"/>
      <c r="K63" s="114" t="s">
        <v>11744</v>
      </c>
      <c r="L63" s="30" t="s">
        <v>237</v>
      </c>
      <c r="M63" s="3">
        <v>45351</v>
      </c>
      <c r="N63" s="1" t="s">
        <v>35</v>
      </c>
      <c r="O63" s="61" t="s">
        <v>7934</v>
      </c>
      <c r="P63" s="14" t="s">
        <v>9961</v>
      </c>
      <c r="Q63" s="187">
        <v>78.510000000000005</v>
      </c>
      <c r="R63" s="1">
        <v>1</v>
      </c>
      <c r="S63" s="128">
        <v>0.21</v>
      </c>
      <c r="T63" s="128">
        <v>0.2</v>
      </c>
      <c r="U63" s="363"/>
      <c r="V63" s="126">
        <f t="shared" ref="V63:V64" si="19">SUM(Q63-(Q63*T63))*S63+(Q63-(Q63*T63))</f>
        <v>75.997680000000003</v>
      </c>
      <c r="W63" t="s">
        <v>9962</v>
      </c>
      <c r="X63" s="5" t="s">
        <v>9963</v>
      </c>
      <c r="Y63" s="2">
        <v>31592</v>
      </c>
      <c r="Z63" s="2">
        <v>45344</v>
      </c>
      <c r="AA63" s="11" t="s">
        <v>10229</v>
      </c>
      <c r="AB63" s="2">
        <v>45398</v>
      </c>
      <c r="AC63" s="133" t="s">
        <v>1339</v>
      </c>
      <c r="AF63" t="s">
        <v>3198</v>
      </c>
    </row>
    <row r="64" spans="1:138" ht="14.25" customHeight="1">
      <c r="A64" s="1">
        <v>64</v>
      </c>
      <c r="B64" t="s">
        <v>143</v>
      </c>
      <c r="C64" s="2">
        <v>45344</v>
      </c>
      <c r="D64" s="2" t="s">
        <v>9900</v>
      </c>
      <c r="E64" t="s">
        <v>9964</v>
      </c>
      <c r="F64" s="61" t="s">
        <v>9965</v>
      </c>
      <c r="G64" t="s">
        <v>9966</v>
      </c>
      <c r="H64" s="6" t="s">
        <v>239</v>
      </c>
      <c r="I64" s="1" t="s">
        <v>1474</v>
      </c>
      <c r="J64" s="1">
        <v>641906736</v>
      </c>
      <c r="K64" s="1"/>
      <c r="L64" s="1" t="s">
        <v>9964</v>
      </c>
      <c r="M64" s="2">
        <v>45351</v>
      </c>
      <c r="N64" s="1" t="s">
        <v>35</v>
      </c>
      <c r="O64" s="61" t="s">
        <v>7925</v>
      </c>
      <c r="P64" s="14" t="s">
        <v>9967</v>
      </c>
      <c r="Q64" s="187">
        <v>132.22999999999999</v>
      </c>
      <c r="R64" s="1">
        <v>1</v>
      </c>
      <c r="S64" s="128">
        <v>0.21</v>
      </c>
      <c r="T64" s="128">
        <v>0</v>
      </c>
      <c r="U64" s="363"/>
      <c r="V64" s="126">
        <f t="shared" si="19"/>
        <v>159.99829999999997</v>
      </c>
      <c r="W64" s="1" t="s">
        <v>9964</v>
      </c>
      <c r="X64" s="5" t="s">
        <v>9999</v>
      </c>
      <c r="Y64" s="3">
        <v>34073</v>
      </c>
      <c r="Z64" s="2">
        <v>45344</v>
      </c>
      <c r="AA64" s="11" t="s">
        <v>10328</v>
      </c>
      <c r="AB64" s="2">
        <v>45411</v>
      </c>
      <c r="AC64" s="133" t="s">
        <v>1339</v>
      </c>
      <c r="AF64" t="s">
        <v>3198</v>
      </c>
      <c r="AI64" t="s">
        <v>9968</v>
      </c>
      <c r="AJ64" s="3">
        <v>45350</v>
      </c>
      <c r="AM64" s="3">
        <v>45351</v>
      </c>
      <c r="AS64" s="1"/>
    </row>
    <row r="65" spans="1:46">
      <c r="A65" s="1">
        <v>65</v>
      </c>
      <c r="B65" s="61" t="s">
        <v>33</v>
      </c>
      <c r="C65" s="2">
        <v>45344</v>
      </c>
      <c r="D65" s="2" t="s">
        <v>9900</v>
      </c>
      <c r="E65" t="s">
        <v>9969</v>
      </c>
      <c r="F65" s="61" t="s">
        <v>9970</v>
      </c>
      <c r="G65" s="61" t="s">
        <v>9971</v>
      </c>
      <c r="H65" s="6" t="s">
        <v>304</v>
      </c>
      <c r="I65" s="1" t="s">
        <v>68</v>
      </c>
      <c r="J65" s="44"/>
      <c r="K65" s="114" t="s">
        <v>11744</v>
      </c>
      <c r="L65" s="30" t="s">
        <v>237</v>
      </c>
      <c r="M65" s="2">
        <v>45351</v>
      </c>
      <c r="N65" s="1" t="s">
        <v>35</v>
      </c>
      <c r="O65" s="61" t="s">
        <v>9758</v>
      </c>
      <c r="P65" s="14" t="s">
        <v>9972</v>
      </c>
      <c r="Q65" s="187">
        <v>132.22999999999999</v>
      </c>
      <c r="R65" s="1">
        <v>1</v>
      </c>
      <c r="S65" s="128">
        <v>0.21</v>
      </c>
      <c r="T65" s="128">
        <v>0.2</v>
      </c>
      <c r="U65" s="363"/>
      <c r="V65" s="126">
        <f t="shared" ref="V65:V66" si="20">SUM(Q65-(Q65*T65))*S65+(Q65-(Q65*T65))</f>
        <v>127.99863999999999</v>
      </c>
      <c r="W65" t="s">
        <v>10015</v>
      </c>
      <c r="X65" s="5" t="s">
        <v>10016</v>
      </c>
      <c r="Y65" s="2">
        <v>36526</v>
      </c>
      <c r="Z65" s="2">
        <v>45344</v>
      </c>
      <c r="AA65" s="13" t="s">
        <v>10578</v>
      </c>
      <c r="AB65" s="2">
        <v>45454</v>
      </c>
      <c r="AC65" s="133" t="s">
        <v>1339</v>
      </c>
      <c r="AD65" t="s">
        <v>4957</v>
      </c>
      <c r="AE65" s="292">
        <v>45405</v>
      </c>
      <c r="AF65" t="s">
        <v>3198</v>
      </c>
      <c r="AI65" t="s">
        <v>9973</v>
      </c>
      <c r="AJ65" s="3">
        <v>45355</v>
      </c>
      <c r="AM65" s="3">
        <v>45370</v>
      </c>
    </row>
    <row r="66" spans="1:46">
      <c r="A66" s="1">
        <v>66</v>
      </c>
      <c r="B66" s="61" t="s">
        <v>37</v>
      </c>
      <c r="C66" s="2">
        <v>45344</v>
      </c>
      <c r="D66" s="2" t="s">
        <v>9900</v>
      </c>
      <c r="E66" t="s">
        <v>9974</v>
      </c>
      <c r="F66" s="61" t="s">
        <v>9975</v>
      </c>
      <c r="G66" s="61" t="s">
        <v>9976</v>
      </c>
      <c r="H66" s="6" t="s">
        <v>220</v>
      </c>
      <c r="I66" s="1" t="s">
        <v>39</v>
      </c>
      <c r="J66" s="44">
        <v>631359447</v>
      </c>
      <c r="K66" s="44"/>
      <c r="L66" s="1" t="s">
        <v>9974</v>
      </c>
      <c r="M66" s="2">
        <v>45351</v>
      </c>
      <c r="N66" s="1" t="s">
        <v>35</v>
      </c>
      <c r="O66" s="61" t="s">
        <v>7934</v>
      </c>
      <c r="P66" s="14" t="s">
        <v>9977</v>
      </c>
      <c r="Q66" s="187">
        <v>78.510000000000005</v>
      </c>
      <c r="R66" s="1">
        <v>1</v>
      </c>
      <c r="S66" s="128">
        <v>0.21</v>
      </c>
      <c r="T66" s="128">
        <v>0</v>
      </c>
      <c r="U66" s="363"/>
      <c r="V66" s="126">
        <f t="shared" si="20"/>
        <v>94.997100000000003</v>
      </c>
      <c r="W66" s="1" t="s">
        <v>9974</v>
      </c>
      <c r="X66" s="5" t="s">
        <v>9978</v>
      </c>
      <c r="Y66" s="2">
        <v>34713</v>
      </c>
      <c r="Z66" s="2">
        <v>45344</v>
      </c>
      <c r="AA66" s="11" t="s">
        <v>10229</v>
      </c>
      <c r="AB66" s="2">
        <v>45398</v>
      </c>
      <c r="AC66" s="133" t="s">
        <v>1339</v>
      </c>
      <c r="AF66" t="s">
        <v>3198</v>
      </c>
    </row>
    <row r="67" spans="1:46">
      <c r="A67" s="1">
        <v>67</v>
      </c>
      <c r="B67" s="61" t="s">
        <v>40</v>
      </c>
      <c r="C67" s="2">
        <v>45345</v>
      </c>
      <c r="D67" s="2"/>
      <c r="E67" s="1" t="s">
        <v>1311</v>
      </c>
      <c r="F67" s="61" t="s">
        <v>1312</v>
      </c>
      <c r="G67" s="61" t="s">
        <v>3790</v>
      </c>
      <c r="H67" s="1">
        <v>4700</v>
      </c>
      <c r="I67" s="1" t="s">
        <v>34</v>
      </c>
      <c r="J67" s="1">
        <v>610559540</v>
      </c>
      <c r="K67" s="301" t="s">
        <v>8357</v>
      </c>
      <c r="L67" t="s">
        <v>1311</v>
      </c>
      <c r="M67" s="2">
        <v>45351</v>
      </c>
      <c r="N67" s="1" t="s">
        <v>35</v>
      </c>
      <c r="O67" s="61" t="s">
        <v>9758</v>
      </c>
      <c r="P67" s="14" t="s">
        <v>9980</v>
      </c>
      <c r="Q67" s="187">
        <v>132.22999999999999</v>
      </c>
      <c r="R67" s="1">
        <v>1</v>
      </c>
      <c r="S67" s="128">
        <v>0.21</v>
      </c>
      <c r="T67" s="128">
        <v>0.2</v>
      </c>
      <c r="U67" s="363"/>
      <c r="V67" s="126">
        <f t="shared" ref="V67" si="21">SUM(Q67-(Q67*T67))*S67+(Q67-(Q67*T67))</f>
        <v>127.99863999999999</v>
      </c>
      <c r="W67" s="1" t="s">
        <v>10021</v>
      </c>
      <c r="X67" s="5" t="s">
        <v>10022</v>
      </c>
      <c r="Y67" s="2">
        <v>33028</v>
      </c>
      <c r="Z67" s="2">
        <v>45345</v>
      </c>
      <c r="AA67" s="11" t="s">
        <v>10224</v>
      </c>
      <c r="AB67" s="2">
        <v>45392</v>
      </c>
      <c r="AC67" s="133" t="s">
        <v>1339</v>
      </c>
      <c r="AF67" t="s">
        <v>3198</v>
      </c>
      <c r="AI67" s="61" t="s">
        <v>3470</v>
      </c>
      <c r="AJ67" s="3">
        <v>45355</v>
      </c>
      <c r="AM67" s="3">
        <v>45357</v>
      </c>
    </row>
    <row r="68" spans="1:46">
      <c r="A68" s="1">
        <v>68</v>
      </c>
      <c r="B68" t="s">
        <v>37</v>
      </c>
      <c r="C68" s="2">
        <v>45345</v>
      </c>
      <c r="E68" s="1" t="s">
        <v>4387</v>
      </c>
      <c r="F68" s="61" t="s">
        <v>9984</v>
      </c>
      <c r="G68" t="s">
        <v>4913</v>
      </c>
      <c r="H68" s="6" t="s">
        <v>219</v>
      </c>
      <c r="I68" s="1" t="s">
        <v>38</v>
      </c>
      <c r="J68" s="1">
        <v>632359649</v>
      </c>
      <c r="L68" s="1" t="s">
        <v>4387</v>
      </c>
      <c r="M68" s="2">
        <v>45351</v>
      </c>
      <c r="N68" s="1" t="s">
        <v>35</v>
      </c>
      <c r="O68" s="61" t="s">
        <v>7934</v>
      </c>
      <c r="P68" s="14" t="s">
        <v>9985</v>
      </c>
      <c r="Q68" s="187">
        <v>78.510000000000005</v>
      </c>
      <c r="R68" s="1">
        <v>1</v>
      </c>
      <c r="S68" s="128">
        <v>0.21</v>
      </c>
      <c r="T68" s="128">
        <v>0</v>
      </c>
      <c r="U68" s="363"/>
      <c r="V68" s="126">
        <f t="shared" ref="V68" si="22">SUM(Q68-(Q68*T68))*S68+(Q68-(Q68*T68))</f>
        <v>94.997100000000003</v>
      </c>
      <c r="W68" s="1" t="s">
        <v>4387</v>
      </c>
      <c r="X68" s="5" t="s">
        <v>9986</v>
      </c>
      <c r="Y68" s="3">
        <v>35796</v>
      </c>
      <c r="Z68" s="2">
        <v>45345</v>
      </c>
      <c r="AA68" s="11" t="s">
        <v>10097</v>
      </c>
      <c r="AB68" s="3">
        <v>45365</v>
      </c>
      <c r="AC68" s="133" t="s">
        <v>1339</v>
      </c>
      <c r="AF68" t="s">
        <v>3198</v>
      </c>
    </row>
    <row r="69" spans="1:46">
      <c r="A69" s="1">
        <v>69</v>
      </c>
      <c r="B69" s="61" t="s">
        <v>3526</v>
      </c>
      <c r="C69" s="2">
        <v>45345</v>
      </c>
      <c r="D69" s="2"/>
      <c r="E69" s="1" t="s">
        <v>541</v>
      </c>
      <c r="F69" s="61" t="s">
        <v>542</v>
      </c>
      <c r="G69" t="s">
        <v>7367</v>
      </c>
      <c r="H69" s="6" t="s">
        <v>294</v>
      </c>
      <c r="I69" s="1" t="s">
        <v>103</v>
      </c>
      <c r="J69" s="8"/>
      <c r="K69" t="s">
        <v>8470</v>
      </c>
      <c r="L69" t="s">
        <v>541</v>
      </c>
      <c r="M69" s="2">
        <v>45351</v>
      </c>
      <c r="N69" s="1" t="s">
        <v>35</v>
      </c>
      <c r="O69" s="61" t="s">
        <v>7925</v>
      </c>
      <c r="P69" s="14" t="s">
        <v>9987</v>
      </c>
      <c r="Q69" s="187">
        <v>0</v>
      </c>
      <c r="R69" s="1">
        <v>1</v>
      </c>
      <c r="S69" s="128">
        <v>0.21</v>
      </c>
      <c r="T69" s="128">
        <v>0.2</v>
      </c>
      <c r="U69" s="363"/>
      <c r="V69" s="126">
        <f t="shared" ref="V69" si="23">SUM(Q69-(Q69*T69))*S69+(Q69-(Q69*T69))</f>
        <v>0</v>
      </c>
      <c r="W69" s="1" t="s">
        <v>9988</v>
      </c>
      <c r="X69" s="5" t="s">
        <v>10061</v>
      </c>
      <c r="Y69" s="2">
        <v>29587</v>
      </c>
      <c r="Z69" s="2">
        <v>45345</v>
      </c>
      <c r="AA69" s="76" t="s">
        <v>10050</v>
      </c>
      <c r="AB69" s="2">
        <v>45359</v>
      </c>
      <c r="AC69" s="133" t="s">
        <v>1339</v>
      </c>
      <c r="AF69" t="s">
        <v>3198</v>
      </c>
    </row>
    <row r="70" spans="1:46">
      <c r="A70" s="1">
        <v>70</v>
      </c>
      <c r="B70" s="61" t="s">
        <v>40</v>
      </c>
      <c r="C70" s="2">
        <v>45348</v>
      </c>
      <c r="D70" s="2"/>
      <c r="E70" s="1" t="s">
        <v>3087</v>
      </c>
      <c r="F70" s="61" t="s">
        <v>3490</v>
      </c>
      <c r="G70" s="61" t="s">
        <v>783</v>
      </c>
      <c r="H70" s="6" t="s">
        <v>230</v>
      </c>
      <c r="I70" t="s">
        <v>1262</v>
      </c>
      <c r="J70" s="1"/>
      <c r="K70" s="301" t="s">
        <v>8357</v>
      </c>
      <c r="L70" t="s">
        <v>3087</v>
      </c>
      <c r="M70" s="2">
        <v>45351</v>
      </c>
      <c r="N70" s="1" t="s">
        <v>35</v>
      </c>
      <c r="O70" s="61" t="s">
        <v>7934</v>
      </c>
      <c r="P70" s="14" t="s">
        <v>3482</v>
      </c>
      <c r="Q70" s="187">
        <v>78.510000000000005</v>
      </c>
      <c r="R70" s="1">
        <v>1</v>
      </c>
      <c r="S70" s="128">
        <v>0.21</v>
      </c>
      <c r="T70" s="128">
        <v>0.2</v>
      </c>
      <c r="U70" s="363"/>
      <c r="V70" s="126">
        <f t="shared" ref="V70" si="24">SUM(Q70-(Q70*T70))*S70+(Q70-(Q70*T70))</f>
        <v>75.997680000000003</v>
      </c>
      <c r="W70" s="1" t="s">
        <v>3090</v>
      </c>
      <c r="X70" s="5" t="s">
        <v>9989</v>
      </c>
      <c r="Y70" s="2">
        <v>37101</v>
      </c>
      <c r="Z70" s="2">
        <v>45348</v>
      </c>
      <c r="AA70" s="11" t="s">
        <v>10027</v>
      </c>
      <c r="AB70" s="1"/>
      <c r="AF70" t="s">
        <v>3198</v>
      </c>
    </row>
    <row r="71" spans="1:46">
      <c r="A71" s="1">
        <v>71</v>
      </c>
      <c r="B71" s="61" t="s">
        <v>6684</v>
      </c>
      <c r="C71" s="2">
        <v>45349</v>
      </c>
      <c r="D71" s="2"/>
      <c r="E71" s="1" t="s">
        <v>6685</v>
      </c>
      <c r="F71" s="61" t="s">
        <v>6686</v>
      </c>
      <c r="G71" t="s">
        <v>6687</v>
      </c>
      <c r="H71" s="6" t="s">
        <v>2579</v>
      </c>
      <c r="I71" t="s">
        <v>2580</v>
      </c>
      <c r="J71" s="8"/>
      <c r="K71" s="1" t="s">
        <v>7339</v>
      </c>
      <c r="L71" t="s">
        <v>6685</v>
      </c>
      <c r="M71" s="2">
        <v>45351</v>
      </c>
      <c r="N71" s="1" t="s">
        <v>35</v>
      </c>
      <c r="O71" s="61" t="s">
        <v>7934</v>
      </c>
      <c r="P71" s="14" t="s">
        <v>9992</v>
      </c>
      <c r="Q71" s="187">
        <v>78.510000000000005</v>
      </c>
      <c r="R71" s="1">
        <v>1</v>
      </c>
      <c r="S71" s="128">
        <v>0.21</v>
      </c>
      <c r="T71" s="128">
        <v>0.2</v>
      </c>
      <c r="U71" s="363"/>
      <c r="V71" s="126">
        <f t="shared" ref="V71" si="25">SUM(Q71-(Q71*T71))*S71+(Q71-(Q71*T71))</f>
        <v>75.997680000000003</v>
      </c>
      <c r="W71" t="s">
        <v>8097</v>
      </c>
      <c r="X71" s="5" t="s">
        <v>9993</v>
      </c>
      <c r="Y71" s="2">
        <v>32153</v>
      </c>
      <c r="Z71" s="2">
        <v>45349</v>
      </c>
      <c r="AA71" s="11" t="s">
        <v>10274</v>
      </c>
      <c r="AB71" s="2">
        <v>45401</v>
      </c>
      <c r="AC71" s="133" t="s">
        <v>1339</v>
      </c>
      <c r="AF71" t="s">
        <v>3198</v>
      </c>
    </row>
    <row r="72" spans="1:46">
      <c r="A72" s="1">
        <v>72</v>
      </c>
      <c r="B72" s="61" t="s">
        <v>6684</v>
      </c>
      <c r="C72" s="2">
        <v>45349</v>
      </c>
      <c r="D72" s="2"/>
      <c r="E72" s="1" t="s">
        <v>6685</v>
      </c>
      <c r="F72" s="61" t="s">
        <v>6686</v>
      </c>
      <c r="G72" t="s">
        <v>6687</v>
      </c>
      <c r="H72" s="6" t="s">
        <v>2579</v>
      </c>
      <c r="I72" t="s">
        <v>2580</v>
      </c>
      <c r="J72" s="8"/>
      <c r="K72" s="1" t="s">
        <v>7339</v>
      </c>
      <c r="L72" t="s">
        <v>6685</v>
      </c>
      <c r="M72" s="2">
        <v>45351</v>
      </c>
      <c r="N72" s="1" t="s">
        <v>35</v>
      </c>
      <c r="O72" s="61" t="s">
        <v>7934</v>
      </c>
      <c r="P72" s="14" t="s">
        <v>9994</v>
      </c>
      <c r="Q72" s="187">
        <v>78.510000000000005</v>
      </c>
      <c r="R72" s="1">
        <v>1</v>
      </c>
      <c r="S72" s="128">
        <v>0.21</v>
      </c>
      <c r="T72" s="128">
        <v>0.2</v>
      </c>
      <c r="U72" s="363"/>
      <c r="V72" s="126">
        <f t="shared" ref="V72:V73" si="26">SUM(Q72-(Q72*T72))*S72+(Q72-(Q72*T72))</f>
        <v>75.997680000000003</v>
      </c>
      <c r="W72" t="s">
        <v>8097</v>
      </c>
      <c r="X72" s="5" t="s">
        <v>9995</v>
      </c>
      <c r="Y72" s="2">
        <v>32194</v>
      </c>
      <c r="Z72" s="2">
        <v>45349</v>
      </c>
      <c r="AA72" s="11" t="s">
        <v>10274</v>
      </c>
      <c r="AB72" s="2">
        <v>45401</v>
      </c>
      <c r="AC72" s="133" t="s">
        <v>1339</v>
      </c>
      <c r="AF72" t="s">
        <v>3198</v>
      </c>
    </row>
    <row r="73" spans="1:46">
      <c r="A73" s="1">
        <v>73</v>
      </c>
      <c r="B73" t="s">
        <v>423</v>
      </c>
      <c r="C73" s="2">
        <v>45350</v>
      </c>
      <c r="E73" s="1" t="s">
        <v>3217</v>
      </c>
      <c r="F73" s="61" t="s">
        <v>91</v>
      </c>
      <c r="G73" t="s">
        <v>3218</v>
      </c>
      <c r="H73" s="6" t="s">
        <v>219</v>
      </c>
      <c r="I73" s="1" t="s">
        <v>38</v>
      </c>
      <c r="J73" s="8">
        <v>629562761</v>
      </c>
      <c r="K73" s="8" t="s">
        <v>6182</v>
      </c>
      <c r="L73" t="s">
        <v>3217</v>
      </c>
      <c r="M73" s="2">
        <v>45351</v>
      </c>
      <c r="N73" s="1" t="s">
        <v>35</v>
      </c>
      <c r="O73" s="61" t="s">
        <v>9758</v>
      </c>
      <c r="P73" s="14" t="s">
        <v>6445</v>
      </c>
      <c r="Q73" s="187">
        <v>132.22999999999999</v>
      </c>
      <c r="R73" s="1">
        <v>1</v>
      </c>
      <c r="S73" s="128">
        <v>0.21</v>
      </c>
      <c r="T73" s="128">
        <v>0.2</v>
      </c>
      <c r="U73" s="95"/>
      <c r="V73" s="126">
        <f t="shared" si="26"/>
        <v>127.99863999999999</v>
      </c>
      <c r="W73" t="s">
        <v>6566</v>
      </c>
      <c r="X73" s="6" t="s">
        <v>10046</v>
      </c>
      <c r="Y73" s="2">
        <v>36602</v>
      </c>
      <c r="Z73" s="2">
        <v>45350</v>
      </c>
      <c r="AA73" s="11" t="s">
        <v>10223</v>
      </c>
      <c r="AB73" s="3">
        <v>45392</v>
      </c>
      <c r="AC73" s="133" t="s">
        <v>1339</v>
      </c>
      <c r="AF73" t="s">
        <v>3198</v>
      </c>
      <c r="AI73" t="s">
        <v>9996</v>
      </c>
      <c r="AJ73" s="2">
        <v>45358</v>
      </c>
      <c r="AK73" s="3"/>
      <c r="AL73" s="74"/>
      <c r="AM73" s="3">
        <v>45359</v>
      </c>
      <c r="AS73" s="1"/>
    </row>
    <row r="74" spans="1:46">
      <c r="A74" s="1">
        <v>74</v>
      </c>
      <c r="B74" s="61" t="s">
        <v>37</v>
      </c>
      <c r="C74" s="2">
        <v>45350</v>
      </c>
      <c r="D74" s="2"/>
      <c r="E74" s="1" t="s">
        <v>255</v>
      </c>
      <c r="F74" s="61" t="s">
        <v>677</v>
      </c>
      <c r="G74" s="61" t="s">
        <v>5445</v>
      </c>
      <c r="H74" s="6" t="s">
        <v>221</v>
      </c>
      <c r="I74" s="1" t="s">
        <v>34</v>
      </c>
      <c r="J74" s="1">
        <v>641646807</v>
      </c>
      <c r="K74" s="8"/>
      <c r="L74" s="1" t="s">
        <v>255</v>
      </c>
      <c r="M74" s="2">
        <v>45351</v>
      </c>
      <c r="N74" s="1" t="s">
        <v>35</v>
      </c>
      <c r="O74" s="61" t="s">
        <v>7935</v>
      </c>
      <c r="P74" s="14" t="s">
        <v>9997</v>
      </c>
      <c r="Q74" s="187">
        <v>78.510000000000005</v>
      </c>
      <c r="R74" s="1">
        <v>1</v>
      </c>
      <c r="S74" s="128">
        <v>0.21</v>
      </c>
      <c r="T74" s="128">
        <v>0</v>
      </c>
      <c r="U74" s="363"/>
      <c r="V74" s="126">
        <f t="shared" ref="V74" si="27">SUM(Q74-(Q74*T74))*S74+(Q74-(Q74*T74))</f>
        <v>94.997100000000003</v>
      </c>
      <c r="W74" s="1" t="s">
        <v>255</v>
      </c>
      <c r="X74" s="5" t="s">
        <v>10069</v>
      </c>
      <c r="Y74" s="2">
        <v>32215</v>
      </c>
      <c r="Z74" s="2">
        <v>45350</v>
      </c>
      <c r="AA74" s="11" t="s">
        <v>10259</v>
      </c>
      <c r="AB74" s="2">
        <v>45398</v>
      </c>
      <c r="AC74" s="133" t="s">
        <v>1339</v>
      </c>
      <c r="AE74" s="3">
        <v>45393</v>
      </c>
      <c r="AF74" t="s">
        <v>3198</v>
      </c>
      <c r="AI74" t="s">
        <v>3392</v>
      </c>
      <c r="AJ74" s="3">
        <v>45362</v>
      </c>
    </row>
    <row r="75" spans="1:46">
      <c r="A75" s="1">
        <v>75</v>
      </c>
      <c r="B75" t="s">
        <v>7245</v>
      </c>
      <c r="C75" s="2">
        <v>45350</v>
      </c>
      <c r="D75" s="2"/>
      <c r="E75" s="1" t="s">
        <v>1522</v>
      </c>
      <c r="F75" s="61" t="s">
        <v>3233</v>
      </c>
      <c r="G75" t="s">
        <v>3241</v>
      </c>
      <c r="H75" s="6" t="s">
        <v>3234</v>
      </c>
      <c r="I75" t="s">
        <v>3235</v>
      </c>
      <c r="J75" s="8">
        <v>680761760</v>
      </c>
      <c r="K75" s="8" t="s">
        <v>6232</v>
      </c>
      <c r="L75" t="s">
        <v>1522</v>
      </c>
      <c r="M75" s="2">
        <v>45351</v>
      </c>
      <c r="N75" s="1" t="s">
        <v>35</v>
      </c>
      <c r="O75" s="14" t="s">
        <v>7926</v>
      </c>
      <c r="P75" s="14" t="s">
        <v>9998</v>
      </c>
      <c r="Q75" s="187">
        <v>132.22999999999999</v>
      </c>
      <c r="R75" s="1">
        <v>1</v>
      </c>
      <c r="S75" s="128">
        <v>0.21</v>
      </c>
      <c r="T75" s="128">
        <v>0.2</v>
      </c>
      <c r="U75" s="363"/>
      <c r="V75" s="126">
        <f t="shared" ref="V75" si="28">SUM(Q75-(Q75*T75))*S75+(Q75-(Q75*T75))</f>
        <v>127.99863999999999</v>
      </c>
      <c r="W75" t="s">
        <v>10047</v>
      </c>
      <c r="X75" s="5" t="s">
        <v>10048</v>
      </c>
      <c r="Y75" s="2"/>
      <c r="Z75" s="2">
        <v>45350</v>
      </c>
      <c r="AA75" s="11" t="s">
        <v>10224</v>
      </c>
      <c r="AB75" s="2">
        <v>45393</v>
      </c>
      <c r="AC75" s="133" t="s">
        <v>1339</v>
      </c>
      <c r="AE75" s="3"/>
      <c r="AF75" t="s">
        <v>3198</v>
      </c>
      <c r="AI75" s="61" t="s">
        <v>3470</v>
      </c>
      <c r="AJ75" s="2">
        <v>45358</v>
      </c>
      <c r="AM75" s="74">
        <v>45363</v>
      </c>
      <c r="AS75" s="1"/>
      <c r="AT75" s="1"/>
    </row>
    <row r="76" spans="1:46">
      <c r="A76" s="1">
        <v>76</v>
      </c>
      <c r="B76" t="s">
        <v>37</v>
      </c>
      <c r="C76" s="2">
        <v>45355</v>
      </c>
      <c r="D76" s="2" t="s">
        <v>9900</v>
      </c>
      <c r="E76" t="s">
        <v>4474</v>
      </c>
      <c r="F76" s="61" t="s">
        <v>10011</v>
      </c>
      <c r="G76" t="s">
        <v>10012</v>
      </c>
      <c r="H76" s="6" t="s">
        <v>219</v>
      </c>
      <c r="I76" s="1" t="s">
        <v>4334</v>
      </c>
      <c r="J76" s="8">
        <v>624199235</v>
      </c>
      <c r="K76" s="8"/>
      <c r="L76" s="1" t="s">
        <v>4474</v>
      </c>
      <c r="M76" s="2">
        <v>45382</v>
      </c>
      <c r="N76" s="1" t="s">
        <v>35</v>
      </c>
      <c r="O76" s="14" t="s">
        <v>7934</v>
      </c>
      <c r="P76" s="14" t="s">
        <v>10013</v>
      </c>
      <c r="Q76" s="187">
        <v>78.510000000000005</v>
      </c>
      <c r="R76" s="1">
        <v>1</v>
      </c>
      <c r="S76" s="128">
        <v>0.21</v>
      </c>
      <c r="T76" s="128">
        <v>0</v>
      </c>
      <c r="U76" s="363"/>
      <c r="V76" s="126">
        <f t="shared" ref="V76:V79" si="29">SUM(Q76-(Q76*T76))*S76+(Q76-(Q76*T76))</f>
        <v>94.997100000000003</v>
      </c>
      <c r="W76" s="1" t="s">
        <v>4474</v>
      </c>
      <c r="X76" s="5" t="s">
        <v>10014</v>
      </c>
      <c r="Y76" s="2">
        <v>33604</v>
      </c>
      <c r="Z76" s="2">
        <v>45355</v>
      </c>
      <c r="AA76" s="11" t="s">
        <v>10167</v>
      </c>
      <c r="AB76" s="2">
        <v>45377</v>
      </c>
      <c r="AC76" s="133" t="s">
        <v>1339</v>
      </c>
      <c r="AE76" s="3"/>
      <c r="AF76" t="s">
        <v>3198</v>
      </c>
      <c r="AI76" s="61"/>
      <c r="AJ76" s="2"/>
      <c r="AM76" s="74"/>
      <c r="AS76" s="1"/>
      <c r="AT76" s="1"/>
    </row>
    <row r="77" spans="1:46">
      <c r="A77" s="1">
        <v>77</v>
      </c>
      <c r="B77" t="s">
        <v>5635</v>
      </c>
      <c r="C77" s="2">
        <v>45355</v>
      </c>
      <c r="D77" s="2"/>
      <c r="E77" s="1" t="s">
        <v>7802</v>
      </c>
      <c r="F77" s="61" t="s">
        <v>7803</v>
      </c>
      <c r="G77" t="s">
        <v>7804</v>
      </c>
      <c r="H77" s="6" t="s">
        <v>1424</v>
      </c>
      <c r="I77" s="1" t="s">
        <v>1425</v>
      </c>
      <c r="J77" s="1">
        <v>670650000</v>
      </c>
      <c r="K77" t="s">
        <v>7805</v>
      </c>
      <c r="L77" s="1" t="s">
        <v>7802</v>
      </c>
      <c r="M77" s="2">
        <v>45382</v>
      </c>
      <c r="N77" s="1" t="s">
        <v>35</v>
      </c>
      <c r="O77" s="14" t="s">
        <v>7934</v>
      </c>
      <c r="P77" s="14" t="s">
        <v>10023</v>
      </c>
      <c r="Q77" s="187">
        <v>78.510000000000005</v>
      </c>
      <c r="R77" s="1">
        <v>1</v>
      </c>
      <c r="S77" s="128">
        <v>0.21</v>
      </c>
      <c r="T77" s="128">
        <v>0.2</v>
      </c>
      <c r="U77" s="363"/>
      <c r="V77" s="126">
        <f t="shared" ref="V77" si="30">SUM(Q77-(Q77*T77))*S77+(Q77-(Q77*T77))</f>
        <v>75.997680000000003</v>
      </c>
      <c r="W77" t="s">
        <v>7940</v>
      </c>
      <c r="X77" s="5" t="s">
        <v>10025</v>
      </c>
      <c r="Y77" s="2">
        <v>30326</v>
      </c>
      <c r="Z77" s="2">
        <v>45355</v>
      </c>
      <c r="AA77" s="11" t="s">
        <v>10196</v>
      </c>
      <c r="AB77" s="2">
        <v>45385</v>
      </c>
      <c r="AC77" s="133" t="s">
        <v>1339</v>
      </c>
      <c r="AD77" t="s">
        <v>10024</v>
      </c>
      <c r="AE77" s="3"/>
      <c r="AF77" t="s">
        <v>3198</v>
      </c>
      <c r="AI77" s="61"/>
      <c r="AJ77" s="2"/>
      <c r="AM77" s="74"/>
      <c r="AS77" s="1"/>
      <c r="AT77" s="1"/>
    </row>
    <row r="78" spans="1:46">
      <c r="A78" s="1">
        <v>78</v>
      </c>
      <c r="B78" t="s">
        <v>83</v>
      </c>
      <c r="C78" s="2">
        <v>45356</v>
      </c>
      <c r="D78" s="2"/>
      <c r="E78" s="1" t="s">
        <v>8107</v>
      </c>
      <c r="F78" s="61" t="s">
        <v>8034</v>
      </c>
      <c r="G78" t="s">
        <v>8035</v>
      </c>
      <c r="H78" s="6" t="s">
        <v>219</v>
      </c>
      <c r="I78" s="1" t="s">
        <v>4334</v>
      </c>
      <c r="J78" s="1">
        <v>631838050</v>
      </c>
      <c r="K78" s="1"/>
      <c r="L78" t="s">
        <v>8107</v>
      </c>
      <c r="M78" s="2">
        <v>45382</v>
      </c>
      <c r="N78" s="1" t="s">
        <v>35</v>
      </c>
      <c r="O78" s="14" t="s">
        <v>7934</v>
      </c>
      <c r="P78" s="14" t="s">
        <v>10028</v>
      </c>
      <c r="Q78" s="187">
        <v>78.510000000000005</v>
      </c>
      <c r="R78" s="1">
        <v>1</v>
      </c>
      <c r="S78" s="128">
        <v>0.21</v>
      </c>
      <c r="T78" s="128">
        <v>0.2</v>
      </c>
      <c r="U78" s="363"/>
      <c r="V78" s="126">
        <f t="shared" si="29"/>
        <v>75.997680000000003</v>
      </c>
      <c r="W78" t="s">
        <v>8107</v>
      </c>
      <c r="X78" s="5" t="s">
        <v>10029</v>
      </c>
      <c r="Y78" s="3">
        <v>32409</v>
      </c>
      <c r="Z78" s="2">
        <v>45356</v>
      </c>
      <c r="AA78" s="11" t="s">
        <v>10361</v>
      </c>
      <c r="AB78" s="2">
        <v>45415</v>
      </c>
      <c r="AC78" s="133" t="s">
        <v>1339</v>
      </c>
      <c r="AE78" s="3"/>
      <c r="AF78" t="s">
        <v>3198</v>
      </c>
      <c r="AI78" s="61"/>
      <c r="AJ78" s="2"/>
      <c r="AM78" s="74"/>
      <c r="AS78" s="1"/>
      <c r="AT78" s="1"/>
    </row>
    <row r="79" spans="1:46">
      <c r="A79" s="1">
        <v>79</v>
      </c>
      <c r="B79" t="s">
        <v>37</v>
      </c>
      <c r="C79" s="2">
        <v>45356</v>
      </c>
      <c r="D79" s="2"/>
      <c r="E79" s="1" t="s">
        <v>8099</v>
      </c>
      <c r="F79" s="61" t="s">
        <v>8004</v>
      </c>
      <c r="G79" t="s">
        <v>8005</v>
      </c>
      <c r="H79" s="1">
        <v>4740</v>
      </c>
      <c r="I79" s="1" t="s">
        <v>4334</v>
      </c>
      <c r="J79" s="1">
        <v>603198496</v>
      </c>
      <c r="K79" s="1"/>
      <c r="L79" t="s">
        <v>8099</v>
      </c>
      <c r="M79" s="2">
        <v>45382</v>
      </c>
      <c r="N79" s="1" t="s">
        <v>35</v>
      </c>
      <c r="O79" s="14" t="s">
        <v>7934</v>
      </c>
      <c r="P79" s="14" t="s">
        <v>10030</v>
      </c>
      <c r="Q79" s="187">
        <v>78.510000000000005</v>
      </c>
      <c r="R79" s="1">
        <v>1</v>
      </c>
      <c r="S79" s="128">
        <v>0.21</v>
      </c>
      <c r="T79" s="128">
        <v>0</v>
      </c>
      <c r="U79" s="363"/>
      <c r="V79" s="126">
        <f t="shared" si="29"/>
        <v>94.997100000000003</v>
      </c>
      <c r="W79" t="s">
        <v>8099</v>
      </c>
      <c r="X79" s="5" t="s">
        <v>10031</v>
      </c>
      <c r="Y79" s="3">
        <v>35067</v>
      </c>
      <c r="Z79" s="2">
        <v>45356</v>
      </c>
      <c r="AA79" s="11" t="s">
        <v>10361</v>
      </c>
      <c r="AB79" s="2">
        <v>45415</v>
      </c>
      <c r="AC79" s="133" t="s">
        <v>1339</v>
      </c>
      <c r="AE79" s="3"/>
      <c r="AF79" t="s">
        <v>3198</v>
      </c>
      <c r="AI79" s="61"/>
      <c r="AJ79" s="2"/>
      <c r="AM79" s="74"/>
      <c r="AS79" s="1"/>
      <c r="AT79" s="1"/>
    </row>
    <row r="80" spans="1:46">
      <c r="A80" s="1">
        <v>80</v>
      </c>
      <c r="B80" t="s">
        <v>3526</v>
      </c>
      <c r="C80" s="2">
        <v>45356</v>
      </c>
      <c r="D80" s="2"/>
      <c r="E80" s="1" t="s">
        <v>10032</v>
      </c>
      <c r="F80" s="61" t="s">
        <v>10033</v>
      </c>
      <c r="G80" t="s">
        <v>10034</v>
      </c>
      <c r="H80" s="1">
        <v>4738</v>
      </c>
      <c r="I80" s="1" t="s">
        <v>39</v>
      </c>
      <c r="J80" s="1"/>
      <c r="K80" s="1"/>
      <c r="L80" s="1" t="s">
        <v>10032</v>
      </c>
      <c r="M80" s="2">
        <v>45382</v>
      </c>
      <c r="N80" s="1" t="s">
        <v>35</v>
      </c>
      <c r="O80" s="14" t="s">
        <v>9758</v>
      </c>
      <c r="P80" s="14" t="s">
        <v>10035</v>
      </c>
      <c r="Q80" s="187">
        <v>132.22999999999999</v>
      </c>
      <c r="R80" s="1">
        <v>1</v>
      </c>
      <c r="S80" s="128">
        <v>0.21</v>
      </c>
      <c r="T80" s="128">
        <v>0.2</v>
      </c>
      <c r="U80" s="363"/>
      <c r="V80" s="126">
        <f t="shared" ref="V80:V83" si="31">SUM(Q80-(Q80*T80))*S80+(Q80-(Q80*T80))</f>
        <v>127.99863999999999</v>
      </c>
      <c r="W80" t="s">
        <v>10065</v>
      </c>
      <c r="X80" s="5" t="s">
        <v>10066</v>
      </c>
      <c r="Y80" s="3">
        <v>33640</v>
      </c>
      <c r="Z80" s="2">
        <v>45356</v>
      </c>
      <c r="AA80" s="11" t="s">
        <v>10229</v>
      </c>
      <c r="AB80" s="2">
        <v>45393</v>
      </c>
      <c r="AC80" s="133" t="s">
        <v>1339</v>
      </c>
      <c r="AE80" s="3"/>
      <c r="AF80" t="s">
        <v>3198</v>
      </c>
      <c r="AI80" s="61" t="s">
        <v>3470</v>
      </c>
      <c r="AJ80" s="2">
        <v>45362</v>
      </c>
      <c r="AM80" s="74">
        <v>45363</v>
      </c>
      <c r="AS80" s="1"/>
      <c r="AT80" s="1"/>
    </row>
    <row r="81" spans="1:46">
      <c r="A81" s="1">
        <v>81</v>
      </c>
      <c r="B81" t="s">
        <v>143</v>
      </c>
      <c r="C81" s="2">
        <v>45357</v>
      </c>
      <c r="D81" s="2" t="s">
        <v>9900</v>
      </c>
      <c r="E81" t="s">
        <v>10067</v>
      </c>
      <c r="F81" s="61" t="s">
        <v>10036</v>
      </c>
      <c r="G81" t="s">
        <v>10037</v>
      </c>
      <c r="H81" s="6" t="s">
        <v>10038</v>
      </c>
      <c r="I81" s="1" t="s">
        <v>10039</v>
      </c>
      <c r="J81" s="1">
        <v>602896079</v>
      </c>
      <c r="K81" s="1"/>
      <c r="L81" s="1" t="s">
        <v>10067</v>
      </c>
      <c r="M81" s="2">
        <v>45382</v>
      </c>
      <c r="N81" s="1" t="s">
        <v>35</v>
      </c>
      <c r="O81" s="61" t="s">
        <v>7925</v>
      </c>
      <c r="P81" s="14" t="s">
        <v>10040</v>
      </c>
      <c r="Q81" s="187">
        <v>132.22999999999999</v>
      </c>
      <c r="R81" s="1">
        <v>1</v>
      </c>
      <c r="S81" s="128">
        <v>0.21</v>
      </c>
      <c r="T81" s="128">
        <v>0</v>
      </c>
      <c r="U81" s="363"/>
      <c r="V81" s="126">
        <f t="shared" si="31"/>
        <v>159.99829999999997</v>
      </c>
      <c r="W81" s="1" t="s">
        <v>10067</v>
      </c>
      <c r="X81" s="5" t="s">
        <v>10068</v>
      </c>
      <c r="Y81" s="3">
        <v>28950</v>
      </c>
      <c r="Z81" s="2">
        <v>45357</v>
      </c>
      <c r="AA81" s="11" t="s">
        <v>10631</v>
      </c>
      <c r="AB81" s="2">
        <v>45474</v>
      </c>
      <c r="AC81" s="133" t="s">
        <v>1339</v>
      </c>
      <c r="AE81" s="162">
        <v>45420</v>
      </c>
      <c r="AF81" t="s">
        <v>3198</v>
      </c>
      <c r="AI81" t="s">
        <v>10041</v>
      </c>
      <c r="AJ81" s="3">
        <v>45362</v>
      </c>
      <c r="AM81" s="3">
        <v>45365</v>
      </c>
      <c r="AS81" s="1"/>
    </row>
    <row r="82" spans="1:46">
      <c r="A82" s="1">
        <v>82</v>
      </c>
      <c r="B82" t="s">
        <v>37</v>
      </c>
      <c r="C82" s="2">
        <v>45358</v>
      </c>
      <c r="D82" s="2" t="s">
        <v>9900</v>
      </c>
      <c r="E82" t="s">
        <v>10070</v>
      </c>
      <c r="F82" s="61" t="s">
        <v>10042</v>
      </c>
      <c r="G82" t="s">
        <v>10043</v>
      </c>
      <c r="H82" s="1">
        <v>4710</v>
      </c>
      <c r="I82" s="1" t="s">
        <v>8550</v>
      </c>
      <c r="J82" s="1">
        <v>662918750</v>
      </c>
      <c r="K82" s="1"/>
      <c r="L82" s="1" t="s">
        <v>10070</v>
      </c>
      <c r="M82" s="2">
        <v>45382</v>
      </c>
      <c r="N82" s="1" t="s">
        <v>35</v>
      </c>
      <c r="O82" s="61" t="s">
        <v>7925</v>
      </c>
      <c r="P82" s="14" t="s">
        <v>10044</v>
      </c>
      <c r="Q82" s="187">
        <v>132.22999999999999</v>
      </c>
      <c r="R82" s="1">
        <v>1</v>
      </c>
      <c r="S82" s="128">
        <v>0.21</v>
      </c>
      <c r="T82" s="128">
        <v>0</v>
      </c>
      <c r="U82" s="363"/>
      <c r="V82" s="126">
        <f t="shared" si="31"/>
        <v>159.99829999999997</v>
      </c>
      <c r="W82" t="s">
        <v>10070</v>
      </c>
      <c r="X82" s="5" t="s">
        <v>10071</v>
      </c>
      <c r="Y82" s="3">
        <v>26225</v>
      </c>
      <c r="Z82" s="2">
        <v>45358</v>
      </c>
      <c r="AA82" s="76" t="s">
        <v>10423</v>
      </c>
      <c r="AB82" s="2">
        <v>45425</v>
      </c>
      <c r="AC82" s="133" t="s">
        <v>1339</v>
      </c>
      <c r="AE82" s="3"/>
      <c r="AF82" t="s">
        <v>3198</v>
      </c>
      <c r="AI82" t="s">
        <v>3392</v>
      </c>
      <c r="AJ82" s="2">
        <v>45362</v>
      </c>
      <c r="AM82" s="74">
        <v>45363</v>
      </c>
      <c r="AS82" s="1"/>
      <c r="AT82" s="1"/>
    </row>
    <row r="83" spans="1:46">
      <c r="A83" s="1">
        <v>83</v>
      </c>
      <c r="B83" t="s">
        <v>33</v>
      </c>
      <c r="C83" s="2">
        <v>45358</v>
      </c>
      <c r="D83" s="2"/>
      <c r="E83" s="1" t="s">
        <v>5773</v>
      </c>
      <c r="F83" s="61" t="s">
        <v>5774</v>
      </c>
      <c r="G83" s="61" t="s">
        <v>5775</v>
      </c>
      <c r="H83" s="6" t="s">
        <v>220</v>
      </c>
      <c r="I83" s="1" t="s">
        <v>39</v>
      </c>
      <c r="J83" s="1"/>
      <c r="K83" s="114" t="s">
        <v>11744</v>
      </c>
      <c r="L83" t="s">
        <v>237</v>
      </c>
      <c r="M83" s="2">
        <v>45382</v>
      </c>
      <c r="N83" s="1" t="s">
        <v>35</v>
      </c>
      <c r="O83" s="61" t="s">
        <v>7925</v>
      </c>
      <c r="P83" s="14" t="s">
        <v>10049</v>
      </c>
      <c r="Q83" s="187">
        <v>132.22999999999999</v>
      </c>
      <c r="R83" s="1">
        <v>1</v>
      </c>
      <c r="S83" s="128">
        <v>0.21</v>
      </c>
      <c r="T83" s="128">
        <v>0.2</v>
      </c>
      <c r="U83" s="363"/>
      <c r="V83" s="126">
        <f t="shared" si="31"/>
        <v>127.99863999999999</v>
      </c>
      <c r="W83" t="s">
        <v>10092</v>
      </c>
      <c r="X83" s="5" t="s">
        <v>10093</v>
      </c>
      <c r="Y83" s="3">
        <v>25068</v>
      </c>
      <c r="Z83" s="2">
        <v>45358</v>
      </c>
      <c r="AA83" s="11" t="s">
        <v>10424</v>
      </c>
      <c r="AB83" s="2">
        <v>45425</v>
      </c>
      <c r="AC83" s="133" t="s">
        <v>1339</v>
      </c>
      <c r="AE83" s="3"/>
      <c r="AF83" t="s">
        <v>3198</v>
      </c>
      <c r="AI83" t="s">
        <v>3392</v>
      </c>
      <c r="AJ83" s="2">
        <v>45365</v>
      </c>
      <c r="AM83" s="74">
        <v>45366</v>
      </c>
      <c r="AS83" s="1"/>
      <c r="AT83" s="1"/>
    </row>
    <row r="84" spans="1:46">
      <c r="A84" s="1">
        <v>84</v>
      </c>
      <c r="B84" t="s">
        <v>37</v>
      </c>
      <c r="C84" s="2">
        <v>45358</v>
      </c>
      <c r="D84" s="2" t="s">
        <v>9900</v>
      </c>
      <c r="E84" t="s">
        <v>10127</v>
      </c>
      <c r="F84" s="61" t="s">
        <v>10051</v>
      </c>
      <c r="G84" t="s">
        <v>10052</v>
      </c>
      <c r="H84" s="6" t="s">
        <v>270</v>
      </c>
      <c r="I84" s="1" t="s">
        <v>49</v>
      </c>
      <c r="J84" s="8">
        <v>641091800</v>
      </c>
      <c r="K84" s="8"/>
      <c r="L84" t="s">
        <v>10127</v>
      </c>
      <c r="M84" s="2">
        <v>45382</v>
      </c>
      <c r="N84" s="1" t="s">
        <v>35</v>
      </c>
      <c r="O84" s="61" t="s">
        <v>9511</v>
      </c>
      <c r="P84" s="14" t="s">
        <v>10053</v>
      </c>
      <c r="Q84" s="187">
        <v>132.22999999999999</v>
      </c>
      <c r="R84" s="1">
        <v>1</v>
      </c>
      <c r="S84" s="128">
        <v>0.21</v>
      </c>
      <c r="T84" s="128">
        <v>0</v>
      </c>
      <c r="U84" s="363"/>
      <c r="V84" s="126">
        <f t="shared" ref="V84:V85" si="32">SUM(Q84-(Q84*T84))*S84+(Q84-(Q84*T84))</f>
        <v>159.99829999999997</v>
      </c>
      <c r="W84" t="s">
        <v>10127</v>
      </c>
      <c r="X84" s="5" t="s">
        <v>10128</v>
      </c>
      <c r="Y84" s="2">
        <v>34700</v>
      </c>
      <c r="Z84" s="2">
        <v>45358</v>
      </c>
      <c r="AA84" s="11" t="s">
        <v>10341</v>
      </c>
      <c r="AB84" s="2">
        <v>45415</v>
      </c>
      <c r="AC84" s="133" t="s">
        <v>1339</v>
      </c>
      <c r="AE84" s="3"/>
      <c r="AF84" t="s">
        <v>3198</v>
      </c>
      <c r="AI84" t="s">
        <v>10054</v>
      </c>
      <c r="AJ84" s="2">
        <v>45370</v>
      </c>
      <c r="AM84" s="2">
        <v>45370</v>
      </c>
      <c r="AS84" s="1"/>
      <c r="AT84" s="1"/>
    </row>
    <row r="85" spans="1:46">
      <c r="A85" s="1">
        <v>85</v>
      </c>
      <c r="B85" t="s">
        <v>37</v>
      </c>
      <c r="C85" s="2">
        <v>45359</v>
      </c>
      <c r="D85" s="2" t="s">
        <v>9900</v>
      </c>
      <c r="E85" t="s">
        <v>6964</v>
      </c>
      <c r="F85" s="61" t="s">
        <v>10055</v>
      </c>
      <c r="G85" t="s">
        <v>10056</v>
      </c>
      <c r="H85" s="6" t="s">
        <v>10057</v>
      </c>
      <c r="I85" s="1" t="s">
        <v>10058</v>
      </c>
      <c r="J85" s="8">
        <v>631552331</v>
      </c>
      <c r="K85" s="8"/>
      <c r="L85" s="1" t="s">
        <v>6964</v>
      </c>
      <c r="M85" s="2">
        <v>45382</v>
      </c>
      <c r="N85" s="1" t="s">
        <v>35</v>
      </c>
      <c r="O85" s="61" t="s">
        <v>7968</v>
      </c>
      <c r="P85" s="14" t="s">
        <v>10059</v>
      </c>
      <c r="Q85" s="187">
        <v>132.22999999999999</v>
      </c>
      <c r="R85" s="1">
        <v>1</v>
      </c>
      <c r="S85" s="128">
        <v>0.21</v>
      </c>
      <c r="T85" s="128">
        <v>0</v>
      </c>
      <c r="U85" s="363"/>
      <c r="V85" s="126">
        <f t="shared" si="32"/>
        <v>159.99829999999997</v>
      </c>
      <c r="W85" s="407" t="s">
        <v>10095</v>
      </c>
      <c r="X85" s="406" t="s">
        <v>10096</v>
      </c>
      <c r="Y85" s="2">
        <v>32185</v>
      </c>
      <c r="Z85" s="2">
        <v>45359</v>
      </c>
      <c r="AA85" s="11" t="s">
        <v>10211</v>
      </c>
      <c r="AB85" s="2">
        <v>45392</v>
      </c>
      <c r="AC85" s="133" t="s">
        <v>1339</v>
      </c>
      <c r="AE85" s="3"/>
      <c r="AF85" t="s">
        <v>3198</v>
      </c>
      <c r="AI85" t="s">
        <v>3392</v>
      </c>
      <c r="AJ85" s="2">
        <v>45369</v>
      </c>
      <c r="AM85" s="2">
        <v>45369</v>
      </c>
      <c r="AS85" s="1"/>
      <c r="AT85" s="1"/>
    </row>
    <row r="86" spans="1:46">
      <c r="A86" s="1">
        <v>86</v>
      </c>
      <c r="B86" s="61" t="s">
        <v>4321</v>
      </c>
      <c r="C86" s="2">
        <v>45359</v>
      </c>
      <c r="D86" s="2"/>
      <c r="E86" s="1" t="s">
        <v>3427</v>
      </c>
      <c r="F86" s="61" t="s">
        <v>3428</v>
      </c>
      <c r="G86" s="61" t="s">
        <v>3433</v>
      </c>
      <c r="H86" s="6" t="s">
        <v>3429</v>
      </c>
      <c r="I86" s="1" t="s">
        <v>86</v>
      </c>
      <c r="J86" s="1">
        <v>650379091</v>
      </c>
      <c r="K86" s="8" t="s">
        <v>5991</v>
      </c>
      <c r="L86" s="1" t="s">
        <v>3427</v>
      </c>
      <c r="M86" s="2">
        <v>45382</v>
      </c>
      <c r="N86" s="1" t="s">
        <v>35</v>
      </c>
      <c r="O86" s="61" t="s">
        <v>7925</v>
      </c>
      <c r="P86" s="14" t="s">
        <v>8835</v>
      </c>
      <c r="Q86" s="187">
        <v>0</v>
      </c>
      <c r="R86" s="1">
        <v>1</v>
      </c>
      <c r="S86" s="128">
        <v>0.21</v>
      </c>
      <c r="T86" s="128">
        <v>0.2</v>
      </c>
      <c r="U86" s="363"/>
      <c r="V86" s="126">
        <f>SUM(Q86-(Q86*T86))*S86+(Q86-(Q86*T86))</f>
        <v>0</v>
      </c>
      <c r="W86" t="s">
        <v>8877</v>
      </c>
      <c r="X86" s="5" t="s">
        <v>10094</v>
      </c>
      <c r="Y86" s="2">
        <v>34646</v>
      </c>
      <c r="Z86" s="2">
        <v>45359</v>
      </c>
      <c r="AA86" s="11" t="s">
        <v>10424</v>
      </c>
      <c r="AB86" s="2">
        <v>45425</v>
      </c>
      <c r="AC86" s="133" t="s">
        <v>1339</v>
      </c>
      <c r="AE86" s="3"/>
      <c r="AF86" t="s">
        <v>3198</v>
      </c>
      <c r="AI86" t="s">
        <v>3392</v>
      </c>
      <c r="AJ86" s="2">
        <v>45365</v>
      </c>
      <c r="AM86" s="74">
        <v>45370</v>
      </c>
      <c r="AS86" s="1"/>
      <c r="AT86" s="1"/>
    </row>
    <row r="87" spans="1:46">
      <c r="A87" s="1">
        <v>87</v>
      </c>
      <c r="B87" t="s">
        <v>33</v>
      </c>
      <c r="C87" s="2">
        <v>45362</v>
      </c>
      <c r="D87" s="2"/>
      <c r="E87" s="1" t="s">
        <v>8064</v>
      </c>
      <c r="F87" t="s">
        <v>8065</v>
      </c>
      <c r="G87" t="s">
        <v>8066</v>
      </c>
      <c r="H87" s="6" t="s">
        <v>219</v>
      </c>
      <c r="I87" s="1" t="s">
        <v>4334</v>
      </c>
      <c r="J87" s="1"/>
      <c r="K87" s="114" t="s">
        <v>11744</v>
      </c>
      <c r="L87" t="s">
        <v>237</v>
      </c>
      <c r="M87" s="2">
        <v>45382</v>
      </c>
      <c r="N87" s="1" t="s">
        <v>35</v>
      </c>
      <c r="O87" s="61" t="s">
        <v>7934</v>
      </c>
      <c r="P87" s="14" t="s">
        <v>10063</v>
      </c>
      <c r="Q87" s="187">
        <v>78.510000000000005</v>
      </c>
      <c r="R87" s="1">
        <v>1</v>
      </c>
      <c r="S87" s="128">
        <v>0.21</v>
      </c>
      <c r="T87" s="128">
        <v>0.2</v>
      </c>
      <c r="U87" s="363"/>
      <c r="V87" s="126">
        <f t="shared" ref="V87:V94" si="33">SUM(Q87-(Q87*T87))*S87+(Q87-(Q87*T87))</f>
        <v>75.997680000000003</v>
      </c>
      <c r="W87" t="s">
        <v>8162</v>
      </c>
      <c r="X87" s="5" t="s">
        <v>10064</v>
      </c>
      <c r="Y87" s="2">
        <v>33616</v>
      </c>
      <c r="Z87" s="2">
        <v>45362</v>
      </c>
      <c r="AA87" s="11" t="s">
        <v>10425</v>
      </c>
      <c r="AB87" s="2">
        <v>45425</v>
      </c>
      <c r="AC87" s="133" t="s">
        <v>1339</v>
      </c>
      <c r="AE87" s="3"/>
      <c r="AF87" t="s">
        <v>3198</v>
      </c>
      <c r="AJ87" s="2"/>
      <c r="AM87" s="74"/>
      <c r="AS87" s="1"/>
      <c r="AT87" s="1"/>
    </row>
    <row r="88" spans="1:46">
      <c r="A88" s="1">
        <v>88</v>
      </c>
      <c r="B88" s="61" t="s">
        <v>37</v>
      </c>
      <c r="C88" s="2">
        <v>45363</v>
      </c>
      <c r="D88" s="2" t="s">
        <v>9900</v>
      </c>
      <c r="E88" t="s">
        <v>10125</v>
      </c>
      <c r="F88" s="61" t="s">
        <v>10072</v>
      </c>
      <c r="G88" s="61" t="s">
        <v>10073</v>
      </c>
      <c r="H88" s="6" t="s">
        <v>7966</v>
      </c>
      <c r="I88" s="1" t="s">
        <v>7965</v>
      </c>
      <c r="J88" s="1">
        <v>643728964</v>
      </c>
      <c r="K88" s="8"/>
      <c r="L88" t="s">
        <v>10125</v>
      </c>
      <c r="M88" s="2">
        <v>45382</v>
      </c>
      <c r="N88" s="1" t="s">
        <v>35</v>
      </c>
      <c r="O88" s="61" t="s">
        <v>7929</v>
      </c>
      <c r="P88" s="14" t="s">
        <v>10074</v>
      </c>
      <c r="Q88" s="187">
        <v>132.22999999999999</v>
      </c>
      <c r="R88" s="1">
        <v>1</v>
      </c>
      <c r="S88" s="128">
        <v>0.21</v>
      </c>
      <c r="T88" s="128">
        <v>0</v>
      </c>
      <c r="U88" s="363"/>
      <c r="V88" s="126">
        <f t="shared" si="33"/>
        <v>159.99829999999997</v>
      </c>
      <c r="W88" t="s">
        <v>10125</v>
      </c>
      <c r="X88" s="5" t="s">
        <v>10126</v>
      </c>
      <c r="Y88" s="2">
        <v>37393</v>
      </c>
      <c r="Z88" s="2">
        <v>45363</v>
      </c>
      <c r="AA88" s="11" t="s">
        <v>10427</v>
      </c>
      <c r="AB88" s="2">
        <v>45425</v>
      </c>
      <c r="AC88" s="133" t="s">
        <v>1339</v>
      </c>
      <c r="AE88" s="3"/>
      <c r="AF88" t="s">
        <v>3198</v>
      </c>
      <c r="AI88" t="s">
        <v>3392</v>
      </c>
      <c r="AJ88" s="2">
        <v>45370</v>
      </c>
      <c r="AM88" s="74">
        <v>45371</v>
      </c>
      <c r="AS88" s="1"/>
      <c r="AT88" s="1"/>
    </row>
    <row r="89" spans="1:46">
      <c r="A89" s="1">
        <v>89</v>
      </c>
      <c r="B89" s="61" t="s">
        <v>40</v>
      </c>
      <c r="C89" s="2">
        <v>45363</v>
      </c>
      <c r="D89" s="2"/>
      <c r="E89" s="1" t="s">
        <v>6015</v>
      </c>
      <c r="F89" t="s">
        <v>6016</v>
      </c>
      <c r="G89" t="s">
        <v>6017</v>
      </c>
      <c r="H89" s="6" t="s">
        <v>221</v>
      </c>
      <c r="I89" s="1" t="s">
        <v>34</v>
      </c>
      <c r="J89" s="8"/>
      <c r="K89" s="409" t="s">
        <v>8357</v>
      </c>
      <c r="L89" t="s">
        <v>6015</v>
      </c>
      <c r="M89" s="2">
        <v>45382</v>
      </c>
      <c r="N89" s="1" t="s">
        <v>35</v>
      </c>
      <c r="O89" s="61" t="s">
        <v>7925</v>
      </c>
      <c r="P89" s="14" t="s">
        <v>10075</v>
      </c>
      <c r="Q89" s="187">
        <v>132.22999999999999</v>
      </c>
      <c r="R89" s="1">
        <v>1</v>
      </c>
      <c r="S89" s="128">
        <v>0.21</v>
      </c>
      <c r="T89" s="128">
        <v>0.2</v>
      </c>
      <c r="U89" s="363"/>
      <c r="V89" s="126">
        <f t="shared" si="33"/>
        <v>127.99863999999999</v>
      </c>
      <c r="W89" t="s">
        <v>10119</v>
      </c>
      <c r="X89" s="5" t="s">
        <v>10120</v>
      </c>
      <c r="Y89" s="2">
        <v>31023</v>
      </c>
      <c r="Z89" s="2">
        <v>45363</v>
      </c>
      <c r="AA89" s="11" t="s">
        <v>10457</v>
      </c>
      <c r="AB89" s="2">
        <v>45429</v>
      </c>
      <c r="AC89" s="133" t="s">
        <v>1339</v>
      </c>
      <c r="AE89" s="3"/>
      <c r="AF89" t="s">
        <v>3198</v>
      </c>
      <c r="AI89" s="61" t="s">
        <v>10076</v>
      </c>
      <c r="AJ89" s="2">
        <v>45369</v>
      </c>
      <c r="AM89" s="74">
        <v>45370</v>
      </c>
      <c r="AS89" s="1"/>
      <c r="AT89" s="1"/>
    </row>
    <row r="90" spans="1:46">
      <c r="A90" s="1">
        <v>90</v>
      </c>
      <c r="B90" s="61" t="s">
        <v>37</v>
      </c>
      <c r="C90" s="2">
        <v>45363</v>
      </c>
      <c r="D90" s="2" t="s">
        <v>9900</v>
      </c>
      <c r="E90" t="s">
        <v>1421</v>
      </c>
      <c r="F90" s="61" t="s">
        <v>1422</v>
      </c>
      <c r="G90" t="s">
        <v>6475</v>
      </c>
      <c r="H90" s="6" t="s">
        <v>1424</v>
      </c>
      <c r="I90" s="1" t="s">
        <v>1425</v>
      </c>
      <c r="J90" s="8">
        <v>642566349</v>
      </c>
      <c r="K90" s="8"/>
      <c r="L90" t="s">
        <v>1421</v>
      </c>
      <c r="M90" s="2">
        <v>45382</v>
      </c>
      <c r="N90" s="1" t="s">
        <v>35</v>
      </c>
      <c r="O90" s="61" t="s">
        <v>7935</v>
      </c>
      <c r="P90" s="14" t="s">
        <v>10077</v>
      </c>
      <c r="Q90" s="187">
        <v>78.510000000000005</v>
      </c>
      <c r="R90" s="1">
        <v>1</v>
      </c>
      <c r="S90" s="128">
        <v>0.21</v>
      </c>
      <c r="T90" s="128">
        <v>0</v>
      </c>
      <c r="U90" s="363"/>
      <c r="V90" s="126">
        <f t="shared" si="33"/>
        <v>94.997100000000003</v>
      </c>
      <c r="W90" t="s">
        <v>1421</v>
      </c>
      <c r="X90" s="5" t="s">
        <v>10078</v>
      </c>
      <c r="Y90" s="2">
        <v>29258</v>
      </c>
      <c r="Z90" s="2">
        <v>45363</v>
      </c>
      <c r="AA90" s="11" t="s">
        <v>10328</v>
      </c>
      <c r="AB90" s="2">
        <v>45414</v>
      </c>
      <c r="AC90" s="80" t="s">
        <v>1339</v>
      </c>
      <c r="AE90" s="3"/>
      <c r="AF90" t="s">
        <v>3198</v>
      </c>
      <c r="AJ90" s="2"/>
      <c r="AM90" s="74"/>
      <c r="AS90" s="1"/>
      <c r="AT90" s="1"/>
    </row>
    <row r="91" spans="1:46">
      <c r="A91" s="1">
        <v>91</v>
      </c>
      <c r="B91" s="61" t="s">
        <v>37</v>
      </c>
      <c r="C91" s="2">
        <v>45363</v>
      </c>
      <c r="D91" s="2"/>
      <c r="E91" s="1" t="s">
        <v>8105</v>
      </c>
      <c r="F91" t="s">
        <v>8030</v>
      </c>
      <c r="G91" t="s">
        <v>8031</v>
      </c>
      <c r="H91" s="6" t="s">
        <v>219</v>
      </c>
      <c r="I91" s="1" t="s">
        <v>4334</v>
      </c>
      <c r="J91" s="1"/>
      <c r="K91" s="1"/>
      <c r="L91" t="s">
        <v>8105</v>
      </c>
      <c r="M91" s="2">
        <v>45382</v>
      </c>
      <c r="N91" s="1" t="s">
        <v>35</v>
      </c>
      <c r="O91" s="61" t="s">
        <v>7934</v>
      </c>
      <c r="P91" s="14" t="s">
        <v>10079</v>
      </c>
      <c r="Q91" s="187">
        <v>78.510000000000005</v>
      </c>
      <c r="R91" s="1">
        <v>1</v>
      </c>
      <c r="S91" s="128">
        <v>0.21</v>
      </c>
      <c r="T91" s="128">
        <v>0</v>
      </c>
      <c r="U91" s="363"/>
      <c r="V91" s="126">
        <f t="shared" ref="V91" si="34">SUM(Q91-(Q91*T91))*S91+(Q91-(Q91*T91))</f>
        <v>94.997100000000003</v>
      </c>
      <c r="W91" t="s">
        <v>8105</v>
      </c>
      <c r="X91" s="5" t="s">
        <v>10080</v>
      </c>
      <c r="Y91" s="3">
        <v>33734</v>
      </c>
      <c r="Z91" s="2">
        <v>45363</v>
      </c>
      <c r="AA91" s="11" t="s">
        <v>10494</v>
      </c>
      <c r="AB91" s="429">
        <v>45441</v>
      </c>
      <c r="AC91" s="80" t="s">
        <v>1339</v>
      </c>
      <c r="AF91" t="s">
        <v>3198</v>
      </c>
      <c r="AI91" s="3"/>
      <c r="AL91" s="3"/>
    </row>
    <row r="92" spans="1:46">
      <c r="A92" s="1">
        <v>92</v>
      </c>
      <c r="B92" s="61" t="s">
        <v>3526</v>
      </c>
      <c r="C92" s="2">
        <v>45364</v>
      </c>
      <c r="D92" s="2"/>
      <c r="E92" s="1" t="s">
        <v>2733</v>
      </c>
      <c r="F92" t="s">
        <v>2734</v>
      </c>
      <c r="G92" s="61" t="s">
        <v>5885</v>
      </c>
      <c r="H92" s="6" t="s">
        <v>294</v>
      </c>
      <c r="I92" s="1" t="s">
        <v>103</v>
      </c>
      <c r="J92" s="295">
        <v>667652994</v>
      </c>
      <c r="K92" s="304" t="s">
        <v>5887</v>
      </c>
      <c r="L92" t="s">
        <v>2733</v>
      </c>
      <c r="M92" s="2">
        <v>45382</v>
      </c>
      <c r="N92" s="1" t="s">
        <v>35</v>
      </c>
      <c r="O92" s="61" t="s">
        <v>9758</v>
      </c>
      <c r="P92" s="14" t="s">
        <v>10081</v>
      </c>
      <c r="Q92" s="187">
        <v>132.22999999999999</v>
      </c>
      <c r="R92" s="1">
        <v>1</v>
      </c>
      <c r="S92" s="128">
        <v>0.21</v>
      </c>
      <c r="T92" s="128">
        <v>0.2</v>
      </c>
      <c r="U92" s="363"/>
      <c r="V92" s="126">
        <f t="shared" si="33"/>
        <v>127.99863999999999</v>
      </c>
      <c r="W92" t="s">
        <v>10121</v>
      </c>
      <c r="X92" s="5" t="s">
        <v>10122</v>
      </c>
      <c r="Y92" s="2">
        <v>35220</v>
      </c>
      <c r="Z92" s="2">
        <v>45364</v>
      </c>
      <c r="AA92" s="11" t="s">
        <v>10259</v>
      </c>
      <c r="AB92" s="2">
        <v>45399</v>
      </c>
      <c r="AC92" s="80" t="s">
        <v>1339</v>
      </c>
      <c r="AE92" s="3"/>
      <c r="AF92" t="s">
        <v>3198</v>
      </c>
      <c r="AI92" t="s">
        <v>3470</v>
      </c>
      <c r="AJ92" s="2">
        <v>45369</v>
      </c>
      <c r="AM92" s="74">
        <v>45377</v>
      </c>
      <c r="AS92" s="1"/>
      <c r="AT92" s="1"/>
    </row>
    <row r="93" spans="1:46">
      <c r="A93" s="1">
        <v>93</v>
      </c>
      <c r="B93" t="s">
        <v>6684</v>
      </c>
      <c r="C93" s="2">
        <v>45364</v>
      </c>
      <c r="D93" s="2"/>
      <c r="E93" s="1" t="s">
        <v>6685</v>
      </c>
      <c r="F93" t="s">
        <v>6686</v>
      </c>
      <c r="G93" t="s">
        <v>6687</v>
      </c>
      <c r="H93" s="6" t="s">
        <v>2579</v>
      </c>
      <c r="I93" t="s">
        <v>2580</v>
      </c>
      <c r="J93" s="8"/>
      <c r="K93" s="1" t="s">
        <v>7339</v>
      </c>
      <c r="L93" t="s">
        <v>6685</v>
      </c>
      <c r="M93" s="2">
        <v>45382</v>
      </c>
      <c r="N93" s="1" t="s">
        <v>35</v>
      </c>
      <c r="O93" s="61" t="s">
        <v>7925</v>
      </c>
      <c r="P93" s="14" t="s">
        <v>10084</v>
      </c>
      <c r="Q93" s="187">
        <v>0</v>
      </c>
      <c r="R93" s="1">
        <v>1</v>
      </c>
      <c r="S93" s="128">
        <v>0</v>
      </c>
      <c r="T93" s="128">
        <v>0</v>
      </c>
      <c r="V93" s="126">
        <f t="shared" ref="V93" si="35">SUM(Q93-(Q93*T93))*S93+(Q93-(Q93*T93))</f>
        <v>0</v>
      </c>
      <c r="W93" t="s">
        <v>8351</v>
      </c>
      <c r="X93" s="5" t="s">
        <v>10118</v>
      </c>
      <c r="Y93" s="3">
        <v>30167</v>
      </c>
      <c r="Z93" s="2">
        <v>45364</v>
      </c>
      <c r="AA93" s="11" t="s">
        <v>10458</v>
      </c>
      <c r="AB93" s="2">
        <v>45429</v>
      </c>
      <c r="AC93" s="80" t="s">
        <v>1339</v>
      </c>
      <c r="AF93" t="s">
        <v>3198</v>
      </c>
      <c r="AI93" t="s">
        <v>3392</v>
      </c>
      <c r="AJ93" s="3">
        <v>45369</v>
      </c>
      <c r="AM93" s="3"/>
    </row>
    <row r="94" spans="1:46">
      <c r="A94" s="1">
        <v>94</v>
      </c>
      <c r="B94" s="61" t="s">
        <v>33</v>
      </c>
      <c r="C94" s="2">
        <v>45364</v>
      </c>
      <c r="D94" s="2"/>
      <c r="E94" s="1" t="s">
        <v>10085</v>
      </c>
      <c r="F94" s="61" t="s">
        <v>10086</v>
      </c>
      <c r="G94" s="61" t="s">
        <v>10087</v>
      </c>
      <c r="H94" s="6" t="s">
        <v>220</v>
      </c>
      <c r="I94" s="1" t="s">
        <v>10088</v>
      </c>
      <c r="J94" s="1"/>
      <c r="K94" s="114" t="s">
        <v>11744</v>
      </c>
      <c r="L94" s="1" t="s">
        <v>10085</v>
      </c>
      <c r="M94" s="2">
        <v>45382</v>
      </c>
      <c r="N94" s="1" t="s">
        <v>35</v>
      </c>
      <c r="O94" s="61" t="s">
        <v>9758</v>
      </c>
      <c r="P94" s="14" t="s">
        <v>10089</v>
      </c>
      <c r="Q94" s="187">
        <v>132.22999999999999</v>
      </c>
      <c r="R94" s="1">
        <v>1</v>
      </c>
      <c r="S94" s="128">
        <v>0.21</v>
      </c>
      <c r="T94" s="128">
        <v>0.2</v>
      </c>
      <c r="U94" s="363"/>
      <c r="V94" s="126">
        <f t="shared" si="33"/>
        <v>127.99863999999999</v>
      </c>
      <c r="W94" t="s">
        <v>10123</v>
      </c>
      <c r="X94" s="5" t="s">
        <v>10124</v>
      </c>
      <c r="Y94" s="2">
        <v>38869</v>
      </c>
      <c r="Z94" s="2">
        <v>45364</v>
      </c>
      <c r="AA94" s="11" t="s">
        <v>10597</v>
      </c>
      <c r="AB94" s="2">
        <v>45460</v>
      </c>
      <c r="AC94" s="80" t="s">
        <v>1339</v>
      </c>
      <c r="AE94" s="182">
        <v>45421</v>
      </c>
      <c r="AF94" t="s">
        <v>3198</v>
      </c>
      <c r="AI94" t="s">
        <v>3470</v>
      </c>
      <c r="AJ94" s="3">
        <v>45369</v>
      </c>
      <c r="AM94" s="74">
        <v>45377</v>
      </c>
      <c r="AS94" s="1"/>
      <c r="AT94" s="1"/>
    </row>
    <row r="95" spans="1:46">
      <c r="A95" s="1">
        <v>95</v>
      </c>
      <c r="B95" t="s">
        <v>6294</v>
      </c>
      <c r="C95" s="2">
        <v>45364</v>
      </c>
      <c r="D95" s="2"/>
      <c r="E95" s="1" t="s">
        <v>6446</v>
      </c>
      <c r="F95" t="s">
        <v>6350</v>
      </c>
      <c r="G95" s="61" t="s">
        <v>6348</v>
      </c>
      <c r="H95" s="1">
        <v>41850</v>
      </c>
      <c r="I95" s="1" t="s">
        <v>6295</v>
      </c>
      <c r="J95" s="8">
        <v>617073484</v>
      </c>
      <c r="K95" s="8" t="s">
        <v>6296</v>
      </c>
      <c r="L95" t="s">
        <v>125</v>
      </c>
      <c r="M95" s="2">
        <v>45382</v>
      </c>
      <c r="N95" s="1" t="s">
        <v>35</v>
      </c>
      <c r="O95" s="61" t="s">
        <v>7934</v>
      </c>
      <c r="P95" s="14" t="s">
        <v>10090</v>
      </c>
      <c r="Q95" s="187">
        <v>78.510000000000005</v>
      </c>
      <c r="R95" s="1">
        <v>1</v>
      </c>
      <c r="S95" s="90">
        <v>0.21</v>
      </c>
      <c r="T95" s="90">
        <v>0</v>
      </c>
      <c r="V95" s="126">
        <f t="shared" ref="V95:V97" si="36">SUM(Q95-(Q95*T95))*S95+(Q95-(Q95*T95))</f>
        <v>94.997100000000003</v>
      </c>
      <c r="W95" t="s">
        <v>125</v>
      </c>
      <c r="X95" s="6" t="s">
        <v>10091</v>
      </c>
      <c r="Y95" s="2">
        <v>30430</v>
      </c>
      <c r="Z95" s="2">
        <v>45364</v>
      </c>
      <c r="AA95" s="11" t="s">
        <v>10165</v>
      </c>
      <c r="AB95" s="3">
        <v>45377</v>
      </c>
      <c r="AC95" s="80" t="s">
        <v>1339</v>
      </c>
      <c r="AF95" t="s">
        <v>3198</v>
      </c>
      <c r="AJ95" s="2"/>
      <c r="AM95" s="74"/>
      <c r="AT95" s="1"/>
    </row>
    <row r="96" spans="1:46">
      <c r="A96" s="1">
        <v>96</v>
      </c>
      <c r="B96" t="s">
        <v>45</v>
      </c>
      <c r="C96" s="2">
        <v>45365</v>
      </c>
      <c r="D96" s="2"/>
      <c r="E96" s="1" t="s">
        <v>7528</v>
      </c>
      <c r="F96" s="61" t="s">
        <v>7529</v>
      </c>
      <c r="G96" s="61" t="s">
        <v>7530</v>
      </c>
      <c r="H96" s="6" t="s">
        <v>221</v>
      </c>
      <c r="I96" s="1" t="s">
        <v>38</v>
      </c>
      <c r="J96">
        <v>695808070</v>
      </c>
      <c r="K96" s="1" t="s">
        <v>7535</v>
      </c>
      <c r="L96" s="1" t="s">
        <v>7528</v>
      </c>
      <c r="M96" s="2">
        <v>45382</v>
      </c>
      <c r="N96" s="1" t="s">
        <v>35</v>
      </c>
      <c r="O96" s="61" t="s">
        <v>7925</v>
      </c>
      <c r="P96" s="14" t="s">
        <v>10099</v>
      </c>
      <c r="Q96" s="187">
        <v>132.22999999999999</v>
      </c>
      <c r="R96" s="1">
        <v>1</v>
      </c>
      <c r="S96" s="128">
        <v>0.21</v>
      </c>
      <c r="T96" s="128">
        <v>0.2</v>
      </c>
      <c r="V96" s="126">
        <f t="shared" si="36"/>
        <v>127.99863999999999</v>
      </c>
      <c r="W96" t="s">
        <v>10133</v>
      </c>
      <c r="X96" s="5" t="s">
        <v>10134</v>
      </c>
      <c r="Y96" s="2">
        <v>36001</v>
      </c>
      <c r="Z96" s="2">
        <v>45365</v>
      </c>
      <c r="AA96" s="11" t="s">
        <v>10427</v>
      </c>
      <c r="AB96" s="3">
        <v>45429</v>
      </c>
      <c r="AC96" s="80" t="s">
        <v>1339</v>
      </c>
      <c r="AF96" t="s">
        <v>3198</v>
      </c>
      <c r="AI96" t="s">
        <v>3392</v>
      </c>
      <c r="AJ96" s="2">
        <v>45370</v>
      </c>
      <c r="AM96" s="74">
        <v>45377</v>
      </c>
      <c r="AT96" s="1"/>
    </row>
    <row r="97" spans="1:46" ht="14.25" customHeight="1">
      <c r="A97" s="1">
        <v>97</v>
      </c>
      <c r="B97" t="s">
        <v>9170</v>
      </c>
      <c r="C97" s="2">
        <v>45365</v>
      </c>
      <c r="D97" s="2"/>
      <c r="E97" s="1" t="s">
        <v>256</v>
      </c>
      <c r="F97" s="103" t="s">
        <v>155</v>
      </c>
      <c r="G97" s="31" t="s">
        <v>138</v>
      </c>
      <c r="H97" s="33" t="s">
        <v>227</v>
      </c>
      <c r="I97" s="30" t="s">
        <v>203</v>
      </c>
      <c r="J97" s="30">
        <v>659409676</v>
      </c>
      <c r="K97" s="1" t="s">
        <v>9171</v>
      </c>
      <c r="L97" s="1" t="s">
        <v>256</v>
      </c>
      <c r="M97" s="2">
        <v>45382</v>
      </c>
      <c r="N97" s="1" t="s">
        <v>35</v>
      </c>
      <c r="O97" s="61" t="s">
        <v>7925</v>
      </c>
      <c r="P97" s="14" t="s">
        <v>10100</v>
      </c>
      <c r="Q97" s="187">
        <v>132.22999999999999</v>
      </c>
      <c r="R97" s="1">
        <v>1</v>
      </c>
      <c r="S97" s="128">
        <v>0.21</v>
      </c>
      <c r="T97" s="128">
        <v>0.2</v>
      </c>
      <c r="U97" s="363"/>
      <c r="V97" s="126">
        <f t="shared" si="36"/>
        <v>127.99863999999999</v>
      </c>
      <c r="W97" t="s">
        <v>10138</v>
      </c>
      <c r="X97" s="6" t="s">
        <v>10139</v>
      </c>
      <c r="Y97" s="211">
        <v>36258</v>
      </c>
      <c r="Z97" s="2">
        <v>45365</v>
      </c>
      <c r="AA97" s="11" t="s">
        <v>10458</v>
      </c>
      <c r="AB97" s="2">
        <v>45429</v>
      </c>
      <c r="AC97" s="80" t="s">
        <v>1339</v>
      </c>
      <c r="AF97" t="s">
        <v>3198</v>
      </c>
      <c r="AI97" t="s">
        <v>10101</v>
      </c>
      <c r="AJ97" s="3">
        <v>45371</v>
      </c>
      <c r="AM97" s="74">
        <v>45372</v>
      </c>
      <c r="AS97" s="1"/>
    </row>
    <row r="98" spans="1:46">
      <c r="A98" s="1">
        <v>98</v>
      </c>
      <c r="B98" s="61" t="s">
        <v>37</v>
      </c>
      <c r="C98" s="2">
        <v>45366</v>
      </c>
      <c r="D98" s="2" t="s">
        <v>9900</v>
      </c>
      <c r="E98" t="s">
        <v>10102</v>
      </c>
      <c r="F98" s="61" t="s">
        <v>10103</v>
      </c>
      <c r="G98" s="61" t="s">
        <v>10104</v>
      </c>
      <c r="H98" s="6" t="s">
        <v>242</v>
      </c>
      <c r="I98" s="1" t="s">
        <v>86</v>
      </c>
      <c r="J98" s="1">
        <v>677250338</v>
      </c>
      <c r="K98" s="8"/>
      <c r="L98" s="1" t="s">
        <v>10102</v>
      </c>
      <c r="M98" s="2">
        <v>45382</v>
      </c>
      <c r="N98" s="1" t="s">
        <v>35</v>
      </c>
      <c r="O98" s="61" t="s">
        <v>7977</v>
      </c>
      <c r="P98" s="14" t="s">
        <v>10105</v>
      </c>
      <c r="Q98" s="187">
        <v>123.97</v>
      </c>
      <c r="R98" s="1">
        <v>1</v>
      </c>
      <c r="S98" s="128">
        <v>0.21</v>
      </c>
      <c r="T98" s="128">
        <v>0</v>
      </c>
      <c r="U98" s="363"/>
      <c r="V98" s="126">
        <f t="shared" ref="V98" si="37">SUM(Q98-(Q98*T98))*S98+(Q98-(Q98*T98))</f>
        <v>150.00370000000001</v>
      </c>
      <c r="X98" s="5"/>
      <c r="Y98" s="2"/>
      <c r="Z98" s="2"/>
      <c r="AA98" s="11"/>
      <c r="AB98" s="2"/>
      <c r="AC98" s="133"/>
      <c r="AE98" s="3"/>
      <c r="AJ98" s="2"/>
      <c r="AM98" s="74"/>
      <c r="AS98" s="1"/>
      <c r="AT98" s="1"/>
    </row>
    <row r="99" spans="1:46">
      <c r="A99" s="1">
        <v>99</v>
      </c>
      <c r="B99" s="61" t="s">
        <v>37</v>
      </c>
      <c r="C99" s="2">
        <v>45366</v>
      </c>
      <c r="D99" s="2" t="s">
        <v>9900</v>
      </c>
      <c r="E99" t="s">
        <v>10181</v>
      </c>
      <c r="F99" s="61" t="s">
        <v>10107</v>
      </c>
      <c r="G99" s="61" t="s">
        <v>10108</v>
      </c>
      <c r="H99" s="6" t="s">
        <v>239</v>
      </c>
      <c r="I99" s="1" t="s">
        <v>86</v>
      </c>
      <c r="J99" s="1"/>
      <c r="K99" s="8"/>
      <c r="L99" s="1" t="s">
        <v>10106</v>
      </c>
      <c r="M99" s="2">
        <v>45382</v>
      </c>
      <c r="N99" s="1" t="s">
        <v>35</v>
      </c>
      <c r="O99" s="61" t="s">
        <v>7977</v>
      </c>
      <c r="P99" s="14" t="s">
        <v>10105</v>
      </c>
      <c r="Q99" s="187">
        <v>76.03</v>
      </c>
      <c r="R99" s="1">
        <v>1</v>
      </c>
      <c r="S99" s="128">
        <v>0.21</v>
      </c>
      <c r="T99" s="128">
        <v>0</v>
      </c>
      <c r="U99" s="363"/>
      <c r="V99" s="126">
        <f t="shared" ref="V99:V103" si="38">SUM(Q99-(Q99*T99))*S99+(Q99-(Q99*T99))</f>
        <v>91.996300000000005</v>
      </c>
      <c r="X99" s="5"/>
      <c r="Y99" s="2"/>
      <c r="Z99" s="2"/>
      <c r="AA99" s="11"/>
      <c r="AB99" s="2"/>
      <c r="AC99" s="133"/>
      <c r="AE99" s="3"/>
      <c r="AJ99" s="2"/>
      <c r="AM99" s="74"/>
      <c r="AS99" s="1"/>
      <c r="AT99" s="1"/>
    </row>
    <row r="100" spans="1:46">
      <c r="A100" s="1">
        <v>100</v>
      </c>
      <c r="B100" t="s">
        <v>6294</v>
      </c>
      <c r="C100" s="2">
        <v>45369</v>
      </c>
      <c r="D100" s="2"/>
      <c r="E100" s="1" t="s">
        <v>124</v>
      </c>
      <c r="F100" t="s">
        <v>6349</v>
      </c>
      <c r="G100" s="61" t="s">
        <v>6348</v>
      </c>
      <c r="H100" s="1">
        <v>41850</v>
      </c>
      <c r="I100" s="1" t="s">
        <v>6295</v>
      </c>
      <c r="J100" s="8">
        <v>617073484</v>
      </c>
      <c r="K100" s="8" t="s">
        <v>6296</v>
      </c>
      <c r="L100" t="s">
        <v>124</v>
      </c>
      <c r="M100" s="2">
        <v>45382</v>
      </c>
      <c r="N100" s="1" t="s">
        <v>35</v>
      </c>
      <c r="O100" s="61" t="s">
        <v>7934</v>
      </c>
      <c r="P100" s="14" t="s">
        <v>10110</v>
      </c>
      <c r="Q100" s="187">
        <v>78.510000000000005</v>
      </c>
      <c r="R100" s="1">
        <v>1</v>
      </c>
      <c r="S100" s="90">
        <v>0.21</v>
      </c>
      <c r="T100" s="90">
        <v>0</v>
      </c>
      <c r="V100" s="126">
        <f t="shared" si="38"/>
        <v>94.997100000000003</v>
      </c>
      <c r="W100" t="s">
        <v>124</v>
      </c>
      <c r="X100" s="6" t="s">
        <v>10111</v>
      </c>
      <c r="Y100" s="2">
        <v>29275</v>
      </c>
      <c r="Z100" s="2">
        <v>45369</v>
      </c>
      <c r="AA100" s="11" t="s">
        <v>10229</v>
      </c>
      <c r="AB100" s="2">
        <v>45393</v>
      </c>
      <c r="AC100" s="80" t="s">
        <v>1339</v>
      </c>
      <c r="AF100" t="s">
        <v>3198</v>
      </c>
      <c r="AJ100" s="2"/>
      <c r="AM100" s="74"/>
      <c r="AT100" s="1"/>
    </row>
    <row r="101" spans="1:46">
      <c r="A101" s="1">
        <v>101</v>
      </c>
      <c r="B101" t="s">
        <v>6294</v>
      </c>
      <c r="C101" s="2">
        <v>45369</v>
      </c>
      <c r="D101" s="2"/>
      <c r="E101" s="1" t="s">
        <v>193</v>
      </c>
      <c r="F101" t="s">
        <v>6352</v>
      </c>
      <c r="G101" s="61" t="s">
        <v>6348</v>
      </c>
      <c r="H101" s="1">
        <v>41850</v>
      </c>
      <c r="I101" s="1" t="s">
        <v>6295</v>
      </c>
      <c r="J101" s="8">
        <v>617073484</v>
      </c>
      <c r="K101" s="8" t="s">
        <v>6296</v>
      </c>
      <c r="L101" t="s">
        <v>193</v>
      </c>
      <c r="M101" s="2">
        <v>45382</v>
      </c>
      <c r="N101" s="1" t="s">
        <v>35</v>
      </c>
      <c r="O101" s="61" t="s">
        <v>7934</v>
      </c>
      <c r="P101" s="14" t="s">
        <v>10109</v>
      </c>
      <c r="Q101" s="187">
        <v>78.510000000000005</v>
      </c>
      <c r="R101" s="1">
        <v>1</v>
      </c>
      <c r="S101" s="90">
        <v>0.21</v>
      </c>
      <c r="T101" s="90">
        <v>0</v>
      </c>
      <c r="V101" s="126">
        <f t="shared" si="38"/>
        <v>94.997100000000003</v>
      </c>
      <c r="W101" t="s">
        <v>193</v>
      </c>
      <c r="X101" s="6" t="s">
        <v>10112</v>
      </c>
      <c r="Y101" s="2">
        <v>33635</v>
      </c>
      <c r="Z101" s="2">
        <v>45369</v>
      </c>
      <c r="AA101" s="11" t="s">
        <v>10360</v>
      </c>
      <c r="AB101" s="3">
        <v>45415</v>
      </c>
      <c r="AC101" s="80" t="s">
        <v>1339</v>
      </c>
      <c r="AF101" t="s">
        <v>3198</v>
      </c>
      <c r="AJ101" s="2"/>
      <c r="AM101" s="74"/>
      <c r="AT101" s="1"/>
    </row>
    <row r="102" spans="1:46">
      <c r="A102" s="1">
        <v>102</v>
      </c>
      <c r="B102" t="s">
        <v>119</v>
      </c>
      <c r="C102" s="2">
        <v>45369</v>
      </c>
      <c r="D102" s="2"/>
      <c r="E102" s="1" t="s">
        <v>6745</v>
      </c>
      <c r="F102" t="s">
        <v>6746</v>
      </c>
      <c r="G102" s="61" t="s">
        <v>6747</v>
      </c>
      <c r="H102" s="6" t="s">
        <v>226</v>
      </c>
      <c r="I102" s="1" t="s">
        <v>86</v>
      </c>
      <c r="J102" s="44"/>
      <c r="K102" s="1" t="s">
        <v>8094</v>
      </c>
      <c r="L102" s="31" t="s">
        <v>174</v>
      </c>
      <c r="M102" s="2">
        <v>45382</v>
      </c>
      <c r="N102" s="1" t="s">
        <v>35</v>
      </c>
      <c r="O102" s="61" t="s">
        <v>9758</v>
      </c>
      <c r="P102" s="14" t="s">
        <v>10113</v>
      </c>
      <c r="Q102" s="92">
        <v>132.22999999999999</v>
      </c>
      <c r="R102" s="1">
        <v>1</v>
      </c>
      <c r="S102" s="128">
        <v>0.21</v>
      </c>
      <c r="T102" s="128">
        <v>0.2</v>
      </c>
      <c r="U102" s="1"/>
      <c r="V102" s="126">
        <f t="shared" si="38"/>
        <v>127.99863999999999</v>
      </c>
      <c r="W102" t="s">
        <v>10144</v>
      </c>
      <c r="X102" s="6" t="s">
        <v>10145</v>
      </c>
      <c r="Y102" s="2">
        <v>36404</v>
      </c>
      <c r="Z102" s="2">
        <v>45369</v>
      </c>
      <c r="AA102" s="11" t="s">
        <v>10362</v>
      </c>
      <c r="AB102" s="3">
        <v>45415</v>
      </c>
      <c r="AC102" s="80" t="s">
        <v>1339</v>
      </c>
      <c r="AF102" t="s">
        <v>3198</v>
      </c>
      <c r="AI102" t="s">
        <v>3470</v>
      </c>
      <c r="AJ102" s="2">
        <v>45371</v>
      </c>
      <c r="AM102" s="74">
        <v>45377</v>
      </c>
      <c r="AT102" s="1"/>
    </row>
    <row r="103" spans="1:46">
      <c r="A103" s="1">
        <v>103</v>
      </c>
      <c r="B103" t="s">
        <v>40</v>
      </c>
      <c r="C103" s="2">
        <v>45369</v>
      </c>
      <c r="D103" s="2"/>
      <c r="E103" s="1" t="s">
        <v>6668</v>
      </c>
      <c r="F103" t="s">
        <v>6669</v>
      </c>
      <c r="G103" s="61" t="s">
        <v>5781</v>
      </c>
      <c r="H103" s="6" t="s">
        <v>227</v>
      </c>
      <c r="I103" s="1" t="s">
        <v>203</v>
      </c>
      <c r="J103" s="295">
        <v>661226886</v>
      </c>
      <c r="K103" s="304" t="s">
        <v>6678</v>
      </c>
      <c r="L103" t="s">
        <v>6668</v>
      </c>
      <c r="M103" s="2">
        <v>45382</v>
      </c>
      <c r="N103" s="1" t="s">
        <v>35</v>
      </c>
      <c r="O103" s="61" t="s">
        <v>9758</v>
      </c>
      <c r="P103" s="14" t="s">
        <v>10142</v>
      </c>
      <c r="Q103" s="92">
        <v>132.22999999999999</v>
      </c>
      <c r="R103" s="1">
        <v>1</v>
      </c>
      <c r="S103" s="128">
        <v>0.21</v>
      </c>
      <c r="T103" s="128">
        <v>0.2</v>
      </c>
      <c r="U103" s="1"/>
      <c r="V103" s="126">
        <f t="shared" si="38"/>
        <v>127.99863999999999</v>
      </c>
      <c r="W103" t="s">
        <v>10140</v>
      </c>
      <c r="X103" s="6" t="s">
        <v>10141</v>
      </c>
      <c r="Y103" s="2">
        <v>38793</v>
      </c>
      <c r="Z103" s="2">
        <v>45369</v>
      </c>
      <c r="AA103" s="11" t="s">
        <v>10229</v>
      </c>
      <c r="AB103" s="2">
        <v>45393</v>
      </c>
      <c r="AC103" s="80" t="s">
        <v>1339</v>
      </c>
      <c r="AF103" t="s">
        <v>3198</v>
      </c>
      <c r="AI103" t="s">
        <v>3470</v>
      </c>
      <c r="AJ103" s="2">
        <v>45371</v>
      </c>
      <c r="AM103" s="74">
        <v>45384</v>
      </c>
      <c r="AT103" s="1"/>
    </row>
    <row r="104" spans="1:46">
      <c r="A104" s="1">
        <v>104</v>
      </c>
      <c r="B104" t="s">
        <v>33</v>
      </c>
      <c r="C104" s="2">
        <v>45369</v>
      </c>
      <c r="D104" s="2"/>
      <c r="E104" s="1" t="s">
        <v>5021</v>
      </c>
      <c r="F104" t="s">
        <v>5014</v>
      </c>
      <c r="G104" t="s">
        <v>5020</v>
      </c>
      <c r="H104" s="6" t="s">
        <v>219</v>
      </c>
      <c r="I104" s="1" t="s">
        <v>38</v>
      </c>
      <c r="J104" s="1"/>
      <c r="K104" s="114" t="s">
        <v>11744</v>
      </c>
      <c r="L104" s="1" t="s">
        <v>237</v>
      </c>
      <c r="M104" s="2">
        <v>45382</v>
      </c>
      <c r="N104" s="1" t="s">
        <v>35</v>
      </c>
      <c r="O104" s="61" t="s">
        <v>7934</v>
      </c>
      <c r="P104" s="14" t="s">
        <v>10114</v>
      </c>
      <c r="Q104" s="92">
        <v>78.510000000000005</v>
      </c>
      <c r="R104" s="1">
        <v>1</v>
      </c>
      <c r="S104" s="128">
        <v>0.21</v>
      </c>
      <c r="T104" s="128">
        <v>0.2</v>
      </c>
      <c r="U104" s="363"/>
      <c r="V104" s="126">
        <f t="shared" ref="V104" si="39">SUM(Q104-(Q104*T104))*S104+(Q104-(Q104*T104))</f>
        <v>75.997680000000003</v>
      </c>
      <c r="W104" t="s">
        <v>8149</v>
      </c>
      <c r="X104" s="5" t="s">
        <v>10115</v>
      </c>
      <c r="Y104" s="2">
        <v>30316</v>
      </c>
      <c r="Z104" s="2">
        <v>45369</v>
      </c>
      <c r="AA104" s="11" t="s">
        <v>10477</v>
      </c>
      <c r="AB104" s="2">
        <v>45434</v>
      </c>
      <c r="AC104" s="80" t="s">
        <v>1339</v>
      </c>
      <c r="AD104" s="61"/>
      <c r="AF104" t="s">
        <v>3198</v>
      </c>
      <c r="AJ104" s="2"/>
      <c r="AM104" s="3"/>
      <c r="AS104" s="1"/>
      <c r="AT104" s="1"/>
    </row>
    <row r="105" spans="1:46">
      <c r="A105" s="1">
        <v>105</v>
      </c>
      <c r="B105" t="s">
        <v>33</v>
      </c>
      <c r="C105" s="2">
        <v>45369</v>
      </c>
      <c r="D105" s="2"/>
      <c r="E105" s="1" t="s">
        <v>1160</v>
      </c>
      <c r="F105" t="s">
        <v>1161</v>
      </c>
      <c r="G105" t="s">
        <v>5046</v>
      </c>
      <c r="H105" s="6" t="s">
        <v>304</v>
      </c>
      <c r="I105" s="1" t="s">
        <v>68</v>
      </c>
      <c r="J105" s="1"/>
      <c r="K105" s="114" t="s">
        <v>11744</v>
      </c>
      <c r="L105" s="30" t="s">
        <v>237</v>
      </c>
      <c r="M105" s="2">
        <v>45382</v>
      </c>
      <c r="N105" s="1" t="s">
        <v>35</v>
      </c>
      <c r="O105" s="61" t="s">
        <v>9758</v>
      </c>
      <c r="P105" s="14" t="s">
        <v>5047</v>
      </c>
      <c r="Q105" s="92">
        <v>132.22999999999999</v>
      </c>
      <c r="R105" s="1">
        <v>1</v>
      </c>
      <c r="S105" s="128">
        <v>0.21</v>
      </c>
      <c r="T105" s="128">
        <v>0.2</v>
      </c>
      <c r="U105" s="95"/>
      <c r="V105" s="126">
        <f t="shared" ref="V105:V112" si="40">SUM(Q105-(Q105*T105))*S105+(Q105-(Q105*T105))</f>
        <v>127.99863999999999</v>
      </c>
      <c r="W105" t="s">
        <v>5222</v>
      </c>
      <c r="X105" s="6" t="s">
        <v>10143</v>
      </c>
      <c r="Y105" s="2">
        <v>36526</v>
      </c>
      <c r="Z105" s="2">
        <v>45369</v>
      </c>
      <c r="AA105" s="11" t="s">
        <v>10285</v>
      </c>
      <c r="AB105" s="2">
        <v>45404</v>
      </c>
      <c r="AC105" s="80" t="s">
        <v>1339</v>
      </c>
      <c r="AF105" t="s">
        <v>3198</v>
      </c>
      <c r="AI105" t="s">
        <v>3470</v>
      </c>
      <c r="AJ105" s="2">
        <v>45371</v>
      </c>
      <c r="AM105" s="74">
        <v>45384</v>
      </c>
      <c r="AT105" s="1"/>
    </row>
    <row r="106" spans="1:46">
      <c r="A106" s="1">
        <v>106</v>
      </c>
      <c r="B106" t="s">
        <v>1511</v>
      </c>
      <c r="C106" s="2">
        <v>45369</v>
      </c>
      <c r="D106" s="2"/>
      <c r="E106" s="1" t="s">
        <v>8275</v>
      </c>
      <c r="F106" t="s">
        <v>8171</v>
      </c>
      <c r="G106" t="s">
        <v>8172</v>
      </c>
      <c r="H106" s="1">
        <v>4740</v>
      </c>
      <c r="I106" s="1" t="s">
        <v>4334</v>
      </c>
      <c r="J106" s="1">
        <v>631948001</v>
      </c>
      <c r="K106" s="1"/>
      <c r="L106" t="s">
        <v>8275</v>
      </c>
      <c r="M106" s="2">
        <v>45382</v>
      </c>
      <c r="N106" s="1" t="s">
        <v>35</v>
      </c>
      <c r="O106" s="61" t="s">
        <v>7934</v>
      </c>
      <c r="P106" s="14" t="s">
        <v>10116</v>
      </c>
      <c r="Q106" s="187">
        <v>78.510000000000005</v>
      </c>
      <c r="R106" s="1">
        <v>1</v>
      </c>
      <c r="S106" s="128">
        <v>0.21</v>
      </c>
      <c r="T106" s="128">
        <v>0</v>
      </c>
      <c r="U106" s="363"/>
      <c r="V106" s="408">
        <f t="shared" ref="V106" si="41">SUM(Q106-(Q106*T106))*S106+(Q106-(Q106*T106))</f>
        <v>94.997100000000003</v>
      </c>
      <c r="W106" t="s">
        <v>8275</v>
      </c>
      <c r="X106" s="5" t="s">
        <v>10117</v>
      </c>
      <c r="Y106" s="3">
        <v>32912</v>
      </c>
      <c r="Z106" s="2">
        <v>45369</v>
      </c>
      <c r="AA106" s="11" t="s">
        <v>10477</v>
      </c>
      <c r="AB106" s="2">
        <v>45434</v>
      </c>
      <c r="AC106" s="80" t="s">
        <v>1339</v>
      </c>
      <c r="AF106" t="s">
        <v>3198</v>
      </c>
      <c r="AJ106" s="3"/>
      <c r="AM106" s="3"/>
    </row>
    <row r="107" spans="1:46">
      <c r="A107" s="1">
        <v>107</v>
      </c>
      <c r="B107" t="s">
        <v>119</v>
      </c>
      <c r="C107" s="2">
        <v>45370</v>
      </c>
      <c r="D107" s="2"/>
      <c r="E107" s="1" t="s">
        <v>3826</v>
      </c>
      <c r="F107" s="61" t="s">
        <v>3827</v>
      </c>
      <c r="G107" s="61" t="s">
        <v>3828</v>
      </c>
      <c r="H107" s="6" t="s">
        <v>250</v>
      </c>
      <c r="I107" s="1" t="s">
        <v>2585</v>
      </c>
      <c r="J107" s="8">
        <v>670341556</v>
      </c>
      <c r="K107" s="1" t="s">
        <v>8094</v>
      </c>
      <c r="L107" s="31" t="s">
        <v>174</v>
      </c>
      <c r="M107" s="2">
        <v>45382</v>
      </c>
      <c r="N107" s="1" t="s">
        <v>35</v>
      </c>
      <c r="O107" s="61" t="s">
        <v>7925</v>
      </c>
      <c r="P107" s="14" t="s">
        <v>10135</v>
      </c>
      <c r="Q107" s="92">
        <v>132.22999999999999</v>
      </c>
      <c r="R107" s="1">
        <v>1</v>
      </c>
      <c r="S107" s="128">
        <v>0.21</v>
      </c>
      <c r="T107" s="128">
        <v>0.2</v>
      </c>
      <c r="U107" s="1"/>
      <c r="V107" s="126">
        <f t="shared" ref="V107:V109" si="42">SUM(Q107-(Q107*T107))*S107+(Q107-(Q107*T107))</f>
        <v>127.99863999999999</v>
      </c>
      <c r="W107" t="s">
        <v>10136</v>
      </c>
      <c r="X107" s="5" t="s">
        <v>10157</v>
      </c>
      <c r="Y107" s="2">
        <v>29359</v>
      </c>
      <c r="Z107" s="2">
        <v>45370</v>
      </c>
      <c r="AA107" s="11" t="s">
        <v>10458</v>
      </c>
      <c r="AB107" s="3">
        <v>45429</v>
      </c>
      <c r="AC107" s="80" t="s">
        <v>1339</v>
      </c>
      <c r="AF107" t="s">
        <v>3198</v>
      </c>
      <c r="AI107" t="s">
        <v>3392</v>
      </c>
      <c r="AJ107" s="2">
        <v>45373</v>
      </c>
      <c r="AM107" s="74">
        <v>45385</v>
      </c>
      <c r="AT107" s="1"/>
    </row>
    <row r="108" spans="1:46" s="14" customFormat="1">
      <c r="A108" s="72">
        <v>108</v>
      </c>
      <c r="B108" s="375" t="s">
        <v>6684</v>
      </c>
      <c r="C108" s="431">
        <v>45370</v>
      </c>
      <c r="D108" s="431"/>
      <c r="E108" s="72" t="s">
        <v>6685</v>
      </c>
      <c r="F108" s="375" t="s">
        <v>6686</v>
      </c>
      <c r="G108" s="14" t="s">
        <v>6687</v>
      </c>
      <c r="H108" s="220" t="s">
        <v>2579</v>
      </c>
      <c r="I108" s="14" t="s">
        <v>2580</v>
      </c>
      <c r="J108" s="295"/>
      <c r="K108" s="72" t="s">
        <v>7339</v>
      </c>
      <c r="L108" s="14" t="s">
        <v>6685</v>
      </c>
      <c r="M108" s="431">
        <v>45382</v>
      </c>
      <c r="N108" s="72" t="s">
        <v>35</v>
      </c>
      <c r="O108" s="375" t="s">
        <v>7925</v>
      </c>
      <c r="P108" s="14" t="s">
        <v>10137</v>
      </c>
      <c r="Q108" s="432">
        <v>132.22999999999999</v>
      </c>
      <c r="R108" s="72">
        <v>1</v>
      </c>
      <c r="S108" s="426">
        <v>0.21</v>
      </c>
      <c r="T108" s="426">
        <v>0.2</v>
      </c>
      <c r="U108" s="379"/>
      <c r="V108" s="213">
        <f t="shared" si="42"/>
        <v>127.99863999999999</v>
      </c>
      <c r="W108" s="14" t="s">
        <v>10448</v>
      </c>
      <c r="X108" s="220" t="s">
        <v>10199</v>
      </c>
      <c r="Y108" s="431">
        <v>32481</v>
      </c>
      <c r="Z108" s="431">
        <v>45370</v>
      </c>
      <c r="AA108" s="62" t="s">
        <v>10522</v>
      </c>
      <c r="AB108" s="431">
        <v>45446</v>
      </c>
      <c r="AC108" s="184" t="s">
        <v>1339</v>
      </c>
      <c r="AF108" s="14" t="s">
        <v>3198</v>
      </c>
      <c r="AI108" s="14" t="s">
        <v>3392</v>
      </c>
      <c r="AJ108" s="433">
        <v>45432</v>
      </c>
      <c r="AM108" s="433">
        <v>45442</v>
      </c>
    </row>
    <row r="109" spans="1:46">
      <c r="A109" s="1">
        <v>109</v>
      </c>
      <c r="B109" t="s">
        <v>4321</v>
      </c>
      <c r="C109" s="2">
        <v>45371</v>
      </c>
      <c r="D109" s="2"/>
      <c r="E109" s="1" t="s">
        <v>772</v>
      </c>
      <c r="F109" s="14" t="s">
        <v>773</v>
      </c>
      <c r="G109" t="s">
        <v>1872</v>
      </c>
      <c r="H109" s="6" t="s">
        <v>239</v>
      </c>
      <c r="I109" s="1" t="s">
        <v>2585</v>
      </c>
      <c r="J109" s="8">
        <v>629246817</v>
      </c>
      <c r="K109" s="8" t="s">
        <v>5991</v>
      </c>
      <c r="L109" t="s">
        <v>772</v>
      </c>
      <c r="M109" s="2">
        <v>45382</v>
      </c>
      <c r="N109" s="1" t="s">
        <v>35</v>
      </c>
      <c r="O109" s="61" t="s">
        <v>7934</v>
      </c>
      <c r="P109" s="14" t="s">
        <v>10146</v>
      </c>
      <c r="Q109" s="187">
        <v>78.510000000000005</v>
      </c>
      <c r="R109" s="1">
        <v>1</v>
      </c>
      <c r="S109" s="128">
        <v>0.21</v>
      </c>
      <c r="T109" s="128">
        <v>0.2</v>
      </c>
      <c r="V109" s="126">
        <f t="shared" si="42"/>
        <v>75.997680000000003</v>
      </c>
      <c r="W109" t="s">
        <v>7096</v>
      </c>
      <c r="X109" s="5" t="s">
        <v>10147</v>
      </c>
      <c r="Y109" s="2">
        <v>34515</v>
      </c>
      <c r="Z109" s="2">
        <v>45371</v>
      </c>
      <c r="AA109" s="11" t="s">
        <v>10239</v>
      </c>
      <c r="AB109" s="3">
        <v>45397</v>
      </c>
      <c r="AC109" s="80" t="s">
        <v>1339</v>
      </c>
      <c r="AF109" t="s">
        <v>3198</v>
      </c>
      <c r="AJ109" s="2"/>
      <c r="AM109" s="74"/>
      <c r="AT109" s="1"/>
    </row>
    <row r="110" spans="1:46">
      <c r="A110" s="1">
        <v>110</v>
      </c>
      <c r="B110" t="s">
        <v>37</v>
      </c>
      <c r="C110" s="2">
        <v>45371</v>
      </c>
      <c r="D110" s="2"/>
      <c r="E110" t="s">
        <v>8056</v>
      </c>
      <c r="F110" t="s">
        <v>7983</v>
      </c>
      <c r="G110" t="s">
        <v>7984</v>
      </c>
      <c r="H110" s="6" t="s">
        <v>245</v>
      </c>
      <c r="I110" s="1" t="s">
        <v>54</v>
      </c>
      <c r="J110" s="1">
        <v>632239554</v>
      </c>
      <c r="K110" s="1"/>
      <c r="L110" t="s">
        <v>8056</v>
      </c>
      <c r="M110" s="2">
        <v>45382</v>
      </c>
      <c r="N110" s="1" t="s">
        <v>35</v>
      </c>
      <c r="O110" s="61" t="s">
        <v>7934</v>
      </c>
      <c r="P110" s="14" t="s">
        <v>10148</v>
      </c>
      <c r="Q110" s="187">
        <v>78.510000000000005</v>
      </c>
      <c r="R110" s="1">
        <v>1</v>
      </c>
      <c r="S110" s="90">
        <v>0.21</v>
      </c>
      <c r="T110" s="128">
        <v>0</v>
      </c>
      <c r="U110" s="363"/>
      <c r="V110" s="408">
        <f t="shared" ref="V110" si="43">SUM(Q110-(Q110*T110))*S110+(Q110-(Q110*T110))</f>
        <v>94.997100000000003</v>
      </c>
      <c r="W110" t="s">
        <v>8056</v>
      </c>
      <c r="X110" s="5" t="s">
        <v>10149</v>
      </c>
      <c r="Y110" s="3">
        <v>28781</v>
      </c>
      <c r="Z110" s="2">
        <v>45371</v>
      </c>
      <c r="AA110" s="11" t="s">
        <v>10494</v>
      </c>
      <c r="AB110" s="2">
        <v>45439</v>
      </c>
      <c r="AC110" s="80" t="s">
        <v>1339</v>
      </c>
      <c r="AF110" t="s">
        <v>3198</v>
      </c>
      <c r="AJ110" s="3"/>
      <c r="AM110" s="3"/>
    </row>
    <row r="111" spans="1:46">
      <c r="A111" s="1">
        <v>111</v>
      </c>
      <c r="B111" t="s">
        <v>40</v>
      </c>
      <c r="C111" s="2">
        <v>45372</v>
      </c>
      <c r="D111" s="2"/>
      <c r="E111" s="1" t="s">
        <v>5274</v>
      </c>
      <c r="F111" t="s">
        <v>5576</v>
      </c>
      <c r="G111" s="61" t="s">
        <v>5275</v>
      </c>
      <c r="H111" s="6" t="s">
        <v>221</v>
      </c>
      <c r="I111" s="1" t="s">
        <v>34</v>
      </c>
      <c r="J111" s="1"/>
      <c r="L111" s="1" t="s">
        <v>5274</v>
      </c>
      <c r="M111" s="2">
        <v>45382</v>
      </c>
      <c r="N111" s="1" t="s">
        <v>35</v>
      </c>
      <c r="O111" s="61" t="s">
        <v>9758</v>
      </c>
      <c r="P111" s="14" t="s">
        <v>2133</v>
      </c>
      <c r="Q111" s="92">
        <v>132.22999999999999</v>
      </c>
      <c r="R111" s="1">
        <v>1</v>
      </c>
      <c r="S111" s="128">
        <v>0.21</v>
      </c>
      <c r="T111" s="128">
        <v>0.2</v>
      </c>
      <c r="U111" s="95"/>
      <c r="V111" s="126">
        <f t="shared" si="40"/>
        <v>127.99863999999999</v>
      </c>
      <c r="W111" t="s">
        <v>2134</v>
      </c>
      <c r="X111" s="6" t="s">
        <v>10158</v>
      </c>
      <c r="Y111" s="2">
        <v>36609</v>
      </c>
      <c r="Z111" s="2">
        <v>45372</v>
      </c>
      <c r="AA111" s="11" t="s">
        <v>10339</v>
      </c>
      <c r="AB111" s="2">
        <v>45411</v>
      </c>
      <c r="AC111" s="80" t="s">
        <v>1339</v>
      </c>
      <c r="AF111" t="s">
        <v>3198</v>
      </c>
      <c r="AI111" t="s">
        <v>3470</v>
      </c>
      <c r="AJ111" s="2">
        <v>45373</v>
      </c>
      <c r="AM111" s="74">
        <v>45383</v>
      </c>
      <c r="AT111" s="1"/>
    </row>
    <row r="112" spans="1:46">
      <c r="A112" s="1">
        <v>112</v>
      </c>
      <c r="B112" t="s">
        <v>119</v>
      </c>
      <c r="C112" s="2">
        <v>45373</v>
      </c>
      <c r="D112" s="2"/>
      <c r="E112" s="1" t="s">
        <v>3826</v>
      </c>
      <c r="F112" s="61" t="s">
        <v>3827</v>
      </c>
      <c r="G112" s="61" t="s">
        <v>3828</v>
      </c>
      <c r="H112" s="6" t="s">
        <v>250</v>
      </c>
      <c r="I112" s="1" t="s">
        <v>2585</v>
      </c>
      <c r="J112" s="8">
        <v>670341556</v>
      </c>
      <c r="K112" s="1" t="s">
        <v>8094</v>
      </c>
      <c r="L112" s="31" t="s">
        <v>174</v>
      </c>
      <c r="M112" s="2">
        <v>45382</v>
      </c>
      <c r="N112" s="1" t="s">
        <v>35</v>
      </c>
      <c r="O112" s="61" t="s">
        <v>7925</v>
      </c>
      <c r="P112" s="14" t="s">
        <v>10150</v>
      </c>
      <c r="Q112" s="92">
        <v>132.22999999999999</v>
      </c>
      <c r="R112" s="1">
        <v>1</v>
      </c>
      <c r="S112" s="128">
        <v>0.21</v>
      </c>
      <c r="T112" s="128">
        <v>0.2</v>
      </c>
      <c r="U112" s="1"/>
      <c r="V112" s="126">
        <f t="shared" si="40"/>
        <v>127.99863999999999</v>
      </c>
      <c r="W112" t="s">
        <v>10151</v>
      </c>
      <c r="X112" s="6" t="s">
        <v>10172</v>
      </c>
      <c r="Y112" s="2">
        <v>37621</v>
      </c>
      <c r="Z112" s="2">
        <v>45373</v>
      </c>
      <c r="AA112" s="11" t="s">
        <v>10479</v>
      </c>
      <c r="AB112" s="3">
        <v>45434</v>
      </c>
      <c r="AC112" s="80" t="s">
        <v>1339</v>
      </c>
      <c r="AF112" t="s">
        <v>3198</v>
      </c>
      <c r="AI112" t="s">
        <v>3392</v>
      </c>
      <c r="AJ112" s="2">
        <v>45377</v>
      </c>
      <c r="AM112" s="74">
        <v>45385</v>
      </c>
      <c r="AT112" s="1"/>
    </row>
    <row r="113" spans="1:139">
      <c r="A113" s="1">
        <v>113</v>
      </c>
      <c r="B113" t="s">
        <v>4321</v>
      </c>
      <c r="C113" s="2">
        <v>45373</v>
      </c>
      <c r="D113" s="2" t="s">
        <v>9900</v>
      </c>
      <c r="E113" t="s">
        <v>6172</v>
      </c>
      <c r="F113" s="61" t="s">
        <v>10152</v>
      </c>
      <c r="G113" s="61" t="s">
        <v>10153</v>
      </c>
      <c r="H113" s="6" t="s">
        <v>238</v>
      </c>
      <c r="I113" s="1" t="s">
        <v>48</v>
      </c>
      <c r="J113" s="295">
        <v>631724275</v>
      </c>
      <c r="K113" s="304"/>
      <c r="L113" s="1" t="s">
        <v>6172</v>
      </c>
      <c r="M113" s="2">
        <v>45382</v>
      </c>
      <c r="N113" s="1" t="s">
        <v>35</v>
      </c>
      <c r="O113" s="61" t="s">
        <v>7968</v>
      </c>
      <c r="P113" s="14" t="s">
        <v>10154</v>
      </c>
      <c r="Q113" s="92">
        <v>132.22999999999999</v>
      </c>
      <c r="R113" s="1">
        <v>1</v>
      </c>
      <c r="S113" s="128">
        <v>0.21</v>
      </c>
      <c r="T113" s="128">
        <v>0.2</v>
      </c>
      <c r="U113" s="95"/>
      <c r="V113" s="126">
        <f t="shared" ref="V113:V118" si="44">SUM(Q113-(Q113*T113))*S113+(Q113-(Q113*T113))</f>
        <v>127.99863999999999</v>
      </c>
      <c r="W113" t="s">
        <v>10209</v>
      </c>
      <c r="X113" s="5" t="s">
        <v>10210</v>
      </c>
      <c r="Y113" s="2">
        <v>35873</v>
      </c>
      <c r="Z113" s="2">
        <v>45373</v>
      </c>
      <c r="AA113" s="11" t="s">
        <v>10508</v>
      </c>
      <c r="AB113" s="2">
        <v>45446</v>
      </c>
      <c r="AC113" s="80" t="s">
        <v>1339</v>
      </c>
      <c r="AE113" s="162">
        <v>45425</v>
      </c>
      <c r="AF113" t="s">
        <v>3198</v>
      </c>
      <c r="AI113" t="s">
        <v>10155</v>
      </c>
      <c r="AJ113" s="2">
        <v>45392</v>
      </c>
      <c r="AM113" s="74">
        <v>45401</v>
      </c>
      <c r="AT113" s="1"/>
    </row>
    <row r="114" spans="1:139">
      <c r="A114" s="1">
        <v>114</v>
      </c>
      <c r="B114" t="s">
        <v>40</v>
      </c>
      <c r="C114" s="2">
        <v>45373</v>
      </c>
      <c r="D114" s="2"/>
      <c r="E114" s="1" t="s">
        <v>7776</v>
      </c>
      <c r="F114" t="s">
        <v>7777</v>
      </c>
      <c r="G114" t="s">
        <v>7778</v>
      </c>
      <c r="H114" s="6" t="s">
        <v>221</v>
      </c>
      <c r="I114" s="1" t="s">
        <v>34</v>
      </c>
      <c r="J114" s="1"/>
      <c r="K114" s="409" t="s">
        <v>8357</v>
      </c>
      <c r="L114" s="1" t="s">
        <v>7776</v>
      </c>
      <c r="M114" s="2">
        <v>45382</v>
      </c>
      <c r="N114" s="1" t="s">
        <v>35</v>
      </c>
      <c r="O114" s="61" t="s">
        <v>7934</v>
      </c>
      <c r="P114" s="14" t="s">
        <v>10156</v>
      </c>
      <c r="Q114" s="187">
        <v>78.510000000000005</v>
      </c>
      <c r="R114" s="1">
        <v>1</v>
      </c>
      <c r="S114" s="90">
        <v>0.21</v>
      </c>
      <c r="T114" s="90">
        <v>0.2</v>
      </c>
      <c r="V114" s="95">
        <f t="shared" si="44"/>
        <v>75.997680000000003</v>
      </c>
      <c r="W114" t="s">
        <v>7946</v>
      </c>
      <c r="X114" s="406" t="s">
        <v>10244</v>
      </c>
      <c r="Y114" s="2">
        <v>34824</v>
      </c>
      <c r="Z114" s="2">
        <v>45373</v>
      </c>
      <c r="AA114" s="403" t="s">
        <v>10507</v>
      </c>
      <c r="AB114" s="3">
        <v>45441</v>
      </c>
      <c r="AC114" s="80" t="s">
        <v>1339</v>
      </c>
      <c r="AD114" s="61"/>
      <c r="AE114" s="61"/>
      <c r="AF114" t="s">
        <v>3198</v>
      </c>
      <c r="AJ114" s="2"/>
      <c r="AM114" s="3"/>
      <c r="AT114" s="1"/>
    </row>
    <row r="115" spans="1:139">
      <c r="A115" s="1">
        <v>115</v>
      </c>
      <c r="B115" t="s">
        <v>5635</v>
      </c>
      <c r="C115" s="2">
        <v>45376</v>
      </c>
      <c r="D115" s="2" t="s">
        <v>9900</v>
      </c>
      <c r="E115" t="s">
        <v>10159</v>
      </c>
      <c r="F115" s="61" t="s">
        <v>10160</v>
      </c>
      <c r="G115" s="61" t="s">
        <v>10161</v>
      </c>
      <c r="H115" s="6" t="s">
        <v>2273</v>
      </c>
      <c r="I115" s="1" t="s">
        <v>2274</v>
      </c>
      <c r="J115" s="295"/>
      <c r="K115" s="301" t="s">
        <v>7800</v>
      </c>
      <c r="L115" s="1" t="s">
        <v>10159</v>
      </c>
      <c r="M115" s="2">
        <v>45382</v>
      </c>
      <c r="N115" s="1" t="s">
        <v>35</v>
      </c>
      <c r="O115" s="61" t="s">
        <v>9758</v>
      </c>
      <c r="P115" s="14" t="s">
        <v>10162</v>
      </c>
      <c r="Q115" s="92">
        <v>132.22999999999999</v>
      </c>
      <c r="R115" s="1">
        <v>1</v>
      </c>
      <c r="S115" s="128">
        <v>0.21</v>
      </c>
      <c r="T115" s="128">
        <v>0.2</v>
      </c>
      <c r="U115" s="95"/>
      <c r="V115" s="126">
        <f t="shared" si="44"/>
        <v>127.99863999999999</v>
      </c>
      <c r="W115" t="s">
        <v>10195</v>
      </c>
      <c r="X115" s="5" t="s">
        <v>10194</v>
      </c>
      <c r="Y115" s="2">
        <v>37021</v>
      </c>
      <c r="Z115" s="2">
        <v>45376</v>
      </c>
      <c r="AA115" s="11" t="s">
        <v>10313</v>
      </c>
      <c r="AB115" s="2">
        <v>45407</v>
      </c>
      <c r="AC115" s="80" t="s">
        <v>1339</v>
      </c>
      <c r="AF115" t="s">
        <v>3198</v>
      </c>
      <c r="AI115" t="s">
        <v>3470</v>
      </c>
      <c r="AJ115" s="2">
        <v>45385</v>
      </c>
      <c r="AM115" s="74">
        <v>45390</v>
      </c>
      <c r="AT115" s="1"/>
    </row>
    <row r="116" spans="1:139" s="196" customFormat="1">
      <c r="A116" s="1">
        <v>116</v>
      </c>
      <c r="B116" t="s">
        <v>1414</v>
      </c>
      <c r="C116" s="2">
        <v>45376</v>
      </c>
      <c r="D116" s="2"/>
      <c r="E116" s="1" t="s">
        <v>1407</v>
      </c>
      <c r="F116" t="s">
        <v>1408</v>
      </c>
      <c r="G116" s="61" t="s">
        <v>1409</v>
      </c>
      <c r="H116" s="6" t="s">
        <v>227</v>
      </c>
      <c r="I116" s="1" t="s">
        <v>203</v>
      </c>
      <c r="J116" s="8"/>
      <c r="K116" s="301" t="s">
        <v>8355</v>
      </c>
      <c r="L116" t="s">
        <v>1407</v>
      </c>
      <c r="M116" s="2">
        <v>45382</v>
      </c>
      <c r="N116" s="1" t="s">
        <v>35</v>
      </c>
      <c r="O116" s="61" t="s">
        <v>7934</v>
      </c>
      <c r="P116" s="14" t="s">
        <v>6651</v>
      </c>
      <c r="Q116" s="187">
        <v>78.510000000000005</v>
      </c>
      <c r="R116" s="1">
        <v>1</v>
      </c>
      <c r="S116" s="128">
        <v>0.21</v>
      </c>
      <c r="T116" s="128">
        <v>0.2</v>
      </c>
      <c r="U116"/>
      <c r="V116" s="95">
        <f t="shared" si="44"/>
        <v>75.997680000000003</v>
      </c>
      <c r="W116" t="s">
        <v>4888</v>
      </c>
      <c r="X116" s="6" t="s">
        <v>10163</v>
      </c>
      <c r="Y116" s="2">
        <v>33188</v>
      </c>
      <c r="Z116" s="2">
        <v>45376</v>
      </c>
      <c r="AB116" s="2">
        <v>45404</v>
      </c>
      <c r="AC116" s="80" t="s">
        <v>1339</v>
      </c>
      <c r="AD116"/>
      <c r="AE116"/>
      <c r="AF116" t="s">
        <v>3198</v>
      </c>
      <c r="AG116"/>
      <c r="AH116"/>
      <c r="AI116"/>
      <c r="AJ116" s="2"/>
      <c r="AK116"/>
      <c r="AL116"/>
      <c r="AM116" s="74"/>
      <c r="AN116"/>
      <c r="AO116"/>
      <c r="AP116"/>
      <c r="AQ116"/>
      <c r="AR116"/>
      <c r="AS116"/>
      <c r="AT116" s="1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</row>
    <row r="117" spans="1:139">
      <c r="A117" s="1">
        <v>117</v>
      </c>
      <c r="B117" t="s">
        <v>111</v>
      </c>
      <c r="C117" s="2">
        <v>45377</v>
      </c>
      <c r="D117" s="2"/>
      <c r="E117" s="1" t="s">
        <v>3368</v>
      </c>
      <c r="F117" t="s">
        <v>10296</v>
      </c>
      <c r="G117" t="s">
        <v>8450</v>
      </c>
      <c r="H117" s="6" t="s">
        <v>241</v>
      </c>
      <c r="I117" s="1" t="s">
        <v>60</v>
      </c>
      <c r="J117" s="295">
        <v>631332721</v>
      </c>
      <c r="K117" s="8"/>
      <c r="L117" s="1" t="s">
        <v>3368</v>
      </c>
      <c r="M117" s="2">
        <v>45382</v>
      </c>
      <c r="N117" s="1" t="s">
        <v>35</v>
      </c>
      <c r="O117" s="61" t="s">
        <v>7977</v>
      </c>
      <c r="P117" s="14" t="s">
        <v>10168</v>
      </c>
      <c r="Q117" s="187">
        <v>41.32</v>
      </c>
      <c r="R117" s="1">
        <v>1</v>
      </c>
      <c r="S117" s="90">
        <v>0.21</v>
      </c>
      <c r="T117" s="90">
        <v>0</v>
      </c>
      <c r="V117" s="95">
        <f t="shared" si="44"/>
        <v>49.997199999999999</v>
      </c>
      <c r="W117" s="1"/>
      <c r="X117" s="5"/>
      <c r="Y117" s="2"/>
      <c r="Z117" s="2"/>
      <c r="AA117" s="11" t="s">
        <v>10285</v>
      </c>
      <c r="AB117" s="2"/>
      <c r="AC117" s="133"/>
      <c r="AJ117" s="2"/>
      <c r="AM117" s="74"/>
      <c r="AT117" s="1"/>
    </row>
    <row r="118" spans="1:139" ht="14.25" customHeight="1">
      <c r="A118" s="1">
        <v>118</v>
      </c>
      <c r="B118" t="s">
        <v>37</v>
      </c>
      <c r="C118" s="2">
        <v>45378</v>
      </c>
      <c r="D118" s="2"/>
      <c r="E118" s="1" t="s">
        <v>2885</v>
      </c>
      <c r="F118" s="61" t="s">
        <v>10174</v>
      </c>
      <c r="G118" t="s">
        <v>10175</v>
      </c>
      <c r="H118" s="6" t="s">
        <v>1257</v>
      </c>
      <c r="I118" s="1" t="s">
        <v>1266</v>
      </c>
      <c r="J118" s="1">
        <v>631980179</v>
      </c>
      <c r="K118" s="1"/>
      <c r="L118" s="1" t="s">
        <v>2885</v>
      </c>
      <c r="M118" s="2">
        <v>45382</v>
      </c>
      <c r="N118" s="1" t="s">
        <v>35</v>
      </c>
      <c r="O118" s="61" t="s">
        <v>7968</v>
      </c>
      <c r="P118" s="14" t="s">
        <v>10176</v>
      </c>
      <c r="Q118" s="187">
        <v>132.22999999999999</v>
      </c>
      <c r="R118" s="1">
        <v>1</v>
      </c>
      <c r="S118" s="128">
        <v>0.21</v>
      </c>
      <c r="T118" s="128">
        <v>0.2</v>
      </c>
      <c r="U118" s="363"/>
      <c r="V118" s="126">
        <f t="shared" si="44"/>
        <v>127.99863999999999</v>
      </c>
      <c r="W118" t="s">
        <v>10214</v>
      </c>
      <c r="X118" s="5" t="s">
        <v>10215</v>
      </c>
      <c r="Y118" s="2">
        <v>30967</v>
      </c>
      <c r="Z118" s="2">
        <v>45378</v>
      </c>
      <c r="AA118" s="11" t="s">
        <v>10339</v>
      </c>
      <c r="AB118" s="2">
        <v>45419</v>
      </c>
      <c r="AC118" s="80" t="s">
        <v>1339</v>
      </c>
      <c r="AF118" t="s">
        <v>3198</v>
      </c>
      <c r="AI118" t="s">
        <v>10178</v>
      </c>
      <c r="AJ118" s="3">
        <v>45392</v>
      </c>
      <c r="AM118" s="3">
        <v>45394</v>
      </c>
      <c r="AS118" s="1"/>
    </row>
    <row r="119" spans="1:139" ht="14.25" customHeight="1">
      <c r="A119" s="1">
        <v>119</v>
      </c>
      <c r="B119" t="s">
        <v>37</v>
      </c>
      <c r="C119" s="2">
        <v>45378</v>
      </c>
      <c r="D119" s="2"/>
      <c r="E119" s="1" t="s">
        <v>2885</v>
      </c>
      <c r="F119" s="61" t="s">
        <v>10174</v>
      </c>
      <c r="G119" t="s">
        <v>10175</v>
      </c>
      <c r="H119" s="6" t="s">
        <v>1257</v>
      </c>
      <c r="I119" s="1" t="s">
        <v>1266</v>
      </c>
      <c r="J119" s="1">
        <v>631980179</v>
      </c>
      <c r="K119" s="1"/>
      <c r="L119" s="1" t="s">
        <v>2885</v>
      </c>
      <c r="M119" s="2">
        <v>45382</v>
      </c>
      <c r="N119" s="1" t="s">
        <v>35</v>
      </c>
      <c r="O119" s="61" t="s">
        <v>7968</v>
      </c>
      <c r="P119" s="14" t="s">
        <v>10177</v>
      </c>
      <c r="Q119" s="187">
        <v>132.22999999999999</v>
      </c>
      <c r="R119" s="1">
        <v>1</v>
      </c>
      <c r="S119" s="128">
        <v>0.21</v>
      </c>
      <c r="T119" s="128">
        <v>0.2</v>
      </c>
      <c r="U119" s="363"/>
      <c r="V119" s="126">
        <f t="shared" ref="V119:V121" si="45">SUM(Q119-(Q119*T119))*S119+(Q119-(Q119*T119))</f>
        <v>127.99863999999999</v>
      </c>
      <c r="W119" t="s">
        <v>10221</v>
      </c>
      <c r="X119" s="5" t="s">
        <v>10222</v>
      </c>
      <c r="Y119" s="2">
        <v>43364</v>
      </c>
      <c r="Z119" s="2">
        <v>45378</v>
      </c>
      <c r="AA119" s="11" t="s">
        <v>10339</v>
      </c>
      <c r="AB119" s="2">
        <v>45419</v>
      </c>
      <c r="AC119" s="80" t="s">
        <v>1339</v>
      </c>
      <c r="AF119" t="s">
        <v>3198</v>
      </c>
      <c r="AI119" t="s">
        <v>10178</v>
      </c>
      <c r="AJ119" s="3">
        <v>45392</v>
      </c>
      <c r="AM119" s="3">
        <v>45394</v>
      </c>
      <c r="AS119" s="1"/>
    </row>
    <row r="120" spans="1:139" ht="14.25" customHeight="1">
      <c r="A120" s="1">
        <v>120</v>
      </c>
      <c r="B120" t="s">
        <v>37</v>
      </c>
      <c r="C120" s="2">
        <v>45378</v>
      </c>
      <c r="D120" s="2"/>
      <c r="E120" s="1" t="s">
        <v>2885</v>
      </c>
      <c r="F120" s="61" t="s">
        <v>10174</v>
      </c>
      <c r="G120" t="s">
        <v>10175</v>
      </c>
      <c r="H120" s="6" t="s">
        <v>1257</v>
      </c>
      <c r="I120" s="1" t="s">
        <v>1266</v>
      </c>
      <c r="J120" s="1">
        <v>631980179</v>
      </c>
      <c r="K120" s="1"/>
      <c r="L120" s="1" t="s">
        <v>2885</v>
      </c>
      <c r="M120" s="2">
        <v>45382</v>
      </c>
      <c r="N120" s="1" t="s">
        <v>35</v>
      </c>
      <c r="O120" s="61" t="s">
        <v>7968</v>
      </c>
      <c r="P120" s="14" t="s">
        <v>10179</v>
      </c>
      <c r="Q120" s="187">
        <v>132.22999999999999</v>
      </c>
      <c r="R120" s="1">
        <v>1</v>
      </c>
      <c r="S120" s="128">
        <v>0.21</v>
      </c>
      <c r="T120" s="128">
        <v>0.2</v>
      </c>
      <c r="U120" s="363"/>
      <c r="V120" s="126">
        <f t="shared" si="45"/>
        <v>127.99863999999999</v>
      </c>
      <c r="W120" t="s">
        <v>10219</v>
      </c>
      <c r="X120" s="5" t="s">
        <v>10220</v>
      </c>
      <c r="Y120" s="2">
        <v>39529</v>
      </c>
      <c r="Z120" s="2">
        <v>45378</v>
      </c>
      <c r="AA120" s="11" t="s">
        <v>10339</v>
      </c>
      <c r="AB120" s="2">
        <v>45419</v>
      </c>
      <c r="AC120" s="80" t="s">
        <v>1339</v>
      </c>
      <c r="AF120" t="s">
        <v>3198</v>
      </c>
      <c r="AI120" t="s">
        <v>10178</v>
      </c>
      <c r="AJ120" s="3">
        <v>45392</v>
      </c>
      <c r="AM120" s="3">
        <v>45394</v>
      </c>
      <c r="AS120" s="1"/>
    </row>
    <row r="121" spans="1:139" ht="14.25" customHeight="1">
      <c r="A121" s="1">
        <v>121</v>
      </c>
      <c r="B121" t="s">
        <v>37</v>
      </c>
      <c r="C121" s="2">
        <v>45378</v>
      </c>
      <c r="D121" s="2"/>
      <c r="E121" s="1" t="s">
        <v>2885</v>
      </c>
      <c r="F121" s="61" t="s">
        <v>10174</v>
      </c>
      <c r="G121" t="s">
        <v>10175</v>
      </c>
      <c r="H121" s="6" t="s">
        <v>1257</v>
      </c>
      <c r="I121" s="1" t="s">
        <v>1266</v>
      </c>
      <c r="J121" s="1">
        <v>631980179</v>
      </c>
      <c r="K121" s="1"/>
      <c r="L121" s="1" t="s">
        <v>2885</v>
      </c>
      <c r="M121" s="2">
        <v>45382</v>
      </c>
      <c r="N121" s="1" t="s">
        <v>35</v>
      </c>
      <c r="O121" s="61" t="s">
        <v>7968</v>
      </c>
      <c r="P121" s="14" t="s">
        <v>10216</v>
      </c>
      <c r="Q121" s="187">
        <v>132.22999999999999</v>
      </c>
      <c r="R121" s="1">
        <v>1</v>
      </c>
      <c r="S121" s="128">
        <v>0.21</v>
      </c>
      <c r="T121" s="128">
        <v>0.2</v>
      </c>
      <c r="U121" s="363"/>
      <c r="V121" s="126">
        <f t="shared" si="45"/>
        <v>127.99863999999999</v>
      </c>
      <c r="W121" t="s">
        <v>10217</v>
      </c>
      <c r="X121" s="5" t="s">
        <v>10218</v>
      </c>
      <c r="Y121" s="2">
        <v>39892</v>
      </c>
      <c r="Z121" s="2">
        <v>45378</v>
      </c>
      <c r="AA121" s="11" t="s">
        <v>10339</v>
      </c>
      <c r="AB121" s="2">
        <v>45419</v>
      </c>
      <c r="AC121" s="80" t="s">
        <v>1339</v>
      </c>
      <c r="AF121" t="s">
        <v>3198</v>
      </c>
      <c r="AI121" t="s">
        <v>10178</v>
      </c>
      <c r="AJ121" s="3">
        <v>45392</v>
      </c>
      <c r="AM121" s="3">
        <v>45394</v>
      </c>
      <c r="AS121" s="1"/>
    </row>
    <row r="122" spans="1:139">
      <c r="A122" s="1">
        <v>122</v>
      </c>
      <c r="B122" t="s">
        <v>33</v>
      </c>
      <c r="C122" s="2">
        <v>45383</v>
      </c>
      <c r="D122" s="2" t="s">
        <v>9900</v>
      </c>
      <c r="E122" t="s">
        <v>10182</v>
      </c>
      <c r="F122" s="61" t="s">
        <v>10183</v>
      </c>
      <c r="G122" t="s">
        <v>10184</v>
      </c>
      <c r="H122" s="6" t="s">
        <v>227</v>
      </c>
      <c r="I122" s="1" t="s">
        <v>68</v>
      </c>
      <c r="J122" s="295"/>
      <c r="K122" s="114" t="s">
        <v>11744</v>
      </c>
      <c r="L122" s="1" t="s">
        <v>237</v>
      </c>
      <c r="M122" s="2">
        <v>45412</v>
      </c>
      <c r="N122" s="1" t="s">
        <v>35</v>
      </c>
      <c r="O122" s="61" t="s">
        <v>7925</v>
      </c>
      <c r="P122" s="14" t="s">
        <v>10185</v>
      </c>
      <c r="Q122" s="187">
        <v>132.22999999999999</v>
      </c>
      <c r="R122" s="1">
        <v>1</v>
      </c>
      <c r="S122" s="90">
        <v>0.21</v>
      </c>
      <c r="T122" s="90">
        <v>0.2</v>
      </c>
      <c r="U122" s="363"/>
      <c r="V122" s="126">
        <f t="shared" ref="V122" si="46">SUM(Q122-(Q122*T122))*S122+(Q122-(Q122*T122))</f>
        <v>127.99863999999999</v>
      </c>
      <c r="W122" t="s">
        <v>10197</v>
      </c>
      <c r="X122" s="5" t="s">
        <v>10198</v>
      </c>
      <c r="Y122" s="2">
        <v>30929</v>
      </c>
      <c r="Z122" s="2">
        <v>45383</v>
      </c>
      <c r="AA122" s="11" t="s">
        <v>10493</v>
      </c>
      <c r="AB122" s="2">
        <v>45439</v>
      </c>
      <c r="AC122" s="80" t="s">
        <v>1339</v>
      </c>
      <c r="AF122" t="s">
        <v>3198</v>
      </c>
      <c r="AI122" t="s">
        <v>10186</v>
      </c>
      <c r="AJ122" s="2">
        <v>45385</v>
      </c>
      <c r="AM122" s="74">
        <v>45390</v>
      </c>
      <c r="AT122" s="1"/>
    </row>
    <row r="123" spans="1:139">
      <c r="A123" s="1">
        <v>123</v>
      </c>
      <c r="B123" t="s">
        <v>3526</v>
      </c>
      <c r="C123" s="2">
        <v>45383</v>
      </c>
      <c r="D123" s="2"/>
      <c r="E123" s="1" t="s">
        <v>4512</v>
      </c>
      <c r="F123" t="s">
        <v>10295</v>
      </c>
      <c r="G123" t="s">
        <v>4614</v>
      </c>
      <c r="H123" s="6" t="s">
        <v>242</v>
      </c>
      <c r="I123" s="1" t="s">
        <v>86</v>
      </c>
      <c r="J123" s="1">
        <v>673821555</v>
      </c>
      <c r="K123" s="8" t="s">
        <v>7157</v>
      </c>
      <c r="L123" s="1" t="s">
        <v>6215</v>
      </c>
      <c r="M123" s="2">
        <v>45412</v>
      </c>
      <c r="N123" s="1" t="s">
        <v>35</v>
      </c>
      <c r="O123" s="61" t="s">
        <v>7934</v>
      </c>
      <c r="P123" s="14" t="s">
        <v>10187</v>
      </c>
      <c r="Q123" s="187">
        <v>78.510000000000005</v>
      </c>
      <c r="R123" s="1">
        <v>1</v>
      </c>
      <c r="S123" s="90">
        <v>0.21</v>
      </c>
      <c r="T123" s="90">
        <v>0.2</v>
      </c>
      <c r="U123" s="363"/>
      <c r="V123" s="95">
        <f t="shared" ref="V123" si="47">SUM(Q123-(Q123*T123))*S123+(Q123-(Q123*T123))</f>
        <v>75.997680000000003</v>
      </c>
      <c r="W123" t="s">
        <v>8000</v>
      </c>
      <c r="X123" s="5" t="s">
        <v>10188</v>
      </c>
      <c r="Y123" s="2">
        <v>33615</v>
      </c>
      <c r="Z123" s="2">
        <v>45383</v>
      </c>
      <c r="AA123" s="11" t="s">
        <v>10328</v>
      </c>
      <c r="AB123" s="2">
        <v>45407</v>
      </c>
      <c r="AC123" s="80" t="s">
        <v>1339</v>
      </c>
      <c r="AF123" t="s">
        <v>3198</v>
      </c>
      <c r="AJ123" s="3"/>
      <c r="AM123" s="3"/>
      <c r="AS123" s="1" t="s">
        <v>7936</v>
      </c>
    </row>
    <row r="124" spans="1:139" s="197" customFormat="1">
      <c r="A124" s="1">
        <v>124</v>
      </c>
      <c r="B124" s="61" t="s">
        <v>1414</v>
      </c>
      <c r="C124" s="2">
        <v>45383</v>
      </c>
      <c r="D124" s="1"/>
      <c r="E124" s="1" t="s">
        <v>1079</v>
      </c>
      <c r="F124" s="61" t="s">
        <v>41</v>
      </c>
      <c r="G124" s="61" t="s">
        <v>2115</v>
      </c>
      <c r="H124" s="1" t="s">
        <v>230</v>
      </c>
      <c r="I124" t="s">
        <v>1262</v>
      </c>
      <c r="J124" s="8">
        <v>631212115</v>
      </c>
      <c r="K124" s="8" t="s">
        <v>6306</v>
      </c>
      <c r="L124" t="s">
        <v>1079</v>
      </c>
      <c r="M124" s="2">
        <v>45412</v>
      </c>
      <c r="N124" s="1" t="s">
        <v>35</v>
      </c>
      <c r="O124" s="61" t="s">
        <v>9758</v>
      </c>
      <c r="P124" s="14" t="s">
        <v>10189</v>
      </c>
      <c r="Q124" s="187">
        <v>132.22999999999999</v>
      </c>
      <c r="R124" s="1">
        <v>1</v>
      </c>
      <c r="S124" s="128">
        <v>0.21</v>
      </c>
      <c r="T124" s="128">
        <v>0.2</v>
      </c>
      <c r="U124" s="363"/>
      <c r="V124" s="126">
        <f t="shared" ref="V124:V127" si="48">SUM(Q124-(Q124*T124))*S124+(Q124-(Q124*T124))</f>
        <v>127.99863999999999</v>
      </c>
      <c r="W124" t="s">
        <v>10192</v>
      </c>
      <c r="X124" s="5" t="s">
        <v>10193</v>
      </c>
      <c r="Y124" s="2">
        <v>37374</v>
      </c>
      <c r="Z124" s="2">
        <v>45383</v>
      </c>
      <c r="AA124" s="11" t="s">
        <v>10360</v>
      </c>
      <c r="AB124" s="64">
        <v>45425</v>
      </c>
      <c r="AC124" s="80" t="s">
        <v>1339</v>
      </c>
      <c r="AD124"/>
      <c r="AE124"/>
      <c r="AF124" t="s">
        <v>3198</v>
      </c>
      <c r="AG124"/>
      <c r="AH124"/>
      <c r="AI124" s="2" t="s">
        <v>10190</v>
      </c>
      <c r="AJ124" s="3">
        <v>45385</v>
      </c>
      <c r="AK124"/>
      <c r="AL124" s="2"/>
      <c r="AM124" s="3">
        <v>45390</v>
      </c>
      <c r="AN124"/>
      <c r="AO124"/>
      <c r="AP124"/>
      <c r="AQ124"/>
      <c r="AR124"/>
      <c r="AS124" s="1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</row>
    <row r="125" spans="1:139">
      <c r="A125" s="1">
        <v>125</v>
      </c>
      <c r="B125" s="61" t="s">
        <v>1414</v>
      </c>
      <c r="C125" s="2">
        <v>45390</v>
      </c>
      <c r="D125" s="2"/>
      <c r="E125" s="1" t="s">
        <v>3559</v>
      </c>
      <c r="F125" s="61" t="s">
        <v>3560</v>
      </c>
      <c r="G125" s="61" t="s">
        <v>3561</v>
      </c>
      <c r="H125" s="6" t="s">
        <v>230</v>
      </c>
      <c r="I125" s="1" t="s">
        <v>1262</v>
      </c>
      <c r="J125" s="1">
        <v>607536828</v>
      </c>
      <c r="K125" t="s">
        <v>7850</v>
      </c>
      <c r="L125" t="s">
        <v>3559</v>
      </c>
      <c r="M125" s="2">
        <v>45412</v>
      </c>
      <c r="N125" s="1" t="s">
        <v>35</v>
      </c>
      <c r="O125" s="61" t="s">
        <v>9758</v>
      </c>
      <c r="P125" s="14" t="s">
        <v>7845</v>
      </c>
      <c r="Q125" s="187">
        <v>132.22999999999999</v>
      </c>
      <c r="R125" s="1">
        <v>1</v>
      </c>
      <c r="S125" s="90">
        <v>0.21</v>
      </c>
      <c r="T125" s="90">
        <v>0.2</v>
      </c>
      <c r="U125" s="1"/>
      <c r="V125" s="95">
        <f t="shared" si="48"/>
        <v>127.99863999999999</v>
      </c>
      <c r="W125" t="s">
        <v>7971</v>
      </c>
      <c r="X125" s="5" t="s">
        <v>10248</v>
      </c>
      <c r="Y125" s="2">
        <v>36699</v>
      </c>
      <c r="Z125" s="2">
        <v>45390</v>
      </c>
      <c r="AA125" s="11" t="s">
        <v>10424</v>
      </c>
      <c r="AB125" s="3">
        <v>45425</v>
      </c>
      <c r="AC125" s="80" t="s">
        <v>1339</v>
      </c>
      <c r="AF125" t="s">
        <v>3198</v>
      </c>
      <c r="AI125" t="s">
        <v>3470</v>
      </c>
      <c r="AJ125" s="2">
        <v>45398</v>
      </c>
      <c r="AK125" s="2"/>
      <c r="AM125" s="2">
        <v>45407</v>
      </c>
      <c r="AT125" s="1"/>
    </row>
    <row r="126" spans="1:139">
      <c r="A126" s="1">
        <v>126</v>
      </c>
      <c r="B126" t="s">
        <v>33</v>
      </c>
      <c r="C126" s="2">
        <v>45390</v>
      </c>
      <c r="D126" s="2"/>
      <c r="E126" s="1" t="s">
        <v>1617</v>
      </c>
      <c r="F126" s="61" t="s">
        <v>10294</v>
      </c>
      <c r="G126" t="s">
        <v>8918</v>
      </c>
      <c r="H126" s="6" t="s">
        <v>304</v>
      </c>
      <c r="I126" s="1" t="s">
        <v>68</v>
      </c>
      <c r="J126" s="8"/>
      <c r="K126" s="114" t="s">
        <v>11744</v>
      </c>
      <c r="L126" s="1" t="s">
        <v>237</v>
      </c>
      <c r="M126" s="2">
        <v>45412</v>
      </c>
      <c r="N126" s="1" t="s">
        <v>35</v>
      </c>
      <c r="O126" s="61" t="s">
        <v>7934</v>
      </c>
      <c r="P126" s="14" t="s">
        <v>10201</v>
      </c>
      <c r="Q126" s="187">
        <v>132.22999999999999</v>
      </c>
      <c r="R126" s="1">
        <v>1</v>
      </c>
      <c r="S126" s="128">
        <v>0.21</v>
      </c>
      <c r="T126" s="128">
        <v>0.2</v>
      </c>
      <c r="U126" s="363"/>
      <c r="V126" s="126">
        <f t="shared" si="48"/>
        <v>127.99863999999999</v>
      </c>
      <c r="W126" s="1" t="s">
        <v>9988</v>
      </c>
      <c r="X126" s="5" t="s">
        <v>10251</v>
      </c>
      <c r="Y126" s="2">
        <v>29587</v>
      </c>
      <c r="Z126" s="2">
        <v>45390</v>
      </c>
      <c r="AA126" s="403" t="s">
        <v>10243</v>
      </c>
      <c r="AB126" s="2">
        <v>45397</v>
      </c>
      <c r="AC126" s="80" t="s">
        <v>1339</v>
      </c>
      <c r="AD126" t="s">
        <v>10426</v>
      </c>
      <c r="AF126" t="s">
        <v>3198</v>
      </c>
      <c r="AI126" s="76" t="s">
        <v>3392</v>
      </c>
    </row>
    <row r="127" spans="1:139">
      <c r="A127" s="1">
        <v>127</v>
      </c>
      <c r="B127" t="s">
        <v>1242</v>
      </c>
      <c r="C127" s="2">
        <v>45391</v>
      </c>
      <c r="D127" s="2"/>
      <c r="E127" s="1" t="s">
        <v>4638</v>
      </c>
      <c r="F127" t="s">
        <v>10293</v>
      </c>
      <c r="G127" s="61" t="s">
        <v>7520</v>
      </c>
      <c r="H127" s="6" t="s">
        <v>221</v>
      </c>
      <c r="I127" s="1" t="s">
        <v>34</v>
      </c>
      <c r="J127" s="8"/>
      <c r="K127" s="8" t="s">
        <v>5905</v>
      </c>
      <c r="L127" s="31" t="s">
        <v>1250</v>
      </c>
      <c r="M127" s="2">
        <v>45412</v>
      </c>
      <c r="N127" s="1" t="s">
        <v>35</v>
      </c>
      <c r="O127" s="61" t="s">
        <v>9758</v>
      </c>
      <c r="P127" s="14" t="s">
        <v>10202</v>
      </c>
      <c r="Q127" s="187">
        <v>132.22999999999999</v>
      </c>
      <c r="R127" s="1">
        <v>1</v>
      </c>
      <c r="S127" s="128">
        <v>0.21</v>
      </c>
      <c r="T127" s="128">
        <v>0.2</v>
      </c>
      <c r="V127" s="95">
        <f t="shared" si="48"/>
        <v>127.99863999999999</v>
      </c>
      <c r="W127" t="s">
        <v>10249</v>
      </c>
      <c r="X127" s="6" t="s">
        <v>10250</v>
      </c>
      <c r="Y127" s="3">
        <v>36879</v>
      </c>
      <c r="Z127" s="2">
        <v>45391</v>
      </c>
      <c r="AA127" s="11" t="s">
        <v>10427</v>
      </c>
      <c r="AB127" s="3">
        <v>45429</v>
      </c>
      <c r="AC127" s="80" t="s">
        <v>1339</v>
      </c>
      <c r="AF127" t="s">
        <v>3198</v>
      </c>
      <c r="AI127" t="s">
        <v>10203</v>
      </c>
      <c r="AJ127" s="3">
        <v>45398</v>
      </c>
      <c r="AM127" s="2">
        <v>45406</v>
      </c>
      <c r="AT127" s="1"/>
    </row>
    <row r="128" spans="1:139">
      <c r="A128" s="1">
        <v>128</v>
      </c>
      <c r="B128" s="61" t="s">
        <v>45</v>
      </c>
      <c r="C128" s="2">
        <v>45391</v>
      </c>
      <c r="D128" s="2"/>
      <c r="E128" s="1" t="s">
        <v>1965</v>
      </c>
      <c r="F128" s="61" t="s">
        <v>10292</v>
      </c>
      <c r="G128" t="s">
        <v>6159</v>
      </c>
      <c r="H128" s="6" t="s">
        <v>221</v>
      </c>
      <c r="I128" s="1" t="s">
        <v>34</v>
      </c>
      <c r="J128" s="1">
        <v>615165042</v>
      </c>
      <c r="K128" s="396" t="s">
        <v>8356</v>
      </c>
      <c r="L128" s="1" t="s">
        <v>1965</v>
      </c>
      <c r="M128" s="2">
        <v>45412</v>
      </c>
      <c r="N128" s="1" t="s">
        <v>35</v>
      </c>
      <c r="O128" s="61" t="s">
        <v>7934</v>
      </c>
      <c r="P128" s="14" t="s">
        <v>10204</v>
      </c>
      <c r="Q128" s="92">
        <v>78.510000000000005</v>
      </c>
      <c r="R128" s="1">
        <v>1</v>
      </c>
      <c r="S128" s="90">
        <v>0.21</v>
      </c>
      <c r="T128" s="90">
        <v>0.2</v>
      </c>
      <c r="V128" s="95">
        <f t="shared" ref="V128" si="49">SUM(Q128-(Q128*T128))*S128+(Q128-(Q128*T128))</f>
        <v>75.997680000000003</v>
      </c>
      <c r="W128" t="s">
        <v>10205</v>
      </c>
      <c r="X128" s="5" t="s">
        <v>10206</v>
      </c>
      <c r="Y128" s="2">
        <v>32735</v>
      </c>
      <c r="Z128" s="2">
        <v>45391</v>
      </c>
      <c r="AA128" s="11" t="s">
        <v>10595</v>
      </c>
      <c r="AB128" s="2">
        <v>45457</v>
      </c>
      <c r="AC128" s="80" t="s">
        <v>1339</v>
      </c>
      <c r="AF128" t="s">
        <v>3198</v>
      </c>
      <c r="AJ128" s="2"/>
      <c r="AK128" s="1"/>
      <c r="AM128" s="3"/>
    </row>
    <row r="129" spans="1:46" s="197" customFormat="1">
      <c r="A129" s="412">
        <v>129</v>
      </c>
      <c r="B129" s="197" t="s">
        <v>3526</v>
      </c>
      <c r="C129" s="414">
        <v>45393</v>
      </c>
      <c r="D129" s="414" t="s">
        <v>9900</v>
      </c>
      <c r="E129" s="197" t="s">
        <v>10225</v>
      </c>
      <c r="F129" s="413" t="s">
        <v>10291</v>
      </c>
      <c r="G129" s="197" t="s">
        <v>10226</v>
      </c>
      <c r="H129" s="415" t="s">
        <v>293</v>
      </c>
      <c r="I129" s="412" t="s">
        <v>10227</v>
      </c>
      <c r="J129" s="422"/>
      <c r="K129" s="416"/>
      <c r="L129" s="412" t="s">
        <v>10225</v>
      </c>
      <c r="M129" s="414">
        <v>45412</v>
      </c>
      <c r="N129" s="412" t="s">
        <v>35</v>
      </c>
      <c r="O129" s="413" t="s">
        <v>7977</v>
      </c>
      <c r="P129" s="417" t="s">
        <v>10228</v>
      </c>
      <c r="Q129" s="418">
        <v>100</v>
      </c>
      <c r="R129" s="412">
        <v>1</v>
      </c>
      <c r="S129" s="419">
        <v>0.21</v>
      </c>
      <c r="T129" s="419">
        <v>0</v>
      </c>
      <c r="U129" s="423"/>
      <c r="V129" s="420">
        <f t="shared" ref="V129:V131" si="50">SUM(Q129-(Q129*T129))*S129+(Q129-(Q129*T129))</f>
        <v>121</v>
      </c>
      <c r="W129" s="412" t="s">
        <v>10225</v>
      </c>
      <c r="X129" s="424"/>
      <c r="Y129" s="414"/>
      <c r="Z129" s="414"/>
      <c r="AA129" s="414"/>
      <c r="AB129" s="414"/>
      <c r="AC129" s="421"/>
      <c r="AJ129" s="414"/>
      <c r="AM129" s="425"/>
      <c r="AT129" s="412"/>
    </row>
    <row r="130" spans="1:46">
      <c r="A130" s="1">
        <v>130</v>
      </c>
      <c r="B130" t="s">
        <v>33</v>
      </c>
      <c r="C130" s="2">
        <v>45394</v>
      </c>
      <c r="D130" s="2"/>
      <c r="E130" s="1" t="s">
        <v>5021</v>
      </c>
      <c r="F130" t="s">
        <v>5014</v>
      </c>
      <c r="G130" t="s">
        <v>5020</v>
      </c>
      <c r="H130" s="6" t="s">
        <v>219</v>
      </c>
      <c r="I130" s="1" t="s">
        <v>38</v>
      </c>
      <c r="J130" s="1"/>
      <c r="K130" s="114" t="s">
        <v>11744</v>
      </c>
      <c r="L130" s="1" t="s">
        <v>237</v>
      </c>
      <c r="M130" s="2">
        <v>45412</v>
      </c>
      <c r="N130" s="1" t="s">
        <v>35</v>
      </c>
      <c r="O130" s="61" t="s">
        <v>7925</v>
      </c>
      <c r="P130" s="14" t="s">
        <v>10231</v>
      </c>
      <c r="Q130" s="92">
        <v>132.22999999999999</v>
      </c>
      <c r="R130" s="1">
        <v>1</v>
      </c>
      <c r="S130" s="128">
        <v>0.21</v>
      </c>
      <c r="T130" s="128">
        <v>0.2</v>
      </c>
      <c r="U130" s="363"/>
      <c r="V130" s="126">
        <f t="shared" si="50"/>
        <v>127.99863999999999</v>
      </c>
      <c r="W130" t="s">
        <v>10252</v>
      </c>
      <c r="X130" s="5" t="s">
        <v>10253</v>
      </c>
      <c r="Y130" s="2">
        <v>37174</v>
      </c>
      <c r="Z130" s="2">
        <v>45394</v>
      </c>
      <c r="AA130" s="11" t="s">
        <v>10931</v>
      </c>
      <c r="AB130" s="2">
        <v>45559</v>
      </c>
      <c r="AC130" s="80" t="s">
        <v>1339</v>
      </c>
      <c r="AD130" s="61"/>
      <c r="AF130" t="s">
        <v>3198</v>
      </c>
      <c r="AI130" s="76" t="s">
        <v>10232</v>
      </c>
      <c r="AJ130" s="2">
        <v>45398</v>
      </c>
      <c r="AM130" s="3">
        <v>45405</v>
      </c>
      <c r="AS130" s="1"/>
      <c r="AT130" s="1"/>
    </row>
    <row r="131" spans="1:46">
      <c r="A131" s="1">
        <v>131</v>
      </c>
      <c r="B131" t="s">
        <v>37</v>
      </c>
      <c r="C131" s="2">
        <v>45394</v>
      </c>
      <c r="D131" s="2" t="s">
        <v>9900</v>
      </c>
      <c r="E131" t="s">
        <v>1357</v>
      </c>
      <c r="F131" t="s">
        <v>10233</v>
      </c>
      <c r="G131" s="61" t="s">
        <v>10332</v>
      </c>
      <c r="H131" s="6" t="s">
        <v>6838</v>
      </c>
      <c r="I131" s="1" t="s">
        <v>54</v>
      </c>
      <c r="J131" s="8" t="s">
        <v>10333</v>
      </c>
      <c r="K131" s="8"/>
      <c r="L131" s="1" t="s">
        <v>1357</v>
      </c>
      <c r="M131" s="2">
        <v>45412</v>
      </c>
      <c r="N131" s="1" t="s">
        <v>35</v>
      </c>
      <c r="O131" s="61" t="s">
        <v>9758</v>
      </c>
      <c r="P131" s="14" t="s">
        <v>10234</v>
      </c>
      <c r="Q131" s="187">
        <v>132.22999999999999</v>
      </c>
      <c r="R131" s="1">
        <v>1</v>
      </c>
      <c r="S131" s="128">
        <v>0.21</v>
      </c>
      <c r="T131" s="128">
        <v>0</v>
      </c>
      <c r="V131" s="95">
        <f t="shared" si="50"/>
        <v>159.99829999999997</v>
      </c>
      <c r="W131" t="s">
        <v>10268</v>
      </c>
      <c r="X131" s="6" t="s">
        <v>10269</v>
      </c>
      <c r="Y131" s="3">
        <v>36411</v>
      </c>
      <c r="Z131" s="2">
        <v>45394</v>
      </c>
      <c r="AA131" s="287" t="s">
        <v>10478</v>
      </c>
      <c r="AB131" s="3">
        <v>45434</v>
      </c>
      <c r="AC131" s="80" t="s">
        <v>1339</v>
      </c>
      <c r="AF131" t="s">
        <v>3198</v>
      </c>
      <c r="AI131" t="s">
        <v>10235</v>
      </c>
      <c r="AJ131" s="3">
        <v>45399</v>
      </c>
      <c r="AM131" s="2">
        <v>45404</v>
      </c>
      <c r="AT131" s="1"/>
    </row>
    <row r="132" spans="1:46">
      <c r="A132" s="1">
        <v>132</v>
      </c>
      <c r="B132" t="s">
        <v>37</v>
      </c>
      <c r="C132" s="2">
        <v>45394</v>
      </c>
      <c r="D132" s="2" t="s">
        <v>9900</v>
      </c>
      <c r="E132" t="s">
        <v>10257</v>
      </c>
      <c r="F132" s="61" t="s">
        <v>10290</v>
      </c>
      <c r="G132" s="61" t="s">
        <v>10236</v>
      </c>
      <c r="H132" s="6" t="s">
        <v>1257</v>
      </c>
      <c r="I132" s="1" t="s">
        <v>1266</v>
      </c>
      <c r="J132" s="8">
        <v>642415267</v>
      </c>
      <c r="K132" s="8"/>
      <c r="L132" t="s">
        <v>10257</v>
      </c>
      <c r="M132" s="2">
        <v>45412</v>
      </c>
      <c r="N132" s="1" t="s">
        <v>35</v>
      </c>
      <c r="O132" s="61" t="s">
        <v>7925</v>
      </c>
      <c r="P132" s="14" t="s">
        <v>10237</v>
      </c>
      <c r="Q132" s="187">
        <v>132.22999999999999</v>
      </c>
      <c r="R132" s="1">
        <v>1</v>
      </c>
      <c r="S132" s="128">
        <v>0.21</v>
      </c>
      <c r="T132" s="128">
        <v>0</v>
      </c>
      <c r="U132" s="363"/>
      <c r="V132" s="126">
        <f t="shared" ref="V132:V134" si="51">SUM(Q132-(Q132*T132))*S132+(Q132-(Q132*T132))</f>
        <v>159.99829999999997</v>
      </c>
      <c r="W132" t="s">
        <v>10257</v>
      </c>
      <c r="X132" s="6" t="s">
        <v>10258</v>
      </c>
      <c r="Y132" s="3">
        <v>36295</v>
      </c>
      <c r="Z132" s="2">
        <v>45394</v>
      </c>
      <c r="AA132" s="428" t="s">
        <v>10508</v>
      </c>
      <c r="AB132" s="2">
        <v>45441</v>
      </c>
      <c r="AC132" s="80" t="s">
        <v>1339</v>
      </c>
      <c r="AF132" t="s">
        <v>3198</v>
      </c>
      <c r="AI132" t="s">
        <v>10238</v>
      </c>
      <c r="AJ132" s="3">
        <v>45398</v>
      </c>
      <c r="AM132" s="2">
        <v>45405</v>
      </c>
      <c r="AT132" s="1"/>
    </row>
    <row r="133" spans="1:46">
      <c r="A133" s="1">
        <v>133</v>
      </c>
      <c r="B133" t="s">
        <v>7245</v>
      </c>
      <c r="C133" s="2">
        <v>45397</v>
      </c>
      <c r="D133" s="2"/>
      <c r="E133" s="1" t="s">
        <v>1522</v>
      </c>
      <c r="F133" s="61" t="s">
        <v>3233</v>
      </c>
      <c r="G133" t="s">
        <v>3241</v>
      </c>
      <c r="H133" s="6" t="s">
        <v>3234</v>
      </c>
      <c r="I133" t="s">
        <v>3235</v>
      </c>
      <c r="J133" s="8">
        <v>680761760</v>
      </c>
      <c r="K133" s="8" t="s">
        <v>6232</v>
      </c>
      <c r="L133" t="s">
        <v>1522</v>
      </c>
      <c r="M133" s="2">
        <v>45412</v>
      </c>
      <c r="N133" s="1" t="s">
        <v>35</v>
      </c>
      <c r="O133" s="14" t="s">
        <v>7926</v>
      </c>
      <c r="P133" s="14" t="s">
        <v>10240</v>
      </c>
      <c r="Q133" s="187">
        <v>132.22999999999999</v>
      </c>
      <c r="R133" s="1">
        <v>1</v>
      </c>
      <c r="S133" s="128">
        <v>0.21</v>
      </c>
      <c r="T133" s="128">
        <v>0.2</v>
      </c>
      <c r="U133" s="363"/>
      <c r="V133" s="126">
        <f t="shared" ref="V133" si="52">SUM(Q133-(Q133*T133))*S133+(Q133-(Q133*T133))</f>
        <v>127.99863999999999</v>
      </c>
      <c r="W133" t="s">
        <v>10270</v>
      </c>
      <c r="X133" s="5" t="s">
        <v>10271</v>
      </c>
      <c r="Y133" s="2">
        <v>38589</v>
      </c>
      <c r="Z133" s="2">
        <v>45397</v>
      </c>
      <c r="AA133" s="428" t="s">
        <v>10477</v>
      </c>
      <c r="AB133" s="2">
        <v>45434</v>
      </c>
      <c r="AC133" s="80" t="s">
        <v>1339</v>
      </c>
      <c r="AE133" s="3"/>
      <c r="AF133" t="s">
        <v>3198</v>
      </c>
      <c r="AI133" t="s">
        <v>3470</v>
      </c>
      <c r="AJ133" s="2">
        <v>45400</v>
      </c>
      <c r="AM133" s="74">
        <v>45401</v>
      </c>
      <c r="AS133" s="1" t="s">
        <v>7934</v>
      </c>
      <c r="AT133" s="1"/>
    </row>
    <row r="134" spans="1:46">
      <c r="A134" s="1">
        <v>134</v>
      </c>
      <c r="B134" t="s">
        <v>45</v>
      </c>
      <c r="C134" s="2">
        <v>45397</v>
      </c>
      <c r="D134" s="2" t="s">
        <v>9900</v>
      </c>
      <c r="E134" t="s">
        <v>10241</v>
      </c>
      <c r="F134" s="61" t="s">
        <v>10297</v>
      </c>
      <c r="G134" s="61" t="s">
        <v>10331</v>
      </c>
      <c r="H134" s="6" t="s">
        <v>1229</v>
      </c>
      <c r="I134" s="1" t="s">
        <v>3454</v>
      </c>
      <c r="J134" s="8"/>
      <c r="K134" s="301" t="s">
        <v>8356</v>
      </c>
      <c r="L134" s="1" t="s">
        <v>10241</v>
      </c>
      <c r="M134" s="2">
        <v>45412</v>
      </c>
      <c r="N134" s="1" t="s">
        <v>35</v>
      </c>
      <c r="O134" s="14" t="s">
        <v>9758</v>
      </c>
      <c r="P134" s="14" t="s">
        <v>10242</v>
      </c>
      <c r="Q134" s="187">
        <v>132.22999999999999</v>
      </c>
      <c r="R134" s="1">
        <v>1</v>
      </c>
      <c r="S134" s="128">
        <v>0.21</v>
      </c>
      <c r="T134" s="128">
        <v>0.2</v>
      </c>
      <c r="U134" s="363"/>
      <c r="V134" s="126">
        <f t="shared" si="51"/>
        <v>127.99863999999999</v>
      </c>
      <c r="W134" t="s">
        <v>10272</v>
      </c>
      <c r="X134" s="5" t="s">
        <v>10273</v>
      </c>
      <c r="Y134" s="3">
        <v>37822</v>
      </c>
      <c r="Z134" s="2">
        <v>45397</v>
      </c>
      <c r="AA134" s="428" t="s">
        <v>10477</v>
      </c>
      <c r="AB134" s="2">
        <v>45434</v>
      </c>
      <c r="AC134" s="80" t="s">
        <v>1339</v>
      </c>
      <c r="AF134" t="s">
        <v>3198</v>
      </c>
      <c r="AI134" s="76" t="s">
        <v>3470</v>
      </c>
      <c r="AJ134" s="2">
        <v>45400</v>
      </c>
      <c r="AM134" s="2"/>
      <c r="AT134" s="1"/>
    </row>
    <row r="135" spans="1:46">
      <c r="A135" s="1">
        <v>135</v>
      </c>
      <c r="B135" t="s">
        <v>33</v>
      </c>
      <c r="C135" s="2">
        <v>45398</v>
      </c>
      <c r="D135" s="2"/>
      <c r="E135" s="1" t="s">
        <v>5773</v>
      </c>
      <c r="F135" t="s">
        <v>10298</v>
      </c>
      <c r="G135" s="61" t="s">
        <v>8211</v>
      </c>
      <c r="H135" s="6" t="s">
        <v>304</v>
      </c>
      <c r="I135" s="1" t="s">
        <v>39</v>
      </c>
      <c r="J135" s="1"/>
      <c r="K135" s="114" t="s">
        <v>11744</v>
      </c>
      <c r="L135" t="s">
        <v>237</v>
      </c>
      <c r="M135" s="2">
        <v>45412</v>
      </c>
      <c r="N135" s="1" t="s">
        <v>35</v>
      </c>
      <c r="O135" s="14" t="s">
        <v>7934</v>
      </c>
      <c r="P135" s="14" t="s">
        <v>10245</v>
      </c>
      <c r="Q135" s="92">
        <v>78.510000000000005</v>
      </c>
      <c r="R135" s="1">
        <v>1</v>
      </c>
      <c r="S135" s="128">
        <v>0.21</v>
      </c>
      <c r="T135" s="128">
        <v>0.2</v>
      </c>
      <c r="U135" s="363"/>
      <c r="V135" s="95">
        <f t="shared" ref="V135" si="53">SUM(Q135-(Q135*T135))*S135+(Q135-(Q135*T135))</f>
        <v>75.997680000000003</v>
      </c>
      <c r="W135" t="s">
        <v>8277</v>
      </c>
      <c r="X135" s="5" t="s">
        <v>10246</v>
      </c>
      <c r="Y135" s="2">
        <v>29953</v>
      </c>
      <c r="Z135" s="2">
        <v>45398</v>
      </c>
      <c r="AA135" s="428" t="s">
        <v>10598</v>
      </c>
      <c r="AB135" s="2">
        <v>45460</v>
      </c>
      <c r="AC135" s="80" t="s">
        <v>1339</v>
      </c>
      <c r="AF135" t="s">
        <v>3198</v>
      </c>
      <c r="AJ135" s="3"/>
      <c r="AL135" s="3"/>
      <c r="AM135" s="3"/>
    </row>
    <row r="136" spans="1:46">
      <c r="A136" s="149">
        <v>136</v>
      </c>
      <c r="B136" s="153" t="s">
        <v>340</v>
      </c>
      <c r="C136" s="2">
        <v>45398</v>
      </c>
      <c r="D136" s="151"/>
      <c r="E136" s="149"/>
      <c r="F136" s="153" t="s">
        <v>6829</v>
      </c>
      <c r="G136" s="256"/>
      <c r="H136" s="257"/>
      <c r="I136" s="258"/>
      <c r="J136" s="299"/>
      <c r="K136" s="1"/>
      <c r="L136" s="153"/>
      <c r="M136" s="154"/>
      <c r="N136" s="149"/>
      <c r="O136" s="14" t="s">
        <v>7929</v>
      </c>
      <c r="P136" s="153" t="s">
        <v>10247</v>
      </c>
      <c r="Q136" s="222">
        <v>0</v>
      </c>
      <c r="R136" s="149">
        <v>0</v>
      </c>
      <c r="S136" s="223">
        <v>0</v>
      </c>
      <c r="T136" s="223">
        <v>0</v>
      </c>
      <c r="U136" s="149"/>
      <c r="V136" s="157">
        <v>0</v>
      </c>
      <c r="W136" s="153" t="s">
        <v>9468</v>
      </c>
      <c r="X136" s="225" t="s">
        <v>10299</v>
      </c>
      <c r="Y136" s="151">
        <v>30689</v>
      </c>
      <c r="Z136" s="2">
        <v>45398</v>
      </c>
      <c r="AA136" s="428" t="s">
        <v>10476</v>
      </c>
      <c r="AB136" s="3">
        <v>45434</v>
      </c>
      <c r="AC136" s="80" t="s">
        <v>1339</v>
      </c>
      <c r="AF136" t="s">
        <v>3198</v>
      </c>
      <c r="AI136" s="76" t="s">
        <v>3392</v>
      </c>
      <c r="AJ136" s="2"/>
      <c r="AM136" s="74"/>
      <c r="AT136" s="1"/>
    </row>
    <row r="137" spans="1:46">
      <c r="A137" s="1">
        <v>137</v>
      </c>
      <c r="B137" t="s">
        <v>37</v>
      </c>
      <c r="C137" s="2">
        <v>45399</v>
      </c>
      <c r="D137" s="2" t="s">
        <v>9900</v>
      </c>
      <c r="E137" t="s">
        <v>10288</v>
      </c>
      <c r="F137" s="61" t="s">
        <v>8244</v>
      </c>
      <c r="G137" t="s">
        <v>10260</v>
      </c>
      <c r="H137" s="6" t="s">
        <v>10261</v>
      </c>
      <c r="I137" s="1" t="s">
        <v>54</v>
      </c>
      <c r="J137" s="44">
        <v>632489284</v>
      </c>
      <c r="K137" s="1"/>
      <c r="L137" s="1" t="s">
        <v>10288</v>
      </c>
      <c r="M137" s="2">
        <v>45412</v>
      </c>
      <c r="N137" s="1" t="s">
        <v>35</v>
      </c>
      <c r="O137" s="14" t="s">
        <v>7925</v>
      </c>
      <c r="P137" s="14" t="s">
        <v>8246</v>
      </c>
      <c r="Q137" s="92">
        <v>132.22999999999999</v>
      </c>
      <c r="R137" s="1">
        <v>1</v>
      </c>
      <c r="S137" s="426">
        <v>0.21</v>
      </c>
      <c r="T137" s="426">
        <v>0</v>
      </c>
      <c r="U137" s="95"/>
      <c r="V137" s="126">
        <f t="shared" ref="V137" si="54">SUM(Q137-(Q137*T137))*S137+(Q137-(Q137*T137))</f>
        <v>159.99829999999997</v>
      </c>
      <c r="W137" t="s">
        <v>10288</v>
      </c>
      <c r="X137" s="5" t="s">
        <v>10289</v>
      </c>
      <c r="Y137" s="2">
        <v>32965</v>
      </c>
      <c r="Z137" s="2">
        <v>45399</v>
      </c>
      <c r="AA137" s="428" t="s">
        <v>10522</v>
      </c>
      <c r="AB137" s="2">
        <v>45447</v>
      </c>
      <c r="AC137" s="80" t="s">
        <v>1339</v>
      </c>
      <c r="AF137" t="s">
        <v>3198</v>
      </c>
      <c r="AI137" t="s">
        <v>10266</v>
      </c>
      <c r="AJ137" s="2">
        <v>45404</v>
      </c>
      <c r="AM137" s="74">
        <v>45406</v>
      </c>
      <c r="AT137" s="1"/>
    </row>
    <row r="138" spans="1:46">
      <c r="A138" s="1">
        <v>138</v>
      </c>
      <c r="B138" t="s">
        <v>37</v>
      </c>
      <c r="C138" s="2">
        <v>45399</v>
      </c>
      <c r="D138" s="2" t="s">
        <v>9900</v>
      </c>
      <c r="E138" t="s">
        <v>10286</v>
      </c>
      <c r="F138" s="61" t="s">
        <v>10262</v>
      </c>
      <c r="G138" t="s">
        <v>10263</v>
      </c>
      <c r="H138" s="6" t="s">
        <v>10261</v>
      </c>
      <c r="I138" s="1" t="s">
        <v>54</v>
      </c>
      <c r="J138" s="44">
        <v>641733056</v>
      </c>
      <c r="K138" s="1"/>
      <c r="L138" s="1" t="s">
        <v>10286</v>
      </c>
      <c r="M138" s="2">
        <v>45412</v>
      </c>
      <c r="N138" s="1" t="s">
        <v>35</v>
      </c>
      <c r="O138" s="14" t="s">
        <v>7925</v>
      </c>
      <c r="P138" s="14" t="s">
        <v>10264</v>
      </c>
      <c r="Q138" s="92">
        <v>132.22999999999999</v>
      </c>
      <c r="R138" s="1">
        <v>1</v>
      </c>
      <c r="S138" s="426">
        <v>0.21</v>
      </c>
      <c r="T138" s="426">
        <v>0</v>
      </c>
      <c r="U138" s="95"/>
      <c r="V138" s="126">
        <f t="shared" ref="V138" si="55">SUM(Q138-(Q138*T138))*S138+(Q138-(Q138*T138))</f>
        <v>159.99829999999997</v>
      </c>
      <c r="W138" t="s">
        <v>10286</v>
      </c>
      <c r="X138" s="5" t="s">
        <v>10287</v>
      </c>
      <c r="Y138" s="2">
        <v>31675</v>
      </c>
      <c r="Z138" s="2">
        <v>45399</v>
      </c>
      <c r="AA138" s="428" t="s">
        <v>10522</v>
      </c>
      <c r="AB138" s="2">
        <v>45447</v>
      </c>
      <c r="AC138" s="80" t="s">
        <v>1339</v>
      </c>
      <c r="AF138" t="s">
        <v>3198</v>
      </c>
      <c r="AI138" s="76" t="s">
        <v>10265</v>
      </c>
      <c r="AJ138" s="2">
        <v>45404</v>
      </c>
      <c r="AM138" s="74"/>
      <c r="AT138" s="1"/>
    </row>
    <row r="139" spans="1:46">
      <c r="A139" s="1">
        <v>139</v>
      </c>
      <c r="B139" t="s">
        <v>33</v>
      </c>
      <c r="C139" s="2">
        <v>45401</v>
      </c>
      <c r="D139" s="2" t="s">
        <v>9900</v>
      </c>
      <c r="E139" t="s">
        <v>6973</v>
      </c>
      <c r="F139" s="61" t="s">
        <v>6974</v>
      </c>
      <c r="G139" t="s">
        <v>10275</v>
      </c>
      <c r="H139" s="6" t="s">
        <v>219</v>
      </c>
      <c r="I139" s="1" t="s">
        <v>4334</v>
      </c>
      <c r="J139" s="44"/>
      <c r="K139" s="114" t="s">
        <v>11744</v>
      </c>
      <c r="L139" s="1" t="s">
        <v>237</v>
      </c>
      <c r="M139" s="2">
        <v>45412</v>
      </c>
      <c r="N139" s="1" t="s">
        <v>35</v>
      </c>
      <c r="O139" s="14" t="s">
        <v>7925</v>
      </c>
      <c r="P139" s="14" t="s">
        <v>10276</v>
      </c>
      <c r="Q139" s="92">
        <v>132.22999999999999</v>
      </c>
      <c r="R139" s="1">
        <v>1</v>
      </c>
      <c r="S139" s="426">
        <v>0.21</v>
      </c>
      <c r="T139" s="426">
        <v>0.2</v>
      </c>
      <c r="U139" s="95"/>
      <c r="V139" s="126">
        <f t="shared" ref="V139" si="56">SUM(Q139-(Q139*T139))*S139+(Q139-(Q139*T139))</f>
        <v>127.99863999999999</v>
      </c>
      <c r="W139" t="s">
        <v>10303</v>
      </c>
      <c r="X139" s="5" t="s">
        <v>10304</v>
      </c>
      <c r="Y139" s="2">
        <v>34006</v>
      </c>
      <c r="Z139" s="2">
        <v>45401</v>
      </c>
      <c r="AA139" s="377" t="s">
        <v>10528</v>
      </c>
      <c r="AB139" s="2">
        <v>45447</v>
      </c>
      <c r="AC139" s="80" t="s">
        <v>1339</v>
      </c>
      <c r="AF139" t="s">
        <v>3198</v>
      </c>
      <c r="AI139" t="s">
        <v>3392</v>
      </c>
      <c r="AJ139" s="2">
        <v>45405</v>
      </c>
      <c r="AM139" s="74">
        <v>45406</v>
      </c>
      <c r="AT139" s="1"/>
    </row>
    <row r="140" spans="1:46">
      <c r="A140" s="1">
        <v>140</v>
      </c>
      <c r="B140" t="s">
        <v>37</v>
      </c>
      <c r="C140" s="2">
        <v>45401</v>
      </c>
      <c r="D140" s="2" t="s">
        <v>9900</v>
      </c>
      <c r="E140" t="s">
        <v>10277</v>
      </c>
      <c r="F140" t="s">
        <v>10278</v>
      </c>
      <c r="G140" s="61" t="s">
        <v>10279</v>
      </c>
      <c r="H140" s="6" t="s">
        <v>10280</v>
      </c>
      <c r="I140" s="1" t="s">
        <v>10281</v>
      </c>
      <c r="J140" s="1"/>
      <c r="K140" s="1"/>
      <c r="L140" s="1" t="s">
        <v>10277</v>
      </c>
      <c r="M140" s="2">
        <v>45412</v>
      </c>
      <c r="N140" s="1" t="s">
        <v>35</v>
      </c>
      <c r="O140" s="14" t="s">
        <v>7934</v>
      </c>
      <c r="P140" s="14" t="s">
        <v>10282</v>
      </c>
      <c r="Q140" s="92">
        <v>78.510000000000005</v>
      </c>
      <c r="R140" s="1">
        <v>1</v>
      </c>
      <c r="S140" s="128">
        <v>0.21</v>
      </c>
      <c r="T140" s="128">
        <v>0</v>
      </c>
      <c r="U140" s="363"/>
      <c r="V140" s="95">
        <f t="shared" ref="V140:V141" si="57">SUM(Q140-(Q140*T140))*S140+(Q140-(Q140*T140))</f>
        <v>94.997100000000003</v>
      </c>
      <c r="W140" s="1" t="s">
        <v>10277</v>
      </c>
      <c r="X140" s="5" t="s">
        <v>10283</v>
      </c>
      <c r="Y140" s="2">
        <v>31486</v>
      </c>
      <c r="Z140" s="2">
        <v>45401</v>
      </c>
      <c r="AA140" s="403" t="s">
        <v>10629</v>
      </c>
      <c r="AB140" s="2">
        <v>45472</v>
      </c>
      <c r="AC140" s="133" t="s">
        <v>1339</v>
      </c>
      <c r="AF140" t="s">
        <v>3198</v>
      </c>
      <c r="AJ140" s="3"/>
      <c r="AL140" s="3"/>
      <c r="AM140" s="3"/>
    </row>
    <row r="141" spans="1:46">
      <c r="A141" s="1">
        <v>141</v>
      </c>
      <c r="B141" t="s">
        <v>6684</v>
      </c>
      <c r="C141" s="2">
        <v>45404</v>
      </c>
      <c r="D141" s="2"/>
      <c r="E141" s="1" t="s">
        <v>6685</v>
      </c>
      <c r="F141" t="s">
        <v>6686</v>
      </c>
      <c r="G141" t="s">
        <v>6687</v>
      </c>
      <c r="H141" s="6" t="s">
        <v>2579</v>
      </c>
      <c r="I141" t="s">
        <v>2580</v>
      </c>
      <c r="J141" s="8"/>
      <c r="K141" s="1" t="s">
        <v>7339</v>
      </c>
      <c r="L141" t="s">
        <v>6685</v>
      </c>
      <c r="M141" s="2">
        <v>45412</v>
      </c>
      <c r="N141" s="1" t="s">
        <v>35</v>
      </c>
      <c r="O141" s="61" t="s">
        <v>7925</v>
      </c>
      <c r="P141" s="14" t="s">
        <v>10284</v>
      </c>
      <c r="Q141" s="187">
        <v>132.22999999999999</v>
      </c>
      <c r="R141" s="1">
        <v>1</v>
      </c>
      <c r="S141" s="128">
        <v>0.21</v>
      </c>
      <c r="T141" s="128">
        <v>0.2</v>
      </c>
      <c r="V141" s="126">
        <f t="shared" si="57"/>
        <v>127.99863999999999</v>
      </c>
      <c r="W141" t="s">
        <v>10315</v>
      </c>
      <c r="X141" s="5" t="s">
        <v>10314</v>
      </c>
      <c r="Y141" s="3">
        <v>33603</v>
      </c>
      <c r="Z141" s="2">
        <v>45404</v>
      </c>
      <c r="AA141" s="428" t="s">
        <v>10576</v>
      </c>
      <c r="AB141" s="2">
        <v>45454</v>
      </c>
      <c r="AC141" s="80" t="s">
        <v>1339</v>
      </c>
      <c r="AF141" t="s">
        <v>3198</v>
      </c>
      <c r="AI141" t="s">
        <v>3392</v>
      </c>
      <c r="AJ141" s="3">
        <v>45407</v>
      </c>
      <c r="AM141" s="3">
        <v>45408</v>
      </c>
    </row>
    <row r="142" spans="1:46">
      <c r="A142" s="1">
        <v>142</v>
      </c>
      <c r="B142" t="s">
        <v>6684</v>
      </c>
      <c r="C142" s="2">
        <v>45405</v>
      </c>
      <c r="D142" s="2"/>
      <c r="E142" s="1" t="s">
        <v>6685</v>
      </c>
      <c r="F142" t="s">
        <v>6686</v>
      </c>
      <c r="G142" t="s">
        <v>6687</v>
      </c>
      <c r="H142" s="6" t="s">
        <v>2579</v>
      </c>
      <c r="I142" t="s">
        <v>2580</v>
      </c>
      <c r="J142" s="8"/>
      <c r="K142" s="1" t="s">
        <v>7339</v>
      </c>
      <c r="L142" t="s">
        <v>6685</v>
      </c>
      <c r="M142" s="2">
        <v>45412</v>
      </c>
      <c r="N142" s="1" t="s">
        <v>35</v>
      </c>
      <c r="O142" s="61" t="s">
        <v>7925</v>
      </c>
      <c r="P142" s="14" t="s">
        <v>10300</v>
      </c>
      <c r="Q142" s="187">
        <v>132.22999999999999</v>
      </c>
      <c r="R142" s="1">
        <v>1</v>
      </c>
      <c r="S142" s="128">
        <v>0.21</v>
      </c>
      <c r="T142" s="128">
        <v>0.2</v>
      </c>
      <c r="V142" s="126">
        <f t="shared" ref="V142:V144" si="58">SUM(Q142-(Q142*T142))*S142+(Q142-(Q142*T142))</f>
        <v>127.99863999999999</v>
      </c>
      <c r="W142" t="s">
        <v>10316</v>
      </c>
      <c r="X142" s="5" t="s">
        <v>10317</v>
      </c>
      <c r="Y142" s="3">
        <v>37576</v>
      </c>
      <c r="Z142" s="2">
        <v>45405</v>
      </c>
      <c r="AA142" s="428" t="s">
        <v>10530</v>
      </c>
      <c r="AB142" s="2">
        <v>45454</v>
      </c>
      <c r="AC142" s="80" t="s">
        <v>1339</v>
      </c>
      <c r="AF142" t="s">
        <v>3198</v>
      </c>
      <c r="AI142" s="76" t="s">
        <v>10301</v>
      </c>
      <c r="AJ142" s="3">
        <v>45407</v>
      </c>
      <c r="AM142" s="3"/>
    </row>
    <row r="143" spans="1:46">
      <c r="A143" s="1">
        <v>143</v>
      </c>
      <c r="B143" t="s">
        <v>40</v>
      </c>
      <c r="C143" s="2">
        <v>45406</v>
      </c>
      <c r="D143" s="2"/>
      <c r="E143" s="1" t="s">
        <v>6692</v>
      </c>
      <c r="F143" t="s">
        <v>6693</v>
      </c>
      <c r="G143" s="61" t="s">
        <v>6694</v>
      </c>
      <c r="H143" s="6" t="s">
        <v>221</v>
      </c>
      <c r="I143" s="1" t="s">
        <v>34</v>
      </c>
      <c r="J143" s="295">
        <v>670295176</v>
      </c>
      <c r="K143" t="s">
        <v>10302</v>
      </c>
      <c r="L143" t="s">
        <v>6692</v>
      </c>
      <c r="M143" s="2">
        <v>45412</v>
      </c>
      <c r="N143" s="1" t="s">
        <v>35</v>
      </c>
      <c r="O143" s="61" t="s">
        <v>9758</v>
      </c>
      <c r="P143" s="14" t="s">
        <v>6695</v>
      </c>
      <c r="Q143" s="92">
        <v>132.22999999999999</v>
      </c>
      <c r="R143" s="1">
        <v>1</v>
      </c>
      <c r="S143" s="128">
        <v>0.21</v>
      </c>
      <c r="T143" s="128">
        <v>0.2</v>
      </c>
      <c r="U143" s="1"/>
      <c r="V143" s="95">
        <f t="shared" si="58"/>
        <v>127.99863999999999</v>
      </c>
      <c r="W143" t="s">
        <v>6781</v>
      </c>
      <c r="X143" s="6" t="s">
        <v>10357</v>
      </c>
      <c r="Y143" s="2">
        <v>29948</v>
      </c>
      <c r="Z143" s="2">
        <v>45406</v>
      </c>
      <c r="AA143" s="428" t="s">
        <v>10597</v>
      </c>
      <c r="AB143" s="3">
        <v>45460</v>
      </c>
      <c r="AC143" s="80" t="s">
        <v>1339</v>
      </c>
      <c r="AF143" t="s">
        <v>3198</v>
      </c>
      <c r="AI143" s="76" t="s">
        <v>3470</v>
      </c>
      <c r="AJ143" s="2">
        <v>45414</v>
      </c>
      <c r="AM143" s="74"/>
      <c r="AT143" s="1"/>
    </row>
    <row r="144" spans="1:46">
      <c r="A144" s="1">
        <v>144</v>
      </c>
      <c r="B144" s="61" t="s">
        <v>33</v>
      </c>
      <c r="C144" s="2">
        <v>45406</v>
      </c>
      <c r="D144" s="2"/>
      <c r="E144" s="1" t="s">
        <v>3247</v>
      </c>
      <c r="F144" t="s">
        <v>9109</v>
      </c>
      <c r="G144" t="s">
        <v>3242</v>
      </c>
      <c r="H144" s="6" t="s">
        <v>304</v>
      </c>
      <c r="I144" t="s">
        <v>38</v>
      </c>
      <c r="J144" s="8">
        <v>646181264</v>
      </c>
      <c r="K144" s="114" t="s">
        <v>11744</v>
      </c>
      <c r="L144" s="1" t="s">
        <v>237</v>
      </c>
      <c r="M144" s="2">
        <v>45412</v>
      </c>
      <c r="N144" s="1" t="s">
        <v>35</v>
      </c>
      <c r="O144" s="14" t="s">
        <v>7925</v>
      </c>
      <c r="P144" s="14" t="s">
        <v>10305</v>
      </c>
      <c r="Q144" s="187">
        <v>132.22999999999999</v>
      </c>
      <c r="R144" s="1">
        <v>1</v>
      </c>
      <c r="S144" s="90">
        <v>0.21</v>
      </c>
      <c r="T144" s="90">
        <v>0.2</v>
      </c>
      <c r="V144" s="95">
        <f t="shared" si="58"/>
        <v>127.99863999999999</v>
      </c>
      <c r="W144" t="s">
        <v>10306</v>
      </c>
      <c r="X144" s="5" t="s">
        <v>10389</v>
      </c>
      <c r="Y144" s="2">
        <v>35327</v>
      </c>
      <c r="Z144" s="2">
        <v>45406</v>
      </c>
      <c r="AA144" s="428" t="s">
        <v>10530</v>
      </c>
      <c r="AB144" s="2">
        <v>45454</v>
      </c>
      <c r="AC144" s="80" t="s">
        <v>1339</v>
      </c>
      <c r="AE144" s="3"/>
      <c r="AF144" t="s">
        <v>3198</v>
      </c>
      <c r="AI144" t="s">
        <v>3392</v>
      </c>
      <c r="AJ144" s="2">
        <v>45425</v>
      </c>
      <c r="AM144" s="2">
        <v>45426</v>
      </c>
      <c r="AT144" s="1"/>
    </row>
    <row r="145" spans="1:46" ht="14.25" customHeight="1">
      <c r="A145" s="1">
        <v>145</v>
      </c>
      <c r="B145" s="61" t="s">
        <v>33</v>
      </c>
      <c r="C145" s="2">
        <v>45406</v>
      </c>
      <c r="D145" s="2" t="s">
        <v>9900</v>
      </c>
      <c r="E145" t="s">
        <v>10307</v>
      </c>
      <c r="F145" t="s">
        <v>10308</v>
      </c>
      <c r="G145" t="s">
        <v>10309</v>
      </c>
      <c r="H145" s="6" t="s">
        <v>219</v>
      </c>
      <c r="I145" t="s">
        <v>3851</v>
      </c>
      <c r="J145" s="8"/>
      <c r="K145" s="114" t="s">
        <v>11744</v>
      </c>
      <c r="L145" s="1" t="s">
        <v>237</v>
      </c>
      <c r="M145" s="2">
        <v>45412</v>
      </c>
      <c r="N145" s="1" t="s">
        <v>35</v>
      </c>
      <c r="O145" s="14" t="s">
        <v>9758</v>
      </c>
      <c r="P145" s="14" t="s">
        <v>10310</v>
      </c>
      <c r="Q145" s="92">
        <v>132.22999999999999</v>
      </c>
      <c r="R145" s="1">
        <v>1</v>
      </c>
      <c r="S145" s="426">
        <v>0.21</v>
      </c>
      <c r="T145" s="426">
        <v>0.2</v>
      </c>
      <c r="U145" s="95"/>
      <c r="V145" s="126">
        <f t="shared" ref="V145" si="59">SUM(Q145-(Q145*T145))*S145+(Q145-(Q145*T145))</f>
        <v>127.99863999999999</v>
      </c>
      <c r="W145" t="s">
        <v>10355</v>
      </c>
      <c r="X145" s="5" t="s">
        <v>10356</v>
      </c>
      <c r="Y145" s="2">
        <v>37814</v>
      </c>
      <c r="Z145" s="2">
        <v>45406</v>
      </c>
      <c r="AA145" s="428" t="s">
        <v>10597</v>
      </c>
      <c r="AB145" s="2">
        <v>45460</v>
      </c>
      <c r="AC145" s="80" t="s">
        <v>1339</v>
      </c>
      <c r="AF145" t="s">
        <v>3198</v>
      </c>
      <c r="AI145" t="s">
        <v>3470</v>
      </c>
      <c r="AJ145" s="2">
        <v>45414</v>
      </c>
      <c r="AM145" s="74">
        <v>45422</v>
      </c>
      <c r="AT145" s="1"/>
    </row>
    <row r="146" spans="1:46">
      <c r="A146" s="1">
        <v>146</v>
      </c>
      <c r="B146" s="61" t="s">
        <v>33</v>
      </c>
      <c r="C146" s="2">
        <v>45406</v>
      </c>
      <c r="D146" s="2"/>
      <c r="E146" s="1" t="s">
        <v>3247</v>
      </c>
      <c r="F146" t="s">
        <v>9109</v>
      </c>
      <c r="G146" t="s">
        <v>3242</v>
      </c>
      <c r="H146" s="6" t="s">
        <v>304</v>
      </c>
      <c r="I146" t="s">
        <v>38</v>
      </c>
      <c r="J146" s="8">
        <v>646181264</v>
      </c>
      <c r="K146" s="114" t="s">
        <v>11744</v>
      </c>
      <c r="L146" s="1" t="s">
        <v>237</v>
      </c>
      <c r="M146" s="2">
        <v>45412</v>
      </c>
      <c r="N146" s="1" t="s">
        <v>35</v>
      </c>
      <c r="O146" s="14" t="s">
        <v>9758</v>
      </c>
      <c r="P146" s="14" t="s">
        <v>10311</v>
      </c>
      <c r="Q146" s="187">
        <v>132.22999999999999</v>
      </c>
      <c r="R146" s="1">
        <v>1</v>
      </c>
      <c r="S146" s="90">
        <v>0.21</v>
      </c>
      <c r="T146" s="90">
        <v>0.2</v>
      </c>
      <c r="V146" s="95">
        <f t="shared" ref="V146" si="60">SUM(Q146-(Q146*T146))*S146+(Q146-(Q146*T146))</f>
        <v>127.99863999999999</v>
      </c>
      <c r="W146" t="s">
        <v>10349</v>
      </c>
      <c r="X146" s="5" t="s">
        <v>10350</v>
      </c>
      <c r="Y146" s="2">
        <v>27760</v>
      </c>
      <c r="Z146" s="2">
        <v>45406</v>
      </c>
      <c r="AA146" s="287" t="s">
        <v>10591</v>
      </c>
      <c r="AB146" s="2">
        <v>45460</v>
      </c>
      <c r="AC146" s="80" t="s">
        <v>1339</v>
      </c>
      <c r="AE146" s="3"/>
      <c r="AF146" t="s">
        <v>3198</v>
      </c>
      <c r="AI146" t="s">
        <v>10312</v>
      </c>
      <c r="AJ146" s="2">
        <v>45414</v>
      </c>
      <c r="AM146" s="2">
        <v>45418</v>
      </c>
      <c r="AT146" s="1"/>
    </row>
    <row r="147" spans="1:46">
      <c r="A147" s="1">
        <v>147</v>
      </c>
      <c r="B147" s="61" t="s">
        <v>37</v>
      </c>
      <c r="C147" s="2">
        <v>45407</v>
      </c>
      <c r="D147" s="2" t="s">
        <v>9900</v>
      </c>
      <c r="E147" t="s">
        <v>10318</v>
      </c>
      <c r="F147" s="61" t="s">
        <v>10319</v>
      </c>
      <c r="G147" t="s">
        <v>10320</v>
      </c>
      <c r="H147" s="6" t="s">
        <v>219</v>
      </c>
      <c r="I147" s="1" t="s">
        <v>4334</v>
      </c>
      <c r="J147" s="8">
        <v>655241363</v>
      </c>
      <c r="K147" s="1"/>
      <c r="L147" s="1" t="s">
        <v>10318</v>
      </c>
      <c r="M147" s="2">
        <v>45412</v>
      </c>
      <c r="N147" s="1" t="s">
        <v>35</v>
      </c>
      <c r="O147" s="375" t="s">
        <v>7929</v>
      </c>
      <c r="P147" s="14" t="s">
        <v>10321</v>
      </c>
      <c r="Q147" s="92">
        <v>132.22999999999999</v>
      </c>
      <c r="R147" s="1">
        <v>1</v>
      </c>
      <c r="S147" s="426">
        <v>0.21</v>
      </c>
      <c r="T147" s="426">
        <v>0</v>
      </c>
      <c r="U147" s="95"/>
      <c r="V147" s="126">
        <f t="shared" ref="V147" si="61">SUM(Q147-(Q147*T147))*S147+(Q147-(Q147*T147))</f>
        <v>159.99829999999997</v>
      </c>
      <c r="W147" t="s">
        <v>10490</v>
      </c>
      <c r="X147" s="5" t="s">
        <v>10491</v>
      </c>
      <c r="Y147" s="2">
        <v>14265</v>
      </c>
      <c r="Z147" s="2">
        <v>45407</v>
      </c>
      <c r="AA147" s="428" t="s">
        <v>10496</v>
      </c>
      <c r="AB147" s="2">
        <v>45447</v>
      </c>
      <c r="AC147" s="80" t="s">
        <v>1339</v>
      </c>
      <c r="AF147" t="s">
        <v>3198</v>
      </c>
      <c r="AI147" t="s">
        <v>3392</v>
      </c>
      <c r="AJ147" s="2">
        <v>45436</v>
      </c>
      <c r="AM147" s="74">
        <v>45439</v>
      </c>
      <c r="AT147" s="1"/>
    </row>
    <row r="148" spans="1:46">
      <c r="A148" s="1">
        <v>148</v>
      </c>
      <c r="B148" t="s">
        <v>52</v>
      </c>
      <c r="C148" s="2">
        <v>45407</v>
      </c>
      <c r="D148" s="2"/>
      <c r="E148" s="1" t="s">
        <v>62</v>
      </c>
      <c r="F148" s="61" t="s">
        <v>63</v>
      </c>
      <c r="G148" s="61" t="s">
        <v>214</v>
      </c>
      <c r="H148" s="6" t="s">
        <v>219</v>
      </c>
      <c r="I148" s="1" t="s">
        <v>38</v>
      </c>
      <c r="J148" s="8">
        <v>607281764</v>
      </c>
      <c r="K148" t="s">
        <v>5906</v>
      </c>
      <c r="L148" t="s">
        <v>4432</v>
      </c>
      <c r="M148" s="2">
        <v>45412</v>
      </c>
      <c r="N148" t="s">
        <v>35</v>
      </c>
      <c r="O148" s="61" t="s">
        <v>7925</v>
      </c>
      <c r="P148" s="14" t="s">
        <v>10322</v>
      </c>
      <c r="Q148" s="92">
        <v>132.22999999999999</v>
      </c>
      <c r="R148" s="1">
        <v>1</v>
      </c>
      <c r="S148" s="128">
        <v>0.21</v>
      </c>
      <c r="T148" s="128">
        <v>0.2</v>
      </c>
      <c r="U148" s="1"/>
      <c r="V148" s="95">
        <f t="shared" ref="V148" si="62">SUM(Q148-(Q148*T148))*S148+(Q148-(Q148*T148))</f>
        <v>127.99863999999999</v>
      </c>
      <c r="W148" t="s">
        <v>10353</v>
      </c>
      <c r="X148" s="5" t="s">
        <v>10354</v>
      </c>
      <c r="Y148" s="2">
        <v>37538</v>
      </c>
      <c r="Z148" s="2">
        <v>45407</v>
      </c>
      <c r="AA148" s="428" t="s">
        <v>10577</v>
      </c>
      <c r="AB148" s="2">
        <v>45454</v>
      </c>
      <c r="AC148" s="80" t="s">
        <v>1339</v>
      </c>
      <c r="AF148" t="s">
        <v>3198</v>
      </c>
      <c r="AI148" t="s">
        <v>3470</v>
      </c>
      <c r="AJ148" s="2">
        <v>45414</v>
      </c>
      <c r="AM148" s="74">
        <v>45421</v>
      </c>
      <c r="AS148" s="96"/>
      <c r="AT148" s="1"/>
    </row>
    <row r="149" spans="1:46">
      <c r="A149" s="1">
        <v>149</v>
      </c>
      <c r="B149" t="s">
        <v>33</v>
      </c>
      <c r="C149" s="2">
        <v>45407</v>
      </c>
      <c r="D149" s="2"/>
      <c r="E149" s="1" t="s">
        <v>5021</v>
      </c>
      <c r="F149" t="s">
        <v>5014</v>
      </c>
      <c r="G149" t="s">
        <v>5020</v>
      </c>
      <c r="H149" s="6" t="s">
        <v>219</v>
      </c>
      <c r="I149" s="1" t="s">
        <v>38</v>
      </c>
      <c r="J149" s="1"/>
      <c r="K149" s="114" t="s">
        <v>11744</v>
      </c>
      <c r="L149" s="1" t="s">
        <v>237</v>
      </c>
      <c r="M149" s="2">
        <v>45412</v>
      </c>
      <c r="N149" s="1" t="s">
        <v>35</v>
      </c>
      <c r="O149" s="61" t="s">
        <v>7925</v>
      </c>
      <c r="P149" s="14" t="s">
        <v>10323</v>
      </c>
      <c r="Q149" s="92">
        <v>132.22999999999999</v>
      </c>
      <c r="R149" s="1">
        <v>1</v>
      </c>
      <c r="S149" s="128">
        <v>0.21</v>
      </c>
      <c r="T149" s="128">
        <v>0.2</v>
      </c>
      <c r="U149" s="363"/>
      <c r="V149" s="126">
        <f t="shared" ref="V149" si="63">SUM(Q149-(Q149*T149))*S149+(Q149-(Q149*T149))</f>
        <v>127.99863999999999</v>
      </c>
      <c r="W149" t="s">
        <v>10351</v>
      </c>
      <c r="X149" s="5" t="s">
        <v>10352</v>
      </c>
      <c r="Y149" s="2">
        <v>35042</v>
      </c>
      <c r="Z149" s="2">
        <v>45407</v>
      </c>
      <c r="AA149" s="285" t="s">
        <v>10804</v>
      </c>
      <c r="AB149" s="2">
        <v>45517</v>
      </c>
      <c r="AC149" s="80" t="s">
        <v>1339</v>
      </c>
      <c r="AD149" s="61"/>
      <c r="AE149" s="292">
        <v>45485</v>
      </c>
      <c r="AF149" t="s">
        <v>3198</v>
      </c>
      <c r="AI149" t="s">
        <v>3392</v>
      </c>
      <c r="AJ149" s="2">
        <v>45414</v>
      </c>
      <c r="AM149" s="3">
        <v>45422</v>
      </c>
      <c r="AS149" s="1"/>
      <c r="AT149" s="1"/>
    </row>
    <row r="150" spans="1:46">
      <c r="A150" s="1">
        <v>150</v>
      </c>
      <c r="B150" t="s">
        <v>1511</v>
      </c>
      <c r="C150" s="2">
        <v>45407</v>
      </c>
      <c r="D150" s="2" t="s">
        <v>9900</v>
      </c>
      <c r="E150" t="s">
        <v>105</v>
      </c>
      <c r="F150" s="61" t="s">
        <v>132</v>
      </c>
      <c r="G150" s="61" t="s">
        <v>10324</v>
      </c>
      <c r="H150" s="6" t="s">
        <v>239</v>
      </c>
      <c r="I150" s="1" t="s">
        <v>86</v>
      </c>
      <c r="J150" s="8">
        <v>634741583</v>
      </c>
      <c r="K150" s="1"/>
      <c r="L150" s="1" t="s">
        <v>105</v>
      </c>
      <c r="M150" s="2">
        <v>45412</v>
      </c>
      <c r="N150" s="1" t="s">
        <v>35</v>
      </c>
      <c r="O150" s="61" t="s">
        <v>9758</v>
      </c>
      <c r="P150" s="14" t="s">
        <v>10325</v>
      </c>
      <c r="Q150" s="92">
        <v>132.22999999999999</v>
      </c>
      <c r="R150" s="1">
        <v>1</v>
      </c>
      <c r="S150" s="128">
        <v>0.21</v>
      </c>
      <c r="T150" s="128">
        <v>0.2</v>
      </c>
      <c r="U150" s="95"/>
      <c r="V150" s="126">
        <f t="shared" ref="V150" si="64">SUM(Q150-(Q150*T150))*S150+(Q150-(Q150*T150))</f>
        <v>127.99863999999999</v>
      </c>
      <c r="W150" t="s">
        <v>10358</v>
      </c>
      <c r="X150" s="5" t="s">
        <v>10359</v>
      </c>
      <c r="Y150" s="2">
        <v>38672</v>
      </c>
      <c r="Z150" s="2">
        <v>45407</v>
      </c>
      <c r="AA150" s="428" t="s">
        <v>10509</v>
      </c>
      <c r="AB150" s="3">
        <v>45442</v>
      </c>
      <c r="AC150" s="80" t="s">
        <v>1339</v>
      </c>
      <c r="AF150" t="s">
        <v>3198</v>
      </c>
      <c r="AI150" t="s">
        <v>3470</v>
      </c>
      <c r="AJ150" s="2">
        <v>45414</v>
      </c>
      <c r="AM150" s="74">
        <v>45426</v>
      </c>
      <c r="AS150" s="96"/>
      <c r="AT150" s="1"/>
    </row>
    <row r="151" spans="1:46">
      <c r="A151" s="1">
        <v>151</v>
      </c>
      <c r="B151" t="s">
        <v>1242</v>
      </c>
      <c r="C151" s="2">
        <v>45407</v>
      </c>
      <c r="D151" s="2"/>
      <c r="E151" s="1" t="s">
        <v>3097</v>
      </c>
      <c r="F151" t="s">
        <v>3098</v>
      </c>
      <c r="G151" s="61" t="s">
        <v>5511</v>
      </c>
      <c r="H151" s="6" t="s">
        <v>221</v>
      </c>
      <c r="I151" s="1" t="s">
        <v>34</v>
      </c>
      <c r="J151" s="1"/>
      <c r="K151" s="8" t="s">
        <v>5905</v>
      </c>
      <c r="L151" s="31" t="s">
        <v>1250</v>
      </c>
      <c r="M151" s="2">
        <v>45412</v>
      </c>
      <c r="N151" s="1" t="s">
        <v>35</v>
      </c>
      <c r="O151" s="61" t="s">
        <v>7934</v>
      </c>
      <c r="P151" s="14" t="s">
        <v>10326</v>
      </c>
      <c r="Q151" s="187">
        <v>78.510000000000005</v>
      </c>
      <c r="R151" s="1">
        <v>1</v>
      </c>
      <c r="S151" s="90">
        <v>0.21</v>
      </c>
      <c r="T151" s="90">
        <v>0.2</v>
      </c>
      <c r="V151" s="95">
        <f t="shared" ref="V151:V153" si="65">SUM(Q151-(Q151*T151))*S151+(Q151-(Q151*T151))</f>
        <v>75.997680000000003</v>
      </c>
      <c r="W151" t="s">
        <v>7828</v>
      </c>
      <c r="X151" s="5" t="s">
        <v>10327</v>
      </c>
      <c r="Y151" s="2">
        <v>35582</v>
      </c>
      <c r="Z151" s="2">
        <v>45407</v>
      </c>
      <c r="AA151" s="428" t="s">
        <v>10493</v>
      </c>
      <c r="AB151" s="3">
        <v>45436</v>
      </c>
      <c r="AC151" s="80" t="s">
        <v>1339</v>
      </c>
      <c r="AF151" t="s">
        <v>3198</v>
      </c>
      <c r="AJ151" s="2"/>
      <c r="AM151" s="3"/>
      <c r="AT151" s="1"/>
    </row>
    <row r="152" spans="1:46">
      <c r="A152" s="1">
        <v>152</v>
      </c>
      <c r="B152" t="s">
        <v>3526</v>
      </c>
      <c r="C152" s="2">
        <v>45408</v>
      </c>
      <c r="D152" s="2"/>
      <c r="E152" s="1" t="s">
        <v>10225</v>
      </c>
      <c r="F152" s="61" t="s">
        <v>10291</v>
      </c>
      <c r="G152" t="s">
        <v>10226</v>
      </c>
      <c r="H152" s="6" t="s">
        <v>293</v>
      </c>
      <c r="I152" s="1" t="s">
        <v>10227</v>
      </c>
      <c r="J152" s="295"/>
      <c r="K152" s="302" t="s">
        <v>7759</v>
      </c>
      <c r="L152" s="1" t="s">
        <v>10225</v>
      </c>
      <c r="M152" s="2">
        <v>45412</v>
      </c>
      <c r="N152" s="1" t="s">
        <v>35</v>
      </c>
      <c r="O152" s="61" t="s">
        <v>7934</v>
      </c>
      <c r="P152" s="14" t="s">
        <v>10329</v>
      </c>
      <c r="Q152" s="187">
        <v>78.510000000000005</v>
      </c>
      <c r="R152" s="1">
        <v>1</v>
      </c>
      <c r="S152" s="128">
        <v>0.21</v>
      </c>
      <c r="T152" s="128">
        <v>0.2</v>
      </c>
      <c r="U152" s="363"/>
      <c r="V152" s="126">
        <f t="shared" si="65"/>
        <v>75.997680000000003</v>
      </c>
      <c r="W152" s="1" t="s">
        <v>10225</v>
      </c>
      <c r="X152" s="5" t="s">
        <v>10330</v>
      </c>
      <c r="Y152" s="2">
        <v>35786</v>
      </c>
      <c r="Z152" s="2">
        <v>45408</v>
      </c>
      <c r="AA152" s="428" t="s">
        <v>10605</v>
      </c>
      <c r="AB152" s="2">
        <v>45463</v>
      </c>
      <c r="AC152" s="80" t="s">
        <v>1339</v>
      </c>
      <c r="AF152" t="s">
        <v>3198</v>
      </c>
      <c r="AJ152" s="2"/>
      <c r="AM152" s="74"/>
      <c r="AT152" s="1"/>
    </row>
    <row r="153" spans="1:46">
      <c r="A153" s="1">
        <v>153</v>
      </c>
      <c r="B153" t="s">
        <v>7245</v>
      </c>
      <c r="C153" s="2">
        <v>45411</v>
      </c>
      <c r="D153" s="2"/>
      <c r="E153" s="1" t="s">
        <v>1522</v>
      </c>
      <c r="F153" s="61" t="s">
        <v>3233</v>
      </c>
      <c r="G153" t="s">
        <v>3241</v>
      </c>
      <c r="H153" s="6" t="s">
        <v>3234</v>
      </c>
      <c r="I153" t="s">
        <v>3235</v>
      </c>
      <c r="J153" s="8">
        <v>680761760</v>
      </c>
      <c r="K153" s="8" t="s">
        <v>6232</v>
      </c>
      <c r="L153" t="s">
        <v>1522</v>
      </c>
      <c r="M153" s="2">
        <v>45412</v>
      </c>
      <c r="N153" s="1" t="s">
        <v>35</v>
      </c>
      <c r="O153" s="14" t="s">
        <v>7926</v>
      </c>
      <c r="P153" s="14" t="s">
        <v>10334</v>
      </c>
      <c r="Q153" s="187">
        <v>132.22999999999999</v>
      </c>
      <c r="R153" s="1">
        <v>1</v>
      </c>
      <c r="S153" s="128">
        <v>0.21</v>
      </c>
      <c r="T153" s="128">
        <v>0.2</v>
      </c>
      <c r="U153" s="363"/>
      <c r="V153" s="126">
        <f t="shared" si="65"/>
        <v>127.99863999999999</v>
      </c>
      <c r="W153" t="s">
        <v>10368</v>
      </c>
      <c r="X153" s="5" t="s">
        <v>10369</v>
      </c>
      <c r="Y153" s="2">
        <v>36668</v>
      </c>
      <c r="Z153" s="2">
        <v>45411</v>
      </c>
      <c r="AA153" s="428" t="s">
        <v>10508</v>
      </c>
      <c r="AB153" s="2">
        <v>45441</v>
      </c>
      <c r="AC153" s="80" t="s">
        <v>1339</v>
      </c>
      <c r="AE153" s="3"/>
      <c r="AF153" t="s">
        <v>3198</v>
      </c>
      <c r="AI153" t="s">
        <v>3470</v>
      </c>
      <c r="AJ153" s="2">
        <v>45415</v>
      </c>
      <c r="AM153" s="3">
        <v>45421</v>
      </c>
      <c r="AS153" s="1" t="s">
        <v>7934</v>
      </c>
      <c r="AT153" s="1"/>
    </row>
    <row r="154" spans="1:46">
      <c r="A154" s="1">
        <v>154</v>
      </c>
      <c r="B154" t="s">
        <v>4321</v>
      </c>
      <c r="C154" s="2">
        <v>45412</v>
      </c>
      <c r="D154" s="2" t="s">
        <v>9900</v>
      </c>
      <c r="E154" t="s">
        <v>10342</v>
      </c>
      <c r="F154" s="61" t="s">
        <v>10343</v>
      </c>
      <c r="G154" s="61" t="s">
        <v>10344</v>
      </c>
      <c r="H154" s="6" t="s">
        <v>270</v>
      </c>
      <c r="I154" s="1" t="s">
        <v>3681</v>
      </c>
      <c r="J154" s="1"/>
      <c r="K154" s="302" t="s">
        <v>5991</v>
      </c>
      <c r="L154" s="1" t="s">
        <v>10342</v>
      </c>
      <c r="M154" s="414">
        <v>45443</v>
      </c>
      <c r="N154" s="1" t="s">
        <v>35</v>
      </c>
      <c r="O154" s="14" t="s">
        <v>7934</v>
      </c>
      <c r="P154" s="14" t="s">
        <v>10345</v>
      </c>
      <c r="Q154" s="187">
        <v>132.22999999999999</v>
      </c>
      <c r="R154" s="1">
        <v>1</v>
      </c>
      <c r="S154" s="128">
        <v>0.21</v>
      </c>
      <c r="T154" s="128">
        <v>0.2</v>
      </c>
      <c r="U154" s="363"/>
      <c r="V154" s="126">
        <f t="shared" ref="V154:V156" si="66">SUM(Q154-(Q154*T154))*S154+(Q154-(Q154*T154))</f>
        <v>127.99863999999999</v>
      </c>
      <c r="W154" t="s">
        <v>10346</v>
      </c>
      <c r="X154" s="5" t="s">
        <v>10392</v>
      </c>
      <c r="Y154" s="2">
        <v>32931</v>
      </c>
      <c r="Z154" s="2">
        <v>45412</v>
      </c>
      <c r="AA154" s="428" t="s">
        <v>10493</v>
      </c>
      <c r="AB154" s="2">
        <v>45439</v>
      </c>
      <c r="AC154" s="80" t="s">
        <v>1339</v>
      </c>
      <c r="AF154" t="s">
        <v>3198</v>
      </c>
      <c r="AI154" t="s">
        <v>3392</v>
      </c>
      <c r="AJ154" s="2">
        <v>45419</v>
      </c>
      <c r="AM154" s="3">
        <v>45428</v>
      </c>
      <c r="AT154" s="1"/>
    </row>
    <row r="155" spans="1:46">
      <c r="A155" s="1">
        <v>155</v>
      </c>
      <c r="B155" t="s">
        <v>423</v>
      </c>
      <c r="C155" s="2">
        <v>45412</v>
      </c>
      <c r="E155" s="1" t="s">
        <v>3217</v>
      </c>
      <c r="F155" s="61" t="s">
        <v>91</v>
      </c>
      <c r="G155" t="s">
        <v>3218</v>
      </c>
      <c r="H155" s="6" t="s">
        <v>219</v>
      </c>
      <c r="I155" s="1" t="s">
        <v>38</v>
      </c>
      <c r="J155" s="8">
        <v>629562761</v>
      </c>
      <c r="K155" s="8" t="s">
        <v>6182</v>
      </c>
      <c r="L155" t="s">
        <v>3217</v>
      </c>
      <c r="M155" s="414">
        <v>45443</v>
      </c>
      <c r="N155" s="1" t="s">
        <v>35</v>
      </c>
      <c r="O155" s="61" t="s">
        <v>9758</v>
      </c>
      <c r="P155" s="14" t="s">
        <v>10347</v>
      </c>
      <c r="Q155" s="187">
        <v>132.22999999999999</v>
      </c>
      <c r="R155" s="1">
        <v>1</v>
      </c>
      <c r="S155" s="128">
        <v>0.21</v>
      </c>
      <c r="T155" s="128">
        <v>0.2</v>
      </c>
      <c r="U155" s="95"/>
      <c r="V155" s="126">
        <f t="shared" ref="V155" si="67">SUM(Q155-(Q155*T155))*S155+(Q155-(Q155*T155))</f>
        <v>127.99863999999999</v>
      </c>
      <c r="W155" t="s">
        <v>10390</v>
      </c>
      <c r="X155" s="6" t="s">
        <v>10391</v>
      </c>
      <c r="Y155" s="2">
        <v>36644</v>
      </c>
      <c r="Z155" s="2">
        <v>45412</v>
      </c>
      <c r="AA155" s="428" t="s">
        <v>10497</v>
      </c>
      <c r="AB155" s="3">
        <v>45447</v>
      </c>
      <c r="AC155" s="80" t="s">
        <v>1339</v>
      </c>
      <c r="AF155" t="s">
        <v>3198</v>
      </c>
      <c r="AI155" t="s">
        <v>10348</v>
      </c>
      <c r="AJ155" s="2">
        <v>45419</v>
      </c>
      <c r="AK155" s="3"/>
      <c r="AL155" s="74"/>
      <c r="AM155" s="3">
        <v>45421</v>
      </c>
      <c r="AS155" s="1"/>
    </row>
    <row r="156" spans="1:46">
      <c r="A156" s="1">
        <v>156</v>
      </c>
      <c r="B156" t="s">
        <v>5163</v>
      </c>
      <c r="C156" s="2">
        <v>45415</v>
      </c>
      <c r="D156" s="2" t="s">
        <v>9900</v>
      </c>
      <c r="E156" t="s">
        <v>9362</v>
      </c>
      <c r="F156" s="61" t="s">
        <v>10363</v>
      </c>
      <c r="G156" s="61" t="s">
        <v>10364</v>
      </c>
      <c r="H156" s="6" t="s">
        <v>230</v>
      </c>
      <c r="I156" s="1" t="s">
        <v>8550</v>
      </c>
      <c r="J156" s="1">
        <v>644914907</v>
      </c>
      <c r="K156" s="301" t="s">
        <v>10365</v>
      </c>
      <c r="L156" t="s">
        <v>9362</v>
      </c>
      <c r="M156" s="2">
        <v>45443</v>
      </c>
      <c r="N156" s="1" t="s">
        <v>35</v>
      </c>
      <c r="O156" s="61" t="s">
        <v>7925</v>
      </c>
      <c r="P156" s="14" t="s">
        <v>10366</v>
      </c>
      <c r="Q156" s="187">
        <v>0</v>
      </c>
      <c r="R156" s="1">
        <v>0</v>
      </c>
      <c r="S156" s="90">
        <v>0</v>
      </c>
      <c r="T156" s="90">
        <v>0</v>
      </c>
      <c r="U156" s="363"/>
      <c r="V156" s="126">
        <f t="shared" si="66"/>
        <v>0</v>
      </c>
      <c r="W156" t="s">
        <v>10394</v>
      </c>
      <c r="X156" s="5" t="s">
        <v>10393</v>
      </c>
      <c r="Y156" s="2">
        <v>30844</v>
      </c>
      <c r="Z156" s="2">
        <v>45415</v>
      </c>
      <c r="AA156" s="2"/>
      <c r="AB156" s="2">
        <v>45457</v>
      </c>
      <c r="AC156" s="80" t="s">
        <v>1339</v>
      </c>
      <c r="AF156" t="s">
        <v>3198</v>
      </c>
      <c r="AI156" s="76" t="s">
        <v>10367</v>
      </c>
      <c r="AJ156" s="2">
        <v>45419</v>
      </c>
      <c r="AM156" s="3">
        <v>45425</v>
      </c>
      <c r="AT156" s="1"/>
    </row>
    <row r="157" spans="1:46">
      <c r="A157" s="1">
        <v>157</v>
      </c>
      <c r="B157" s="61" t="s">
        <v>9170</v>
      </c>
      <c r="C157" s="2">
        <v>45418</v>
      </c>
      <c r="D157" s="2"/>
      <c r="E157" s="1" t="s">
        <v>7075</v>
      </c>
      <c r="F157" s="61" t="s">
        <v>7076</v>
      </c>
      <c r="G157" s="61" t="s">
        <v>7077</v>
      </c>
      <c r="H157" s="6" t="s">
        <v>227</v>
      </c>
      <c r="I157" s="1" t="s">
        <v>34</v>
      </c>
      <c r="J157" s="44"/>
      <c r="K157" s="1" t="s">
        <v>9171</v>
      </c>
      <c r="L157" s="1" t="s">
        <v>7075</v>
      </c>
      <c r="M157" s="2">
        <v>45443</v>
      </c>
      <c r="N157" s="1" t="s">
        <v>35</v>
      </c>
      <c r="O157" s="61" t="s">
        <v>9758</v>
      </c>
      <c r="P157" s="14" t="s">
        <v>10370</v>
      </c>
      <c r="Q157" s="187">
        <v>132.22999999999999</v>
      </c>
      <c r="R157" s="1">
        <v>1</v>
      </c>
      <c r="S157" s="128">
        <v>0.21</v>
      </c>
      <c r="T157" s="128">
        <v>0.2</v>
      </c>
      <c r="V157" s="95">
        <f t="shared" ref="V157" si="68">SUM(Q157-(Q157*T157))*S157+(Q157-(Q157*T157))</f>
        <v>127.99863999999999</v>
      </c>
      <c r="W157" t="s">
        <v>10416</v>
      </c>
      <c r="X157" s="6" t="s">
        <v>10417</v>
      </c>
      <c r="Y157" s="2">
        <v>38881</v>
      </c>
      <c r="Z157" s="2">
        <v>45418</v>
      </c>
      <c r="AA157" s="428" t="s">
        <v>10495</v>
      </c>
      <c r="AB157" s="3">
        <v>45442</v>
      </c>
      <c r="AC157" s="80" t="s">
        <v>1339</v>
      </c>
      <c r="AF157" t="s">
        <v>3198</v>
      </c>
      <c r="AI157" t="s">
        <v>3470</v>
      </c>
      <c r="AJ157" s="2">
        <v>45422</v>
      </c>
      <c r="AM157" s="74">
        <v>45428</v>
      </c>
      <c r="AT157" s="1"/>
    </row>
    <row r="158" spans="1:46">
      <c r="A158" s="1">
        <v>158</v>
      </c>
      <c r="B158" t="s">
        <v>143</v>
      </c>
      <c r="C158" s="2">
        <v>45418</v>
      </c>
      <c r="D158" s="2" t="s">
        <v>9900</v>
      </c>
      <c r="E158" t="s">
        <v>10371</v>
      </c>
      <c r="F158" s="61" t="s">
        <v>10372</v>
      </c>
      <c r="G158" s="61" t="s">
        <v>10373</v>
      </c>
      <c r="H158" s="6" t="s">
        <v>10374</v>
      </c>
      <c r="I158" s="1" t="s">
        <v>10375</v>
      </c>
      <c r="J158" s="1"/>
      <c r="K158" s="8"/>
      <c r="L158" s="1" t="s">
        <v>10371</v>
      </c>
      <c r="M158" s="2">
        <v>45443</v>
      </c>
      <c r="N158" s="1" t="s">
        <v>35</v>
      </c>
      <c r="O158" s="61" t="s">
        <v>7934</v>
      </c>
      <c r="P158" s="14" t="s">
        <v>10376</v>
      </c>
      <c r="Q158" s="187">
        <v>132.22999999999999</v>
      </c>
      <c r="R158" s="1">
        <v>1</v>
      </c>
      <c r="S158" s="90">
        <v>0.21</v>
      </c>
      <c r="T158" s="90">
        <v>0.2</v>
      </c>
      <c r="U158" s="363"/>
      <c r="V158" s="126">
        <f t="shared" ref="V158:V159" si="69">SUM(Q158-(Q158*T158))*S158+(Q158-(Q158*T158))</f>
        <v>127.99863999999999</v>
      </c>
      <c r="W158" s="1" t="s">
        <v>10371</v>
      </c>
      <c r="X158" s="5" t="s">
        <v>10468</v>
      </c>
      <c r="Y158" s="2">
        <v>37305</v>
      </c>
      <c r="Z158" s="2">
        <v>45418</v>
      </c>
      <c r="AA158" s="428" t="s">
        <v>10679</v>
      </c>
      <c r="AB158" s="2">
        <v>45475</v>
      </c>
      <c r="AC158" s="80" t="s">
        <v>1339</v>
      </c>
      <c r="AF158" t="s">
        <v>3198</v>
      </c>
      <c r="AH158" s="162">
        <v>45467</v>
      </c>
      <c r="AI158" t="s">
        <v>3392</v>
      </c>
      <c r="AJ158" s="2">
        <v>45426</v>
      </c>
      <c r="AM158" s="3">
        <v>45427</v>
      </c>
      <c r="AT158" s="1"/>
    </row>
    <row r="159" spans="1:46">
      <c r="A159" s="1">
        <v>159</v>
      </c>
      <c r="B159" t="s">
        <v>37</v>
      </c>
      <c r="C159" s="2">
        <v>45418</v>
      </c>
      <c r="D159" s="2" t="s">
        <v>9900</v>
      </c>
      <c r="E159" t="s">
        <v>10399</v>
      </c>
      <c r="F159" s="61" t="s">
        <v>10385</v>
      </c>
      <c r="G159" s="61" t="s">
        <v>10377</v>
      </c>
      <c r="H159" s="6" t="s">
        <v>7966</v>
      </c>
      <c r="I159" s="1" t="s">
        <v>7965</v>
      </c>
      <c r="J159" s="1">
        <v>642984617</v>
      </c>
      <c r="K159" s="8"/>
      <c r="L159" t="s">
        <v>10399</v>
      </c>
      <c r="M159" s="2">
        <v>45443</v>
      </c>
      <c r="N159" s="1" t="s">
        <v>35</v>
      </c>
      <c r="O159" s="61" t="s">
        <v>7925</v>
      </c>
      <c r="P159" s="14" t="s">
        <v>10378</v>
      </c>
      <c r="Q159" s="187">
        <v>132.22999999999999</v>
      </c>
      <c r="R159" s="1">
        <v>1</v>
      </c>
      <c r="S159" s="90">
        <v>0.21</v>
      </c>
      <c r="T159" s="90">
        <v>0.2</v>
      </c>
      <c r="U159" s="363"/>
      <c r="V159" s="126">
        <f t="shared" si="69"/>
        <v>127.99863999999999</v>
      </c>
      <c r="W159" t="s">
        <v>10399</v>
      </c>
      <c r="X159" s="5" t="s">
        <v>10400</v>
      </c>
      <c r="Y159" s="2">
        <v>29072</v>
      </c>
      <c r="Z159" s="2">
        <v>45418</v>
      </c>
      <c r="AA159" s="428" t="s">
        <v>10924</v>
      </c>
      <c r="AB159" s="2" t="s">
        <v>10925</v>
      </c>
      <c r="AC159" s="80" t="s">
        <v>1339</v>
      </c>
      <c r="AF159" t="s">
        <v>3198</v>
      </c>
      <c r="AH159" s="182">
        <v>45457</v>
      </c>
      <c r="AI159" t="s">
        <v>10379</v>
      </c>
      <c r="AJ159" s="2">
        <v>45420</v>
      </c>
      <c r="AM159" s="3">
        <v>45422</v>
      </c>
      <c r="AT159" s="1"/>
    </row>
    <row r="160" spans="1:46">
      <c r="A160" s="1">
        <v>160</v>
      </c>
      <c r="B160" s="61" t="s">
        <v>33</v>
      </c>
      <c r="C160" s="2">
        <v>45418</v>
      </c>
      <c r="D160" s="2"/>
      <c r="E160" s="1" t="s">
        <v>3030</v>
      </c>
      <c r="F160" s="61" t="s">
        <v>9862</v>
      </c>
      <c r="G160" t="s">
        <v>6907</v>
      </c>
      <c r="H160" s="6" t="s">
        <v>304</v>
      </c>
      <c r="I160" s="1" t="s">
        <v>34</v>
      </c>
      <c r="J160" s="8"/>
      <c r="K160" s="114" t="s">
        <v>11744</v>
      </c>
      <c r="L160" t="s">
        <v>237</v>
      </c>
      <c r="M160" s="2">
        <v>45443</v>
      </c>
      <c r="N160" s="1" t="s">
        <v>35</v>
      </c>
      <c r="O160" s="61" t="s">
        <v>9758</v>
      </c>
      <c r="P160" s="14" t="s">
        <v>10380</v>
      </c>
      <c r="Q160" s="187">
        <v>132.22999999999999</v>
      </c>
      <c r="R160" s="1">
        <v>1</v>
      </c>
      <c r="S160" s="128">
        <v>0.21</v>
      </c>
      <c r="T160" s="128">
        <v>0.2</v>
      </c>
      <c r="U160" s="363"/>
      <c r="V160" s="126">
        <f t="shared" ref="V160" si="70">SUM(Q160-(Q160*T160))*S160+(Q160-(Q160*T160))</f>
        <v>127.99863999999999</v>
      </c>
      <c r="W160" t="s">
        <v>10418</v>
      </c>
      <c r="X160" s="5" t="s">
        <v>10419</v>
      </c>
      <c r="Y160" s="2">
        <v>33920</v>
      </c>
      <c r="Z160" s="2">
        <v>45418</v>
      </c>
      <c r="AA160" s="428" t="s">
        <v>10577</v>
      </c>
      <c r="AB160" s="3">
        <v>45454</v>
      </c>
      <c r="AC160" s="80" t="s">
        <v>1339</v>
      </c>
      <c r="AF160" t="s">
        <v>3198</v>
      </c>
      <c r="AI160" t="s">
        <v>3470</v>
      </c>
      <c r="AJ160" s="2">
        <v>45422</v>
      </c>
      <c r="AM160" s="74">
        <v>45425</v>
      </c>
      <c r="AT160" s="1"/>
    </row>
    <row r="161" spans="1:46">
      <c r="A161" s="1">
        <v>161</v>
      </c>
      <c r="B161" s="61" t="s">
        <v>37</v>
      </c>
      <c r="C161" s="2">
        <v>45418</v>
      </c>
      <c r="D161" s="2" t="s">
        <v>9900</v>
      </c>
      <c r="E161" t="s">
        <v>10382</v>
      </c>
      <c r="F161" s="61" t="s">
        <v>10383</v>
      </c>
      <c r="G161" t="s">
        <v>10386</v>
      </c>
      <c r="H161" s="6" t="s">
        <v>304</v>
      </c>
      <c r="I161" s="1" t="s">
        <v>3851</v>
      </c>
      <c r="J161" s="8">
        <v>642379544</v>
      </c>
      <c r="K161" s="1"/>
      <c r="L161" s="1" t="s">
        <v>10382</v>
      </c>
      <c r="M161" s="2">
        <v>45443</v>
      </c>
      <c r="N161" s="1" t="s">
        <v>35</v>
      </c>
      <c r="O161" s="61" t="s">
        <v>7925</v>
      </c>
      <c r="P161" s="14" t="s">
        <v>10401</v>
      </c>
      <c r="Q161" s="187">
        <v>132.22999999999999</v>
      </c>
      <c r="R161" s="1">
        <v>1</v>
      </c>
      <c r="S161" s="128">
        <v>0.21</v>
      </c>
      <c r="T161" s="128">
        <v>0</v>
      </c>
      <c r="U161" s="363"/>
      <c r="V161" s="126">
        <f t="shared" ref="V161" si="71">SUM(Q161-(Q161*T161))*S161+(Q161-(Q161*T161))</f>
        <v>159.99829999999997</v>
      </c>
      <c r="W161" t="s">
        <v>10382</v>
      </c>
      <c r="X161" s="5" t="s">
        <v>10459</v>
      </c>
      <c r="Y161" s="2">
        <v>31778</v>
      </c>
      <c r="Z161" s="2">
        <v>45418</v>
      </c>
      <c r="AA161" s="2" t="s">
        <v>10415</v>
      </c>
      <c r="AB161" s="2">
        <v>45422</v>
      </c>
      <c r="AC161" s="133"/>
      <c r="AF161" t="s">
        <v>3198</v>
      </c>
      <c r="AI161" t="s">
        <v>3392</v>
      </c>
      <c r="AJ161" s="2">
        <v>45422</v>
      </c>
      <c r="AM161" s="74">
        <v>45429</v>
      </c>
      <c r="AT161" s="1"/>
    </row>
    <row r="162" spans="1:46">
      <c r="A162" s="1">
        <v>162</v>
      </c>
      <c r="B162" t="s">
        <v>37</v>
      </c>
      <c r="C162" s="2">
        <v>45419</v>
      </c>
      <c r="D162" s="2"/>
      <c r="E162" t="s">
        <v>5183</v>
      </c>
      <c r="F162" t="s">
        <v>5006</v>
      </c>
      <c r="G162" t="s">
        <v>5007</v>
      </c>
      <c r="H162" s="6" t="s">
        <v>294</v>
      </c>
      <c r="I162" s="1" t="s">
        <v>1266</v>
      </c>
      <c r="J162" s="8">
        <v>643277521</v>
      </c>
      <c r="K162" s="8"/>
      <c r="L162" t="s">
        <v>5183</v>
      </c>
      <c r="M162" s="2">
        <v>45443</v>
      </c>
      <c r="N162" s="1" t="s">
        <v>35</v>
      </c>
      <c r="O162" s="61" t="s">
        <v>7934</v>
      </c>
      <c r="P162" s="14" t="s">
        <v>6801</v>
      </c>
      <c r="Q162" s="187">
        <v>78.510000000000005</v>
      </c>
      <c r="R162" s="1">
        <v>1</v>
      </c>
      <c r="S162" s="90">
        <v>0.21</v>
      </c>
      <c r="T162" s="90">
        <v>0</v>
      </c>
      <c r="V162" s="95">
        <f t="shared" ref="V162" si="72">SUM(Q162-(Q162*T162))*S162+(Q162-(Q162*T162))</f>
        <v>94.997100000000003</v>
      </c>
      <c r="W162" t="s">
        <v>5183</v>
      </c>
      <c r="X162" s="6" t="s">
        <v>10387</v>
      </c>
      <c r="Y162" s="2">
        <v>31049</v>
      </c>
      <c r="Z162" s="2">
        <v>45419</v>
      </c>
      <c r="AA162" s="428" t="s">
        <v>10529</v>
      </c>
      <c r="AB162" s="3">
        <v>45447</v>
      </c>
      <c r="AC162" s="80" t="s">
        <v>1339</v>
      </c>
      <c r="AF162" t="s">
        <v>3198</v>
      </c>
      <c r="AJ162" s="2"/>
      <c r="AM162" s="74"/>
      <c r="AT162" s="1"/>
    </row>
    <row r="163" spans="1:46">
      <c r="A163" s="1">
        <v>163</v>
      </c>
      <c r="B163" s="61" t="s">
        <v>33</v>
      </c>
      <c r="C163" s="2">
        <v>45419</v>
      </c>
      <c r="D163" s="2" t="s">
        <v>9900</v>
      </c>
      <c r="E163" t="s">
        <v>10395</v>
      </c>
      <c r="F163" s="61" t="s">
        <v>10396</v>
      </c>
      <c r="G163" t="s">
        <v>10397</v>
      </c>
      <c r="H163" s="6" t="s">
        <v>236</v>
      </c>
      <c r="I163" s="1" t="s">
        <v>34</v>
      </c>
      <c r="J163" s="8">
        <v>684061208</v>
      </c>
      <c r="K163" s="114" t="s">
        <v>11744</v>
      </c>
      <c r="L163" t="s">
        <v>237</v>
      </c>
      <c r="M163" s="2">
        <v>45443</v>
      </c>
      <c r="N163" s="1" t="s">
        <v>35</v>
      </c>
      <c r="O163" s="61" t="s">
        <v>7925</v>
      </c>
      <c r="P163" s="14" t="s">
        <v>10398</v>
      </c>
      <c r="Q163" s="187">
        <v>132.22999999999999</v>
      </c>
      <c r="R163" s="1">
        <v>1</v>
      </c>
      <c r="S163" s="128">
        <v>0.21</v>
      </c>
      <c r="T163" s="128">
        <v>0.2</v>
      </c>
      <c r="U163" s="363"/>
      <c r="V163" s="126">
        <f t="shared" ref="V163:V173" si="73">SUM(Q163-(Q163*T163))*S163+(Q163-(Q163*T163))</f>
        <v>127.99863999999999</v>
      </c>
      <c r="W163" s="1" t="s">
        <v>10420</v>
      </c>
      <c r="X163" s="5" t="s">
        <v>10421</v>
      </c>
      <c r="Y163" s="2">
        <v>35231</v>
      </c>
      <c r="Z163" s="2">
        <v>45419</v>
      </c>
      <c r="AA163" s="76" t="s">
        <v>10590</v>
      </c>
      <c r="AB163" s="2">
        <v>45456</v>
      </c>
      <c r="AC163" s="80" t="s">
        <v>1339</v>
      </c>
      <c r="AF163" t="s">
        <v>3198</v>
      </c>
      <c r="AI163" s="76" t="s">
        <v>10422</v>
      </c>
      <c r="AJ163" s="2">
        <v>45422</v>
      </c>
      <c r="AM163" s="74"/>
      <c r="AT163" s="1"/>
    </row>
    <row r="164" spans="1:46">
      <c r="A164" s="1">
        <v>164</v>
      </c>
      <c r="B164" t="s">
        <v>52</v>
      </c>
      <c r="C164" s="2">
        <v>45420</v>
      </c>
      <c r="D164" s="2"/>
      <c r="E164" s="1" t="s">
        <v>62</v>
      </c>
      <c r="F164" s="61" t="s">
        <v>63</v>
      </c>
      <c r="G164" s="61" t="s">
        <v>214</v>
      </c>
      <c r="H164" s="6" t="s">
        <v>219</v>
      </c>
      <c r="I164" s="1" t="s">
        <v>38</v>
      </c>
      <c r="J164" s="8">
        <v>607281764</v>
      </c>
      <c r="K164" t="s">
        <v>5906</v>
      </c>
      <c r="L164" t="s">
        <v>4432</v>
      </c>
      <c r="M164" s="2">
        <v>45443</v>
      </c>
      <c r="N164" t="s">
        <v>35</v>
      </c>
      <c r="O164" s="61" t="s">
        <v>9758</v>
      </c>
      <c r="P164" s="14" t="s">
        <v>9713</v>
      </c>
      <c r="Q164" s="92">
        <v>0</v>
      </c>
      <c r="R164" s="1">
        <v>1</v>
      </c>
      <c r="S164" s="128">
        <v>0.21</v>
      </c>
      <c r="T164" s="128">
        <v>0.2</v>
      </c>
      <c r="U164" s="1"/>
      <c r="V164" s="95">
        <f t="shared" ref="V164" si="74">SUM(Q164-(Q164*T164))*S164+(Q164-(Q164*T164))</f>
        <v>0</v>
      </c>
      <c r="W164" t="s">
        <v>9768</v>
      </c>
      <c r="X164" s="5" t="s">
        <v>10428</v>
      </c>
      <c r="Y164" s="2">
        <v>37782</v>
      </c>
      <c r="Z164" s="2">
        <v>45420</v>
      </c>
      <c r="AA164" s="428" t="s">
        <v>10595</v>
      </c>
      <c r="AB164" s="2">
        <v>45460</v>
      </c>
      <c r="AC164" s="80" t="s">
        <v>1339</v>
      </c>
      <c r="AF164" t="s">
        <v>3198</v>
      </c>
      <c r="AI164" s="76" t="s">
        <v>3470</v>
      </c>
      <c r="AJ164" s="2">
        <v>45425</v>
      </c>
      <c r="AM164" s="74"/>
      <c r="AS164" s="96"/>
      <c r="AT164" s="1"/>
    </row>
    <row r="165" spans="1:46">
      <c r="A165" s="1">
        <v>165</v>
      </c>
      <c r="B165" s="61" t="s">
        <v>37</v>
      </c>
      <c r="C165" s="2">
        <v>45420</v>
      </c>
      <c r="D165" s="2"/>
      <c r="E165" s="1" t="s">
        <v>1944</v>
      </c>
      <c r="F165" s="61" t="s">
        <v>10384</v>
      </c>
      <c r="G165" s="61" t="s">
        <v>5910</v>
      </c>
      <c r="H165" s="6" t="s">
        <v>219</v>
      </c>
      <c r="I165" s="1" t="s">
        <v>38</v>
      </c>
      <c r="J165" s="1">
        <v>632886664</v>
      </c>
      <c r="K165" s="1"/>
      <c r="L165" s="1" t="s">
        <v>1944</v>
      </c>
      <c r="M165" s="2">
        <v>45443</v>
      </c>
      <c r="N165" s="1" t="s">
        <v>35</v>
      </c>
      <c r="O165" s="61" t="s">
        <v>7935</v>
      </c>
      <c r="P165" s="14" t="s">
        <v>10381</v>
      </c>
      <c r="Q165" s="187">
        <v>78.510000000000005</v>
      </c>
      <c r="R165" s="1">
        <v>1</v>
      </c>
      <c r="S165" s="128">
        <v>0.21</v>
      </c>
      <c r="T165" s="128">
        <v>0</v>
      </c>
      <c r="U165" s="363"/>
      <c r="V165" s="95">
        <f>SUM(Q165-(Q165*T165))*S165+(Q165-(Q165*T165))</f>
        <v>94.997100000000003</v>
      </c>
      <c r="W165" s="1" t="s">
        <v>1944</v>
      </c>
      <c r="X165" s="5" t="s">
        <v>10402</v>
      </c>
      <c r="Y165" s="2">
        <v>29587</v>
      </c>
      <c r="Z165" s="2">
        <v>45420</v>
      </c>
      <c r="AA165" s="76" t="s">
        <v>11108</v>
      </c>
      <c r="AB165" s="3">
        <v>45593</v>
      </c>
      <c r="AC165" s="80" t="s">
        <v>1339</v>
      </c>
      <c r="AF165" t="s">
        <v>3198</v>
      </c>
      <c r="AJ165" s="2"/>
      <c r="AM165" s="74"/>
      <c r="AT165" s="1"/>
    </row>
    <row r="166" spans="1:46">
      <c r="A166" s="1">
        <v>166</v>
      </c>
      <c r="B166" s="61" t="s">
        <v>143</v>
      </c>
      <c r="C166" s="2">
        <v>45422</v>
      </c>
      <c r="D166" s="2" t="s">
        <v>9900</v>
      </c>
      <c r="E166" t="s">
        <v>10444</v>
      </c>
      <c r="F166" s="61" t="s">
        <v>10410</v>
      </c>
      <c r="G166" s="61" t="s">
        <v>10403</v>
      </c>
      <c r="H166" s="6" t="s">
        <v>236</v>
      </c>
      <c r="I166" s="1" t="s">
        <v>110</v>
      </c>
      <c r="J166" s="1">
        <v>641859826</v>
      </c>
      <c r="K166" s="1"/>
      <c r="L166" t="s">
        <v>10444</v>
      </c>
      <c r="M166" s="2">
        <v>45443</v>
      </c>
      <c r="N166" s="1" t="s">
        <v>35</v>
      </c>
      <c r="O166" s="61" t="s">
        <v>7925</v>
      </c>
      <c r="P166" s="14" t="s">
        <v>10404</v>
      </c>
      <c r="Q166" s="187">
        <v>132.22999999999999</v>
      </c>
      <c r="R166" s="1">
        <v>1</v>
      </c>
      <c r="S166" s="128">
        <v>0.21</v>
      </c>
      <c r="T166" s="128">
        <v>0</v>
      </c>
      <c r="U166" s="363"/>
      <c r="V166" s="95">
        <f>SUM(Q166-(Q166*T166))*S166+(Q166-(Q166*T166))</f>
        <v>159.99829999999997</v>
      </c>
      <c r="W166" t="s">
        <v>10444</v>
      </c>
      <c r="X166" s="5" t="s">
        <v>10445</v>
      </c>
      <c r="Y166" s="2">
        <v>32178</v>
      </c>
      <c r="Z166" s="2">
        <v>45422</v>
      </c>
      <c r="AA166" s="428" t="s">
        <v>10618</v>
      </c>
      <c r="AB166" s="3">
        <v>45463</v>
      </c>
      <c r="AC166" s="80" t="s">
        <v>1339</v>
      </c>
      <c r="AF166" t="s">
        <v>3198</v>
      </c>
      <c r="AI166" t="s">
        <v>10405</v>
      </c>
      <c r="AJ166" s="2">
        <v>45426</v>
      </c>
      <c r="AM166" s="74">
        <v>45427</v>
      </c>
      <c r="AT166" s="1"/>
    </row>
    <row r="167" spans="1:46">
      <c r="A167" s="1">
        <v>167</v>
      </c>
      <c r="B167" s="61" t="s">
        <v>37</v>
      </c>
      <c r="C167" s="2">
        <v>45422</v>
      </c>
      <c r="D167" s="2" t="s">
        <v>9900</v>
      </c>
      <c r="E167" t="s">
        <v>10442</v>
      </c>
      <c r="F167" s="61" t="s">
        <v>10411</v>
      </c>
      <c r="G167" s="61" t="s">
        <v>10406</v>
      </c>
      <c r="H167" s="6" t="s">
        <v>232</v>
      </c>
      <c r="I167" s="1" t="s">
        <v>144</v>
      </c>
      <c r="J167" s="1">
        <v>647465499</v>
      </c>
      <c r="K167" s="1"/>
      <c r="L167" t="s">
        <v>10442</v>
      </c>
      <c r="M167" s="2">
        <v>45443</v>
      </c>
      <c r="N167" s="1" t="s">
        <v>35</v>
      </c>
      <c r="O167" s="61" t="s">
        <v>7925</v>
      </c>
      <c r="P167" s="14" t="s">
        <v>10407</v>
      </c>
      <c r="Q167" s="187">
        <v>132.22999999999999</v>
      </c>
      <c r="R167" s="1">
        <v>1</v>
      </c>
      <c r="S167" s="128">
        <v>0.21</v>
      </c>
      <c r="T167" s="128">
        <v>0</v>
      </c>
      <c r="U167" s="363"/>
      <c r="V167" s="95">
        <f>SUM(Q167-(Q167*T167))*S167+(Q167-(Q167*T167))</f>
        <v>159.99829999999997</v>
      </c>
      <c r="W167" t="s">
        <v>10442</v>
      </c>
      <c r="X167" s="5" t="s">
        <v>10443</v>
      </c>
      <c r="Y167" s="2">
        <v>36436</v>
      </c>
      <c r="Z167" s="2">
        <v>45422</v>
      </c>
      <c r="AA167" s="428" t="s">
        <v>10730</v>
      </c>
      <c r="AB167" s="3">
        <v>45497</v>
      </c>
      <c r="AC167" s="80" t="s">
        <v>1339</v>
      </c>
      <c r="AF167" t="s">
        <v>3198</v>
      </c>
      <c r="AI167" t="s">
        <v>10408</v>
      </c>
      <c r="AJ167" s="3">
        <v>45426</v>
      </c>
      <c r="AM167" s="74">
        <v>45427</v>
      </c>
      <c r="AT167" s="1"/>
    </row>
    <row r="168" spans="1:46">
      <c r="A168" s="1">
        <v>168</v>
      </c>
      <c r="B168" t="s">
        <v>37</v>
      </c>
      <c r="C168" s="2">
        <v>45422</v>
      </c>
      <c r="D168" s="2" t="s">
        <v>9900</v>
      </c>
      <c r="E168" t="s">
        <v>10413</v>
      </c>
      <c r="F168" t="s">
        <v>10409</v>
      </c>
      <c r="G168" t="s">
        <v>10412</v>
      </c>
      <c r="H168" s="6" t="s">
        <v>232</v>
      </c>
      <c r="I168" s="1" t="s">
        <v>144</v>
      </c>
      <c r="J168" s="8">
        <v>602174812</v>
      </c>
      <c r="K168" s="8"/>
      <c r="L168" s="1" t="s">
        <v>10413</v>
      </c>
      <c r="M168" s="2">
        <v>45443</v>
      </c>
      <c r="N168" s="1" t="s">
        <v>35</v>
      </c>
      <c r="O168" s="61" t="s">
        <v>7939</v>
      </c>
      <c r="P168" s="14" t="s">
        <v>10414</v>
      </c>
      <c r="Q168" s="187">
        <v>78.510000000000005</v>
      </c>
      <c r="R168" s="1">
        <v>1</v>
      </c>
      <c r="S168" s="128">
        <v>0.21</v>
      </c>
      <c r="T168" s="128">
        <v>0</v>
      </c>
      <c r="U168" s="363"/>
      <c r="V168" s="95">
        <f t="shared" ref="V168" si="75">SUM(Q168-(Q168*T168))*S168+(Q168-(Q168*T168))</f>
        <v>94.997100000000003</v>
      </c>
      <c r="W168" s="1" t="s">
        <v>10413</v>
      </c>
      <c r="X168" s="5" t="s">
        <v>10440</v>
      </c>
      <c r="Y168" s="2">
        <v>25641</v>
      </c>
      <c r="Z168" s="2">
        <v>45422</v>
      </c>
      <c r="AA168" s="434" t="s">
        <v>10527</v>
      </c>
      <c r="AB168" s="2">
        <v>45447</v>
      </c>
      <c r="AC168" s="80" t="s">
        <v>1339</v>
      </c>
      <c r="AF168" t="s">
        <v>3198</v>
      </c>
      <c r="AI168" t="s">
        <v>3392</v>
      </c>
      <c r="AJ168" s="3">
        <v>45426</v>
      </c>
      <c r="AM168" s="74">
        <v>45436</v>
      </c>
      <c r="AS168" s="1" t="s">
        <v>7938</v>
      </c>
    </row>
    <row r="169" spans="1:46">
      <c r="A169" s="1">
        <v>169</v>
      </c>
      <c r="B169" t="s">
        <v>1414</v>
      </c>
      <c r="C169" s="2">
        <v>45422</v>
      </c>
      <c r="D169" s="2"/>
      <c r="E169" s="1" t="s">
        <v>1079</v>
      </c>
      <c r="F169" t="s">
        <v>41</v>
      </c>
      <c r="G169" s="61" t="s">
        <v>2115</v>
      </c>
      <c r="H169" s="1" t="s">
        <v>230</v>
      </c>
      <c r="I169" s="1" t="s">
        <v>1262</v>
      </c>
      <c r="J169" s="1">
        <v>631212115</v>
      </c>
      <c r="K169" s="8" t="s">
        <v>6306</v>
      </c>
      <c r="L169" s="1" t="s">
        <v>1079</v>
      </c>
      <c r="M169" s="2">
        <v>45443</v>
      </c>
      <c r="N169" s="1" t="s">
        <v>35</v>
      </c>
      <c r="O169" s="61" t="s">
        <v>7925</v>
      </c>
      <c r="P169" s="14" t="s">
        <v>9019</v>
      </c>
      <c r="Q169" s="92">
        <v>0</v>
      </c>
      <c r="R169" s="1">
        <v>1</v>
      </c>
      <c r="S169" s="128">
        <v>0.21</v>
      </c>
      <c r="T169" s="128">
        <v>0.2</v>
      </c>
      <c r="U169" s="1"/>
      <c r="V169" s="95">
        <f t="shared" ref="V169" si="76">SUM(Q169-(Q169*T169))*S169+(Q169-(Q169*T169))</f>
        <v>0</v>
      </c>
      <c r="W169" t="s">
        <v>9047</v>
      </c>
      <c r="X169" s="5" t="s">
        <v>10441</v>
      </c>
      <c r="Y169" s="2">
        <v>30317</v>
      </c>
      <c r="Z169" s="2">
        <v>45422</v>
      </c>
      <c r="AA169" s="434" t="s">
        <v>10745</v>
      </c>
      <c r="AB169" s="2">
        <v>45499</v>
      </c>
      <c r="AC169" s="80" t="s">
        <v>1339</v>
      </c>
      <c r="AF169" t="s">
        <v>3198</v>
      </c>
      <c r="AI169" t="s">
        <v>3392</v>
      </c>
      <c r="AJ169" s="3">
        <v>45426</v>
      </c>
      <c r="AL169" s="3"/>
      <c r="AM169" s="3">
        <v>45433</v>
      </c>
    </row>
    <row r="170" spans="1:46">
      <c r="A170" s="1">
        <v>170</v>
      </c>
      <c r="B170" s="61" t="s">
        <v>119</v>
      </c>
      <c r="C170" s="2">
        <v>45425</v>
      </c>
      <c r="D170" s="2" t="s">
        <v>9900</v>
      </c>
      <c r="E170" t="s">
        <v>10429</v>
      </c>
      <c r="F170" s="61" t="s">
        <v>10430</v>
      </c>
      <c r="G170" s="61" t="s">
        <v>10431</v>
      </c>
      <c r="H170" s="6" t="s">
        <v>239</v>
      </c>
      <c r="I170" s="1" t="s">
        <v>2585</v>
      </c>
      <c r="J170" s="1"/>
      <c r="K170" s="396" t="s">
        <v>10432</v>
      </c>
      <c r="L170" s="1" t="s">
        <v>10429</v>
      </c>
      <c r="M170" s="2">
        <v>45443</v>
      </c>
      <c r="N170" s="1" t="s">
        <v>35</v>
      </c>
      <c r="O170" s="61" t="s">
        <v>9758</v>
      </c>
      <c r="P170" s="14" t="s">
        <v>10433</v>
      </c>
      <c r="Q170" s="187">
        <v>132.22999999999999</v>
      </c>
      <c r="R170" s="1">
        <v>1</v>
      </c>
      <c r="S170" s="128">
        <v>0.21</v>
      </c>
      <c r="T170" s="128">
        <v>0.2</v>
      </c>
      <c r="U170" s="363"/>
      <c r="V170" s="126">
        <f t="shared" si="73"/>
        <v>127.99863999999999</v>
      </c>
      <c r="W170" t="s">
        <v>10449</v>
      </c>
      <c r="X170" s="5" t="s">
        <v>10450</v>
      </c>
      <c r="Y170" s="2">
        <v>38835</v>
      </c>
      <c r="Z170" s="2">
        <v>45425</v>
      </c>
      <c r="AA170" s="428" t="s">
        <v>10605</v>
      </c>
      <c r="AB170" s="2">
        <v>45461</v>
      </c>
      <c r="AC170" s="80" t="s">
        <v>1339</v>
      </c>
      <c r="AF170" t="s">
        <v>3198</v>
      </c>
      <c r="AI170" t="s">
        <v>9731</v>
      </c>
      <c r="AJ170" s="2">
        <v>45427</v>
      </c>
      <c r="AM170" s="74">
        <v>45434</v>
      </c>
      <c r="AT170" s="1"/>
    </row>
    <row r="171" spans="1:46">
      <c r="A171" s="1">
        <v>171</v>
      </c>
      <c r="B171" t="s">
        <v>52</v>
      </c>
      <c r="C171" s="2">
        <v>45425</v>
      </c>
      <c r="D171" s="2" t="s">
        <v>9900</v>
      </c>
      <c r="E171" t="s">
        <v>10434</v>
      </c>
      <c r="F171" s="14" t="s">
        <v>10435</v>
      </c>
      <c r="G171" t="s">
        <v>10436</v>
      </c>
      <c r="H171" s="6" t="s">
        <v>230</v>
      </c>
      <c r="I171" s="1" t="s">
        <v>34</v>
      </c>
      <c r="K171" s="8" t="s">
        <v>5906</v>
      </c>
      <c r="L171" t="s">
        <v>4432</v>
      </c>
      <c r="M171" s="2">
        <v>45443</v>
      </c>
      <c r="N171" s="1" t="s">
        <v>35</v>
      </c>
      <c r="O171" s="61" t="s">
        <v>7934</v>
      </c>
      <c r="P171" s="14" t="s">
        <v>10437</v>
      </c>
      <c r="Q171" s="187">
        <v>78.510000000000005</v>
      </c>
      <c r="R171" s="1">
        <v>1</v>
      </c>
      <c r="S171" s="90">
        <v>0.21</v>
      </c>
      <c r="T171" s="90">
        <v>0.2</v>
      </c>
      <c r="V171" s="95">
        <f t="shared" si="73"/>
        <v>75.997680000000003</v>
      </c>
      <c r="W171" t="s">
        <v>7626</v>
      </c>
      <c r="X171" s="6" t="s">
        <v>10438</v>
      </c>
      <c r="Y171" s="2">
        <v>28856</v>
      </c>
      <c r="Z171" s="2">
        <v>45425</v>
      </c>
      <c r="AA171" s="428" t="s">
        <v>10530</v>
      </c>
      <c r="AB171" s="2">
        <v>45448</v>
      </c>
      <c r="AC171" s="80" t="s">
        <v>1339</v>
      </c>
      <c r="AF171" t="s">
        <v>3198</v>
      </c>
      <c r="AJ171" s="2"/>
      <c r="AM171" s="3"/>
      <c r="AT171" s="1"/>
    </row>
    <row r="172" spans="1:46">
      <c r="A172" s="1">
        <v>172</v>
      </c>
      <c r="B172" t="s">
        <v>37</v>
      </c>
      <c r="C172" s="2">
        <v>45426</v>
      </c>
      <c r="D172" s="2"/>
      <c r="E172" t="s">
        <v>265</v>
      </c>
      <c r="F172" t="s">
        <v>266</v>
      </c>
      <c r="G172" t="s">
        <v>5077</v>
      </c>
      <c r="H172" s="6" t="s">
        <v>238</v>
      </c>
      <c r="I172" s="1" t="s">
        <v>48</v>
      </c>
      <c r="J172" s="8">
        <v>657588849</v>
      </c>
      <c r="K172" s="8"/>
      <c r="L172" t="s">
        <v>265</v>
      </c>
      <c r="M172" s="2">
        <v>45443</v>
      </c>
      <c r="N172" s="1" t="s">
        <v>35</v>
      </c>
      <c r="O172" s="61" t="s">
        <v>7934</v>
      </c>
      <c r="P172" s="14" t="s">
        <v>6871</v>
      </c>
      <c r="Q172" s="187">
        <v>78.510000000000005</v>
      </c>
      <c r="R172" s="1">
        <v>1</v>
      </c>
      <c r="S172" s="90">
        <v>0.21</v>
      </c>
      <c r="T172" s="90">
        <v>0.2</v>
      </c>
      <c r="V172" s="95">
        <f t="shared" si="73"/>
        <v>75.997680000000003</v>
      </c>
      <c r="W172" t="s">
        <v>601</v>
      </c>
      <c r="X172" s="6" t="s">
        <v>10439</v>
      </c>
      <c r="Y172" s="2">
        <v>29590</v>
      </c>
      <c r="Z172" s="2">
        <v>45426</v>
      </c>
      <c r="AA172" s="410" t="s">
        <v>10600</v>
      </c>
      <c r="AB172" s="3">
        <v>45460</v>
      </c>
      <c r="AC172" s="80" t="s">
        <v>1339</v>
      </c>
      <c r="AF172" t="s">
        <v>3198</v>
      </c>
      <c r="AI172" t="s">
        <v>3392</v>
      </c>
      <c r="AJ172" s="2">
        <v>45432</v>
      </c>
      <c r="AM172" s="74">
        <v>45435</v>
      </c>
      <c r="AT172" s="1"/>
    </row>
    <row r="173" spans="1:46">
      <c r="A173" s="1">
        <v>173</v>
      </c>
      <c r="B173" t="s">
        <v>1414</v>
      </c>
      <c r="C173" s="2">
        <v>45426</v>
      </c>
      <c r="D173" s="2"/>
      <c r="E173" s="1" t="s">
        <v>1812</v>
      </c>
      <c r="F173" t="s">
        <v>1813</v>
      </c>
      <c r="G173" t="s">
        <v>1994</v>
      </c>
      <c r="H173" s="6" t="s">
        <v>221</v>
      </c>
      <c r="I173" s="1" t="s">
        <v>34</v>
      </c>
      <c r="J173" s="8">
        <v>626326758</v>
      </c>
      <c r="K173" s="8" t="s">
        <v>6019</v>
      </c>
      <c r="L173" t="s">
        <v>1812</v>
      </c>
      <c r="M173" s="2">
        <v>45443</v>
      </c>
      <c r="N173" s="1" t="s">
        <v>35</v>
      </c>
      <c r="O173" s="61" t="s">
        <v>9758</v>
      </c>
      <c r="P173" s="14" t="s">
        <v>10446</v>
      </c>
      <c r="Q173" s="187">
        <v>132.22999999999999</v>
      </c>
      <c r="R173" s="1">
        <v>1</v>
      </c>
      <c r="S173" s="90">
        <v>0.21</v>
      </c>
      <c r="T173" s="90">
        <v>0.2</v>
      </c>
      <c r="V173" s="95">
        <f t="shared" si="73"/>
        <v>127.99863999999999</v>
      </c>
      <c r="W173" t="s">
        <v>7185</v>
      </c>
      <c r="X173" s="6" t="s">
        <v>10456</v>
      </c>
      <c r="Y173" s="2">
        <v>36423</v>
      </c>
      <c r="Z173" s="2">
        <v>45426</v>
      </c>
      <c r="AA173" s="428" t="s">
        <v>10618</v>
      </c>
      <c r="AB173" s="3">
        <v>45463</v>
      </c>
      <c r="AC173" s="80" t="s">
        <v>1339</v>
      </c>
      <c r="AF173" t="s">
        <v>3198</v>
      </c>
      <c r="AI173" t="s">
        <v>10447</v>
      </c>
      <c r="AJ173" s="2">
        <v>45429</v>
      </c>
      <c r="AM173" s="74">
        <v>45439</v>
      </c>
      <c r="AT173" s="1"/>
    </row>
    <row r="174" spans="1:46">
      <c r="A174" s="1">
        <v>174</v>
      </c>
      <c r="B174" s="61" t="s">
        <v>143</v>
      </c>
      <c r="C174" s="2">
        <v>45427</v>
      </c>
      <c r="D174" s="2" t="s">
        <v>9900</v>
      </c>
      <c r="E174" t="s">
        <v>10470</v>
      </c>
      <c r="F174" s="61" t="s">
        <v>10451</v>
      </c>
      <c r="G174" s="61" t="s">
        <v>10452</v>
      </c>
      <c r="H174" s="6" t="s">
        <v>220</v>
      </c>
      <c r="I174" s="1" t="s">
        <v>39</v>
      </c>
      <c r="J174" s="1">
        <v>643933429</v>
      </c>
      <c r="K174" s="1"/>
      <c r="L174" t="s">
        <v>10470</v>
      </c>
      <c r="M174" s="2">
        <v>45443</v>
      </c>
      <c r="N174" s="1" t="s">
        <v>35</v>
      </c>
      <c r="O174" s="61" t="s">
        <v>7925</v>
      </c>
      <c r="P174" s="14" t="s">
        <v>10453</v>
      </c>
      <c r="Q174" s="187">
        <v>132.22999999999999</v>
      </c>
      <c r="R174" s="1">
        <v>1</v>
      </c>
      <c r="S174" s="128">
        <v>0.21</v>
      </c>
      <c r="T174" s="128">
        <v>0</v>
      </c>
      <c r="U174" s="363"/>
      <c r="V174" s="95">
        <f>SUM(Q174-(Q174*T174))*S174+(Q174-(Q174*T174))</f>
        <v>159.99829999999997</v>
      </c>
      <c r="W174" t="s">
        <v>10470</v>
      </c>
      <c r="X174" s="5" t="s">
        <v>10471</v>
      </c>
      <c r="Y174" s="2">
        <v>36526</v>
      </c>
      <c r="Z174" s="2">
        <v>45427</v>
      </c>
      <c r="AA174" s="428" t="s">
        <v>10645</v>
      </c>
      <c r="AB174" s="3">
        <v>45474</v>
      </c>
      <c r="AC174" s="80" t="s">
        <v>1339</v>
      </c>
      <c r="AF174" t="s">
        <v>3198</v>
      </c>
      <c r="AI174" t="s">
        <v>10454</v>
      </c>
      <c r="AJ174" s="2">
        <v>45433</v>
      </c>
      <c r="AM174" s="74">
        <v>45436</v>
      </c>
      <c r="AT174" s="1"/>
    </row>
    <row r="175" spans="1:46">
      <c r="A175" s="1">
        <v>175</v>
      </c>
      <c r="B175" s="61" t="s">
        <v>40</v>
      </c>
      <c r="C175" s="2">
        <v>45429</v>
      </c>
      <c r="D175" s="2"/>
      <c r="E175" s="1" t="s">
        <v>4727</v>
      </c>
      <c r="F175" t="s">
        <v>4707</v>
      </c>
      <c r="G175" t="s">
        <v>4708</v>
      </c>
      <c r="H175" s="6" t="s">
        <v>4709</v>
      </c>
      <c r="I175" s="1" t="s">
        <v>4710</v>
      </c>
      <c r="J175" s="1"/>
      <c r="K175" t="s">
        <v>8357</v>
      </c>
      <c r="L175" s="1" t="s">
        <v>4706</v>
      </c>
      <c r="M175" s="2">
        <v>45443</v>
      </c>
      <c r="N175" s="1" t="s">
        <v>35</v>
      </c>
      <c r="O175" s="61" t="s">
        <v>9758</v>
      </c>
      <c r="P175" s="14" t="s">
        <v>10455</v>
      </c>
      <c r="Q175" s="187">
        <v>132.22999999999999</v>
      </c>
      <c r="R175" s="1">
        <v>1</v>
      </c>
      <c r="S175" s="128">
        <v>0.21</v>
      </c>
      <c r="T175" s="128">
        <v>0.2</v>
      </c>
      <c r="U175" s="363"/>
      <c r="V175" s="126">
        <f t="shared" ref="V175" si="77">SUM(Q175-(Q175*T175))*S175+(Q175-(Q175*T175))</f>
        <v>127.99863999999999</v>
      </c>
      <c r="W175" s="1" t="s">
        <v>10474</v>
      </c>
      <c r="X175" s="5" t="s">
        <v>10475</v>
      </c>
      <c r="Y175" s="2">
        <v>38199</v>
      </c>
      <c r="Z175" s="2">
        <v>45429</v>
      </c>
      <c r="AA175" s="428" t="s">
        <v>10631</v>
      </c>
      <c r="AB175" s="2">
        <v>45474</v>
      </c>
      <c r="AC175" s="133" t="s">
        <v>1339</v>
      </c>
      <c r="AF175" t="s">
        <v>3198</v>
      </c>
      <c r="AI175" t="s">
        <v>3470</v>
      </c>
      <c r="AJ175" s="2">
        <v>45433</v>
      </c>
      <c r="AM175" s="74">
        <v>45439</v>
      </c>
      <c r="AT175" s="1"/>
    </row>
    <row r="176" spans="1:46">
      <c r="A176" s="1">
        <v>176</v>
      </c>
      <c r="B176" t="s">
        <v>6684</v>
      </c>
      <c r="C176" s="2">
        <v>45429</v>
      </c>
      <c r="D176" s="2"/>
      <c r="E176" t="s">
        <v>6685</v>
      </c>
      <c r="F176" t="s">
        <v>6686</v>
      </c>
      <c r="G176" t="s">
        <v>6687</v>
      </c>
      <c r="H176" s="6" t="s">
        <v>2579</v>
      </c>
      <c r="I176" t="s">
        <v>2580</v>
      </c>
      <c r="J176" s="8"/>
      <c r="K176" s="1" t="s">
        <v>7339</v>
      </c>
      <c r="L176" t="s">
        <v>6685</v>
      </c>
      <c r="M176" s="2">
        <v>45443</v>
      </c>
      <c r="N176" s="1" t="s">
        <v>35</v>
      </c>
      <c r="O176" s="61" t="s">
        <v>7934</v>
      </c>
      <c r="P176" s="14" t="s">
        <v>10460</v>
      </c>
      <c r="Q176" s="187">
        <v>78.510000000000005</v>
      </c>
      <c r="R176" s="1">
        <v>1</v>
      </c>
      <c r="S176" s="128">
        <v>0.21</v>
      </c>
      <c r="T176" s="128">
        <v>0.2</v>
      </c>
      <c r="V176" s="95">
        <f t="shared" ref="V176" si="78">SUM(Q176-(Q176*T176))*S176+(Q176-(Q176*T176))</f>
        <v>75.997680000000003</v>
      </c>
      <c r="W176" t="s">
        <v>7506</v>
      </c>
      <c r="X176" s="5" t="s">
        <v>10469</v>
      </c>
      <c r="Y176" s="3">
        <v>32874</v>
      </c>
      <c r="Z176" s="2">
        <v>45429</v>
      </c>
      <c r="AA176" s="428" t="s">
        <v>10643</v>
      </c>
      <c r="AB176" s="3">
        <v>45474</v>
      </c>
      <c r="AC176" s="80" t="s">
        <v>1339</v>
      </c>
      <c r="AF176" t="s">
        <v>3198</v>
      </c>
      <c r="AJ176" s="3"/>
      <c r="AM176" s="3"/>
    </row>
    <row r="177" spans="1:46">
      <c r="A177" s="1">
        <v>177</v>
      </c>
      <c r="B177" t="s">
        <v>37</v>
      </c>
      <c r="C177" s="2">
        <v>45432</v>
      </c>
      <c r="D177" s="2" t="s">
        <v>9900</v>
      </c>
      <c r="E177" t="s">
        <v>10461</v>
      </c>
      <c r="F177" t="s">
        <v>10462</v>
      </c>
      <c r="G177" t="s">
        <v>10463</v>
      </c>
      <c r="H177" s="6" t="s">
        <v>219</v>
      </c>
      <c r="I177" t="s">
        <v>4334</v>
      </c>
      <c r="J177" s="8">
        <v>612465520</v>
      </c>
      <c r="K177" s="1"/>
      <c r="L177" t="s">
        <v>10461</v>
      </c>
      <c r="M177" s="2">
        <v>45443</v>
      </c>
      <c r="N177" s="1" t="s">
        <v>35</v>
      </c>
      <c r="O177" s="61" t="s">
        <v>7934</v>
      </c>
      <c r="P177" s="14" t="s">
        <v>10632</v>
      </c>
      <c r="Q177" s="187">
        <v>78.510000000000005</v>
      </c>
      <c r="R177" s="1">
        <v>1</v>
      </c>
      <c r="S177" s="128">
        <v>0.21</v>
      </c>
      <c r="T177" s="128">
        <v>0</v>
      </c>
      <c r="V177" s="95">
        <f t="shared" ref="V177" si="79">SUM(Q177-(Q177*T177))*S177+(Q177-(Q177*T177))</f>
        <v>94.997100000000003</v>
      </c>
      <c r="W177" t="s">
        <v>10461</v>
      </c>
      <c r="X177" s="5" t="s">
        <v>10464</v>
      </c>
      <c r="Y177" s="3">
        <v>35444</v>
      </c>
      <c r="Z177" s="2">
        <v>45432</v>
      </c>
      <c r="AA177" s="428" t="s">
        <v>10653</v>
      </c>
      <c r="AB177" s="2">
        <v>45474</v>
      </c>
      <c r="AC177" s="80" t="s">
        <v>1339</v>
      </c>
      <c r="AF177" t="s">
        <v>3198</v>
      </c>
      <c r="AJ177" s="3"/>
      <c r="AM177" s="3"/>
    </row>
    <row r="178" spans="1:46">
      <c r="A178" s="1">
        <v>178</v>
      </c>
      <c r="B178" t="s">
        <v>33</v>
      </c>
      <c r="C178" s="2">
        <v>45432</v>
      </c>
      <c r="D178" s="2"/>
      <c r="E178" s="1" t="s">
        <v>5773</v>
      </c>
      <c r="F178" s="61" t="s">
        <v>5774</v>
      </c>
      <c r="G178" s="61" t="s">
        <v>5775</v>
      </c>
      <c r="H178" s="6" t="s">
        <v>220</v>
      </c>
      <c r="I178" s="1" t="s">
        <v>39</v>
      </c>
      <c r="J178" s="1"/>
      <c r="K178" s="114" t="s">
        <v>11744</v>
      </c>
      <c r="L178" t="s">
        <v>237</v>
      </c>
      <c r="M178" s="2">
        <v>45443</v>
      </c>
      <c r="N178" s="1" t="s">
        <v>35</v>
      </c>
      <c r="O178" s="61" t="s">
        <v>7925</v>
      </c>
      <c r="P178" s="14" t="s">
        <v>10465</v>
      </c>
      <c r="Q178" s="187">
        <v>132.22999999999999</v>
      </c>
      <c r="R178" s="1">
        <v>1</v>
      </c>
      <c r="S178" s="128">
        <v>0.21</v>
      </c>
      <c r="T178" s="128">
        <v>0.2</v>
      </c>
      <c r="U178" s="363"/>
      <c r="V178" s="126">
        <f t="shared" ref="V178" si="80">SUM(Q178-(Q178*T178))*S178+(Q178-(Q178*T178))</f>
        <v>127.99863999999999</v>
      </c>
      <c r="W178" t="s">
        <v>10092</v>
      </c>
      <c r="X178" s="5" t="s">
        <v>10472</v>
      </c>
      <c r="Y178" s="3">
        <v>35966</v>
      </c>
      <c r="Z178" s="2">
        <v>45432</v>
      </c>
      <c r="AA178" s="428" t="s">
        <v>10680</v>
      </c>
      <c r="AB178" s="2">
        <v>45482</v>
      </c>
      <c r="AC178" s="80" t="s">
        <v>1339</v>
      </c>
      <c r="AE178" s="3"/>
      <c r="AF178" t="s">
        <v>3198</v>
      </c>
      <c r="AI178" t="s">
        <v>3392</v>
      </c>
      <c r="AJ178" s="2">
        <v>45433</v>
      </c>
      <c r="AM178" s="74">
        <v>45434</v>
      </c>
      <c r="AS178" s="1"/>
      <c r="AT178" s="1"/>
    </row>
    <row r="179" spans="1:46">
      <c r="A179" s="1">
        <v>179</v>
      </c>
      <c r="B179" t="s">
        <v>1242</v>
      </c>
      <c r="C179" s="2">
        <v>45432</v>
      </c>
      <c r="D179" s="2"/>
      <c r="E179" s="1" t="s">
        <v>3103</v>
      </c>
      <c r="F179" s="61" t="s">
        <v>3581</v>
      </c>
      <c r="G179" s="61" t="s">
        <v>7441</v>
      </c>
      <c r="H179" s="6" t="s">
        <v>221</v>
      </c>
      <c r="I179" s="1" t="s">
        <v>34</v>
      </c>
      <c r="J179" s="8"/>
      <c r="K179" s="8" t="s">
        <v>5905</v>
      </c>
      <c r="L179" s="31" t="s">
        <v>1250</v>
      </c>
      <c r="M179" s="2">
        <v>45443</v>
      </c>
      <c r="N179" s="1" t="s">
        <v>35</v>
      </c>
      <c r="O179" s="14" t="s">
        <v>7925</v>
      </c>
      <c r="P179" s="14" t="s">
        <v>10466</v>
      </c>
      <c r="Q179" s="163">
        <v>132.22999999999999</v>
      </c>
      <c r="R179" s="1">
        <v>1</v>
      </c>
      <c r="S179" s="128">
        <v>0.21</v>
      </c>
      <c r="T179" s="128">
        <v>0.2</v>
      </c>
      <c r="V179" s="95">
        <f t="shared" ref="V179" si="81">SUM(Q179-(Q179*T179))*S179+(Q179-(Q179*T179))</f>
        <v>127.99863999999999</v>
      </c>
      <c r="W179" t="s">
        <v>10467</v>
      </c>
      <c r="X179" s="5" t="s">
        <v>10473</v>
      </c>
      <c r="Y179" s="2">
        <v>36125</v>
      </c>
      <c r="Z179" s="2">
        <v>45432</v>
      </c>
      <c r="AA179" s="428" t="s">
        <v>10680</v>
      </c>
      <c r="AB179" s="2">
        <v>45482</v>
      </c>
      <c r="AC179" s="80" t="s">
        <v>1339</v>
      </c>
      <c r="AF179" t="s">
        <v>3198</v>
      </c>
      <c r="AI179" t="s">
        <v>3392</v>
      </c>
      <c r="AJ179" s="2">
        <v>45433</v>
      </c>
      <c r="AK179" s="1"/>
      <c r="AM179" s="74">
        <v>45442</v>
      </c>
      <c r="AT179" s="1"/>
    </row>
    <row r="180" spans="1:46">
      <c r="A180" s="1">
        <v>180</v>
      </c>
      <c r="B180" t="s">
        <v>37</v>
      </c>
      <c r="C180" s="2">
        <v>45436</v>
      </c>
      <c r="D180" s="2" t="s">
        <v>9900</v>
      </c>
      <c r="E180" t="s">
        <v>10480</v>
      </c>
      <c r="F180" s="61" t="s">
        <v>10481</v>
      </c>
      <c r="G180" t="s">
        <v>10482</v>
      </c>
      <c r="H180" s="6" t="s">
        <v>314</v>
      </c>
      <c r="I180" s="1" t="s">
        <v>7683</v>
      </c>
      <c r="J180" s="8">
        <v>643657809</v>
      </c>
      <c r="K180" s="1"/>
      <c r="L180" s="1" t="s">
        <v>10480</v>
      </c>
      <c r="M180" s="2">
        <v>45443</v>
      </c>
      <c r="N180" s="1" t="s">
        <v>35</v>
      </c>
      <c r="O180" s="14" t="s">
        <v>7931</v>
      </c>
      <c r="P180" s="14" t="s">
        <v>10483</v>
      </c>
      <c r="Q180" s="187">
        <v>228.1</v>
      </c>
      <c r="R180" s="1">
        <v>1</v>
      </c>
      <c r="S180" s="128">
        <v>0.21</v>
      </c>
      <c r="T180" s="128">
        <v>0</v>
      </c>
      <c r="U180" s="363"/>
      <c r="V180" s="126">
        <f t="shared" ref="V180:V183" si="82">SUM(Q180-(Q180*T180))*S180+(Q180-(Q180*T180))</f>
        <v>276.00099999999998</v>
      </c>
      <c r="W180" s="1" t="s">
        <v>10480</v>
      </c>
      <c r="X180" s="5"/>
      <c r="Y180" s="3"/>
      <c r="Z180" s="2"/>
      <c r="AA180" s="11"/>
      <c r="AB180" s="2"/>
      <c r="AC180" s="133"/>
      <c r="AF180" t="s">
        <v>3198</v>
      </c>
      <c r="AJ180" s="3"/>
      <c r="AM180" s="3"/>
    </row>
    <row r="181" spans="1:46">
      <c r="A181" s="1">
        <v>181</v>
      </c>
      <c r="B181" t="s">
        <v>83</v>
      </c>
      <c r="C181" s="2">
        <v>45436</v>
      </c>
      <c r="D181" s="2" t="s">
        <v>9900</v>
      </c>
      <c r="E181" t="s">
        <v>10484</v>
      </c>
      <c r="F181" s="61" t="s">
        <v>10485</v>
      </c>
      <c r="G181" t="s">
        <v>10486</v>
      </c>
      <c r="H181" s="6" t="s">
        <v>236</v>
      </c>
      <c r="I181" s="1" t="s">
        <v>110</v>
      </c>
      <c r="J181" s="8"/>
      <c r="K181" s="396" t="s">
        <v>10487</v>
      </c>
      <c r="L181" s="1" t="s">
        <v>10484</v>
      </c>
      <c r="M181" s="2">
        <v>45443</v>
      </c>
      <c r="N181" s="1" t="s">
        <v>35</v>
      </c>
      <c r="O181" s="61" t="s">
        <v>7925</v>
      </c>
      <c r="P181" s="14" t="s">
        <v>10488</v>
      </c>
      <c r="Q181" s="187">
        <v>132.22999999999999</v>
      </c>
      <c r="R181" s="1">
        <v>1</v>
      </c>
      <c r="S181" s="128">
        <v>0.21</v>
      </c>
      <c r="T181" s="128">
        <v>0</v>
      </c>
      <c r="U181" s="363"/>
      <c r="V181" s="126">
        <v>160</v>
      </c>
      <c r="W181" t="s">
        <v>10516</v>
      </c>
      <c r="X181" s="5" t="s">
        <v>10517</v>
      </c>
      <c r="Y181" s="3">
        <v>35861</v>
      </c>
      <c r="Z181" s="2">
        <v>45436</v>
      </c>
      <c r="AA181" s="428" t="s">
        <v>10696</v>
      </c>
      <c r="AB181" s="2">
        <v>45482</v>
      </c>
      <c r="AC181" s="80" t="s">
        <v>1339</v>
      </c>
      <c r="AF181" t="s">
        <v>3198</v>
      </c>
      <c r="AI181" t="s">
        <v>10489</v>
      </c>
      <c r="AJ181" s="3">
        <v>45443</v>
      </c>
      <c r="AM181" s="3">
        <v>45447</v>
      </c>
    </row>
    <row r="182" spans="1:46">
      <c r="A182" s="1">
        <v>182</v>
      </c>
      <c r="B182" t="s">
        <v>33</v>
      </c>
      <c r="C182" s="2">
        <v>45436</v>
      </c>
      <c r="D182" s="2"/>
      <c r="E182" s="1" t="s">
        <v>3459</v>
      </c>
      <c r="F182" s="61" t="s">
        <v>3460</v>
      </c>
      <c r="G182" s="61" t="s">
        <v>3461</v>
      </c>
      <c r="H182" s="6" t="s">
        <v>219</v>
      </c>
      <c r="I182" s="1" t="s">
        <v>38</v>
      </c>
      <c r="J182" s="8">
        <v>600502530</v>
      </c>
      <c r="K182" s="114" t="s">
        <v>11744</v>
      </c>
      <c r="L182" t="s">
        <v>237</v>
      </c>
      <c r="M182" s="2">
        <v>45443</v>
      </c>
      <c r="N182" s="1" t="s">
        <v>35</v>
      </c>
      <c r="O182" s="14" t="s">
        <v>9758</v>
      </c>
      <c r="P182" s="14" t="s">
        <v>10492</v>
      </c>
      <c r="Q182" s="187">
        <v>132.22999999999999</v>
      </c>
      <c r="R182" s="1">
        <v>1</v>
      </c>
      <c r="S182" s="128">
        <v>0.21</v>
      </c>
      <c r="T182" s="128">
        <v>0.2</v>
      </c>
      <c r="U182" s="363"/>
      <c r="V182" s="126">
        <f t="shared" si="82"/>
        <v>127.99863999999999</v>
      </c>
      <c r="W182" t="s">
        <v>10515</v>
      </c>
      <c r="X182" s="401" t="s">
        <v>10644</v>
      </c>
      <c r="Y182" s="3">
        <v>37975</v>
      </c>
      <c r="Z182" s="2">
        <v>45436</v>
      </c>
      <c r="AA182" s="428" t="s">
        <v>10643</v>
      </c>
      <c r="AB182" s="3">
        <v>45474</v>
      </c>
      <c r="AC182" s="80" t="s">
        <v>1339</v>
      </c>
      <c r="AF182" t="s">
        <v>3198</v>
      </c>
      <c r="AI182" s="61" t="s">
        <v>3470</v>
      </c>
      <c r="AJ182" s="3">
        <v>45443</v>
      </c>
      <c r="AM182" s="3">
        <v>45449</v>
      </c>
      <c r="AS182" s="1"/>
    </row>
    <row r="183" spans="1:46">
      <c r="A183" s="1">
        <v>183</v>
      </c>
      <c r="B183" t="s">
        <v>7036</v>
      </c>
      <c r="C183" s="2">
        <v>45439</v>
      </c>
      <c r="D183" s="2"/>
      <c r="E183" s="1" t="s">
        <v>6375</v>
      </c>
      <c r="F183" t="s">
        <v>6376</v>
      </c>
      <c r="G183" s="61" t="s">
        <v>6377</v>
      </c>
      <c r="H183" s="6" t="s">
        <v>294</v>
      </c>
      <c r="I183" s="1" t="s">
        <v>103</v>
      </c>
      <c r="J183" s="8">
        <v>660744167</v>
      </c>
      <c r="K183" s="8" t="s">
        <v>6332</v>
      </c>
      <c r="L183" s="1" t="s">
        <v>6375</v>
      </c>
      <c r="M183" s="2">
        <v>45443</v>
      </c>
      <c r="N183" s="1" t="s">
        <v>35</v>
      </c>
      <c r="O183" s="61" t="s">
        <v>7925</v>
      </c>
      <c r="P183" s="14" t="s">
        <v>10499</v>
      </c>
      <c r="Q183" s="187">
        <v>132.22999999999999</v>
      </c>
      <c r="R183" s="1">
        <v>1</v>
      </c>
      <c r="S183" s="90">
        <v>0.21</v>
      </c>
      <c r="T183" s="90">
        <v>0.2</v>
      </c>
      <c r="U183" s="363"/>
      <c r="V183" s="95">
        <f t="shared" si="82"/>
        <v>127.99863999999999</v>
      </c>
      <c r="W183" t="s">
        <v>10500</v>
      </c>
      <c r="X183" s="5" t="s">
        <v>10551</v>
      </c>
      <c r="Y183" s="2">
        <v>36283</v>
      </c>
      <c r="Z183" s="2">
        <v>45439</v>
      </c>
      <c r="AA183" s="428" t="s">
        <v>10581</v>
      </c>
      <c r="AB183" s="3">
        <v>45454</v>
      </c>
      <c r="AC183" s="80" t="s">
        <v>1339</v>
      </c>
      <c r="AF183" t="s">
        <v>3198</v>
      </c>
      <c r="AI183" s="61"/>
      <c r="AJ183" s="2"/>
      <c r="AM183" s="3"/>
    </row>
    <row r="184" spans="1:46">
      <c r="A184" s="1">
        <v>184</v>
      </c>
      <c r="B184" t="s">
        <v>37</v>
      </c>
      <c r="C184" s="2">
        <v>45439</v>
      </c>
      <c r="D184" s="2"/>
      <c r="E184" t="s">
        <v>8382</v>
      </c>
      <c r="F184" s="61" t="s">
        <v>8310</v>
      </c>
      <c r="G184" s="61" t="s">
        <v>8311</v>
      </c>
      <c r="H184" s="6" t="s">
        <v>245</v>
      </c>
      <c r="I184" s="1" t="s">
        <v>6839</v>
      </c>
      <c r="J184" s="8">
        <v>631061368</v>
      </c>
      <c r="K184" s="8"/>
      <c r="L184" t="s">
        <v>8382</v>
      </c>
      <c r="M184" s="2">
        <v>45443</v>
      </c>
      <c r="N184" s="1" t="s">
        <v>35</v>
      </c>
      <c r="O184" s="61" t="s">
        <v>7934</v>
      </c>
      <c r="P184" s="14" t="s">
        <v>10501</v>
      </c>
      <c r="Q184" s="92">
        <v>78.510000000000005</v>
      </c>
      <c r="R184" s="1">
        <v>1</v>
      </c>
      <c r="S184" s="90">
        <v>0.21</v>
      </c>
      <c r="T184" s="90">
        <v>0</v>
      </c>
      <c r="V184" s="95">
        <f t="shared" ref="V184" si="83">SUM(Q184-(Q184*T184))*S184+(Q184-(Q184*T184))</f>
        <v>94.997100000000003</v>
      </c>
      <c r="W184" t="s">
        <v>8382</v>
      </c>
      <c r="X184" s="5" t="s">
        <v>10502</v>
      </c>
      <c r="Y184" s="2">
        <v>30234</v>
      </c>
      <c r="Z184" s="2">
        <v>45439</v>
      </c>
      <c r="AA184" s="428" t="s">
        <v>10643</v>
      </c>
      <c r="AB184" s="3">
        <v>45474</v>
      </c>
      <c r="AC184" s="80" t="s">
        <v>1339</v>
      </c>
      <c r="AF184" t="s">
        <v>3198</v>
      </c>
      <c r="AJ184" s="2"/>
      <c r="AM184" s="74"/>
      <c r="AT184" s="1"/>
    </row>
    <row r="185" spans="1:46">
      <c r="A185" s="1">
        <v>185</v>
      </c>
      <c r="B185" t="s">
        <v>1242</v>
      </c>
      <c r="C185" s="2">
        <v>45440</v>
      </c>
      <c r="D185" s="2"/>
      <c r="E185" s="1" t="s">
        <v>7330</v>
      </c>
      <c r="F185" t="s">
        <v>7331</v>
      </c>
      <c r="G185" s="61" t="s">
        <v>7332</v>
      </c>
      <c r="H185" s="6" t="s">
        <v>221</v>
      </c>
      <c r="I185" s="1" t="s">
        <v>34</v>
      </c>
      <c r="J185" s="44"/>
      <c r="K185" s="8" t="s">
        <v>5905</v>
      </c>
      <c r="L185" s="31" t="s">
        <v>1250</v>
      </c>
      <c r="M185" s="2">
        <v>45443</v>
      </c>
      <c r="N185" s="1" t="s">
        <v>35</v>
      </c>
      <c r="O185" s="61" t="s">
        <v>9758</v>
      </c>
      <c r="P185" s="14" t="s">
        <v>10503</v>
      </c>
      <c r="Q185" s="187">
        <v>132.22999999999999</v>
      </c>
      <c r="R185" s="1">
        <v>1</v>
      </c>
      <c r="S185" s="128">
        <v>0.21</v>
      </c>
      <c r="T185" s="128">
        <v>0.2</v>
      </c>
      <c r="V185" s="95">
        <f t="shared" ref="V185" si="84">SUM(Q185-(Q185*T185))*S185+(Q185-(Q185*T185))</f>
        <v>127.99863999999999</v>
      </c>
      <c r="W185" t="s">
        <v>10525</v>
      </c>
      <c r="X185" s="6" t="s">
        <v>10526</v>
      </c>
      <c r="Y185" s="2">
        <v>36526</v>
      </c>
      <c r="Z185" s="2">
        <v>45440</v>
      </c>
      <c r="AA185" s="428" t="s">
        <v>10923</v>
      </c>
      <c r="AB185" s="3">
        <v>45546</v>
      </c>
      <c r="AC185" s="80" t="s">
        <v>1339</v>
      </c>
      <c r="AE185" s="182">
        <v>45512</v>
      </c>
      <c r="AF185" t="s">
        <v>3198</v>
      </c>
      <c r="AI185" s="61" t="s">
        <v>3470</v>
      </c>
      <c r="AJ185" s="2">
        <v>45446</v>
      </c>
      <c r="AM185" s="74">
        <v>45449</v>
      </c>
      <c r="AT185" s="1"/>
    </row>
    <row r="186" spans="1:46">
      <c r="A186" s="1">
        <v>186</v>
      </c>
      <c r="B186" s="61" t="s">
        <v>33</v>
      </c>
      <c r="C186" s="2">
        <v>45440</v>
      </c>
      <c r="D186" s="2"/>
      <c r="E186" t="s">
        <v>9958</v>
      </c>
      <c r="F186" s="61" t="s">
        <v>9959</v>
      </c>
      <c r="G186" s="61" t="s">
        <v>9960</v>
      </c>
      <c r="H186" s="6" t="s">
        <v>219</v>
      </c>
      <c r="I186" s="1" t="s">
        <v>4334</v>
      </c>
      <c r="J186" s="44"/>
      <c r="K186" s="114" t="s">
        <v>11744</v>
      </c>
      <c r="L186" s="30" t="s">
        <v>237</v>
      </c>
      <c r="M186" s="2">
        <v>45443</v>
      </c>
      <c r="N186" s="1" t="s">
        <v>35</v>
      </c>
      <c r="O186" s="61" t="s">
        <v>9758</v>
      </c>
      <c r="P186" s="14" t="s">
        <v>10504</v>
      </c>
      <c r="Q186" s="187">
        <v>132.22999999999999</v>
      </c>
      <c r="R186" s="1">
        <v>1</v>
      </c>
      <c r="S186" s="128">
        <v>0.21</v>
      </c>
      <c r="T186" s="128">
        <v>0.2</v>
      </c>
      <c r="U186" s="363"/>
      <c r="V186" s="126">
        <f t="shared" ref="V186" si="85">SUM(Q186-(Q186*T186))*S186+(Q186-(Q186*T186))</f>
        <v>127.99863999999999</v>
      </c>
      <c r="W186" t="s">
        <v>10523</v>
      </c>
      <c r="X186" s="5" t="s">
        <v>10524</v>
      </c>
      <c r="Y186" s="2">
        <v>34404</v>
      </c>
      <c r="Z186" s="2">
        <v>45440</v>
      </c>
      <c r="AA186" s="428" t="s">
        <v>10860</v>
      </c>
      <c r="AB186" s="3">
        <v>45546</v>
      </c>
      <c r="AC186" s="80" t="s">
        <v>1339</v>
      </c>
      <c r="AE186" s="162">
        <v>45512</v>
      </c>
      <c r="AF186" t="s">
        <v>3198</v>
      </c>
      <c r="AI186" s="61" t="s">
        <v>3470</v>
      </c>
      <c r="AJ186" s="3">
        <v>45446</v>
      </c>
    </row>
    <row r="187" spans="1:46">
      <c r="A187" s="1">
        <v>187</v>
      </c>
      <c r="B187" t="s">
        <v>3526</v>
      </c>
      <c r="C187" s="2">
        <v>45440</v>
      </c>
      <c r="D187" s="2"/>
      <c r="E187" s="1" t="s">
        <v>7468</v>
      </c>
      <c r="F187" t="s">
        <v>7469</v>
      </c>
      <c r="G187" s="61" t="s">
        <v>7470</v>
      </c>
      <c r="H187" s="6" t="s">
        <v>294</v>
      </c>
      <c r="I187" s="1" t="s">
        <v>103</v>
      </c>
      <c r="J187" s="8">
        <v>649440769</v>
      </c>
      <c r="K187" s="1" t="s">
        <v>7472</v>
      </c>
      <c r="L187" t="s">
        <v>7468</v>
      </c>
      <c r="M187" s="2">
        <v>45443</v>
      </c>
      <c r="N187" s="1" t="s">
        <v>35</v>
      </c>
      <c r="O187" s="61" t="s">
        <v>7934</v>
      </c>
      <c r="P187" s="14" t="s">
        <v>10505</v>
      </c>
      <c r="Q187" s="187">
        <v>78.510000000000005</v>
      </c>
      <c r="R187" s="1">
        <v>1</v>
      </c>
      <c r="S187" s="90">
        <v>0.21</v>
      </c>
      <c r="T187" s="90">
        <v>0.2</v>
      </c>
      <c r="V187" s="95">
        <f t="shared" ref="V187" si="86">SUM(Q187-(Q187*T187))*S187+(Q187-(Q187*T187))</f>
        <v>75.997680000000003</v>
      </c>
      <c r="W187" t="s">
        <v>7548</v>
      </c>
      <c r="X187" s="5" t="s">
        <v>10506</v>
      </c>
      <c r="Y187" s="2">
        <v>30036</v>
      </c>
      <c r="Z187" s="2">
        <v>45440</v>
      </c>
      <c r="AA187" s="428" t="s">
        <v>10643</v>
      </c>
      <c r="AB187" s="3">
        <v>45474</v>
      </c>
      <c r="AC187" s="80" t="s">
        <v>1339</v>
      </c>
      <c r="AF187" t="s">
        <v>3198</v>
      </c>
      <c r="AJ187" s="2"/>
      <c r="AM187" s="3"/>
      <c r="AT187" s="1"/>
    </row>
    <row r="188" spans="1:46">
      <c r="A188" s="1">
        <v>188</v>
      </c>
      <c r="B188" t="s">
        <v>3526</v>
      </c>
      <c r="C188" s="2">
        <v>45442</v>
      </c>
      <c r="D188" s="2"/>
      <c r="E188" s="1" t="s">
        <v>10510</v>
      </c>
      <c r="F188" s="61" t="s">
        <v>10511</v>
      </c>
      <c r="G188" t="s">
        <v>10512</v>
      </c>
      <c r="H188" s="6" t="s">
        <v>314</v>
      </c>
      <c r="I188" s="1" t="s">
        <v>10513</v>
      </c>
      <c r="J188" s="427">
        <v>687054690</v>
      </c>
      <c r="K188" s="1" t="s">
        <v>7759</v>
      </c>
      <c r="L188" s="1" t="s">
        <v>10510</v>
      </c>
      <c r="M188" s="2">
        <v>45443</v>
      </c>
      <c r="N188" s="1" t="s">
        <v>35</v>
      </c>
      <c r="O188" s="61" t="s">
        <v>9758</v>
      </c>
      <c r="P188" s="14" t="s">
        <v>10514</v>
      </c>
      <c r="Q188" s="187">
        <v>132.22999999999999</v>
      </c>
      <c r="R188" s="1">
        <v>1</v>
      </c>
      <c r="S188" s="128">
        <v>0.21</v>
      </c>
      <c r="T188" s="128">
        <v>0.2</v>
      </c>
      <c r="U188" s="363"/>
      <c r="V188" s="126">
        <f t="shared" ref="V188" si="87">SUM(Q188-(Q188*T188))*S188+(Q188-(Q188*T188))</f>
        <v>127.99863999999999</v>
      </c>
      <c r="W188" t="s">
        <v>10579</v>
      </c>
      <c r="X188" s="5" t="s">
        <v>10580</v>
      </c>
      <c r="Y188" s="3">
        <v>38550</v>
      </c>
      <c r="Z188" s="2">
        <v>45442</v>
      </c>
      <c r="AA188" s="428" t="s">
        <v>10688</v>
      </c>
      <c r="AB188" s="2">
        <v>45482</v>
      </c>
      <c r="AC188" s="80" t="s">
        <v>1339</v>
      </c>
      <c r="AF188" t="s">
        <v>3198</v>
      </c>
      <c r="AI188" s="61" t="s">
        <v>3470</v>
      </c>
      <c r="AJ188" s="3">
        <v>45454</v>
      </c>
      <c r="AM188" s="3">
        <v>45455</v>
      </c>
    </row>
    <row r="189" spans="1:46">
      <c r="A189" s="1">
        <v>189</v>
      </c>
      <c r="B189" t="s">
        <v>423</v>
      </c>
      <c r="C189" s="2">
        <v>45446</v>
      </c>
      <c r="D189" s="2" t="s">
        <v>9900</v>
      </c>
      <c r="E189" s="1" t="s">
        <v>8369</v>
      </c>
      <c r="F189" s="61" t="s">
        <v>10518</v>
      </c>
      <c r="G189" t="s">
        <v>10519</v>
      </c>
      <c r="H189" s="6" t="s">
        <v>221</v>
      </c>
      <c r="I189" s="1" t="s">
        <v>34</v>
      </c>
      <c r="J189" s="430">
        <v>678256773</v>
      </c>
      <c r="K189" s="1"/>
      <c r="L189" s="1" t="s">
        <v>8369</v>
      </c>
      <c r="M189" s="2">
        <v>45473</v>
      </c>
      <c r="N189" s="1" t="s">
        <v>35</v>
      </c>
      <c r="O189" s="61" t="s">
        <v>7934</v>
      </c>
      <c r="P189" s="14" t="s">
        <v>10520</v>
      </c>
      <c r="Q189" s="187">
        <v>78.510000000000005</v>
      </c>
      <c r="R189" s="1">
        <v>1</v>
      </c>
      <c r="S189" s="128">
        <v>0.21</v>
      </c>
      <c r="T189" s="128">
        <v>0</v>
      </c>
      <c r="U189" s="363"/>
      <c r="V189" s="126">
        <f t="shared" ref="V189:V199" si="88">SUM(Q189-(Q189*T189))*S189+(Q189-(Q189*T189))</f>
        <v>94.997100000000003</v>
      </c>
      <c r="W189" s="1" t="s">
        <v>8369</v>
      </c>
      <c r="X189" s="5" t="s">
        <v>10521</v>
      </c>
      <c r="Y189" s="3">
        <v>33644</v>
      </c>
      <c r="Z189" s="2">
        <v>45446</v>
      </c>
      <c r="AA189" s="428" t="s">
        <v>10679</v>
      </c>
      <c r="AB189" s="2">
        <v>45482</v>
      </c>
      <c r="AC189" s="80" t="s">
        <v>1339</v>
      </c>
      <c r="AF189" t="s">
        <v>3198</v>
      </c>
      <c r="AJ189" s="3"/>
      <c r="AM189" s="3"/>
    </row>
    <row r="190" spans="1:46">
      <c r="A190" s="1">
        <v>190</v>
      </c>
      <c r="B190" t="s">
        <v>40</v>
      </c>
      <c r="C190" s="2">
        <v>45449</v>
      </c>
      <c r="D190" s="2"/>
      <c r="E190" s="1" t="s">
        <v>2611</v>
      </c>
      <c r="F190" s="61" t="s">
        <v>2612</v>
      </c>
      <c r="G190" s="61" t="s">
        <v>4022</v>
      </c>
      <c r="H190" s="6" t="s">
        <v>221</v>
      </c>
      <c r="I190" s="1" t="s">
        <v>34</v>
      </c>
      <c r="J190" s="8">
        <v>697501300</v>
      </c>
      <c r="K190" t="s">
        <v>8357</v>
      </c>
      <c r="L190" s="1" t="s">
        <v>2611</v>
      </c>
      <c r="M190" s="2">
        <v>45473</v>
      </c>
      <c r="N190" s="1" t="s">
        <v>35</v>
      </c>
      <c r="O190" s="61" t="s">
        <v>9758</v>
      </c>
      <c r="P190" s="14" t="s">
        <v>10531</v>
      </c>
      <c r="Q190" s="187">
        <v>132.22999999999999</v>
      </c>
      <c r="R190" s="1">
        <v>1</v>
      </c>
      <c r="S190" s="128">
        <v>0.21</v>
      </c>
      <c r="T190" s="128">
        <v>0.2</v>
      </c>
      <c r="U190" s="363"/>
      <c r="V190" s="126">
        <f t="shared" si="88"/>
        <v>127.99863999999999</v>
      </c>
      <c r="W190" t="s">
        <v>10601</v>
      </c>
      <c r="X190" s="5" t="s">
        <v>10602</v>
      </c>
      <c r="Y190" s="3">
        <v>36188</v>
      </c>
      <c r="Z190" s="2">
        <v>45449</v>
      </c>
      <c r="AA190" s="428" t="s">
        <v>10730</v>
      </c>
      <c r="AB190" s="2">
        <v>45497</v>
      </c>
      <c r="AC190" s="80" t="s">
        <v>1339</v>
      </c>
      <c r="AF190" t="s">
        <v>3198</v>
      </c>
      <c r="AI190" s="61" t="s">
        <v>10532</v>
      </c>
      <c r="AJ190" s="3">
        <v>45460</v>
      </c>
      <c r="AM190" s="3">
        <v>45467</v>
      </c>
    </row>
    <row r="191" spans="1:46">
      <c r="A191" s="1">
        <v>191</v>
      </c>
      <c r="B191" t="s">
        <v>61</v>
      </c>
      <c r="C191" s="2">
        <v>45449</v>
      </c>
      <c r="D191" s="2" t="s">
        <v>9900</v>
      </c>
      <c r="E191" s="1" t="s">
        <v>10533</v>
      </c>
      <c r="F191" s="61" t="s">
        <v>10534</v>
      </c>
      <c r="G191" t="s">
        <v>10535</v>
      </c>
      <c r="H191" s="6" t="s">
        <v>219</v>
      </c>
      <c r="I191" s="1" t="s">
        <v>38</v>
      </c>
      <c r="J191" s="430"/>
      <c r="K191" s="396" t="s">
        <v>9747</v>
      </c>
      <c r="L191" s="1" t="s">
        <v>10533</v>
      </c>
      <c r="M191" s="2">
        <v>45473</v>
      </c>
      <c r="N191" s="1" t="s">
        <v>35</v>
      </c>
      <c r="O191" s="61" t="s">
        <v>10536</v>
      </c>
      <c r="P191" s="14" t="s">
        <v>10537</v>
      </c>
      <c r="Q191" s="187">
        <v>100</v>
      </c>
      <c r="R191" s="1">
        <v>1</v>
      </c>
      <c r="S191" s="128">
        <v>0.21</v>
      </c>
      <c r="T191" s="128">
        <v>0</v>
      </c>
      <c r="U191" s="363"/>
      <c r="V191" s="126">
        <f t="shared" si="88"/>
        <v>121</v>
      </c>
      <c r="X191" s="5"/>
      <c r="Y191" s="3"/>
      <c r="Z191" s="2">
        <v>45449</v>
      </c>
      <c r="AA191" s="11"/>
      <c r="AB191" s="2"/>
      <c r="AC191" s="133"/>
      <c r="AJ191" s="3"/>
      <c r="AM191" s="3"/>
    </row>
    <row r="192" spans="1:46">
      <c r="A192" s="1">
        <v>192</v>
      </c>
      <c r="B192" t="s">
        <v>3526</v>
      </c>
      <c r="C192" s="2">
        <v>45449</v>
      </c>
      <c r="D192" s="2"/>
      <c r="E192" s="1" t="s">
        <v>4512</v>
      </c>
      <c r="F192" t="s">
        <v>10295</v>
      </c>
      <c r="G192" t="s">
        <v>4614</v>
      </c>
      <c r="H192" s="6" t="s">
        <v>242</v>
      </c>
      <c r="I192" s="1" t="s">
        <v>86</v>
      </c>
      <c r="J192" s="1">
        <v>673821555</v>
      </c>
      <c r="K192" s="8" t="s">
        <v>7157</v>
      </c>
      <c r="L192" s="1" t="s">
        <v>6215</v>
      </c>
      <c r="M192" s="2">
        <v>45473</v>
      </c>
      <c r="N192" s="1" t="s">
        <v>35</v>
      </c>
      <c r="O192" s="61" t="s">
        <v>7929</v>
      </c>
      <c r="P192" s="14" t="s">
        <v>10538</v>
      </c>
      <c r="Q192" s="187">
        <v>132.22999999999999</v>
      </c>
      <c r="R192" s="1">
        <v>1</v>
      </c>
      <c r="S192" s="90">
        <v>0.21</v>
      </c>
      <c r="T192" s="90">
        <v>0.2</v>
      </c>
      <c r="U192" s="363"/>
      <c r="V192" s="95">
        <f t="shared" si="88"/>
        <v>127.99863999999999</v>
      </c>
      <c r="W192" t="s">
        <v>10654</v>
      </c>
      <c r="X192" s="401" t="s">
        <v>10646</v>
      </c>
      <c r="Y192" s="2">
        <v>34717</v>
      </c>
      <c r="Z192" s="2">
        <v>45449</v>
      </c>
      <c r="AA192" s="428" t="s">
        <v>10687</v>
      </c>
      <c r="AB192" s="2">
        <v>45482</v>
      </c>
      <c r="AC192" s="80" t="s">
        <v>1339</v>
      </c>
      <c r="AF192" t="s">
        <v>3198</v>
      </c>
      <c r="AI192" t="s">
        <v>3392</v>
      </c>
      <c r="AJ192" s="2">
        <v>45474</v>
      </c>
      <c r="AM192" s="3">
        <v>45476</v>
      </c>
      <c r="AS192" s="1" t="s">
        <v>7936</v>
      </c>
    </row>
    <row r="193" spans="1:46">
      <c r="A193" s="1">
        <v>193</v>
      </c>
      <c r="B193" t="s">
        <v>37</v>
      </c>
      <c r="C193" s="2">
        <v>45450</v>
      </c>
      <c r="E193" s="1" t="s">
        <v>4502</v>
      </c>
      <c r="F193" s="61" t="s">
        <v>9879</v>
      </c>
      <c r="G193" t="s">
        <v>9880</v>
      </c>
      <c r="H193">
        <v>4630</v>
      </c>
      <c r="I193" t="s">
        <v>4147</v>
      </c>
      <c r="J193">
        <v>612500215</v>
      </c>
      <c r="L193" t="s">
        <v>4502</v>
      </c>
      <c r="M193" s="2">
        <v>45473</v>
      </c>
      <c r="N193" s="1" t="s">
        <v>35</v>
      </c>
      <c r="O193" s="61" t="s">
        <v>7968</v>
      </c>
      <c r="P193" s="14" t="s">
        <v>10539</v>
      </c>
      <c r="Q193" s="187">
        <v>132.22999999999999</v>
      </c>
      <c r="R193" s="1">
        <v>1</v>
      </c>
      <c r="S193" s="128">
        <v>0.21</v>
      </c>
      <c r="T193" s="128">
        <v>0</v>
      </c>
      <c r="U193" s="363"/>
      <c r="V193" s="126">
        <f>SUM(Q193-(Q193*T193))*S193+(Q193-(Q193*T193))</f>
        <v>159.99829999999997</v>
      </c>
      <c r="W193" t="s">
        <v>10616</v>
      </c>
      <c r="X193" s="5" t="s">
        <v>10617</v>
      </c>
      <c r="Y193" s="3">
        <v>45106</v>
      </c>
      <c r="Z193" s="3">
        <v>45450</v>
      </c>
      <c r="AA193" s="428" t="s">
        <v>10805</v>
      </c>
      <c r="AB193" s="2">
        <v>45518</v>
      </c>
      <c r="AC193" s="80" t="s">
        <v>1339</v>
      </c>
      <c r="AF193" t="s">
        <v>3198</v>
      </c>
      <c r="AI193" t="s">
        <v>3392</v>
      </c>
      <c r="AJ193" s="3">
        <v>45463</v>
      </c>
      <c r="AM193" s="3">
        <v>45463</v>
      </c>
    </row>
    <row r="194" spans="1:46">
      <c r="A194" s="1">
        <v>194</v>
      </c>
      <c r="B194" t="s">
        <v>37</v>
      </c>
      <c r="C194" s="2">
        <v>45450</v>
      </c>
      <c r="E194" s="1" t="s">
        <v>4502</v>
      </c>
      <c r="F194" s="61" t="s">
        <v>9879</v>
      </c>
      <c r="G194" t="s">
        <v>9880</v>
      </c>
      <c r="H194">
        <v>4630</v>
      </c>
      <c r="I194" t="s">
        <v>4147</v>
      </c>
      <c r="J194">
        <v>612500215</v>
      </c>
      <c r="L194" t="s">
        <v>4502</v>
      </c>
      <c r="M194" s="2">
        <v>45473</v>
      </c>
      <c r="N194" s="1" t="s">
        <v>35</v>
      </c>
      <c r="O194" s="61" t="s">
        <v>7968</v>
      </c>
      <c r="P194" s="14" t="s">
        <v>10540</v>
      </c>
      <c r="Q194" s="187">
        <v>132.22999999999999</v>
      </c>
      <c r="R194" s="1">
        <v>1</v>
      </c>
      <c r="S194" s="128">
        <v>0.21</v>
      </c>
      <c r="T194" s="128">
        <v>0</v>
      </c>
      <c r="U194" s="363"/>
      <c r="V194" s="126">
        <f>SUM(Q194-(Q194*T194))*S194+(Q194-(Q194*T194))</f>
        <v>159.99829999999997</v>
      </c>
      <c r="W194" t="s">
        <v>10614</v>
      </c>
      <c r="X194" s="5" t="s">
        <v>10615</v>
      </c>
      <c r="Y194" s="3">
        <v>37004</v>
      </c>
      <c r="Z194" s="3">
        <v>45450</v>
      </c>
      <c r="AA194" s="428" t="s">
        <v>10805</v>
      </c>
      <c r="AB194" s="2">
        <v>45518</v>
      </c>
      <c r="AC194" s="80" t="s">
        <v>1339</v>
      </c>
      <c r="AF194" t="s">
        <v>3198</v>
      </c>
      <c r="AI194" t="s">
        <v>10541</v>
      </c>
      <c r="AJ194" s="3">
        <v>45463</v>
      </c>
      <c r="AM194" s="3">
        <v>45463</v>
      </c>
    </row>
    <row r="195" spans="1:46">
      <c r="A195" s="1">
        <v>195</v>
      </c>
      <c r="B195" t="s">
        <v>37</v>
      </c>
      <c r="C195" s="2">
        <v>45450</v>
      </c>
      <c r="D195" s="2"/>
      <c r="E195" s="1" t="s">
        <v>10542</v>
      </c>
      <c r="F195" s="61" t="s">
        <v>10543</v>
      </c>
      <c r="G195" t="s">
        <v>10544</v>
      </c>
      <c r="H195" s="6" t="s">
        <v>9569</v>
      </c>
      <c r="I195" s="1" t="s">
        <v>9570</v>
      </c>
      <c r="J195" s="430">
        <v>612461074</v>
      </c>
      <c r="K195" s="1"/>
      <c r="L195" s="1" t="s">
        <v>10542</v>
      </c>
      <c r="M195" s="2">
        <v>45473</v>
      </c>
      <c r="N195" s="1" t="s">
        <v>35</v>
      </c>
      <c r="O195" s="61" t="s">
        <v>7934</v>
      </c>
      <c r="P195" s="14" t="s">
        <v>10545</v>
      </c>
      <c r="Q195" s="187">
        <v>78.510000000000005</v>
      </c>
      <c r="R195" s="1">
        <v>1</v>
      </c>
      <c r="S195" s="128">
        <v>0.21</v>
      </c>
      <c r="T195" s="128">
        <v>0</v>
      </c>
      <c r="U195" s="363"/>
      <c r="V195" s="126">
        <f t="shared" si="88"/>
        <v>94.997100000000003</v>
      </c>
      <c r="W195" t="s">
        <v>10542</v>
      </c>
      <c r="X195" s="5" t="s">
        <v>10546</v>
      </c>
      <c r="Y195" s="3">
        <v>36917</v>
      </c>
      <c r="Z195" s="3">
        <v>45450</v>
      </c>
      <c r="AA195" s="428" t="s">
        <v>10965</v>
      </c>
      <c r="AB195" s="2">
        <v>45565</v>
      </c>
      <c r="AC195" s="80" t="s">
        <v>1339</v>
      </c>
      <c r="AF195" t="s">
        <v>3198</v>
      </c>
      <c r="AJ195" s="3"/>
      <c r="AM195" s="3"/>
    </row>
    <row r="196" spans="1:46">
      <c r="A196" s="1">
        <v>196</v>
      </c>
      <c r="B196" t="s">
        <v>37</v>
      </c>
      <c r="C196" s="2">
        <v>45453</v>
      </c>
      <c r="D196" s="2" t="s">
        <v>9900</v>
      </c>
      <c r="E196" s="1" t="s">
        <v>3010</v>
      </c>
      <c r="F196" s="61" t="s">
        <v>10550</v>
      </c>
      <c r="G196" t="s">
        <v>10547</v>
      </c>
      <c r="H196" s="6" t="s">
        <v>219</v>
      </c>
      <c r="I196" s="1" t="s">
        <v>38</v>
      </c>
      <c r="J196" s="430" t="s">
        <v>10548</v>
      </c>
      <c r="K196" s="1"/>
      <c r="L196" s="1" t="s">
        <v>3010</v>
      </c>
      <c r="M196" s="2">
        <v>45473</v>
      </c>
      <c r="N196" s="1" t="s">
        <v>35</v>
      </c>
      <c r="O196" s="61" t="s">
        <v>7934</v>
      </c>
      <c r="P196" s="14" t="s">
        <v>10549</v>
      </c>
      <c r="Q196" s="187">
        <v>78.510000000000005</v>
      </c>
      <c r="R196" s="1">
        <v>1</v>
      </c>
      <c r="S196" s="128">
        <v>0.21</v>
      </c>
      <c r="T196" s="128">
        <v>0</v>
      </c>
      <c r="U196" s="363"/>
      <c r="V196" s="126">
        <f t="shared" si="88"/>
        <v>94.997100000000003</v>
      </c>
      <c r="W196" s="1" t="s">
        <v>3010</v>
      </c>
      <c r="X196" s="401" t="s">
        <v>10552</v>
      </c>
      <c r="Y196" s="3">
        <v>31896</v>
      </c>
      <c r="Z196" s="2">
        <v>45453</v>
      </c>
      <c r="AA196" s="428" t="s">
        <v>10653</v>
      </c>
      <c r="AB196" s="2">
        <v>45475</v>
      </c>
      <c r="AC196" s="80" t="s">
        <v>1339</v>
      </c>
      <c r="AF196" t="s">
        <v>3198</v>
      </c>
      <c r="AJ196" s="3"/>
      <c r="AM196" s="3"/>
    </row>
    <row r="197" spans="1:46">
      <c r="A197" s="1">
        <v>197</v>
      </c>
      <c r="B197" t="s">
        <v>37</v>
      </c>
      <c r="C197" s="2">
        <v>45454</v>
      </c>
      <c r="D197" s="2" t="s">
        <v>9900</v>
      </c>
      <c r="E197" s="1" t="s">
        <v>10553</v>
      </c>
      <c r="F197" s="61" t="s">
        <v>10554</v>
      </c>
      <c r="G197" t="s">
        <v>10555</v>
      </c>
      <c r="H197" s="6" t="s">
        <v>314</v>
      </c>
      <c r="I197" s="1" t="s">
        <v>7683</v>
      </c>
      <c r="J197" s="430" t="s">
        <v>10556</v>
      </c>
      <c r="K197" s="1"/>
      <c r="L197" s="1" t="s">
        <v>10553</v>
      </c>
      <c r="M197" s="2">
        <v>45473</v>
      </c>
      <c r="N197" s="1" t="s">
        <v>35</v>
      </c>
      <c r="O197" s="61" t="s">
        <v>7935</v>
      </c>
      <c r="P197" s="14" t="s">
        <v>10557</v>
      </c>
      <c r="Q197" s="187">
        <v>78.510000000000005</v>
      </c>
      <c r="R197" s="1">
        <v>1</v>
      </c>
      <c r="S197" s="128">
        <v>0.21</v>
      </c>
      <c r="T197" s="128">
        <v>0</v>
      </c>
      <c r="U197" s="363"/>
      <c r="V197" s="126">
        <f t="shared" si="88"/>
        <v>94.997100000000003</v>
      </c>
      <c r="W197" s="1" t="s">
        <v>10553</v>
      </c>
      <c r="X197" s="5" t="s">
        <v>10613</v>
      </c>
      <c r="Y197" s="3">
        <v>35064</v>
      </c>
      <c r="Z197" s="2">
        <v>45454</v>
      </c>
      <c r="AA197" s="11"/>
      <c r="AB197" s="2"/>
      <c r="AC197" s="133"/>
      <c r="AF197" t="s">
        <v>3198</v>
      </c>
      <c r="AJ197" s="3"/>
      <c r="AM197" s="3"/>
    </row>
    <row r="198" spans="1:46">
      <c r="A198" s="1">
        <v>198</v>
      </c>
      <c r="B198" t="s">
        <v>6684</v>
      </c>
      <c r="C198" s="2">
        <v>45454</v>
      </c>
      <c r="D198" s="2"/>
      <c r="E198" s="1" t="s">
        <v>6685</v>
      </c>
      <c r="F198" t="s">
        <v>6686</v>
      </c>
      <c r="G198" t="s">
        <v>6687</v>
      </c>
      <c r="H198" s="6" t="s">
        <v>2579</v>
      </c>
      <c r="I198" t="s">
        <v>2580</v>
      </c>
      <c r="J198" s="8"/>
      <c r="K198" s="1" t="s">
        <v>7339</v>
      </c>
      <c r="L198" t="s">
        <v>6685</v>
      </c>
      <c r="M198" s="2">
        <v>45473</v>
      </c>
      <c r="N198" s="1" t="s">
        <v>35</v>
      </c>
      <c r="O198" s="61" t="s">
        <v>7925</v>
      </c>
      <c r="P198" s="14" t="s">
        <v>10558</v>
      </c>
      <c r="Q198" s="187">
        <v>132.22999999999999</v>
      </c>
      <c r="R198" s="1">
        <v>1</v>
      </c>
      <c r="S198" s="128">
        <v>0.21</v>
      </c>
      <c r="T198" s="128">
        <v>0.2</v>
      </c>
      <c r="V198" s="126">
        <f t="shared" si="88"/>
        <v>127.99863999999999</v>
      </c>
      <c r="W198" t="s">
        <v>10635</v>
      </c>
      <c r="X198" s="5" t="s">
        <v>10636</v>
      </c>
      <c r="Y198" s="3">
        <v>28535</v>
      </c>
      <c r="Z198" s="2">
        <v>45454</v>
      </c>
      <c r="AA198" s="428" t="s">
        <v>11040</v>
      </c>
      <c r="AB198" s="2">
        <v>45573</v>
      </c>
      <c r="AC198" s="80" t="s">
        <v>1339</v>
      </c>
      <c r="AE198" s="162">
        <v>45518</v>
      </c>
      <c r="AF198" t="s">
        <v>3198</v>
      </c>
      <c r="AI198" t="s">
        <v>3392</v>
      </c>
      <c r="AJ198" s="3">
        <v>45474</v>
      </c>
      <c r="AM198" s="3">
        <v>45477</v>
      </c>
    </row>
    <row r="199" spans="1:46">
      <c r="A199" s="1">
        <v>199</v>
      </c>
      <c r="B199" s="61" t="s">
        <v>119</v>
      </c>
      <c r="C199" s="2">
        <v>45454</v>
      </c>
      <c r="D199" s="2"/>
      <c r="E199" s="1" t="s">
        <v>613</v>
      </c>
      <c r="F199" s="61" t="s">
        <v>9866</v>
      </c>
      <c r="G199" s="61" t="s">
        <v>3795</v>
      </c>
      <c r="H199" s="6" t="s">
        <v>239</v>
      </c>
      <c r="I199" s="1" t="s">
        <v>2585</v>
      </c>
      <c r="J199" s="1">
        <v>637421137</v>
      </c>
      <c r="K199" s="1" t="s">
        <v>8094</v>
      </c>
      <c r="L199" s="31" t="s">
        <v>174</v>
      </c>
      <c r="M199" s="2">
        <v>45473</v>
      </c>
      <c r="N199" s="1" t="s">
        <v>35</v>
      </c>
      <c r="O199" s="61" t="s">
        <v>7925</v>
      </c>
      <c r="P199" s="14" t="s">
        <v>10559</v>
      </c>
      <c r="Q199" s="92">
        <v>132.22999999999999</v>
      </c>
      <c r="R199" s="1">
        <v>1</v>
      </c>
      <c r="S199" s="90">
        <v>0.21</v>
      </c>
      <c r="T199" s="90">
        <v>0.2</v>
      </c>
      <c r="U199" s="95"/>
      <c r="V199" s="126">
        <f t="shared" si="88"/>
        <v>127.99863999999999</v>
      </c>
      <c r="W199" t="s">
        <v>10633</v>
      </c>
      <c r="X199" s="6" t="s">
        <v>10634</v>
      </c>
      <c r="Y199" s="2">
        <v>30144</v>
      </c>
      <c r="Z199" s="2">
        <v>45454</v>
      </c>
      <c r="AA199" s="428" t="s">
        <v>10733</v>
      </c>
      <c r="AB199" s="2">
        <v>45497</v>
      </c>
      <c r="AC199" s="80" t="s">
        <v>1339</v>
      </c>
      <c r="AF199" t="s">
        <v>3198</v>
      </c>
      <c r="AI199" t="s">
        <v>3392</v>
      </c>
      <c r="AJ199" s="2">
        <v>45474</v>
      </c>
      <c r="AK199" s="2"/>
      <c r="AM199" s="74">
        <v>45476</v>
      </c>
      <c r="AT199" s="1"/>
    </row>
    <row r="200" spans="1:46">
      <c r="A200" s="1">
        <v>200</v>
      </c>
      <c r="B200" t="s">
        <v>10560</v>
      </c>
      <c r="C200" s="2">
        <v>45454</v>
      </c>
      <c r="D200" s="2" t="s">
        <v>9900</v>
      </c>
      <c r="E200" s="1" t="s">
        <v>8183</v>
      </c>
      <c r="F200" t="s">
        <v>10561</v>
      </c>
      <c r="G200" t="s">
        <v>10562</v>
      </c>
      <c r="H200" s="6" t="s">
        <v>219</v>
      </c>
      <c r="I200" s="1" t="s">
        <v>38</v>
      </c>
      <c r="J200" s="1" t="s">
        <v>10563</v>
      </c>
      <c r="K200" s="1"/>
      <c r="L200" s="1" t="s">
        <v>8183</v>
      </c>
      <c r="M200" s="2">
        <v>45473</v>
      </c>
      <c r="N200" s="1" t="s">
        <v>35</v>
      </c>
      <c r="O200" s="14" t="s">
        <v>7925</v>
      </c>
      <c r="P200" s="14" t="s">
        <v>8110</v>
      </c>
      <c r="Q200" s="92">
        <v>132.22999999999999</v>
      </c>
      <c r="R200" s="1">
        <v>1</v>
      </c>
      <c r="S200" s="128">
        <v>0.21</v>
      </c>
      <c r="T200" s="128">
        <v>0</v>
      </c>
      <c r="U200" s="363"/>
      <c r="V200" s="95">
        <f t="shared" ref="V200" si="89">SUM(Q200-(Q200*T200))*S200+(Q200-(Q200*T200))</f>
        <v>159.99829999999997</v>
      </c>
      <c r="W200" t="s">
        <v>8183</v>
      </c>
      <c r="X200" s="401" t="s">
        <v>10647</v>
      </c>
      <c r="Y200" s="2">
        <v>34674</v>
      </c>
      <c r="Z200" s="2">
        <v>45454</v>
      </c>
      <c r="AA200" s="428" t="s">
        <v>10731</v>
      </c>
      <c r="AB200" s="2">
        <v>45497</v>
      </c>
      <c r="AC200" s="80" t="s">
        <v>1339</v>
      </c>
      <c r="AD200" s="61"/>
      <c r="AF200" t="s">
        <v>3198</v>
      </c>
      <c r="AI200" t="s">
        <v>10489</v>
      </c>
      <c r="AJ200" s="2">
        <v>45474</v>
      </c>
      <c r="AM200" s="3">
        <v>45475</v>
      </c>
      <c r="AS200" s="1"/>
      <c r="AT200" s="1"/>
    </row>
    <row r="201" spans="1:46">
      <c r="A201" s="1">
        <v>201</v>
      </c>
      <c r="B201" t="s">
        <v>37</v>
      </c>
      <c r="C201" s="2">
        <v>45454</v>
      </c>
      <c r="D201" s="2" t="s">
        <v>9900</v>
      </c>
      <c r="E201" s="1" t="s">
        <v>10564</v>
      </c>
      <c r="F201" s="61" t="s">
        <v>10565</v>
      </c>
      <c r="G201" t="s">
        <v>10566</v>
      </c>
      <c r="H201" s="6" t="s">
        <v>10567</v>
      </c>
      <c r="I201" s="1" t="s">
        <v>10568</v>
      </c>
      <c r="J201" s="430">
        <v>613249374</v>
      </c>
      <c r="K201" s="1"/>
      <c r="L201" s="1" t="s">
        <v>10564</v>
      </c>
      <c r="M201" s="2">
        <v>45473</v>
      </c>
      <c r="N201" s="1" t="s">
        <v>35</v>
      </c>
      <c r="O201" s="14" t="s">
        <v>7968</v>
      </c>
      <c r="P201" s="14" t="s">
        <v>10569</v>
      </c>
      <c r="Q201" s="92">
        <v>132.22999999999999</v>
      </c>
      <c r="R201" s="1">
        <v>1</v>
      </c>
      <c r="S201" s="128">
        <v>0.21</v>
      </c>
      <c r="T201" s="128">
        <v>0</v>
      </c>
      <c r="U201" s="363"/>
      <c r="V201" s="126">
        <f t="shared" ref="V201:V206" si="90">SUM(Q201-(Q201*T201))*S201+(Q201-(Q201*T201))</f>
        <v>159.99829999999997</v>
      </c>
      <c r="W201" t="s">
        <v>10640</v>
      </c>
      <c r="X201" s="5" t="s">
        <v>10641</v>
      </c>
      <c r="Y201" s="3">
        <v>40135</v>
      </c>
      <c r="Z201" s="2">
        <v>45454</v>
      </c>
      <c r="AA201" s="428" t="s">
        <v>10786</v>
      </c>
      <c r="AB201" s="2">
        <v>45518</v>
      </c>
      <c r="AC201" s="80" t="s">
        <v>1339</v>
      </c>
      <c r="AF201" t="s">
        <v>3198</v>
      </c>
      <c r="AI201" t="s">
        <v>3392</v>
      </c>
      <c r="AJ201" s="3">
        <v>45474</v>
      </c>
      <c r="AM201" s="3">
        <v>45475</v>
      </c>
    </row>
    <row r="202" spans="1:46">
      <c r="A202" s="1">
        <v>202</v>
      </c>
      <c r="B202" t="s">
        <v>37</v>
      </c>
      <c r="C202" s="2">
        <v>45454</v>
      </c>
      <c r="D202" s="2" t="s">
        <v>9900</v>
      </c>
      <c r="E202" s="344" t="s">
        <v>10627</v>
      </c>
      <c r="F202" s="61" t="s">
        <v>10570</v>
      </c>
      <c r="G202" t="s">
        <v>10571</v>
      </c>
      <c r="H202" s="6" t="s">
        <v>10572</v>
      </c>
      <c r="I202" s="1" t="s">
        <v>10573</v>
      </c>
      <c r="J202" s="430">
        <v>602151634</v>
      </c>
      <c r="K202" s="1"/>
      <c r="L202" s="344" t="s">
        <v>10627</v>
      </c>
      <c r="M202" s="2">
        <v>45473</v>
      </c>
      <c r="N202" s="1" t="s">
        <v>35</v>
      </c>
      <c r="O202" s="14" t="s">
        <v>9511</v>
      </c>
      <c r="P202" s="14" t="s">
        <v>10574</v>
      </c>
      <c r="Q202" s="187">
        <v>132.22999999999999</v>
      </c>
      <c r="R202" s="1">
        <v>1</v>
      </c>
      <c r="S202" s="128">
        <v>0.21</v>
      </c>
      <c r="T202" s="128">
        <v>0</v>
      </c>
      <c r="U202" s="363"/>
      <c r="V202" s="126">
        <f t="shared" si="90"/>
        <v>159.99829999999997</v>
      </c>
      <c r="W202" s="344" t="s">
        <v>10627</v>
      </c>
      <c r="X202" s="406" t="s">
        <v>10599</v>
      </c>
      <c r="Y202" s="3">
        <v>34213</v>
      </c>
      <c r="Z202" s="2">
        <v>45454</v>
      </c>
      <c r="AA202" s="76" t="s">
        <v>11075</v>
      </c>
      <c r="AB202" s="2">
        <v>45581</v>
      </c>
      <c r="AC202" s="80" t="s">
        <v>1339</v>
      </c>
      <c r="AF202" t="s">
        <v>3198</v>
      </c>
      <c r="AI202" t="s">
        <v>10575</v>
      </c>
      <c r="AJ202" s="3">
        <v>45474</v>
      </c>
      <c r="AM202" s="3">
        <v>45483</v>
      </c>
    </row>
    <row r="203" spans="1:46">
      <c r="A203" s="1">
        <v>203</v>
      </c>
      <c r="B203" t="s">
        <v>33</v>
      </c>
      <c r="C203" s="2">
        <v>45455</v>
      </c>
      <c r="D203" s="2" t="s">
        <v>9900</v>
      </c>
      <c r="E203" s="1" t="s">
        <v>10582</v>
      </c>
      <c r="F203" s="61" t="s">
        <v>10583</v>
      </c>
      <c r="G203" t="s">
        <v>10584</v>
      </c>
      <c r="H203" s="6" t="s">
        <v>220</v>
      </c>
      <c r="I203" s="1" t="s">
        <v>39</v>
      </c>
      <c r="J203" s="430"/>
      <c r="K203" s="114" t="s">
        <v>11744</v>
      </c>
      <c r="L203" s="30" t="s">
        <v>237</v>
      </c>
      <c r="M203" s="2">
        <v>45473</v>
      </c>
      <c r="N203" s="1" t="s">
        <v>35</v>
      </c>
      <c r="O203" s="14" t="s">
        <v>7925</v>
      </c>
      <c r="P203" s="14" t="s">
        <v>7820</v>
      </c>
      <c r="Q203" s="187">
        <v>132.22999999999999</v>
      </c>
      <c r="R203" s="1">
        <v>1</v>
      </c>
      <c r="S203" s="128">
        <v>0.21</v>
      </c>
      <c r="T203" s="128">
        <v>0.2</v>
      </c>
      <c r="U203" s="363"/>
      <c r="V203" s="126">
        <f t="shared" si="90"/>
        <v>127.99863999999999</v>
      </c>
      <c r="W203" t="s">
        <v>10637</v>
      </c>
      <c r="X203" s="5" t="s">
        <v>10638</v>
      </c>
      <c r="Y203" s="3">
        <v>32042</v>
      </c>
      <c r="Z203" s="2">
        <v>45455</v>
      </c>
      <c r="AA203" s="428" t="s">
        <v>10732</v>
      </c>
      <c r="AB203" s="2">
        <v>45497</v>
      </c>
      <c r="AC203" s="80" t="s">
        <v>1339</v>
      </c>
      <c r="AD203" t="s">
        <v>10585</v>
      </c>
      <c r="AF203" t="s">
        <v>3198</v>
      </c>
      <c r="AI203" t="s">
        <v>3392</v>
      </c>
      <c r="AJ203" s="3">
        <v>45474</v>
      </c>
      <c r="AM203" s="3">
        <v>45485</v>
      </c>
    </row>
    <row r="204" spans="1:46">
      <c r="A204" s="1">
        <v>204</v>
      </c>
      <c r="B204" s="61" t="s">
        <v>33</v>
      </c>
      <c r="C204" s="2">
        <v>45455</v>
      </c>
      <c r="D204" s="2"/>
      <c r="E204" s="1" t="s">
        <v>4245</v>
      </c>
      <c r="F204" t="s">
        <v>4246</v>
      </c>
      <c r="G204" s="61" t="s">
        <v>7517</v>
      </c>
      <c r="H204" s="6" t="s">
        <v>227</v>
      </c>
      <c r="I204" s="1" t="s">
        <v>4719</v>
      </c>
      <c r="J204" s="44"/>
      <c r="K204" s="114" t="s">
        <v>11744</v>
      </c>
      <c r="L204" t="s">
        <v>237</v>
      </c>
      <c r="M204" s="2">
        <v>45473</v>
      </c>
      <c r="N204" s="1" t="s">
        <v>35</v>
      </c>
      <c r="O204" s="61" t="s">
        <v>7934</v>
      </c>
      <c r="P204" s="14" t="s">
        <v>10586</v>
      </c>
      <c r="Q204" s="92">
        <v>78.510000000000005</v>
      </c>
      <c r="R204" s="1">
        <v>1</v>
      </c>
      <c r="S204" s="128">
        <v>0.21</v>
      </c>
      <c r="T204" s="128">
        <v>0.2</v>
      </c>
      <c r="U204" s="1"/>
      <c r="V204" s="95">
        <f t="shared" ref="V204" si="91">SUM(Q204-(Q204*T204))*S204+(Q204-(Q204*T204))</f>
        <v>75.997680000000003</v>
      </c>
      <c r="W204" t="s">
        <v>8142</v>
      </c>
      <c r="X204" s="5" t="s">
        <v>10587</v>
      </c>
      <c r="Y204" s="2">
        <v>38277</v>
      </c>
      <c r="Z204" s="2">
        <v>45455</v>
      </c>
      <c r="AA204" s="428" t="s">
        <v>10731</v>
      </c>
      <c r="AB204" s="2">
        <v>45497</v>
      </c>
      <c r="AC204" s="80" t="s">
        <v>1339</v>
      </c>
      <c r="AJ204" s="2"/>
      <c r="AK204" s="2"/>
      <c r="AL204" s="3"/>
      <c r="AM204" s="74"/>
      <c r="AT204" s="1"/>
    </row>
    <row r="205" spans="1:46">
      <c r="A205" s="1">
        <v>205</v>
      </c>
      <c r="B205" t="s">
        <v>5163</v>
      </c>
      <c r="C205" s="2">
        <v>45455</v>
      </c>
      <c r="D205" s="2"/>
      <c r="E205" t="s">
        <v>9362</v>
      </c>
      <c r="F205" s="61" t="s">
        <v>10363</v>
      </c>
      <c r="G205" s="61" t="s">
        <v>10364</v>
      </c>
      <c r="H205" s="6" t="s">
        <v>230</v>
      </c>
      <c r="I205" s="1" t="s">
        <v>8550</v>
      </c>
      <c r="J205" s="1">
        <v>644914907</v>
      </c>
      <c r="K205" s="301" t="s">
        <v>10365</v>
      </c>
      <c r="L205" t="s">
        <v>9362</v>
      </c>
      <c r="M205" s="2">
        <v>45473</v>
      </c>
      <c r="N205" s="1" t="s">
        <v>35</v>
      </c>
      <c r="O205" s="61" t="s">
        <v>7936</v>
      </c>
      <c r="P205" s="14" t="s">
        <v>10588</v>
      </c>
      <c r="Q205" s="187">
        <v>0</v>
      </c>
      <c r="R205" s="1">
        <v>0</v>
      </c>
      <c r="S205" s="90">
        <v>0</v>
      </c>
      <c r="T205" s="90">
        <v>0</v>
      </c>
      <c r="U205" s="363"/>
      <c r="V205" s="126">
        <f t="shared" ref="V205" si="92">SUM(Q205-(Q205*T205))*S205+(Q205-(Q205*T205))</f>
        <v>0</v>
      </c>
      <c r="W205" t="s">
        <v>10589</v>
      </c>
      <c r="X205" s="5" t="s">
        <v>10639</v>
      </c>
      <c r="Y205" s="2">
        <v>41822</v>
      </c>
      <c r="Z205" s="2">
        <v>45455</v>
      </c>
      <c r="AA205" s="428" t="s">
        <v>11202</v>
      </c>
      <c r="AB205" s="2">
        <v>45614</v>
      </c>
      <c r="AC205" s="80" t="s">
        <v>1339</v>
      </c>
      <c r="AF205" t="s">
        <v>3198</v>
      </c>
      <c r="AI205" s="76" t="s">
        <v>3392</v>
      </c>
      <c r="AJ205" s="2">
        <v>45474</v>
      </c>
      <c r="AM205" s="3"/>
      <c r="AT205" s="1"/>
    </row>
    <row r="206" spans="1:46">
      <c r="A206" s="1">
        <v>206</v>
      </c>
      <c r="B206" t="s">
        <v>37</v>
      </c>
      <c r="C206" s="2">
        <v>45457</v>
      </c>
      <c r="D206" s="2" t="s">
        <v>9900</v>
      </c>
      <c r="E206" s="344" t="s">
        <v>10626</v>
      </c>
      <c r="F206" s="61" t="s">
        <v>10592</v>
      </c>
      <c r="G206" t="s">
        <v>10593</v>
      </c>
      <c r="H206" s="6" t="s">
        <v>219</v>
      </c>
      <c r="I206" s="1" t="s">
        <v>38</v>
      </c>
      <c r="J206" s="430">
        <v>642082054</v>
      </c>
      <c r="K206" s="1"/>
      <c r="L206" s="344" t="s">
        <v>10626</v>
      </c>
      <c r="M206" s="2">
        <v>45473</v>
      </c>
      <c r="N206" s="1" t="s">
        <v>35</v>
      </c>
      <c r="O206" s="61" t="s">
        <v>7925</v>
      </c>
      <c r="P206" s="14" t="s">
        <v>10594</v>
      </c>
      <c r="Q206" s="187">
        <v>132.22999999999999</v>
      </c>
      <c r="R206" s="1">
        <v>1</v>
      </c>
      <c r="S206" s="128">
        <v>0.21</v>
      </c>
      <c r="T206" s="128">
        <v>0</v>
      </c>
      <c r="U206" s="363"/>
      <c r="V206" s="126">
        <f t="shared" si="90"/>
        <v>159.99829999999997</v>
      </c>
      <c r="W206" s="344" t="s">
        <v>10626</v>
      </c>
      <c r="X206" s="5" t="s">
        <v>10642</v>
      </c>
      <c r="Y206" s="3">
        <v>36433</v>
      </c>
      <c r="Z206" s="2">
        <v>45457</v>
      </c>
      <c r="AA206" s="428" t="s">
        <v>10809</v>
      </c>
      <c r="AB206" s="2">
        <v>45525</v>
      </c>
      <c r="AC206" s="133" t="s">
        <v>1339</v>
      </c>
      <c r="AF206" t="s">
        <v>3198</v>
      </c>
      <c r="AI206" t="s">
        <v>3392</v>
      </c>
      <c r="AJ206" s="2">
        <v>45474</v>
      </c>
      <c r="AM206" s="3">
        <v>45475</v>
      </c>
    </row>
    <row r="207" spans="1:46">
      <c r="A207" s="1">
        <v>207</v>
      </c>
      <c r="B207" t="s">
        <v>4321</v>
      </c>
      <c r="C207" s="2">
        <v>45461</v>
      </c>
      <c r="D207" s="2"/>
      <c r="E207" s="1" t="s">
        <v>6961</v>
      </c>
      <c r="F207" t="s">
        <v>6962</v>
      </c>
      <c r="G207" s="61" t="s">
        <v>6982</v>
      </c>
      <c r="H207" s="6" t="s">
        <v>226</v>
      </c>
      <c r="I207" s="1" t="s">
        <v>3118</v>
      </c>
      <c r="J207" s="8">
        <v>671758778</v>
      </c>
      <c r="K207" s="8" t="s">
        <v>5991</v>
      </c>
      <c r="L207" s="1" t="s">
        <v>6961</v>
      </c>
      <c r="M207" s="2">
        <v>45473</v>
      </c>
      <c r="N207" s="1" t="s">
        <v>35</v>
      </c>
      <c r="O207" s="61" t="s">
        <v>9758</v>
      </c>
      <c r="P207" s="14" t="s">
        <v>10603</v>
      </c>
      <c r="Q207" s="187">
        <v>132.22999999999999</v>
      </c>
      <c r="R207" s="1">
        <v>1</v>
      </c>
      <c r="S207" s="90">
        <v>0.21</v>
      </c>
      <c r="T207" s="90">
        <v>0.2</v>
      </c>
      <c r="U207" s="363"/>
      <c r="V207" s="95">
        <f t="shared" ref="V207:V208" si="93">SUM(Q207-(Q207*T207))*S207+(Q207-(Q207*T207))</f>
        <v>127.99863999999999</v>
      </c>
      <c r="W207" t="s">
        <v>10648</v>
      </c>
      <c r="X207" s="5" t="s">
        <v>10623</v>
      </c>
      <c r="Y207" s="2">
        <v>33090</v>
      </c>
      <c r="Z207" s="2">
        <v>45461</v>
      </c>
      <c r="AA207" s="76" t="s">
        <v>10780</v>
      </c>
      <c r="AB207" s="2">
        <v>45508</v>
      </c>
      <c r="AC207" s="133"/>
      <c r="AF207" t="s">
        <v>3198</v>
      </c>
      <c r="AI207" s="61" t="s">
        <v>3470</v>
      </c>
      <c r="AJ207" s="2">
        <v>45475</v>
      </c>
      <c r="AM207" s="74">
        <v>45476</v>
      </c>
      <c r="AT207" s="1"/>
    </row>
    <row r="208" spans="1:46">
      <c r="A208" s="1">
        <v>208</v>
      </c>
      <c r="B208" t="s">
        <v>3526</v>
      </c>
      <c r="C208" s="2">
        <v>45461</v>
      </c>
      <c r="D208" s="2"/>
      <c r="E208" s="1" t="s">
        <v>4512</v>
      </c>
      <c r="F208" t="s">
        <v>10295</v>
      </c>
      <c r="G208" t="s">
        <v>4614</v>
      </c>
      <c r="H208" s="6" t="s">
        <v>242</v>
      </c>
      <c r="I208" s="1" t="s">
        <v>86</v>
      </c>
      <c r="J208" s="1">
        <v>673821555</v>
      </c>
      <c r="K208" s="8" t="s">
        <v>7157</v>
      </c>
      <c r="L208" s="1" t="s">
        <v>6215</v>
      </c>
      <c r="M208" s="2">
        <v>45473</v>
      </c>
      <c r="N208" s="1" t="s">
        <v>35</v>
      </c>
      <c r="O208" s="61" t="s">
        <v>9758</v>
      </c>
      <c r="P208" s="14" t="s">
        <v>10604</v>
      </c>
      <c r="Q208" s="187">
        <v>132.22999999999999</v>
      </c>
      <c r="R208" s="1">
        <v>1</v>
      </c>
      <c r="S208" s="90">
        <v>0.21</v>
      </c>
      <c r="T208" s="90">
        <v>0.2</v>
      </c>
      <c r="U208" s="363"/>
      <c r="V208" s="95">
        <f t="shared" si="93"/>
        <v>127.99863999999999</v>
      </c>
      <c r="W208" t="s">
        <v>10649</v>
      </c>
      <c r="X208" s="5" t="s">
        <v>10650</v>
      </c>
      <c r="Y208" s="2">
        <v>36677</v>
      </c>
      <c r="Z208" s="2">
        <v>45461</v>
      </c>
      <c r="AA208" s="76" t="s">
        <v>10779</v>
      </c>
      <c r="AB208" s="2">
        <v>45508</v>
      </c>
      <c r="AC208" s="80" t="s">
        <v>1339</v>
      </c>
      <c r="AF208" t="s">
        <v>3198</v>
      </c>
      <c r="AI208" s="61" t="s">
        <v>3470</v>
      </c>
      <c r="AJ208" s="3">
        <v>45475</v>
      </c>
      <c r="AM208" s="3">
        <v>45476</v>
      </c>
      <c r="AS208" s="1" t="s">
        <v>7936</v>
      </c>
    </row>
    <row r="209" spans="1:46">
      <c r="A209" s="1">
        <v>209</v>
      </c>
      <c r="B209" t="s">
        <v>5635</v>
      </c>
      <c r="C209" s="2">
        <v>45462</v>
      </c>
      <c r="D209" s="2" t="s">
        <v>9900</v>
      </c>
      <c r="E209" s="1" t="s">
        <v>10606</v>
      </c>
      <c r="F209" s="61" t="s">
        <v>10607</v>
      </c>
      <c r="G209" t="s">
        <v>10608</v>
      </c>
      <c r="H209" s="6" t="s">
        <v>2273</v>
      </c>
      <c r="I209" s="1" t="s">
        <v>2274</v>
      </c>
      <c r="J209" s="1"/>
      <c r="K209" s="301" t="s">
        <v>10609</v>
      </c>
      <c r="L209" s="1" t="s">
        <v>10606</v>
      </c>
      <c r="M209" s="2">
        <v>45473</v>
      </c>
      <c r="N209" s="1" t="s">
        <v>35</v>
      </c>
      <c r="O209" s="61" t="s">
        <v>9758</v>
      </c>
      <c r="P209" s="14" t="s">
        <v>10610</v>
      </c>
      <c r="Q209" s="187">
        <v>100</v>
      </c>
      <c r="R209" s="1">
        <v>1</v>
      </c>
      <c r="S209" s="90">
        <v>0.21</v>
      </c>
      <c r="T209" s="90">
        <v>0</v>
      </c>
      <c r="U209" s="363"/>
      <c r="V209" s="126">
        <f t="shared" ref="V209:V211" si="94">SUM(Q209-(Q209*T209))*S209+(Q209-(Q209*T209))</f>
        <v>121</v>
      </c>
      <c r="W209" t="s">
        <v>10611</v>
      </c>
      <c r="X209" s="5" t="s">
        <v>10612</v>
      </c>
      <c r="Y209" s="2">
        <v>38205</v>
      </c>
      <c r="Z209" s="2">
        <v>45462</v>
      </c>
      <c r="AB209" s="2"/>
      <c r="AC209" s="80"/>
      <c r="AF209" t="s">
        <v>3198</v>
      </c>
      <c r="AJ209" s="3"/>
      <c r="AM209" s="3"/>
      <c r="AS209" s="1"/>
    </row>
    <row r="210" spans="1:46">
      <c r="A210" s="1">
        <v>210</v>
      </c>
      <c r="B210" t="s">
        <v>52</v>
      </c>
      <c r="C210" s="2">
        <v>45463</v>
      </c>
      <c r="D210" s="2"/>
      <c r="E210" t="s">
        <v>10434</v>
      </c>
      <c r="F210" s="14" t="s">
        <v>10435</v>
      </c>
      <c r="G210" t="s">
        <v>10436</v>
      </c>
      <c r="H210" s="6" t="s">
        <v>230</v>
      </c>
      <c r="I210" s="1" t="s">
        <v>34</v>
      </c>
      <c r="K210" s="8" t="s">
        <v>5906</v>
      </c>
      <c r="L210" t="s">
        <v>4432</v>
      </c>
      <c r="M210" s="2">
        <v>45473</v>
      </c>
      <c r="N210" s="1" t="s">
        <v>35</v>
      </c>
      <c r="O210" s="61" t="s">
        <v>9758</v>
      </c>
      <c r="P210" s="14" t="s">
        <v>10619</v>
      </c>
      <c r="Q210" s="187">
        <v>132.22999999999999</v>
      </c>
      <c r="R210" s="1">
        <v>1</v>
      </c>
      <c r="S210" s="90">
        <v>0.21</v>
      </c>
      <c r="T210" s="90">
        <v>0.2</v>
      </c>
      <c r="V210" s="95">
        <f t="shared" si="94"/>
        <v>127.99863999999999</v>
      </c>
      <c r="W210" t="s">
        <v>10651</v>
      </c>
      <c r="X210" s="5" t="s">
        <v>10652</v>
      </c>
      <c r="Y210" s="2">
        <v>27030</v>
      </c>
      <c r="Z210" s="2">
        <v>45463</v>
      </c>
      <c r="AA210" s="428" t="s">
        <v>10839</v>
      </c>
      <c r="AB210" s="2">
        <v>45532</v>
      </c>
      <c r="AC210" s="80" t="s">
        <v>1339</v>
      </c>
      <c r="AF210" t="s">
        <v>3198</v>
      </c>
      <c r="AI210" s="287" t="s">
        <v>10620</v>
      </c>
      <c r="AJ210" s="3">
        <v>45475</v>
      </c>
      <c r="AM210" s="74">
        <v>45503</v>
      </c>
      <c r="AT210" s="1"/>
    </row>
    <row r="211" spans="1:46">
      <c r="A211" s="1">
        <v>211</v>
      </c>
      <c r="B211" s="61" t="s">
        <v>4321</v>
      </c>
      <c r="C211" s="2">
        <v>45471</v>
      </c>
      <c r="D211" s="2"/>
      <c r="E211" s="1" t="s">
        <v>5988</v>
      </c>
      <c r="F211" t="s">
        <v>5989</v>
      </c>
      <c r="G211" s="61" t="s">
        <v>5990</v>
      </c>
      <c r="H211" s="6" t="s">
        <v>242</v>
      </c>
      <c r="I211" s="1" t="s">
        <v>5083</v>
      </c>
      <c r="J211" s="8"/>
      <c r="K211" s="8" t="s">
        <v>5991</v>
      </c>
      <c r="L211" t="s">
        <v>5988</v>
      </c>
      <c r="M211" s="2">
        <v>45473</v>
      </c>
      <c r="N211" s="1" t="s">
        <v>35</v>
      </c>
      <c r="O211" s="61" t="s">
        <v>7926</v>
      </c>
      <c r="P211" s="14" t="s">
        <v>10621</v>
      </c>
      <c r="Q211" s="187">
        <v>132.22999999999999</v>
      </c>
      <c r="R211" s="1">
        <v>1</v>
      </c>
      <c r="S211" s="90">
        <v>0.21</v>
      </c>
      <c r="T211" s="90">
        <v>0.2</v>
      </c>
      <c r="V211" s="95">
        <f t="shared" si="94"/>
        <v>127.99863999999999</v>
      </c>
      <c r="W211" t="s">
        <v>10660</v>
      </c>
      <c r="X211" s="5" t="s">
        <v>10659</v>
      </c>
      <c r="Y211" s="2">
        <v>32509</v>
      </c>
      <c r="Z211" s="2">
        <v>45471</v>
      </c>
      <c r="AA211" s="76" t="s">
        <v>10928</v>
      </c>
      <c r="AB211" s="3">
        <v>45550</v>
      </c>
      <c r="AC211" s="80" t="s">
        <v>1339</v>
      </c>
      <c r="AD211" t="s">
        <v>10929</v>
      </c>
      <c r="AF211" t="s">
        <v>3198</v>
      </c>
      <c r="AI211" s="61" t="s">
        <v>3470</v>
      </c>
      <c r="AJ211" s="3">
        <v>45475</v>
      </c>
      <c r="AK211" s="61"/>
      <c r="AL211" s="3"/>
      <c r="AM211" s="74">
        <v>45482</v>
      </c>
      <c r="AT211" s="1"/>
    </row>
    <row r="212" spans="1:46">
      <c r="A212" s="1">
        <v>212</v>
      </c>
      <c r="B212" s="61" t="s">
        <v>4321</v>
      </c>
      <c r="C212" s="2">
        <v>45471</v>
      </c>
      <c r="D212" s="2"/>
      <c r="E212" s="1" t="s">
        <v>5988</v>
      </c>
      <c r="F212" t="s">
        <v>5989</v>
      </c>
      <c r="G212" s="61" t="s">
        <v>5990</v>
      </c>
      <c r="H212" s="6" t="s">
        <v>242</v>
      </c>
      <c r="I212" s="1" t="s">
        <v>5083</v>
      </c>
      <c r="J212" s="8"/>
      <c r="K212" s="8" t="s">
        <v>5991</v>
      </c>
      <c r="L212" t="s">
        <v>5988</v>
      </c>
      <c r="M212" s="2">
        <v>45473</v>
      </c>
      <c r="N212" s="1" t="s">
        <v>35</v>
      </c>
      <c r="O212" s="61" t="s">
        <v>7926</v>
      </c>
      <c r="P212" s="14" t="s">
        <v>10656</v>
      </c>
      <c r="Q212" s="187">
        <v>132.22999999999999</v>
      </c>
      <c r="R212" s="1">
        <v>1</v>
      </c>
      <c r="S212" s="90">
        <v>0.21</v>
      </c>
      <c r="T212" s="90">
        <v>0.2</v>
      </c>
      <c r="V212" s="95">
        <f t="shared" ref="V212:V213" si="95">SUM(Q212-(Q212*T212))*S212+(Q212-(Q212*T212))</f>
        <v>127.99863999999999</v>
      </c>
      <c r="W212" t="s">
        <v>10657</v>
      </c>
      <c r="X212" s="5" t="s">
        <v>10658</v>
      </c>
      <c r="Y212" s="2">
        <v>35067</v>
      </c>
      <c r="Z212" s="2">
        <v>45471</v>
      </c>
      <c r="AA212" s="76" t="s">
        <v>10928</v>
      </c>
      <c r="AB212" s="3">
        <v>45550</v>
      </c>
      <c r="AC212" s="80" t="s">
        <v>1339</v>
      </c>
      <c r="AD212" t="s">
        <v>10929</v>
      </c>
      <c r="AF212" t="s">
        <v>3198</v>
      </c>
      <c r="AI212" s="61" t="s">
        <v>3470</v>
      </c>
      <c r="AJ212" s="2">
        <v>45476</v>
      </c>
      <c r="AK212" s="61"/>
      <c r="AL212" s="3"/>
      <c r="AM212" s="74">
        <v>45482</v>
      </c>
      <c r="AT212" s="1"/>
    </row>
    <row r="213" spans="1:46">
      <c r="A213" s="1">
        <v>213</v>
      </c>
      <c r="B213" t="s">
        <v>3526</v>
      </c>
      <c r="C213" s="2">
        <v>45471</v>
      </c>
      <c r="D213" s="2"/>
      <c r="E213" s="1" t="s">
        <v>5461</v>
      </c>
      <c r="F213" s="61" t="s">
        <v>7104</v>
      </c>
      <c r="G213" t="s">
        <v>7105</v>
      </c>
      <c r="H213" s="6" t="s">
        <v>2451</v>
      </c>
      <c r="I213" s="1" t="s">
        <v>49</v>
      </c>
      <c r="J213" s="1">
        <v>641017043</v>
      </c>
      <c r="K213" s="8"/>
      <c r="L213" s="1" t="s">
        <v>5461</v>
      </c>
      <c r="M213" s="2">
        <v>45473</v>
      </c>
      <c r="N213" s="1" t="s">
        <v>35</v>
      </c>
      <c r="O213" s="61" t="s">
        <v>7934</v>
      </c>
      <c r="P213" s="14" t="s">
        <v>7106</v>
      </c>
      <c r="Q213" s="254">
        <v>78.510000000000005</v>
      </c>
      <c r="R213" s="1">
        <v>1</v>
      </c>
      <c r="S213" s="90">
        <v>0.21</v>
      </c>
      <c r="T213" s="90">
        <v>0</v>
      </c>
      <c r="U213" s="363"/>
      <c r="V213" s="95">
        <f t="shared" si="95"/>
        <v>94.997100000000003</v>
      </c>
      <c r="W213" t="s">
        <v>5461</v>
      </c>
      <c r="X213" s="5" t="s">
        <v>10622</v>
      </c>
      <c r="Y213" s="2">
        <v>34122</v>
      </c>
      <c r="Z213" s="2">
        <v>45471</v>
      </c>
      <c r="AA213" s="428" t="s">
        <v>10773</v>
      </c>
      <c r="AB213" s="2">
        <v>45505</v>
      </c>
      <c r="AC213" s="80" t="s">
        <v>1339</v>
      </c>
      <c r="AF213" t="s">
        <v>3198</v>
      </c>
      <c r="AJ213" s="3"/>
      <c r="AM213" s="3"/>
      <c r="AS213" s="1"/>
    </row>
    <row r="214" spans="1:46">
      <c r="A214" s="1">
        <v>214</v>
      </c>
      <c r="B214" t="s">
        <v>1242</v>
      </c>
      <c r="C214" s="2">
        <v>45471</v>
      </c>
      <c r="D214" s="2"/>
      <c r="E214" s="1" t="s">
        <v>8494</v>
      </c>
      <c r="F214" s="61" t="s">
        <v>8495</v>
      </c>
      <c r="G214" t="s">
        <v>8496</v>
      </c>
      <c r="H214" s="6" t="s">
        <v>221</v>
      </c>
      <c r="I214" s="1" t="s">
        <v>34</v>
      </c>
      <c r="J214" s="430"/>
      <c r="K214" s="1" t="s">
        <v>5905</v>
      </c>
      <c r="L214" s="1" t="s">
        <v>1250</v>
      </c>
      <c r="M214" s="2">
        <v>45473</v>
      </c>
      <c r="N214" s="1" t="s">
        <v>35</v>
      </c>
      <c r="O214" s="61" t="s">
        <v>7926</v>
      </c>
      <c r="P214" s="14" t="s">
        <v>8497</v>
      </c>
      <c r="Q214" s="254">
        <v>132.22999999999999</v>
      </c>
      <c r="R214" s="1">
        <v>1</v>
      </c>
      <c r="S214" s="128">
        <v>0.21</v>
      </c>
      <c r="T214" s="128">
        <v>0.2</v>
      </c>
      <c r="U214" s="363"/>
      <c r="V214" s="126">
        <v>128</v>
      </c>
      <c r="W214" t="s">
        <v>8537</v>
      </c>
      <c r="X214" s="5" t="s">
        <v>10661</v>
      </c>
      <c r="Y214" s="3">
        <v>35890</v>
      </c>
      <c r="Z214" s="2">
        <v>45471</v>
      </c>
      <c r="AA214" s="428" t="s">
        <v>10861</v>
      </c>
      <c r="AB214" s="2">
        <v>45546</v>
      </c>
      <c r="AC214" s="80" t="s">
        <v>1339</v>
      </c>
      <c r="AE214" s="3"/>
      <c r="AF214" t="s">
        <v>3198</v>
      </c>
      <c r="AI214" s="61" t="s">
        <v>3470</v>
      </c>
      <c r="AJ214" s="3">
        <v>45476</v>
      </c>
      <c r="AM214" s="3">
        <v>45483</v>
      </c>
    </row>
    <row r="215" spans="1:46">
      <c r="A215" s="1">
        <v>215</v>
      </c>
      <c r="B215" t="s">
        <v>7245</v>
      </c>
      <c r="C215" s="2">
        <v>45471</v>
      </c>
      <c r="D215" s="2"/>
      <c r="E215" s="1" t="s">
        <v>1522</v>
      </c>
      <c r="F215" s="61" t="s">
        <v>3233</v>
      </c>
      <c r="G215" t="s">
        <v>3241</v>
      </c>
      <c r="H215" s="6" t="s">
        <v>3234</v>
      </c>
      <c r="I215" s="1" t="s">
        <v>3235</v>
      </c>
      <c r="J215" s="8">
        <v>680761760</v>
      </c>
      <c r="K215" s="1" t="s">
        <v>6232</v>
      </c>
      <c r="L215" s="1" t="s">
        <v>1522</v>
      </c>
      <c r="M215" s="2">
        <v>45473</v>
      </c>
      <c r="N215" s="1" t="s">
        <v>35</v>
      </c>
      <c r="O215" s="61" t="s">
        <v>7926</v>
      </c>
      <c r="P215" s="14" t="s">
        <v>10624</v>
      </c>
      <c r="Q215" s="254">
        <v>132.22999999999999</v>
      </c>
      <c r="R215" s="1">
        <v>1</v>
      </c>
      <c r="S215" s="128">
        <v>0.21</v>
      </c>
      <c r="T215" s="128">
        <v>0.2</v>
      </c>
      <c r="U215" s="363"/>
      <c r="V215" s="126">
        <v>128</v>
      </c>
      <c r="W215" t="s">
        <v>10662</v>
      </c>
      <c r="X215" s="5" t="s">
        <v>10663</v>
      </c>
      <c r="Y215" s="3">
        <v>34403</v>
      </c>
      <c r="Z215" s="2">
        <v>45471</v>
      </c>
      <c r="AA215" s="428" t="s">
        <v>10861</v>
      </c>
      <c r="AB215" s="2">
        <v>45541</v>
      </c>
      <c r="AC215" s="80" t="s">
        <v>1339</v>
      </c>
      <c r="AF215" t="s">
        <v>3198</v>
      </c>
      <c r="AI215" s="61" t="s">
        <v>3470</v>
      </c>
      <c r="AJ215" s="3">
        <v>45476</v>
      </c>
      <c r="AM215" s="3">
        <v>45481</v>
      </c>
    </row>
    <row r="216" spans="1:46">
      <c r="A216" s="1">
        <v>216</v>
      </c>
      <c r="B216" s="61" t="s">
        <v>40</v>
      </c>
      <c r="C216" s="2">
        <v>45471</v>
      </c>
      <c r="D216" s="2"/>
      <c r="E216" s="1" t="s">
        <v>3146</v>
      </c>
      <c r="F216" t="s">
        <v>3145</v>
      </c>
      <c r="G216" s="61" t="s">
        <v>6618</v>
      </c>
      <c r="H216" s="6" t="s">
        <v>236</v>
      </c>
      <c r="I216" s="1" t="s">
        <v>6619</v>
      </c>
      <c r="J216" s="8"/>
      <c r="K216" s="301" t="s">
        <v>8357</v>
      </c>
      <c r="L216" t="s">
        <v>3146</v>
      </c>
      <c r="M216" s="2">
        <v>45473</v>
      </c>
      <c r="N216" s="1" t="s">
        <v>35</v>
      </c>
      <c r="O216" s="61" t="s">
        <v>7926</v>
      </c>
      <c r="P216" s="14" t="s">
        <v>10625</v>
      </c>
      <c r="Q216" s="254">
        <v>132.22999999999999</v>
      </c>
      <c r="R216" s="1">
        <v>1</v>
      </c>
      <c r="S216" s="128">
        <v>0.21</v>
      </c>
      <c r="T216" s="128">
        <v>0.2</v>
      </c>
      <c r="V216" s="95">
        <f t="shared" ref="V216" si="96">SUM(Q216-(Q216*T216))*S216+(Q216-(Q216*T216))</f>
        <v>127.99863999999999</v>
      </c>
      <c r="W216" t="s">
        <v>10683</v>
      </c>
      <c r="X216" s="5" t="s">
        <v>10684</v>
      </c>
      <c r="Y216" s="2">
        <v>37983</v>
      </c>
      <c r="Z216" s="2">
        <v>45471</v>
      </c>
      <c r="AA216" s="428" t="s">
        <v>10874</v>
      </c>
      <c r="AB216" s="2">
        <v>45546</v>
      </c>
      <c r="AC216" s="80" t="s">
        <v>1339</v>
      </c>
      <c r="AF216" t="s">
        <v>3198</v>
      </c>
      <c r="AI216" s="61" t="s">
        <v>3470</v>
      </c>
      <c r="AJ216" s="3">
        <v>45482</v>
      </c>
      <c r="AM216" s="74">
        <v>45485</v>
      </c>
      <c r="AT216" s="1"/>
    </row>
    <row r="217" spans="1:46">
      <c r="A217" s="1">
        <v>217</v>
      </c>
      <c r="B217" t="s">
        <v>7245</v>
      </c>
      <c r="C217" s="2">
        <v>45474</v>
      </c>
      <c r="D217" s="2"/>
      <c r="E217" s="1" t="s">
        <v>1522</v>
      </c>
      <c r="F217" s="61" t="s">
        <v>3233</v>
      </c>
      <c r="G217" t="s">
        <v>3241</v>
      </c>
      <c r="H217" s="6" t="s">
        <v>3234</v>
      </c>
      <c r="I217" s="1" t="s">
        <v>3235</v>
      </c>
      <c r="J217" s="8">
        <v>680761760</v>
      </c>
      <c r="K217" s="1" t="s">
        <v>6232</v>
      </c>
      <c r="L217" s="1" t="s">
        <v>1522</v>
      </c>
      <c r="M217" s="2">
        <v>45504</v>
      </c>
      <c r="N217" s="1" t="s">
        <v>35</v>
      </c>
      <c r="O217" s="61" t="s">
        <v>7926</v>
      </c>
      <c r="P217" s="14" t="s">
        <v>10628</v>
      </c>
      <c r="Q217" s="254">
        <v>132.22999999999999</v>
      </c>
      <c r="R217" s="1">
        <v>1</v>
      </c>
      <c r="S217" s="128">
        <v>0.21</v>
      </c>
      <c r="T217" s="128">
        <v>0.2</v>
      </c>
      <c r="U217" s="363"/>
      <c r="V217" s="126">
        <v>128</v>
      </c>
      <c r="W217" t="s">
        <v>10681</v>
      </c>
      <c r="X217" s="5" t="s">
        <v>10682</v>
      </c>
      <c r="Y217" s="3">
        <v>37721</v>
      </c>
      <c r="Z217" s="2">
        <v>45474</v>
      </c>
      <c r="AA217" s="428" t="s">
        <v>10874</v>
      </c>
      <c r="AB217" s="2">
        <v>45546</v>
      </c>
      <c r="AC217" s="80" t="s">
        <v>1339</v>
      </c>
      <c r="AF217" t="s">
        <v>3198</v>
      </c>
      <c r="AI217" s="61" t="s">
        <v>3470</v>
      </c>
      <c r="AJ217" s="3">
        <v>45482</v>
      </c>
      <c r="AM217" s="3">
        <v>45486</v>
      </c>
    </row>
    <row r="218" spans="1:46">
      <c r="A218" s="1">
        <v>218</v>
      </c>
      <c r="B218" t="s">
        <v>7245</v>
      </c>
      <c r="C218" s="2">
        <v>45476</v>
      </c>
      <c r="D218" s="2"/>
      <c r="E218" s="1" t="s">
        <v>1522</v>
      </c>
      <c r="F218" s="61" t="s">
        <v>3233</v>
      </c>
      <c r="G218" t="s">
        <v>3241</v>
      </c>
      <c r="H218" s="6" t="s">
        <v>3234</v>
      </c>
      <c r="I218" s="1" t="s">
        <v>3235</v>
      </c>
      <c r="J218" s="8">
        <v>680761760</v>
      </c>
      <c r="K218" s="1" t="s">
        <v>6232</v>
      </c>
      <c r="L218" s="1" t="s">
        <v>1522</v>
      </c>
      <c r="M218" s="2">
        <v>45504</v>
      </c>
      <c r="N218" s="1" t="s">
        <v>35</v>
      </c>
      <c r="O218" s="61" t="s">
        <v>7926</v>
      </c>
      <c r="P218" s="14" t="s">
        <v>10655</v>
      </c>
      <c r="Q218" s="254">
        <v>132.22999999999999</v>
      </c>
      <c r="R218" s="1">
        <v>1</v>
      </c>
      <c r="S218" s="128">
        <v>0.21</v>
      </c>
      <c r="T218" s="128">
        <v>0.2</v>
      </c>
      <c r="U218" s="363"/>
      <c r="V218" s="126">
        <v>128</v>
      </c>
      <c r="W218" t="s">
        <v>10685</v>
      </c>
      <c r="X218" s="5" t="s">
        <v>10686</v>
      </c>
      <c r="Y218" s="3">
        <v>36284</v>
      </c>
      <c r="Z218" s="2">
        <v>45476</v>
      </c>
      <c r="AA218" s="428" t="s">
        <v>10926</v>
      </c>
      <c r="AB218" s="2" t="s">
        <v>10927</v>
      </c>
      <c r="AC218" s="80" t="s">
        <v>1339</v>
      </c>
      <c r="AF218" t="s">
        <v>3198</v>
      </c>
      <c r="AI218" s="61" t="s">
        <v>3470</v>
      </c>
      <c r="AJ218" s="3">
        <v>45482</v>
      </c>
      <c r="AM218" s="3">
        <v>45484</v>
      </c>
    </row>
    <row r="219" spans="1:46">
      <c r="A219" s="1">
        <v>219</v>
      </c>
      <c r="B219" t="s">
        <v>6684</v>
      </c>
      <c r="C219" s="2">
        <v>45477</v>
      </c>
      <c r="D219" s="2"/>
      <c r="E219" s="1" t="s">
        <v>6685</v>
      </c>
      <c r="F219" t="s">
        <v>6686</v>
      </c>
      <c r="G219" t="s">
        <v>6687</v>
      </c>
      <c r="H219" s="6" t="s">
        <v>2579</v>
      </c>
      <c r="I219" t="s">
        <v>2580</v>
      </c>
      <c r="J219" s="8"/>
      <c r="K219" s="1" t="s">
        <v>7339</v>
      </c>
      <c r="L219" t="s">
        <v>6685</v>
      </c>
      <c r="M219" s="2">
        <v>45504</v>
      </c>
      <c r="N219" s="1" t="s">
        <v>35</v>
      </c>
      <c r="O219" s="61" t="s">
        <v>7925</v>
      </c>
      <c r="P219" s="14" t="s">
        <v>10664</v>
      </c>
      <c r="Q219" s="187">
        <v>132.22999999999999</v>
      </c>
      <c r="R219" s="1">
        <v>1</v>
      </c>
      <c r="S219" s="128">
        <v>0.21</v>
      </c>
      <c r="T219" s="128">
        <v>0.2</v>
      </c>
      <c r="V219" s="126">
        <f t="shared" ref="V219" si="97">SUM(Q219-(Q219*T219))*S219+(Q219-(Q219*T219))</f>
        <v>127.99863999999999</v>
      </c>
      <c r="W219" t="s">
        <v>10694</v>
      </c>
      <c r="X219" s="5" t="s">
        <v>10695</v>
      </c>
      <c r="Y219" s="3">
        <v>30385</v>
      </c>
      <c r="Z219" s="2">
        <v>45477</v>
      </c>
      <c r="AA219" s="11" t="s">
        <v>10961</v>
      </c>
      <c r="AB219" s="2">
        <v>45532</v>
      </c>
      <c r="AC219" s="80" t="s">
        <v>1339</v>
      </c>
      <c r="AF219" t="s">
        <v>3198</v>
      </c>
      <c r="AI219" t="s">
        <v>10700</v>
      </c>
      <c r="AJ219" s="3">
        <v>45482</v>
      </c>
      <c r="AM219" s="3">
        <v>45497</v>
      </c>
    </row>
    <row r="220" spans="1:46">
      <c r="A220" s="1">
        <v>220</v>
      </c>
      <c r="B220" t="s">
        <v>137</v>
      </c>
      <c r="C220" s="2">
        <v>45477</v>
      </c>
      <c r="D220" s="2" t="s">
        <v>9900</v>
      </c>
      <c r="E220" s="1" t="s">
        <v>10665</v>
      </c>
      <c r="F220" s="61" t="s">
        <v>10666</v>
      </c>
      <c r="G220" t="s">
        <v>10667</v>
      </c>
      <c r="H220" s="6" t="s">
        <v>221</v>
      </c>
      <c r="I220" s="1" t="s">
        <v>34</v>
      </c>
      <c r="J220" s="8"/>
      <c r="K220" s="1" t="s">
        <v>5905</v>
      </c>
      <c r="L220" s="1" t="s">
        <v>1250</v>
      </c>
      <c r="M220" s="2">
        <v>45504</v>
      </c>
      <c r="N220" s="1" t="s">
        <v>35</v>
      </c>
      <c r="O220" s="61" t="s">
        <v>7925</v>
      </c>
      <c r="P220" s="14" t="s">
        <v>10668</v>
      </c>
      <c r="Q220" s="254">
        <v>132.22999999999999</v>
      </c>
      <c r="R220" s="1">
        <v>1</v>
      </c>
      <c r="S220" s="128">
        <v>0.21</v>
      </c>
      <c r="T220" s="128">
        <v>0.2</v>
      </c>
      <c r="U220" s="363"/>
      <c r="V220" s="126">
        <f t="shared" ref="V220:V229" si="98">SUM(Q220-(Q220*T220))*S220+(Q220-(Q220*T220))</f>
        <v>127.99863999999999</v>
      </c>
      <c r="W220" t="s">
        <v>10669</v>
      </c>
      <c r="X220" s="5" t="s">
        <v>10693</v>
      </c>
      <c r="Y220" s="3">
        <v>33177</v>
      </c>
      <c r="Z220" s="2">
        <v>45477</v>
      </c>
      <c r="AA220" s="428" t="s">
        <v>10962</v>
      </c>
      <c r="AB220" s="2">
        <v>45562</v>
      </c>
      <c r="AC220" s="80" t="s">
        <v>1339</v>
      </c>
      <c r="AF220" t="s">
        <v>3198</v>
      </c>
      <c r="AI220" t="s">
        <v>10186</v>
      </c>
      <c r="AJ220" s="3">
        <v>45482</v>
      </c>
      <c r="AM220" s="3">
        <v>45484</v>
      </c>
    </row>
    <row r="221" spans="1:46">
      <c r="A221" s="1">
        <v>221</v>
      </c>
      <c r="B221" t="s">
        <v>3526</v>
      </c>
      <c r="C221" s="2">
        <v>45477</v>
      </c>
      <c r="D221" s="2" t="s">
        <v>9900</v>
      </c>
      <c r="E221" s="1" t="s">
        <v>10670</v>
      </c>
      <c r="F221" s="61" t="s">
        <v>10671</v>
      </c>
      <c r="G221" t="s">
        <v>10672</v>
      </c>
      <c r="H221" s="6" t="s">
        <v>270</v>
      </c>
      <c r="I221" s="1" t="s">
        <v>49</v>
      </c>
      <c r="J221" s="8"/>
      <c r="K221" s="1" t="s">
        <v>7759</v>
      </c>
      <c r="L221" s="1" t="s">
        <v>10670</v>
      </c>
      <c r="M221" s="2">
        <v>45504</v>
      </c>
      <c r="N221" s="1" t="s">
        <v>35</v>
      </c>
      <c r="O221" s="61" t="s">
        <v>7925</v>
      </c>
      <c r="P221" s="14" t="s">
        <v>10673</v>
      </c>
      <c r="Q221" s="254">
        <v>132.22999999999999</v>
      </c>
      <c r="R221" s="1">
        <v>1</v>
      </c>
      <c r="S221" s="128">
        <v>0.21</v>
      </c>
      <c r="T221" s="128">
        <v>0.2</v>
      </c>
      <c r="U221" s="363"/>
      <c r="V221" s="126">
        <f t="shared" si="98"/>
        <v>127.99863999999999</v>
      </c>
      <c r="W221" t="s">
        <v>10691</v>
      </c>
      <c r="X221" s="5" t="s">
        <v>10692</v>
      </c>
      <c r="Y221" s="3">
        <v>24504</v>
      </c>
      <c r="Z221" s="2">
        <v>45477</v>
      </c>
      <c r="AB221" s="2"/>
      <c r="AC221" s="133"/>
      <c r="AF221" t="s">
        <v>3198</v>
      </c>
      <c r="AI221" s="76" t="s">
        <v>3392</v>
      </c>
      <c r="AJ221" s="3">
        <v>45482</v>
      </c>
      <c r="AM221" s="3"/>
    </row>
    <row r="222" spans="1:46">
      <c r="A222" s="1">
        <v>222</v>
      </c>
      <c r="B222" t="s">
        <v>1414</v>
      </c>
      <c r="C222" s="2">
        <v>45477</v>
      </c>
      <c r="D222" s="2" t="s">
        <v>9900</v>
      </c>
      <c r="E222" s="1" t="s">
        <v>10674</v>
      </c>
      <c r="F222" s="61" t="s">
        <v>10675</v>
      </c>
      <c r="G222" t="s">
        <v>10676</v>
      </c>
      <c r="H222" s="6" t="s">
        <v>221</v>
      </c>
      <c r="I222" s="1" t="s">
        <v>34</v>
      </c>
      <c r="J222" s="8"/>
      <c r="K222" s="396" t="s">
        <v>10678</v>
      </c>
      <c r="L222" s="1" t="s">
        <v>10674</v>
      </c>
      <c r="M222" s="2">
        <v>45504</v>
      </c>
      <c r="N222" s="1" t="s">
        <v>35</v>
      </c>
      <c r="O222" s="61" t="s">
        <v>9758</v>
      </c>
      <c r="P222" s="14" t="s">
        <v>10677</v>
      </c>
      <c r="Q222" s="254">
        <v>132.22999999999999</v>
      </c>
      <c r="R222" s="1">
        <v>1</v>
      </c>
      <c r="S222" s="128">
        <v>0.21</v>
      </c>
      <c r="T222" s="128">
        <v>0.2</v>
      </c>
      <c r="U222" s="363"/>
      <c r="V222" s="126">
        <f t="shared" si="98"/>
        <v>127.99863999999999</v>
      </c>
      <c r="W222" t="s">
        <v>10689</v>
      </c>
      <c r="X222" s="5" t="s">
        <v>10690</v>
      </c>
      <c r="Y222" s="3">
        <v>37856</v>
      </c>
      <c r="Z222" s="2">
        <v>45477</v>
      </c>
      <c r="AA222" s="428" t="s">
        <v>10878</v>
      </c>
      <c r="AB222" s="2">
        <v>45547</v>
      </c>
      <c r="AC222" s="80" t="s">
        <v>1339</v>
      </c>
      <c r="AF222" t="s">
        <v>3198</v>
      </c>
      <c r="AI222" t="s">
        <v>3470</v>
      </c>
      <c r="AJ222" s="3">
        <v>45482</v>
      </c>
      <c r="AM222" s="3">
        <v>45483</v>
      </c>
    </row>
    <row r="223" spans="1:46">
      <c r="A223" s="1">
        <v>223</v>
      </c>
      <c r="B223" t="s">
        <v>37</v>
      </c>
      <c r="C223" s="2">
        <v>45483</v>
      </c>
      <c r="D223" s="2"/>
      <c r="E223" t="s">
        <v>5392</v>
      </c>
      <c r="F223" t="s">
        <v>5317</v>
      </c>
      <c r="G223" s="61" t="s">
        <v>5318</v>
      </c>
      <c r="H223" s="6" t="s">
        <v>219</v>
      </c>
      <c r="I223" s="1" t="s">
        <v>38</v>
      </c>
      <c r="J223" s="8">
        <v>643699824</v>
      </c>
      <c r="K223" s="8"/>
      <c r="L223" t="s">
        <v>5392</v>
      </c>
      <c r="M223" s="2">
        <v>45504</v>
      </c>
      <c r="N223" s="1" t="s">
        <v>35</v>
      </c>
      <c r="O223" s="61" t="s">
        <v>7934</v>
      </c>
      <c r="P223" s="14" t="s">
        <v>7108</v>
      </c>
      <c r="Q223" s="187">
        <v>78.510000000000005</v>
      </c>
      <c r="R223" s="1">
        <v>1</v>
      </c>
      <c r="S223" s="90">
        <v>0.21</v>
      </c>
      <c r="T223" s="90">
        <v>0</v>
      </c>
      <c r="V223" s="95">
        <f t="shared" si="98"/>
        <v>94.997100000000003</v>
      </c>
      <c r="W223" t="s">
        <v>5392</v>
      </c>
      <c r="X223" s="6" t="s">
        <v>10697</v>
      </c>
      <c r="Y223" s="2">
        <v>35925</v>
      </c>
      <c r="Z223" s="2">
        <v>45483</v>
      </c>
      <c r="AA223" s="428" t="s">
        <v>10786</v>
      </c>
      <c r="AB223" s="3">
        <v>45513</v>
      </c>
      <c r="AC223" s="80" t="s">
        <v>1339</v>
      </c>
      <c r="AF223" t="s">
        <v>3198</v>
      </c>
      <c r="AJ223" s="2"/>
      <c r="AM223" s="74"/>
      <c r="AT223" s="1"/>
    </row>
    <row r="224" spans="1:46">
      <c r="A224" s="1">
        <v>224</v>
      </c>
      <c r="B224" t="s">
        <v>6684</v>
      </c>
      <c r="C224" s="2">
        <v>45483</v>
      </c>
      <c r="D224" s="2"/>
      <c r="E224" s="1" t="s">
        <v>6685</v>
      </c>
      <c r="F224" t="s">
        <v>6686</v>
      </c>
      <c r="G224" t="s">
        <v>6687</v>
      </c>
      <c r="H224" s="6" t="s">
        <v>2579</v>
      </c>
      <c r="I224" t="s">
        <v>2580</v>
      </c>
      <c r="J224" s="8"/>
      <c r="K224" s="1" t="s">
        <v>7339</v>
      </c>
      <c r="L224" t="s">
        <v>6685</v>
      </c>
      <c r="M224" s="2">
        <v>45504</v>
      </c>
      <c r="N224" s="1" t="s">
        <v>35</v>
      </c>
      <c r="O224" s="61" t="s">
        <v>7925</v>
      </c>
      <c r="P224" s="14" t="s">
        <v>10698</v>
      </c>
      <c r="Q224" s="187">
        <v>132.22999999999999</v>
      </c>
      <c r="R224" s="1">
        <v>1</v>
      </c>
      <c r="S224" s="128">
        <v>0.21</v>
      </c>
      <c r="T224" s="128">
        <v>0.2</v>
      </c>
      <c r="V224" s="126">
        <f t="shared" si="98"/>
        <v>127.99863999999999</v>
      </c>
      <c r="W224" t="s">
        <v>10898</v>
      </c>
      <c r="X224" s="5" t="s">
        <v>10729</v>
      </c>
      <c r="Y224" s="3">
        <v>34813</v>
      </c>
      <c r="Z224" s="2">
        <v>45483</v>
      </c>
      <c r="AA224" s="11" t="s">
        <v>11175</v>
      </c>
      <c r="AB224" s="2">
        <v>45608</v>
      </c>
      <c r="AC224" s="80" t="s">
        <v>1339</v>
      </c>
      <c r="AE224" s="182">
        <v>45573</v>
      </c>
      <c r="AF224" t="s">
        <v>3198</v>
      </c>
      <c r="AI224" t="s">
        <v>10699</v>
      </c>
      <c r="AJ224" s="3">
        <v>45496</v>
      </c>
      <c r="AM224" s="3">
        <v>45511</v>
      </c>
    </row>
    <row r="225" spans="1:46">
      <c r="A225" s="1">
        <v>225</v>
      </c>
      <c r="B225" s="61" t="s">
        <v>33</v>
      </c>
      <c r="C225" s="2">
        <v>45483</v>
      </c>
      <c r="D225" s="2"/>
      <c r="E225" s="1" t="s">
        <v>3247</v>
      </c>
      <c r="F225" t="s">
        <v>9109</v>
      </c>
      <c r="G225" t="s">
        <v>3242</v>
      </c>
      <c r="H225" s="6" t="s">
        <v>304</v>
      </c>
      <c r="I225" t="s">
        <v>38</v>
      </c>
      <c r="J225" s="8">
        <v>646181264</v>
      </c>
      <c r="K225" s="114" t="s">
        <v>11744</v>
      </c>
      <c r="L225" s="1" t="s">
        <v>237</v>
      </c>
      <c r="M225" s="2">
        <v>45504</v>
      </c>
      <c r="N225" s="1" t="s">
        <v>35</v>
      </c>
      <c r="O225" s="14" t="s">
        <v>7925</v>
      </c>
      <c r="P225" s="14" t="s">
        <v>10701</v>
      </c>
      <c r="Q225" s="187">
        <v>132.22999999999999</v>
      </c>
      <c r="R225" s="1">
        <v>1</v>
      </c>
      <c r="S225" s="90">
        <v>0.21</v>
      </c>
      <c r="T225" s="90">
        <v>0.2</v>
      </c>
      <c r="V225" s="95">
        <f t="shared" si="98"/>
        <v>127.99863999999999</v>
      </c>
      <c r="W225" t="s">
        <v>10727</v>
      </c>
      <c r="X225" s="5" t="s">
        <v>10728</v>
      </c>
      <c r="Y225" s="2">
        <v>35805</v>
      </c>
      <c r="Z225" s="2">
        <v>45483</v>
      </c>
      <c r="AA225" s="11" t="s">
        <v>10922</v>
      </c>
      <c r="AB225" s="2">
        <v>45558</v>
      </c>
      <c r="AC225" s="80" t="s">
        <v>1339</v>
      </c>
      <c r="AE225" s="3"/>
      <c r="AF225" t="s">
        <v>3198</v>
      </c>
      <c r="AI225" t="s">
        <v>10702</v>
      </c>
      <c r="AJ225" s="2">
        <v>45496</v>
      </c>
      <c r="AM225" s="2">
        <v>45498</v>
      </c>
      <c r="AT225" s="1"/>
    </row>
    <row r="226" spans="1:46">
      <c r="A226" s="1">
        <v>226</v>
      </c>
      <c r="B226" t="s">
        <v>37</v>
      </c>
      <c r="C226" s="2">
        <v>45483</v>
      </c>
      <c r="D226" s="2" t="s">
        <v>9900</v>
      </c>
      <c r="E226" s="1" t="s">
        <v>10725</v>
      </c>
      <c r="F226" s="61" t="s">
        <v>10703</v>
      </c>
      <c r="G226" t="s">
        <v>10704</v>
      </c>
      <c r="H226" s="6" t="s">
        <v>219</v>
      </c>
      <c r="I226" t="s">
        <v>38</v>
      </c>
      <c r="J226" s="8">
        <v>641955051</v>
      </c>
      <c r="K226" s="1"/>
      <c r="L226" s="1" t="s">
        <v>10725</v>
      </c>
      <c r="M226" s="2">
        <v>45504</v>
      </c>
      <c r="N226" s="1" t="s">
        <v>35</v>
      </c>
      <c r="O226" s="14" t="s">
        <v>7925</v>
      </c>
      <c r="P226" s="14" t="s">
        <v>10705</v>
      </c>
      <c r="Q226" s="254">
        <v>132.22999999999999</v>
      </c>
      <c r="R226" s="1">
        <v>1</v>
      </c>
      <c r="S226" s="128">
        <v>0.21</v>
      </c>
      <c r="T226" s="128">
        <v>0</v>
      </c>
      <c r="U226" s="363"/>
      <c r="V226" s="126">
        <f t="shared" si="98"/>
        <v>159.99829999999997</v>
      </c>
      <c r="W226" s="1" t="s">
        <v>10725</v>
      </c>
      <c r="X226" s="5" t="s">
        <v>10726</v>
      </c>
      <c r="Y226" s="3">
        <v>36162</v>
      </c>
      <c r="Z226" s="2">
        <v>45483</v>
      </c>
      <c r="AA226" s="11" t="s">
        <v>10922</v>
      </c>
      <c r="AB226" s="2">
        <v>45557</v>
      </c>
      <c r="AC226" s="80" t="s">
        <v>1339</v>
      </c>
      <c r="AF226" t="s">
        <v>3198</v>
      </c>
      <c r="AI226" t="s">
        <v>10706</v>
      </c>
      <c r="AJ226" s="3">
        <v>45496</v>
      </c>
      <c r="AM226" s="3">
        <v>45511</v>
      </c>
    </row>
    <row r="227" spans="1:46">
      <c r="A227" s="1">
        <v>227</v>
      </c>
      <c r="B227" t="s">
        <v>37</v>
      </c>
      <c r="C227" s="2">
        <v>45483</v>
      </c>
      <c r="D227" s="2"/>
      <c r="E227" t="s">
        <v>265</v>
      </c>
      <c r="F227" t="s">
        <v>266</v>
      </c>
      <c r="G227" t="s">
        <v>5077</v>
      </c>
      <c r="H227" s="6" t="s">
        <v>238</v>
      </c>
      <c r="I227" s="1" t="s">
        <v>48</v>
      </c>
      <c r="J227" s="8">
        <v>657588849</v>
      </c>
      <c r="K227" s="8"/>
      <c r="L227" t="s">
        <v>265</v>
      </c>
      <c r="M227" s="2">
        <v>45504</v>
      </c>
      <c r="N227" s="1" t="s">
        <v>35</v>
      </c>
      <c r="O227" s="61" t="s">
        <v>7934</v>
      </c>
      <c r="P227" s="14" t="s">
        <v>6871</v>
      </c>
      <c r="Q227" s="187">
        <v>0</v>
      </c>
      <c r="R227" s="1">
        <v>1</v>
      </c>
      <c r="S227" s="90">
        <v>0.21</v>
      </c>
      <c r="T227" s="90">
        <v>0.2</v>
      </c>
      <c r="V227" s="95">
        <f t="shared" si="98"/>
        <v>0</v>
      </c>
      <c r="W227" t="s">
        <v>601</v>
      </c>
      <c r="X227" s="6" t="s">
        <v>10806</v>
      </c>
      <c r="Y227" s="2">
        <v>29590</v>
      </c>
      <c r="Z227" s="2">
        <v>45483</v>
      </c>
      <c r="AA227" t="s">
        <v>10996</v>
      </c>
      <c r="AB227" s="3">
        <v>45556</v>
      </c>
      <c r="AC227" s="80"/>
      <c r="AE227" s="182">
        <v>45586</v>
      </c>
      <c r="AF227" t="s">
        <v>3198</v>
      </c>
      <c r="AI227" s="76" t="s">
        <v>10711</v>
      </c>
      <c r="AJ227" s="2"/>
      <c r="AM227" s="74"/>
      <c r="AT227" s="1"/>
    </row>
    <row r="228" spans="1:46" ht="14.25" customHeight="1">
      <c r="A228" s="1">
        <v>228</v>
      </c>
      <c r="B228" t="s">
        <v>37</v>
      </c>
      <c r="C228" s="2">
        <v>45483</v>
      </c>
      <c r="D228" s="2"/>
      <c r="E228" t="s">
        <v>265</v>
      </c>
      <c r="F228" t="s">
        <v>266</v>
      </c>
      <c r="G228" t="s">
        <v>5077</v>
      </c>
      <c r="H228" s="6" t="s">
        <v>238</v>
      </c>
      <c r="I228" s="1" t="s">
        <v>48</v>
      </c>
      <c r="J228" s="8">
        <v>657588849</v>
      </c>
      <c r="K228" s="8"/>
      <c r="L228" t="s">
        <v>265</v>
      </c>
      <c r="M228" s="2">
        <v>45504</v>
      </c>
      <c r="N228" s="1" t="s">
        <v>35</v>
      </c>
      <c r="O228" s="61" t="s">
        <v>7934</v>
      </c>
      <c r="P228" s="14" t="s">
        <v>10707</v>
      </c>
      <c r="Q228" s="187">
        <v>78.510000000000005</v>
      </c>
      <c r="R228" s="1">
        <v>1</v>
      </c>
      <c r="S228" s="90">
        <v>0.21</v>
      </c>
      <c r="T228" s="90">
        <v>0.2</v>
      </c>
      <c r="V228" s="95">
        <f t="shared" si="98"/>
        <v>75.997680000000003</v>
      </c>
      <c r="W228" t="s">
        <v>5721</v>
      </c>
      <c r="X228" s="6" t="s">
        <v>10709</v>
      </c>
      <c r="Y228" s="2">
        <v>41991</v>
      </c>
      <c r="Z228" s="2">
        <v>45483</v>
      </c>
      <c r="AA228" s="76" t="s">
        <v>10997</v>
      </c>
      <c r="AB228" s="3">
        <v>45567</v>
      </c>
      <c r="AC228" s="80"/>
      <c r="AF228" t="s">
        <v>3198</v>
      </c>
      <c r="AI228" s="76" t="s">
        <v>10710</v>
      </c>
      <c r="AJ228" s="2"/>
      <c r="AM228" s="74"/>
      <c r="AT228" s="1"/>
    </row>
    <row r="229" spans="1:46" ht="14.25" customHeight="1">
      <c r="A229" s="1">
        <v>229</v>
      </c>
      <c r="B229" t="s">
        <v>37</v>
      </c>
      <c r="C229" s="2">
        <v>45483</v>
      </c>
      <c r="D229" s="2"/>
      <c r="E229" t="s">
        <v>265</v>
      </c>
      <c r="F229" t="s">
        <v>266</v>
      </c>
      <c r="G229" t="s">
        <v>5077</v>
      </c>
      <c r="H229" s="6" t="s">
        <v>238</v>
      </c>
      <c r="I229" s="1" t="s">
        <v>48</v>
      </c>
      <c r="J229" s="8">
        <v>657588849</v>
      </c>
      <c r="K229" s="8"/>
      <c r="L229" t="s">
        <v>265</v>
      </c>
      <c r="M229" s="2">
        <v>45504</v>
      </c>
      <c r="N229" s="1" t="s">
        <v>35</v>
      </c>
      <c r="O229" s="61" t="s">
        <v>7934</v>
      </c>
      <c r="P229" s="14" t="s">
        <v>10708</v>
      </c>
      <c r="Q229" s="187">
        <v>78.510000000000005</v>
      </c>
      <c r="R229" s="1">
        <v>1</v>
      </c>
      <c r="S229" s="90">
        <v>0.21</v>
      </c>
      <c r="T229" s="90">
        <v>0.2</v>
      </c>
      <c r="V229" s="95">
        <f t="shared" si="98"/>
        <v>75.997680000000003</v>
      </c>
      <c r="W229" t="s">
        <v>5719</v>
      </c>
      <c r="X229" s="6" t="s">
        <v>10712</v>
      </c>
      <c r="Y229" s="2">
        <v>40681</v>
      </c>
      <c r="Z229" s="2">
        <v>45483</v>
      </c>
      <c r="AA229" s="76" t="s">
        <v>10997</v>
      </c>
      <c r="AB229" s="3">
        <v>45567</v>
      </c>
      <c r="AC229" s="80"/>
      <c r="AF229" t="s">
        <v>3198</v>
      </c>
      <c r="AI229" s="76" t="s">
        <v>10710</v>
      </c>
      <c r="AJ229" s="2"/>
      <c r="AM229" s="74"/>
      <c r="AT229" s="1"/>
    </row>
    <row r="230" spans="1:46">
      <c r="A230" s="1">
        <v>230</v>
      </c>
      <c r="B230" t="s">
        <v>83</v>
      </c>
      <c r="C230" s="2">
        <v>45483</v>
      </c>
      <c r="D230" s="2"/>
      <c r="E230" t="s">
        <v>10484</v>
      </c>
      <c r="F230" s="61" t="s">
        <v>10485</v>
      </c>
      <c r="G230" t="s">
        <v>10486</v>
      </c>
      <c r="H230" s="6" t="s">
        <v>236</v>
      </c>
      <c r="I230" s="1" t="s">
        <v>110</v>
      </c>
      <c r="J230" s="8"/>
      <c r="K230" s="396" t="s">
        <v>10487</v>
      </c>
      <c r="L230" s="1" t="s">
        <v>10484</v>
      </c>
      <c r="M230" s="2">
        <v>45504</v>
      </c>
      <c r="N230" s="1" t="s">
        <v>35</v>
      </c>
      <c r="O230" s="61" t="s">
        <v>7925</v>
      </c>
      <c r="P230" s="14" t="s">
        <v>10713</v>
      </c>
      <c r="Q230" s="187">
        <v>132.22999999999999</v>
      </c>
      <c r="R230" s="1">
        <v>1</v>
      </c>
      <c r="S230" s="128">
        <v>0.21</v>
      </c>
      <c r="T230" s="128">
        <v>0</v>
      </c>
      <c r="U230" s="363"/>
      <c r="V230" s="126">
        <v>160</v>
      </c>
      <c r="W230" t="s">
        <v>10736</v>
      </c>
      <c r="X230" s="5" t="s">
        <v>10737</v>
      </c>
      <c r="Y230" s="3">
        <v>36157</v>
      </c>
      <c r="Z230" s="2">
        <v>45483</v>
      </c>
      <c r="AA230" s="11" t="s">
        <v>11040</v>
      </c>
      <c r="AB230" s="2">
        <v>45573</v>
      </c>
      <c r="AC230" s="80" t="s">
        <v>1339</v>
      </c>
      <c r="AF230" t="s">
        <v>3198</v>
      </c>
      <c r="AI230" t="s">
        <v>10489</v>
      </c>
      <c r="AJ230" s="3">
        <v>45497</v>
      </c>
      <c r="AM230" s="3">
        <v>45503</v>
      </c>
    </row>
    <row r="231" spans="1:46">
      <c r="A231" s="1">
        <v>231</v>
      </c>
      <c r="B231" t="s">
        <v>37</v>
      </c>
      <c r="C231" s="2">
        <v>45485</v>
      </c>
      <c r="D231" s="2"/>
      <c r="E231" t="s">
        <v>7213</v>
      </c>
      <c r="F231" s="61" t="s">
        <v>7168</v>
      </c>
      <c r="G231" s="61" t="s">
        <v>7169</v>
      </c>
      <c r="H231" s="6" t="s">
        <v>2451</v>
      </c>
      <c r="I231" s="1" t="s">
        <v>3681</v>
      </c>
      <c r="J231" s="8">
        <v>602151594</v>
      </c>
      <c r="K231" s="8"/>
      <c r="L231" t="s">
        <v>7213</v>
      </c>
      <c r="M231" s="2">
        <v>45504</v>
      </c>
      <c r="N231" s="1" t="s">
        <v>35</v>
      </c>
      <c r="O231" s="61" t="s">
        <v>7934</v>
      </c>
      <c r="P231" s="14" t="s">
        <v>10714</v>
      </c>
      <c r="Q231" s="187">
        <v>78.510000000000005</v>
      </c>
      <c r="R231" s="1">
        <v>1</v>
      </c>
      <c r="S231" s="128">
        <v>0.21</v>
      </c>
      <c r="T231" s="128">
        <v>0</v>
      </c>
      <c r="U231" s="363"/>
      <c r="V231" s="95">
        <f t="shared" ref="V231" si="99">SUM(Q231-(Q231*T231))*S231+(Q231-(Q231*T231))</f>
        <v>94.997100000000003</v>
      </c>
      <c r="W231" t="s">
        <v>7213</v>
      </c>
      <c r="X231" s="6" t="s">
        <v>10715</v>
      </c>
      <c r="Y231" s="2">
        <v>33758</v>
      </c>
      <c r="Z231" s="2">
        <v>45485</v>
      </c>
      <c r="AA231" s="11" t="s">
        <v>10833</v>
      </c>
      <c r="AB231" s="3">
        <v>45532</v>
      </c>
      <c r="AC231" s="80" t="s">
        <v>1339</v>
      </c>
      <c r="AF231" t="s">
        <v>3198</v>
      </c>
      <c r="AJ231" s="3"/>
      <c r="AM231" s="74"/>
      <c r="AT231" s="1"/>
    </row>
    <row r="232" spans="1:46">
      <c r="A232" s="1">
        <v>232</v>
      </c>
      <c r="B232" t="s">
        <v>37</v>
      </c>
      <c r="C232" s="2">
        <v>45485</v>
      </c>
      <c r="D232" s="2" t="s">
        <v>9900</v>
      </c>
      <c r="E232" s="1" t="s">
        <v>10739</v>
      </c>
      <c r="F232" s="61" t="s">
        <v>10716</v>
      </c>
      <c r="G232" t="s">
        <v>10717</v>
      </c>
      <c r="H232" s="6" t="s">
        <v>238</v>
      </c>
      <c r="I232" s="1" t="s">
        <v>48</v>
      </c>
      <c r="J232" s="8">
        <v>632566036</v>
      </c>
      <c r="K232" s="1"/>
      <c r="L232" s="1" t="s">
        <v>10739</v>
      </c>
      <c r="M232" s="2">
        <v>45504</v>
      </c>
      <c r="N232" s="1" t="s">
        <v>35</v>
      </c>
      <c r="O232" s="61" t="s">
        <v>7925</v>
      </c>
      <c r="P232" s="14" t="s">
        <v>10718</v>
      </c>
      <c r="Q232" s="254">
        <v>132.22999999999999</v>
      </c>
      <c r="R232" s="1">
        <v>1</v>
      </c>
      <c r="S232" s="128">
        <v>0.21</v>
      </c>
      <c r="T232" s="128">
        <v>0</v>
      </c>
      <c r="U232" s="363"/>
      <c r="V232" s="126">
        <f t="shared" ref="V232:V233" si="100">SUM(Q232-(Q232*T232))*S232+(Q232-(Q232*T232))</f>
        <v>159.99829999999997</v>
      </c>
      <c r="W232" s="1" t="s">
        <v>10739</v>
      </c>
      <c r="X232" s="5" t="s">
        <v>10738</v>
      </c>
      <c r="Y232" s="3">
        <v>30707</v>
      </c>
      <c r="Z232" s="2">
        <v>45485</v>
      </c>
      <c r="AA232" s="11" t="s">
        <v>10963</v>
      </c>
      <c r="AB232" s="2">
        <v>45562</v>
      </c>
      <c r="AC232" s="80" t="s">
        <v>1339</v>
      </c>
      <c r="AF232" t="s">
        <v>3198</v>
      </c>
      <c r="AI232" t="s">
        <v>10719</v>
      </c>
      <c r="AJ232" s="3">
        <v>45497</v>
      </c>
      <c r="AM232" s="3">
        <v>45503</v>
      </c>
    </row>
    <row r="233" spans="1:46">
      <c r="A233" s="1">
        <v>233</v>
      </c>
      <c r="B233" t="s">
        <v>33</v>
      </c>
      <c r="C233" s="2">
        <v>45485</v>
      </c>
      <c r="D233" s="2" t="s">
        <v>9900</v>
      </c>
      <c r="E233" s="1" t="s">
        <v>10720</v>
      </c>
      <c r="F233" s="61" t="s">
        <v>10721</v>
      </c>
      <c r="G233" t="s">
        <v>10722</v>
      </c>
      <c r="H233" s="6" t="s">
        <v>219</v>
      </c>
      <c r="I233" s="1" t="s">
        <v>4334</v>
      </c>
      <c r="J233" s="8">
        <v>624275299</v>
      </c>
      <c r="K233" s="114" t="s">
        <v>11744</v>
      </c>
      <c r="L233" s="1" t="s">
        <v>237</v>
      </c>
      <c r="M233" s="2">
        <v>45504</v>
      </c>
      <c r="N233" s="1" t="s">
        <v>35</v>
      </c>
      <c r="O233" s="61" t="s">
        <v>7925</v>
      </c>
      <c r="P233" s="14" t="s">
        <v>10723</v>
      </c>
      <c r="Q233" s="254">
        <v>132.22999999999999</v>
      </c>
      <c r="R233" s="1">
        <v>1</v>
      </c>
      <c r="S233" s="128">
        <v>0.21</v>
      </c>
      <c r="T233" s="128">
        <v>0.2</v>
      </c>
      <c r="U233" s="363"/>
      <c r="V233" s="126">
        <f t="shared" si="100"/>
        <v>127.99863999999999</v>
      </c>
      <c r="W233" t="s">
        <v>10734</v>
      </c>
      <c r="X233" s="5" t="s">
        <v>10735</v>
      </c>
      <c r="Y233" s="3">
        <v>31963</v>
      </c>
      <c r="Z233" s="2">
        <v>45485</v>
      </c>
      <c r="AA233" s="11" t="s">
        <v>10920</v>
      </c>
      <c r="AB233" s="2">
        <v>45558</v>
      </c>
      <c r="AC233" s="80" t="s">
        <v>1339</v>
      </c>
      <c r="AF233" t="s">
        <v>3198</v>
      </c>
      <c r="AI233" s="76" t="s">
        <v>10724</v>
      </c>
      <c r="AJ233" s="3">
        <v>45490</v>
      </c>
      <c r="AM233" s="3"/>
    </row>
    <row r="234" spans="1:46">
      <c r="A234" s="1">
        <v>234</v>
      </c>
      <c r="B234" t="s">
        <v>37</v>
      </c>
      <c r="C234" s="2">
        <v>45497</v>
      </c>
      <c r="D234" s="2" t="s">
        <v>9900</v>
      </c>
      <c r="E234" s="1" t="s">
        <v>6574</v>
      </c>
      <c r="F234" s="61" t="s">
        <v>10740</v>
      </c>
      <c r="G234" t="s">
        <v>6576</v>
      </c>
      <c r="H234" s="6" t="s">
        <v>219</v>
      </c>
      <c r="I234" s="1" t="s">
        <v>4334</v>
      </c>
      <c r="J234" s="8"/>
      <c r="K234" s="1"/>
      <c r="L234" s="1" t="s">
        <v>6574</v>
      </c>
      <c r="M234" s="2">
        <v>45504</v>
      </c>
      <c r="N234" s="1" t="s">
        <v>35</v>
      </c>
      <c r="O234" s="61" t="s">
        <v>7925</v>
      </c>
      <c r="P234" s="14" t="s">
        <v>10741</v>
      </c>
      <c r="Q234" s="254">
        <v>132.22999999999999</v>
      </c>
      <c r="R234" s="1">
        <v>1</v>
      </c>
      <c r="S234" s="128">
        <v>0.21</v>
      </c>
      <c r="T234" s="128">
        <v>0.2</v>
      </c>
      <c r="U234" s="363"/>
      <c r="V234" s="126">
        <f t="shared" ref="V234:V235" si="101">SUM(Q234-(Q234*T234))*S234+(Q234-(Q234*T234))</f>
        <v>127.99863999999999</v>
      </c>
      <c r="W234" t="s">
        <v>10782</v>
      </c>
      <c r="X234" s="5" t="s">
        <v>10783</v>
      </c>
      <c r="Y234" s="3">
        <v>28465</v>
      </c>
      <c r="Z234" s="2">
        <v>45497</v>
      </c>
      <c r="AA234" s="11" t="s">
        <v>10860</v>
      </c>
      <c r="AB234" s="2">
        <v>45541</v>
      </c>
      <c r="AC234" s="80" t="s">
        <v>1339</v>
      </c>
      <c r="AF234" t="s">
        <v>3198</v>
      </c>
      <c r="AI234" s="3" t="s">
        <v>3392</v>
      </c>
      <c r="AJ234" s="3">
        <v>45510</v>
      </c>
      <c r="AM234" s="3">
        <v>45513</v>
      </c>
    </row>
    <row r="235" spans="1:46">
      <c r="A235" s="1">
        <v>235</v>
      </c>
      <c r="B235" t="s">
        <v>45</v>
      </c>
      <c r="C235" s="2">
        <v>45498</v>
      </c>
      <c r="D235" s="2" t="s">
        <v>9900</v>
      </c>
      <c r="E235" s="1" t="s">
        <v>10742</v>
      </c>
      <c r="F235" s="61" t="s">
        <v>10756</v>
      </c>
      <c r="G235" t="s">
        <v>10743</v>
      </c>
      <c r="H235" s="6" t="s">
        <v>219</v>
      </c>
      <c r="I235" s="1" t="s">
        <v>4334</v>
      </c>
      <c r="J235" s="8"/>
      <c r="K235" s="396" t="s">
        <v>8356</v>
      </c>
      <c r="L235" s="1" t="s">
        <v>10742</v>
      </c>
      <c r="M235" s="2">
        <v>45504</v>
      </c>
      <c r="N235" s="1" t="s">
        <v>35</v>
      </c>
      <c r="O235" s="61" t="s">
        <v>10536</v>
      </c>
      <c r="P235" s="14" t="s">
        <v>10744</v>
      </c>
      <c r="Q235" s="254">
        <v>200</v>
      </c>
      <c r="R235" s="1">
        <v>1</v>
      </c>
      <c r="S235" s="128">
        <v>0.21</v>
      </c>
      <c r="T235" s="128">
        <v>0.2</v>
      </c>
      <c r="U235" s="363"/>
      <c r="V235" s="126">
        <f t="shared" si="101"/>
        <v>193.6</v>
      </c>
      <c r="X235" s="5"/>
      <c r="Y235" s="3"/>
      <c r="Z235" s="2"/>
      <c r="AA235" s="11"/>
      <c r="AB235" s="2"/>
      <c r="AC235" s="133"/>
      <c r="AI235" s="3"/>
      <c r="AJ235" s="3"/>
      <c r="AM235" s="3"/>
    </row>
    <row r="236" spans="1:46">
      <c r="A236" s="1">
        <v>236</v>
      </c>
      <c r="B236" t="s">
        <v>33</v>
      </c>
      <c r="C236" s="2">
        <v>45499</v>
      </c>
      <c r="D236" s="2"/>
      <c r="E236" s="1" t="s">
        <v>2669</v>
      </c>
      <c r="F236" s="61" t="s">
        <v>10755</v>
      </c>
      <c r="G236" s="61" t="s">
        <v>3850</v>
      </c>
      <c r="H236" s="6" t="s">
        <v>304</v>
      </c>
      <c r="I236" s="1" t="s">
        <v>3851</v>
      </c>
      <c r="J236" s="8" t="s">
        <v>5048</v>
      </c>
      <c r="K236" s="114" t="s">
        <v>11744</v>
      </c>
      <c r="L236" s="31" t="s">
        <v>237</v>
      </c>
      <c r="M236" s="2">
        <v>45504</v>
      </c>
      <c r="N236" s="1" t="s">
        <v>35</v>
      </c>
      <c r="O236" s="61" t="s">
        <v>7925</v>
      </c>
      <c r="P236" s="14" t="s">
        <v>10746</v>
      </c>
      <c r="Q236" s="187">
        <v>132.22999999999999</v>
      </c>
      <c r="R236" s="1">
        <v>1</v>
      </c>
      <c r="S236" s="128">
        <v>0.21</v>
      </c>
      <c r="T236" s="128">
        <v>0.2</v>
      </c>
      <c r="V236" s="95">
        <f t="shared" ref="V236" si="102">SUM(Q236-(Q236*T236))*S236+(Q236-(Q236*T236))</f>
        <v>127.99863999999999</v>
      </c>
      <c r="W236" t="s">
        <v>10747</v>
      </c>
      <c r="X236" s="5" t="s">
        <v>10781</v>
      </c>
      <c r="Y236" s="2">
        <v>34974</v>
      </c>
      <c r="Z236" s="2">
        <v>45499</v>
      </c>
      <c r="AA236" s="11" t="s">
        <v>10859</v>
      </c>
      <c r="AB236" s="2">
        <v>45541</v>
      </c>
      <c r="AC236" s="80" t="s">
        <v>1339</v>
      </c>
      <c r="AF236" t="s">
        <v>3198</v>
      </c>
      <c r="AI236" s="3" t="s">
        <v>10748</v>
      </c>
      <c r="AJ236" s="2">
        <v>45510</v>
      </c>
      <c r="AM236" s="74">
        <v>45530</v>
      </c>
      <c r="AT236" s="1"/>
    </row>
    <row r="237" spans="1:46">
      <c r="A237" s="1">
        <v>237</v>
      </c>
      <c r="B237" t="s">
        <v>5635</v>
      </c>
      <c r="C237" s="2">
        <v>45499</v>
      </c>
      <c r="D237" s="2"/>
      <c r="E237" s="1" t="s">
        <v>10606</v>
      </c>
      <c r="F237" s="61" t="s">
        <v>10607</v>
      </c>
      <c r="G237" t="s">
        <v>10608</v>
      </c>
      <c r="H237" s="6" t="s">
        <v>2273</v>
      </c>
      <c r="I237" s="1" t="s">
        <v>2274</v>
      </c>
      <c r="J237" s="1"/>
      <c r="K237" s="301" t="s">
        <v>10609</v>
      </c>
      <c r="L237" s="1" t="s">
        <v>10606</v>
      </c>
      <c r="M237" s="2">
        <v>45504</v>
      </c>
      <c r="N237" s="1" t="s">
        <v>35</v>
      </c>
      <c r="O237" s="61" t="s">
        <v>9758</v>
      </c>
      <c r="P237" s="14" t="s">
        <v>10749</v>
      </c>
      <c r="Q237" s="187">
        <v>0</v>
      </c>
      <c r="R237" s="1">
        <v>1</v>
      </c>
      <c r="S237" s="90">
        <v>0.21</v>
      </c>
      <c r="T237" s="90">
        <v>0</v>
      </c>
      <c r="U237" s="363"/>
      <c r="V237" s="126">
        <f t="shared" ref="V237" si="103">SUM(Q237-(Q237*T237))*S237+(Q237-(Q237*T237))</f>
        <v>0</v>
      </c>
      <c r="W237" t="s">
        <v>10611</v>
      </c>
      <c r="X237" s="5" t="s">
        <v>10823</v>
      </c>
      <c r="Y237" s="2">
        <v>38205</v>
      </c>
      <c r="Z237" s="2">
        <v>45499</v>
      </c>
      <c r="AA237" s="11" t="s">
        <v>11041</v>
      </c>
      <c r="AB237" s="2">
        <v>45573</v>
      </c>
      <c r="AC237" s="80" t="s">
        <v>1339</v>
      </c>
      <c r="AF237" t="s">
        <v>3198</v>
      </c>
      <c r="AI237" s="61" t="s">
        <v>10812</v>
      </c>
      <c r="AJ237" s="3">
        <v>45529</v>
      </c>
      <c r="AM237" s="3">
        <v>45540</v>
      </c>
      <c r="AS237" s="1"/>
    </row>
    <row r="238" spans="1:46">
      <c r="A238" s="1">
        <v>238</v>
      </c>
      <c r="B238" s="61" t="s">
        <v>3526</v>
      </c>
      <c r="C238" s="2">
        <v>45499</v>
      </c>
      <c r="D238" s="2"/>
      <c r="E238" s="1" t="s">
        <v>5962</v>
      </c>
      <c r="F238" s="61" t="s">
        <v>5963</v>
      </c>
      <c r="G238" s="61" t="s">
        <v>5964</v>
      </c>
      <c r="H238" s="6" t="s">
        <v>294</v>
      </c>
      <c r="I238" s="1" t="s">
        <v>3681</v>
      </c>
      <c r="J238" s="1">
        <v>649440825</v>
      </c>
      <c r="K238" s="1" t="s">
        <v>6353</v>
      </c>
      <c r="L238" s="1" t="s">
        <v>5962</v>
      </c>
      <c r="M238" s="2">
        <v>45504</v>
      </c>
      <c r="N238" s="1" t="s">
        <v>35</v>
      </c>
      <c r="O238" s="61" t="s">
        <v>9758</v>
      </c>
      <c r="P238" s="14" t="s">
        <v>10750</v>
      </c>
      <c r="Q238" s="92">
        <v>132.22999999999999</v>
      </c>
      <c r="R238" s="1">
        <v>1</v>
      </c>
      <c r="S238" s="128">
        <v>0.21</v>
      </c>
      <c r="T238" s="128">
        <v>0.2</v>
      </c>
      <c r="U238" s="1"/>
      <c r="V238" s="95">
        <f t="shared" ref="V238" si="104">SUM(Q238-(Q238*T238))*S238+(Q238-(Q238*T238))</f>
        <v>127.99863999999999</v>
      </c>
      <c r="W238" t="s">
        <v>10831</v>
      </c>
      <c r="X238" s="5" t="s">
        <v>10830</v>
      </c>
      <c r="Y238" s="2">
        <v>28856</v>
      </c>
      <c r="Z238" s="2">
        <v>45499</v>
      </c>
      <c r="AA238" s="11" t="s">
        <v>11041</v>
      </c>
      <c r="AB238" s="2">
        <v>45573</v>
      </c>
      <c r="AC238" s="80" t="s">
        <v>1339</v>
      </c>
      <c r="AF238" t="s">
        <v>3198</v>
      </c>
      <c r="AI238" s="61" t="s">
        <v>10751</v>
      </c>
      <c r="AJ238" s="3">
        <v>45530</v>
      </c>
      <c r="AL238" s="3"/>
      <c r="AM238" s="3">
        <v>45532</v>
      </c>
    </row>
    <row r="239" spans="1:46">
      <c r="A239" s="1">
        <v>239</v>
      </c>
      <c r="B239" t="s">
        <v>37</v>
      </c>
      <c r="C239" s="2">
        <v>45503</v>
      </c>
      <c r="D239" s="2"/>
      <c r="E239" s="1" t="s">
        <v>8243</v>
      </c>
      <c r="F239" t="s">
        <v>8244</v>
      </c>
      <c r="G239" t="s">
        <v>8245</v>
      </c>
      <c r="H239" s="6" t="s">
        <v>238</v>
      </c>
      <c r="I239" s="1" t="s">
        <v>48</v>
      </c>
      <c r="J239" s="8">
        <v>632649569</v>
      </c>
      <c r="K239" s="8"/>
      <c r="L239" s="1" t="s">
        <v>8243</v>
      </c>
      <c r="M239" s="2">
        <v>45504</v>
      </c>
      <c r="N239" s="1" t="s">
        <v>35</v>
      </c>
      <c r="O239" s="61" t="s">
        <v>7934</v>
      </c>
      <c r="P239" s="14" t="s">
        <v>10752</v>
      </c>
      <c r="Q239" s="92">
        <v>78.510000000000005</v>
      </c>
      <c r="R239" s="1">
        <v>1</v>
      </c>
      <c r="S239" s="90">
        <v>0.21</v>
      </c>
      <c r="T239" s="90">
        <v>0</v>
      </c>
      <c r="V239" s="95">
        <f t="shared" ref="V239" si="105">SUM(Q239-(Q239*T239))*S239+(Q239-(Q239*T239))</f>
        <v>94.997100000000003</v>
      </c>
      <c r="W239" s="1" t="s">
        <v>8243</v>
      </c>
      <c r="X239" s="5" t="s">
        <v>10753</v>
      </c>
      <c r="Y239" s="2">
        <v>35279</v>
      </c>
      <c r="Z239" s="2">
        <v>45503</v>
      </c>
      <c r="AA239" s="11" t="s">
        <v>10920</v>
      </c>
      <c r="AB239" s="2">
        <v>45557</v>
      </c>
      <c r="AC239" s="80" t="s">
        <v>1339</v>
      </c>
      <c r="AF239" t="s">
        <v>3198</v>
      </c>
      <c r="AJ239" s="2"/>
      <c r="AL239" s="3"/>
      <c r="AM239" s="74"/>
      <c r="AT239" s="1"/>
    </row>
    <row r="240" spans="1:46">
      <c r="A240" s="1">
        <v>240</v>
      </c>
      <c r="B240" t="s">
        <v>37</v>
      </c>
      <c r="C240" s="2">
        <v>45503</v>
      </c>
      <c r="D240" s="2"/>
      <c r="E240" s="1" t="s">
        <v>8568</v>
      </c>
      <c r="F240" t="s">
        <v>8442</v>
      </c>
      <c r="G240" t="s">
        <v>8443</v>
      </c>
      <c r="H240" s="6" t="s">
        <v>220</v>
      </c>
      <c r="I240" s="1" t="s">
        <v>39</v>
      </c>
      <c r="J240" s="295">
        <v>642619883</v>
      </c>
      <c r="K240" s="8"/>
      <c r="L240" t="s">
        <v>8568</v>
      </c>
      <c r="M240" s="2">
        <v>45504</v>
      </c>
      <c r="N240" s="1" t="s">
        <v>35</v>
      </c>
      <c r="O240" s="61" t="s">
        <v>7925</v>
      </c>
      <c r="P240" s="14" t="s">
        <v>10772</v>
      </c>
      <c r="Q240" s="187">
        <v>78.510000000000005</v>
      </c>
      <c r="R240" s="1">
        <v>1</v>
      </c>
      <c r="S240" s="90">
        <v>0.21</v>
      </c>
      <c r="T240" s="90">
        <v>0</v>
      </c>
      <c r="V240" s="95">
        <f t="shared" ref="V240" si="106">SUM(Q240-(Q240*T240))*S240+(Q240-(Q240*T240))</f>
        <v>94.997100000000003</v>
      </c>
      <c r="W240" t="s">
        <v>8568</v>
      </c>
      <c r="X240" s="5" t="s">
        <v>10754</v>
      </c>
      <c r="Y240" s="2">
        <v>28748</v>
      </c>
      <c r="Z240" s="2">
        <v>45503</v>
      </c>
      <c r="AA240" s="11" t="s">
        <v>10920</v>
      </c>
      <c r="AB240" s="2">
        <v>45557</v>
      </c>
      <c r="AC240" s="80" t="s">
        <v>1339</v>
      </c>
      <c r="AF240" t="s">
        <v>3198</v>
      </c>
      <c r="AJ240" s="2"/>
      <c r="AM240" s="2"/>
      <c r="AT240" s="1"/>
    </row>
    <row r="241" spans="1:139">
      <c r="A241" s="1">
        <v>241</v>
      </c>
      <c r="B241" t="s">
        <v>37</v>
      </c>
      <c r="C241" s="2">
        <v>45503</v>
      </c>
      <c r="D241" s="2" t="s">
        <v>9900</v>
      </c>
      <c r="E241" s="1" t="s">
        <v>10757</v>
      </c>
      <c r="F241" s="61" t="s">
        <v>10758</v>
      </c>
      <c r="G241" t="s">
        <v>10759</v>
      </c>
      <c r="H241" s="6" t="s">
        <v>221</v>
      </c>
      <c r="I241" s="1" t="s">
        <v>34</v>
      </c>
      <c r="J241" s="8"/>
      <c r="K241" s="1"/>
      <c r="L241" s="1" t="s">
        <v>10757</v>
      </c>
      <c r="M241" s="2">
        <v>45504</v>
      </c>
      <c r="N241" s="1" t="s">
        <v>35</v>
      </c>
      <c r="O241" s="61" t="s">
        <v>9758</v>
      </c>
      <c r="P241" s="14" t="s">
        <v>10760</v>
      </c>
      <c r="Q241" s="254">
        <v>132.22999999999999</v>
      </c>
      <c r="R241" s="1">
        <v>1</v>
      </c>
      <c r="S241" s="128">
        <v>0.21</v>
      </c>
      <c r="T241" s="128">
        <v>0.2</v>
      </c>
      <c r="U241" s="363"/>
      <c r="V241" s="95">
        <f t="shared" ref="V241" si="107">SUM(Q241-(Q241*T241))*S241+(Q241-(Q241*T241))</f>
        <v>127.99863999999999</v>
      </c>
      <c r="W241" t="s">
        <v>11033</v>
      </c>
      <c r="X241" s="5" t="s">
        <v>11032</v>
      </c>
      <c r="Y241" s="3">
        <v>31954</v>
      </c>
      <c r="Z241" s="2">
        <v>45503</v>
      </c>
      <c r="AA241" s="11" t="s">
        <v>11418</v>
      </c>
      <c r="AB241" s="2">
        <v>45645</v>
      </c>
      <c r="AC241" s="80" t="s">
        <v>1339</v>
      </c>
      <c r="AD241" t="s">
        <v>11203</v>
      </c>
      <c r="AE241" s="162">
        <v>45614</v>
      </c>
      <c r="AF241" t="s">
        <v>3198</v>
      </c>
      <c r="AI241" s="61" t="s">
        <v>10761</v>
      </c>
      <c r="AJ241" s="3">
        <v>45573</v>
      </c>
      <c r="AM241" s="3">
        <v>45574</v>
      </c>
    </row>
    <row r="242" spans="1:139">
      <c r="A242" s="1">
        <v>242</v>
      </c>
      <c r="B242" t="s">
        <v>33</v>
      </c>
      <c r="C242" s="2">
        <v>45503</v>
      </c>
      <c r="D242" s="2"/>
      <c r="E242" s="1" t="s">
        <v>8796</v>
      </c>
      <c r="F242" t="s">
        <v>8797</v>
      </c>
      <c r="G242" t="s">
        <v>8798</v>
      </c>
      <c r="H242" s="6" t="s">
        <v>236</v>
      </c>
      <c r="I242" s="1" t="s">
        <v>3851</v>
      </c>
      <c r="J242" s="295"/>
      <c r="K242" s="114" t="s">
        <v>11744</v>
      </c>
      <c r="L242" t="s">
        <v>237</v>
      </c>
      <c r="M242" s="2">
        <v>45504</v>
      </c>
      <c r="N242" s="1" t="s">
        <v>35</v>
      </c>
      <c r="O242" s="61" t="s">
        <v>7926</v>
      </c>
      <c r="P242" s="14" t="s">
        <v>8799</v>
      </c>
      <c r="Q242" s="187">
        <v>132.22999999999999</v>
      </c>
      <c r="R242" s="1">
        <v>1</v>
      </c>
      <c r="S242" s="90">
        <v>0.21</v>
      </c>
      <c r="T242" s="90">
        <v>0.2</v>
      </c>
      <c r="U242" s="363"/>
      <c r="V242" s="95">
        <f t="shared" ref="V242" si="108">SUM(Q242-(Q242*T242))*S242+(Q242-(Q242*T242))</f>
        <v>127.99863999999999</v>
      </c>
      <c r="W242" t="s">
        <v>8854</v>
      </c>
      <c r="X242" s="5" t="s">
        <v>10817</v>
      </c>
      <c r="Y242" s="2">
        <v>36774</v>
      </c>
      <c r="Z242" s="2">
        <v>45503</v>
      </c>
      <c r="AA242" s="11" t="s">
        <v>11107</v>
      </c>
      <c r="AB242" s="2">
        <v>45592</v>
      </c>
      <c r="AC242" s="80" t="s">
        <v>1339</v>
      </c>
      <c r="AF242" t="s">
        <v>3198</v>
      </c>
      <c r="AI242" s="3" t="s">
        <v>3470</v>
      </c>
      <c r="AJ242" s="2">
        <v>45531</v>
      </c>
      <c r="AK242" s="74"/>
      <c r="AL242" s="74"/>
      <c r="AM242" s="74">
        <v>45551</v>
      </c>
      <c r="AT242" s="1"/>
    </row>
    <row r="243" spans="1:139">
      <c r="A243" s="1">
        <v>243</v>
      </c>
      <c r="B243" t="s">
        <v>33</v>
      </c>
      <c r="C243" s="2">
        <v>45503</v>
      </c>
      <c r="D243" s="2"/>
      <c r="E243" s="1" t="s">
        <v>6327</v>
      </c>
      <c r="F243" t="s">
        <v>6328</v>
      </c>
      <c r="G243" s="61" t="s">
        <v>6329</v>
      </c>
      <c r="H243" s="6" t="s">
        <v>227</v>
      </c>
      <c r="I243" s="1" t="s">
        <v>4719</v>
      </c>
      <c r="J243" s="1"/>
      <c r="K243" s="114" t="s">
        <v>11744</v>
      </c>
      <c r="L243" s="1" t="s">
        <v>237</v>
      </c>
      <c r="M243" s="2">
        <v>45504</v>
      </c>
      <c r="N243" s="164" t="s">
        <v>35</v>
      </c>
      <c r="O243" s="61" t="s">
        <v>7934</v>
      </c>
      <c r="P243" s="14" t="s">
        <v>10762</v>
      </c>
      <c r="Q243" s="187">
        <v>78.510000000000005</v>
      </c>
      <c r="R243" s="1">
        <v>1</v>
      </c>
      <c r="S243" s="90">
        <v>0.21</v>
      </c>
      <c r="T243" s="90">
        <v>0.2</v>
      </c>
      <c r="U243" s="363"/>
      <c r="V243" s="95">
        <f t="shared" ref="V243" si="109">SUM(Q243-(Q243*T243))*S243+(Q243-(Q243*T243))</f>
        <v>75.997680000000003</v>
      </c>
      <c r="W243" t="s">
        <v>6439</v>
      </c>
      <c r="X243" s="5" t="s">
        <v>10966</v>
      </c>
      <c r="Y243" s="2">
        <v>33045</v>
      </c>
      <c r="Z243" s="2">
        <v>45503</v>
      </c>
      <c r="AA243" s="11" t="s">
        <v>10967</v>
      </c>
      <c r="AB243" s="2">
        <v>45565</v>
      </c>
      <c r="AC243" s="80" t="s">
        <v>1339</v>
      </c>
      <c r="AF243" t="s">
        <v>3198</v>
      </c>
      <c r="AJ243" s="2"/>
    </row>
    <row r="244" spans="1:139">
      <c r="A244" s="1">
        <v>244</v>
      </c>
      <c r="B244" s="61" t="s">
        <v>4321</v>
      </c>
      <c r="C244" s="2">
        <v>45504</v>
      </c>
      <c r="D244" s="2" t="s">
        <v>9900</v>
      </c>
      <c r="E244" s="1" t="s">
        <v>10763</v>
      </c>
      <c r="F244" s="61" t="s">
        <v>10764</v>
      </c>
      <c r="G244" s="61" t="s">
        <v>10765</v>
      </c>
      <c r="H244" s="6" t="s">
        <v>242</v>
      </c>
      <c r="I244" s="1" t="s">
        <v>86</v>
      </c>
      <c r="J244" s="1"/>
      <c r="K244" s="8" t="s">
        <v>5991</v>
      </c>
      <c r="L244" s="1" t="s">
        <v>10763</v>
      </c>
      <c r="M244" s="2">
        <v>45504</v>
      </c>
      <c r="N244" s="164" t="s">
        <v>35</v>
      </c>
      <c r="O244" s="61" t="s">
        <v>9758</v>
      </c>
      <c r="P244" s="14" t="s">
        <v>10766</v>
      </c>
      <c r="Q244" s="187">
        <v>132.22999999999999</v>
      </c>
      <c r="R244" s="1">
        <v>1</v>
      </c>
      <c r="S244" s="90">
        <v>0.21</v>
      </c>
      <c r="T244" s="90">
        <v>0.2</v>
      </c>
      <c r="U244" s="363"/>
      <c r="V244" s="126">
        <f t="shared" ref="V244:V245" si="110">SUM(Q244-(Q244*T244))*S244+(Q244-(Q244*T244))</f>
        <v>127.99863999999999</v>
      </c>
      <c r="W244" t="s">
        <v>10815</v>
      </c>
      <c r="X244" s="5" t="s">
        <v>10816</v>
      </c>
      <c r="Y244" s="2">
        <v>37639</v>
      </c>
      <c r="Z244" s="2">
        <v>45504</v>
      </c>
      <c r="AA244" s="11" t="s">
        <v>11119</v>
      </c>
      <c r="AB244" s="2">
        <v>45593</v>
      </c>
      <c r="AC244" s="80" t="s">
        <v>1339</v>
      </c>
      <c r="AE244" s="133"/>
      <c r="AF244" t="s">
        <v>3198</v>
      </c>
      <c r="AI244" s="3" t="s">
        <v>3392</v>
      </c>
      <c r="AJ244" s="2">
        <v>45531</v>
      </c>
      <c r="AM244" s="3">
        <v>45534</v>
      </c>
    </row>
    <row r="245" spans="1:139">
      <c r="A245" s="1">
        <v>245</v>
      </c>
      <c r="B245" t="s">
        <v>37</v>
      </c>
      <c r="C245" s="2">
        <v>45504</v>
      </c>
      <c r="D245" s="2" t="s">
        <v>9900</v>
      </c>
      <c r="E245" s="1" t="s">
        <v>10778</v>
      </c>
      <c r="F245" s="61" t="s">
        <v>10767</v>
      </c>
      <c r="G245" s="61" t="s">
        <v>10768</v>
      </c>
      <c r="H245" s="6" t="s">
        <v>7966</v>
      </c>
      <c r="I245" s="1" t="s">
        <v>7965</v>
      </c>
      <c r="J245" s="1"/>
      <c r="K245" s="1"/>
      <c r="L245" s="1" t="s">
        <v>10778</v>
      </c>
      <c r="M245" s="2">
        <v>45504</v>
      </c>
      <c r="N245" s="164" t="s">
        <v>35</v>
      </c>
      <c r="O245" s="61" t="s">
        <v>9511</v>
      </c>
      <c r="P245" s="14" t="s">
        <v>10769</v>
      </c>
      <c r="Q245" s="187">
        <v>132.22999999999999</v>
      </c>
      <c r="R245" s="1">
        <v>1</v>
      </c>
      <c r="S245" s="90">
        <v>0.21</v>
      </c>
      <c r="T245" s="90">
        <v>0</v>
      </c>
      <c r="U245" s="363"/>
      <c r="V245" s="126">
        <f t="shared" si="110"/>
        <v>159.99829999999997</v>
      </c>
      <c r="W245" s="1" t="s">
        <v>10778</v>
      </c>
      <c r="X245" s="5" t="s">
        <v>10824</v>
      </c>
      <c r="Y245" s="2">
        <v>38214</v>
      </c>
      <c r="Z245" s="2">
        <v>45505</v>
      </c>
      <c r="AA245" s="11" t="s">
        <v>11079</v>
      </c>
      <c r="AB245" s="2">
        <v>45582</v>
      </c>
      <c r="AC245" s="80" t="s">
        <v>1339</v>
      </c>
      <c r="AE245" s="182">
        <v>45574</v>
      </c>
      <c r="AF245" t="s">
        <v>3198</v>
      </c>
      <c r="AI245" s="3" t="s">
        <v>3392</v>
      </c>
      <c r="AJ245" s="2">
        <v>45531</v>
      </c>
      <c r="AM245" s="3">
        <v>45532</v>
      </c>
    </row>
    <row r="246" spans="1:139">
      <c r="A246" s="1">
        <v>246</v>
      </c>
      <c r="B246" t="s">
        <v>6684</v>
      </c>
      <c r="C246" s="2">
        <v>45504</v>
      </c>
      <c r="D246" s="2"/>
      <c r="E246" t="s">
        <v>6685</v>
      </c>
      <c r="F246" t="s">
        <v>6686</v>
      </c>
      <c r="G246" t="s">
        <v>6687</v>
      </c>
      <c r="H246" s="6" t="s">
        <v>2579</v>
      </c>
      <c r="I246" t="s">
        <v>2580</v>
      </c>
      <c r="J246" s="8"/>
      <c r="K246" s="1" t="s">
        <v>7339</v>
      </c>
      <c r="L246" t="s">
        <v>6685</v>
      </c>
      <c r="M246" s="2">
        <v>45504</v>
      </c>
      <c r="N246" s="1" t="s">
        <v>35</v>
      </c>
      <c r="O246" s="61" t="s">
        <v>7934</v>
      </c>
      <c r="P246" s="14" t="s">
        <v>10770</v>
      </c>
      <c r="Q246" s="187">
        <v>78.510000000000005</v>
      </c>
      <c r="R246" s="1">
        <v>1</v>
      </c>
      <c r="S246" s="128">
        <v>0.21</v>
      </c>
      <c r="T246" s="128">
        <v>0.2</v>
      </c>
      <c r="V246" s="95">
        <f t="shared" ref="V246" si="111">SUM(Q246-(Q246*T246))*S246+(Q246-(Q246*T246))</f>
        <v>75.997680000000003</v>
      </c>
      <c r="W246" t="s">
        <v>8438</v>
      </c>
      <c r="X246" s="5" t="s">
        <v>10771</v>
      </c>
      <c r="Y246" s="3">
        <v>35750</v>
      </c>
      <c r="Z246" s="2">
        <v>45505</v>
      </c>
      <c r="AA246" s="11" t="s">
        <v>10874</v>
      </c>
      <c r="AB246" s="2">
        <v>45557</v>
      </c>
      <c r="AC246" s="80" t="s">
        <v>1339</v>
      </c>
      <c r="AF246" t="s">
        <v>3198</v>
      </c>
      <c r="AJ246" s="3"/>
      <c r="AM246" s="3"/>
    </row>
    <row r="247" spans="1:139">
      <c r="A247" s="1">
        <v>247</v>
      </c>
      <c r="B247" t="s">
        <v>119</v>
      </c>
      <c r="C247" s="2">
        <v>45509</v>
      </c>
      <c r="D247" s="2"/>
      <c r="E247" s="1" t="s">
        <v>5406</v>
      </c>
      <c r="F247" t="s">
        <v>5407</v>
      </c>
      <c r="G247" s="61" t="s">
        <v>5408</v>
      </c>
      <c r="H247" s="6" t="s">
        <v>226</v>
      </c>
      <c r="I247" s="1" t="s">
        <v>3118</v>
      </c>
      <c r="J247" s="8"/>
      <c r="K247" s="1" t="s">
        <v>8094</v>
      </c>
      <c r="L247" t="s">
        <v>174</v>
      </c>
      <c r="M247" s="2">
        <v>45535</v>
      </c>
      <c r="N247" s="1" t="s">
        <v>35</v>
      </c>
      <c r="O247" s="61" t="s">
        <v>9758</v>
      </c>
      <c r="P247" s="14" t="s">
        <v>10775</v>
      </c>
      <c r="Q247" s="187">
        <v>132.22999999999999</v>
      </c>
      <c r="R247" s="1">
        <v>1</v>
      </c>
      <c r="S247" s="90">
        <v>0.21</v>
      </c>
      <c r="T247" s="90">
        <v>0.2</v>
      </c>
      <c r="V247" s="95">
        <f t="shared" ref="V247:V263" si="112">SUM(Q247-(Q247*T247))*S247+(Q247-(Q247*T247))</f>
        <v>127.99863999999999</v>
      </c>
      <c r="W247" t="s">
        <v>10825</v>
      </c>
      <c r="X247" s="6" t="s">
        <v>10826</v>
      </c>
      <c r="Y247" s="2">
        <v>36957</v>
      </c>
      <c r="Z247" s="2">
        <v>45509</v>
      </c>
      <c r="AA247" s="11" t="s">
        <v>11078</v>
      </c>
      <c r="AB247" s="3">
        <v>45582</v>
      </c>
      <c r="AC247" s="80" t="s">
        <v>1339</v>
      </c>
      <c r="AF247" t="s">
        <v>3198</v>
      </c>
      <c r="AI247" s="182" t="s">
        <v>10774</v>
      </c>
      <c r="AJ247" s="2">
        <v>45531</v>
      </c>
      <c r="AM247" s="74"/>
      <c r="AT247" s="1"/>
    </row>
    <row r="248" spans="1:139">
      <c r="A248" s="1">
        <v>248</v>
      </c>
      <c r="B248" t="s">
        <v>37</v>
      </c>
      <c r="C248" s="2">
        <v>45510</v>
      </c>
      <c r="D248" s="2" t="s">
        <v>9900</v>
      </c>
      <c r="E248" t="s">
        <v>8556</v>
      </c>
      <c r="F248" t="s">
        <v>1828</v>
      </c>
      <c r="G248" t="s">
        <v>8489</v>
      </c>
      <c r="H248" s="6" t="s">
        <v>220</v>
      </c>
      <c r="I248" s="1" t="s">
        <v>39</v>
      </c>
      <c r="J248" s="6" t="s">
        <v>8490</v>
      </c>
      <c r="K248" s="1"/>
      <c r="L248" t="s">
        <v>8556</v>
      </c>
      <c r="M248" s="2">
        <v>45535</v>
      </c>
      <c r="N248" s="1" t="s">
        <v>35</v>
      </c>
      <c r="O248" s="61" t="s">
        <v>7925</v>
      </c>
      <c r="P248" s="14" t="s">
        <v>1923</v>
      </c>
      <c r="Q248" s="187">
        <v>78.510000000000005</v>
      </c>
      <c r="R248" s="1">
        <v>1</v>
      </c>
      <c r="S248" s="90">
        <v>0.21</v>
      </c>
      <c r="T248" s="90">
        <v>0</v>
      </c>
      <c r="V248" s="95">
        <f t="shared" si="112"/>
        <v>94.997100000000003</v>
      </c>
      <c r="W248" t="s">
        <v>8556</v>
      </c>
      <c r="X248" s="5" t="s">
        <v>10776</v>
      </c>
      <c r="Y248" s="2">
        <v>32509</v>
      </c>
      <c r="Z248" s="2">
        <v>45510</v>
      </c>
      <c r="AA248" s="11" t="s">
        <v>10921</v>
      </c>
      <c r="AB248" s="2">
        <v>45574</v>
      </c>
      <c r="AC248" s="80" t="s">
        <v>1339</v>
      </c>
      <c r="AF248" t="s">
        <v>3198</v>
      </c>
      <c r="AJ248" s="2"/>
      <c r="AM248" s="74"/>
      <c r="AT248" s="1"/>
    </row>
    <row r="249" spans="1:139">
      <c r="A249" s="1">
        <v>249</v>
      </c>
      <c r="B249" t="s">
        <v>4321</v>
      </c>
      <c r="C249" s="2">
        <v>45510</v>
      </c>
      <c r="D249" s="2"/>
      <c r="E249" s="1" t="s">
        <v>7226</v>
      </c>
      <c r="F249" s="61" t="s">
        <v>7162</v>
      </c>
      <c r="G249" s="61" t="s">
        <v>7163</v>
      </c>
      <c r="H249" s="6" t="s">
        <v>239</v>
      </c>
      <c r="I249" s="1" t="s">
        <v>86</v>
      </c>
      <c r="J249" s="8"/>
      <c r="K249" s="8" t="s">
        <v>5991</v>
      </c>
      <c r="L249" t="s">
        <v>7161</v>
      </c>
      <c r="M249" s="2">
        <v>45535</v>
      </c>
      <c r="N249" s="1" t="s">
        <v>35</v>
      </c>
      <c r="O249" s="61" t="s">
        <v>7925</v>
      </c>
      <c r="P249" s="14" t="s">
        <v>10777</v>
      </c>
      <c r="Q249" s="92">
        <v>132.22999999999999</v>
      </c>
      <c r="R249" s="1">
        <v>1</v>
      </c>
      <c r="S249" s="128">
        <v>0.21</v>
      </c>
      <c r="T249" s="128">
        <v>0.2</v>
      </c>
      <c r="U249" s="1"/>
      <c r="V249" s="95">
        <f t="shared" si="112"/>
        <v>127.99863999999999</v>
      </c>
      <c r="W249" t="s">
        <v>10810</v>
      </c>
      <c r="X249" s="5" t="s">
        <v>10811</v>
      </c>
      <c r="Y249" s="3">
        <v>31231</v>
      </c>
      <c r="Z249" s="2">
        <v>45510</v>
      </c>
      <c r="AA249" s="11" t="s">
        <v>10873</v>
      </c>
      <c r="AB249" s="2">
        <v>45546</v>
      </c>
      <c r="AC249" s="80" t="s">
        <v>1339</v>
      </c>
      <c r="AF249" t="s">
        <v>3198</v>
      </c>
      <c r="AI249" s="3" t="s">
        <v>3392</v>
      </c>
      <c r="AJ249" s="3">
        <v>45529</v>
      </c>
      <c r="AM249" s="3">
        <v>45539</v>
      </c>
    </row>
    <row r="250" spans="1:139" ht="14.25" customHeight="1">
      <c r="A250" s="1">
        <v>250</v>
      </c>
      <c r="B250" t="s">
        <v>4321</v>
      </c>
      <c r="C250" s="2">
        <v>45511</v>
      </c>
      <c r="D250" s="2"/>
      <c r="E250" s="1" t="s">
        <v>3427</v>
      </c>
      <c r="F250" s="61" t="s">
        <v>3428</v>
      </c>
      <c r="G250" s="61" t="s">
        <v>3433</v>
      </c>
      <c r="H250" s="6" t="s">
        <v>3429</v>
      </c>
      <c r="I250" s="1" t="s">
        <v>86</v>
      </c>
      <c r="J250" s="1">
        <v>650379091</v>
      </c>
      <c r="K250" s="8" t="s">
        <v>5991</v>
      </c>
      <c r="L250" s="1" t="s">
        <v>3427</v>
      </c>
      <c r="M250" s="2">
        <v>45535</v>
      </c>
      <c r="N250" s="1" t="s">
        <v>35</v>
      </c>
      <c r="O250" s="61" t="s">
        <v>9758</v>
      </c>
      <c r="P250" s="14" t="s">
        <v>10784</v>
      </c>
      <c r="Q250" s="187">
        <v>132.22999999999999</v>
      </c>
      <c r="R250" s="1">
        <v>1</v>
      </c>
      <c r="S250" s="128">
        <v>0.21</v>
      </c>
      <c r="T250" s="128">
        <v>0.2</v>
      </c>
      <c r="U250" s="363"/>
      <c r="V250" s="126">
        <f t="shared" si="112"/>
        <v>127.99863999999999</v>
      </c>
      <c r="W250" t="s">
        <v>10827</v>
      </c>
      <c r="X250" s="5" t="s">
        <v>10828</v>
      </c>
      <c r="Y250" s="2">
        <v>28656</v>
      </c>
      <c r="Z250" s="2">
        <v>45511</v>
      </c>
      <c r="AA250" s="284" t="s">
        <v>11540</v>
      </c>
      <c r="AB250" s="2">
        <v>45671</v>
      </c>
      <c r="AC250" s="80" t="s">
        <v>1339</v>
      </c>
      <c r="AE250" s="162">
        <v>45614</v>
      </c>
      <c r="AF250" t="s">
        <v>3198</v>
      </c>
      <c r="AI250" s="3" t="s">
        <v>10785</v>
      </c>
      <c r="AJ250" s="3">
        <v>45531</v>
      </c>
      <c r="AM250" s="3"/>
      <c r="AS250" s="1"/>
    </row>
    <row r="251" spans="1:139">
      <c r="A251" s="1">
        <v>251</v>
      </c>
      <c r="B251" t="s">
        <v>5163</v>
      </c>
      <c r="C251" s="2">
        <v>45511</v>
      </c>
      <c r="D251" s="2"/>
      <c r="E251" t="s">
        <v>9362</v>
      </c>
      <c r="F251" s="61" t="s">
        <v>10363</v>
      </c>
      <c r="G251" s="61" t="s">
        <v>10364</v>
      </c>
      <c r="H251" s="6" t="s">
        <v>230</v>
      </c>
      <c r="I251" s="1" t="s">
        <v>8550</v>
      </c>
      <c r="J251" s="1">
        <v>644914907</v>
      </c>
      <c r="K251" s="301" t="s">
        <v>10365</v>
      </c>
      <c r="L251" t="s">
        <v>9362</v>
      </c>
      <c r="M251" s="2">
        <v>45535</v>
      </c>
      <c r="N251" s="1" t="s">
        <v>35</v>
      </c>
      <c r="O251" s="61" t="s">
        <v>7935</v>
      </c>
      <c r="P251" s="14" t="s">
        <v>10813</v>
      </c>
      <c r="Q251" s="187">
        <v>0</v>
      </c>
      <c r="R251" s="1">
        <v>0</v>
      </c>
      <c r="S251" s="90">
        <v>0</v>
      </c>
      <c r="T251" s="90">
        <v>0</v>
      </c>
      <c r="U251" s="363"/>
      <c r="V251" s="126">
        <f t="shared" si="112"/>
        <v>0</v>
      </c>
      <c r="W251" t="s">
        <v>9362</v>
      </c>
      <c r="X251" s="5" t="s">
        <v>10814</v>
      </c>
      <c r="Y251" s="2">
        <v>41822</v>
      </c>
      <c r="Z251" s="2">
        <v>45511</v>
      </c>
      <c r="AA251" s="11" t="s">
        <v>10919</v>
      </c>
      <c r="AB251" s="2">
        <v>45557</v>
      </c>
      <c r="AC251" s="80" t="s">
        <v>1339</v>
      </c>
      <c r="AF251" t="s">
        <v>3198</v>
      </c>
      <c r="AJ251" s="2"/>
      <c r="AM251" s="3"/>
      <c r="AT251" s="1"/>
    </row>
    <row r="252" spans="1:139" s="197" customFormat="1">
      <c r="A252" s="1">
        <v>252</v>
      </c>
      <c r="B252" s="61" t="s">
        <v>4321</v>
      </c>
      <c r="C252" s="2">
        <v>45516</v>
      </c>
      <c r="D252" s="2"/>
      <c r="E252" s="1" t="s">
        <v>3427</v>
      </c>
      <c r="F252" s="61" t="s">
        <v>3428</v>
      </c>
      <c r="G252" s="61" t="s">
        <v>3433</v>
      </c>
      <c r="H252" s="6" t="s">
        <v>3429</v>
      </c>
      <c r="I252" s="1" t="s">
        <v>86</v>
      </c>
      <c r="J252" s="1">
        <v>650379091</v>
      </c>
      <c r="K252" s="8" t="s">
        <v>5991</v>
      </c>
      <c r="L252" s="1" t="s">
        <v>3427</v>
      </c>
      <c r="M252" s="2">
        <v>45535</v>
      </c>
      <c r="N252" t="s">
        <v>35</v>
      </c>
      <c r="O252" s="14" t="s">
        <v>7926</v>
      </c>
      <c r="P252" s="14" t="s">
        <v>9795</v>
      </c>
      <c r="Q252" s="187">
        <v>0</v>
      </c>
      <c r="R252" s="1">
        <v>1</v>
      </c>
      <c r="S252" s="128">
        <v>0.21</v>
      </c>
      <c r="T252" s="128">
        <v>0.2</v>
      </c>
      <c r="U252"/>
      <c r="V252" s="95">
        <f t="shared" si="112"/>
        <v>0</v>
      </c>
      <c r="W252" t="s">
        <v>9733</v>
      </c>
      <c r="X252" s="5" t="s">
        <v>10829</v>
      </c>
      <c r="Y252" s="2">
        <v>35734</v>
      </c>
      <c r="Z252" s="2">
        <v>45516</v>
      </c>
      <c r="AA252" s="11" t="s">
        <v>11418</v>
      </c>
      <c r="AB252" s="2">
        <v>45645</v>
      </c>
      <c r="AC252" s="80" t="s">
        <v>1339</v>
      </c>
      <c r="AD252"/>
      <c r="AE252" s="162">
        <v>45614</v>
      </c>
      <c r="AF252" t="s">
        <v>3198</v>
      </c>
      <c r="AG252"/>
      <c r="AH252"/>
      <c r="AI252" s="3" t="s">
        <v>10203</v>
      </c>
      <c r="AJ252" s="2">
        <v>45531</v>
      </c>
      <c r="AK252"/>
      <c r="AL252"/>
      <c r="AM252" s="2">
        <v>45540</v>
      </c>
      <c r="AN252"/>
      <c r="AO252"/>
      <c r="AP252"/>
      <c r="AQ252"/>
      <c r="AR252"/>
      <c r="AS252"/>
      <c r="AT252" s="1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</row>
    <row r="253" spans="1:139">
      <c r="A253" s="1">
        <v>253</v>
      </c>
      <c r="B253" t="s">
        <v>10787</v>
      </c>
      <c r="C253" s="2">
        <v>45516</v>
      </c>
      <c r="D253" s="2"/>
      <c r="E253" s="1" t="s">
        <v>10788</v>
      </c>
      <c r="F253" s="61" t="s">
        <v>10789</v>
      </c>
      <c r="G253" s="61" t="s">
        <v>10790</v>
      </c>
      <c r="H253" s="6" t="s">
        <v>241</v>
      </c>
      <c r="I253" s="1" t="s">
        <v>60</v>
      </c>
      <c r="J253" s="1"/>
      <c r="K253" s="1"/>
      <c r="L253" s="1" t="s">
        <v>10788</v>
      </c>
      <c r="M253" s="2">
        <v>45535</v>
      </c>
      <c r="N253" t="s">
        <v>35</v>
      </c>
      <c r="O253" s="14" t="s">
        <v>7926</v>
      </c>
      <c r="P253" s="14" t="s">
        <v>10791</v>
      </c>
      <c r="Q253" s="187">
        <v>0</v>
      </c>
      <c r="R253" s="1">
        <v>1</v>
      </c>
      <c r="S253" s="90">
        <v>0.21</v>
      </c>
      <c r="T253" s="90">
        <v>0</v>
      </c>
      <c r="U253" s="363"/>
      <c r="V253" s="126">
        <f t="shared" si="112"/>
        <v>0</v>
      </c>
      <c r="W253" t="s">
        <v>10792</v>
      </c>
      <c r="X253" s="5" t="s">
        <v>10832</v>
      </c>
      <c r="Y253" s="2">
        <v>34263</v>
      </c>
      <c r="Z253" s="2">
        <v>45516</v>
      </c>
      <c r="AA253" s="11" t="s">
        <v>11077</v>
      </c>
      <c r="AB253" s="2">
        <v>45583</v>
      </c>
      <c r="AC253" s="80" t="s">
        <v>1339</v>
      </c>
      <c r="AE253" s="133"/>
      <c r="AF253" t="s">
        <v>3198</v>
      </c>
      <c r="AI253" s="3" t="s">
        <v>3470</v>
      </c>
      <c r="AJ253" s="2">
        <v>45532</v>
      </c>
      <c r="AM253" s="3">
        <v>45532</v>
      </c>
    </row>
    <row r="254" spans="1:139">
      <c r="A254" s="1">
        <v>254</v>
      </c>
      <c r="B254" s="61" t="s">
        <v>33</v>
      </c>
      <c r="C254" s="2">
        <v>45517</v>
      </c>
      <c r="D254" s="2"/>
      <c r="E254" s="1" t="s">
        <v>3247</v>
      </c>
      <c r="F254" t="s">
        <v>9109</v>
      </c>
      <c r="G254" t="s">
        <v>3242</v>
      </c>
      <c r="H254" s="6" t="s">
        <v>304</v>
      </c>
      <c r="I254" t="s">
        <v>38</v>
      </c>
      <c r="J254" s="8">
        <v>646181264</v>
      </c>
      <c r="K254" s="114" t="s">
        <v>11744</v>
      </c>
      <c r="L254" s="1" t="s">
        <v>237</v>
      </c>
      <c r="M254" s="2">
        <v>45535</v>
      </c>
      <c r="N254" s="1" t="s">
        <v>35</v>
      </c>
      <c r="O254" s="14" t="s">
        <v>7925</v>
      </c>
      <c r="P254" s="14" t="s">
        <v>10818</v>
      </c>
      <c r="Q254" s="187">
        <v>132.22999999999999</v>
      </c>
      <c r="R254" s="1">
        <v>1</v>
      </c>
      <c r="S254" s="90">
        <v>0.21</v>
      </c>
      <c r="T254" s="90">
        <v>0.2</v>
      </c>
      <c r="V254" s="95">
        <f t="shared" si="112"/>
        <v>127.99863999999999</v>
      </c>
      <c r="W254" t="s">
        <v>10793</v>
      </c>
      <c r="X254" s="5" t="s">
        <v>10819</v>
      </c>
      <c r="Y254" s="2">
        <v>35158</v>
      </c>
      <c r="Z254" s="2">
        <v>45517</v>
      </c>
      <c r="AA254" s="395" t="s">
        <v>10930</v>
      </c>
      <c r="AB254" s="2">
        <v>45559</v>
      </c>
      <c r="AC254" s="80" t="s">
        <v>1339</v>
      </c>
      <c r="AD254" t="s">
        <v>11374</v>
      </c>
      <c r="AE254" s="3"/>
      <c r="AF254" t="s">
        <v>3198</v>
      </c>
      <c r="AI254" s="3" t="s">
        <v>3392</v>
      </c>
      <c r="AJ254" s="2">
        <v>45531</v>
      </c>
      <c r="AM254" s="2">
        <v>45534</v>
      </c>
      <c r="AT254" s="1"/>
    </row>
    <row r="255" spans="1:139">
      <c r="A255" s="1">
        <v>255</v>
      </c>
      <c r="B255" t="s">
        <v>33</v>
      </c>
      <c r="C255" s="2">
        <v>45517</v>
      </c>
      <c r="D255" s="2"/>
      <c r="E255" s="1" t="s">
        <v>1160</v>
      </c>
      <c r="F255" s="61" t="s">
        <v>1161</v>
      </c>
      <c r="G255" t="s">
        <v>5046</v>
      </c>
      <c r="H255" s="6" t="s">
        <v>304</v>
      </c>
      <c r="I255" s="1" t="s">
        <v>68</v>
      </c>
      <c r="J255" s="1"/>
      <c r="K255" s="114" t="s">
        <v>11744</v>
      </c>
      <c r="L255" s="30" t="s">
        <v>237</v>
      </c>
      <c r="M255" s="2">
        <v>45535</v>
      </c>
      <c r="N255" s="1" t="s">
        <v>35</v>
      </c>
      <c r="O255" s="14" t="s">
        <v>9758</v>
      </c>
      <c r="P255" s="375" t="s">
        <v>5047</v>
      </c>
      <c r="Q255" s="1">
        <v>132.22999999999999</v>
      </c>
      <c r="R255" s="1">
        <v>1</v>
      </c>
      <c r="S255" s="90">
        <v>0.21</v>
      </c>
      <c r="T255" s="90">
        <v>0.2</v>
      </c>
      <c r="U255" s="95"/>
      <c r="V255" s="95">
        <f t="shared" si="112"/>
        <v>127.99863999999999</v>
      </c>
      <c r="W255" s="126" t="s">
        <v>5222</v>
      </c>
      <c r="X255" s="5" t="s">
        <v>10838</v>
      </c>
      <c r="Y255" s="2">
        <v>36526</v>
      </c>
      <c r="Z255" s="2">
        <v>45517</v>
      </c>
      <c r="AA255" s="11" t="s">
        <v>11077</v>
      </c>
      <c r="AB255" s="3">
        <v>45593</v>
      </c>
      <c r="AC255" s="80" t="s">
        <v>1339</v>
      </c>
      <c r="AF255" t="s">
        <v>3198</v>
      </c>
      <c r="AH255" s="3"/>
      <c r="AI255" s="3" t="s">
        <v>3470</v>
      </c>
      <c r="AJ255" s="3">
        <v>45532</v>
      </c>
      <c r="AK255" s="3"/>
      <c r="AM255" s="3">
        <v>45540</v>
      </c>
    </row>
    <row r="256" spans="1:139">
      <c r="A256" s="1">
        <v>256</v>
      </c>
      <c r="B256" t="s">
        <v>33</v>
      </c>
      <c r="C256" s="2">
        <v>45517</v>
      </c>
      <c r="D256" s="2"/>
      <c r="E256" s="1" t="s">
        <v>3248</v>
      </c>
      <c r="F256" t="s">
        <v>8195</v>
      </c>
      <c r="G256" t="s">
        <v>8196</v>
      </c>
      <c r="H256" s="6" t="s">
        <v>304</v>
      </c>
      <c r="I256" s="1" t="s">
        <v>3851</v>
      </c>
      <c r="J256" s="1"/>
      <c r="K256" s="114" t="s">
        <v>11744</v>
      </c>
      <c r="L256" s="31" t="s">
        <v>237</v>
      </c>
      <c r="M256" s="2">
        <v>45535</v>
      </c>
      <c r="N256" s="1" t="s">
        <v>35</v>
      </c>
      <c r="O256" s="61" t="s">
        <v>7926</v>
      </c>
      <c r="P256" s="14" t="s">
        <v>10794</v>
      </c>
      <c r="Q256" s="187">
        <v>132.22999999999999</v>
      </c>
      <c r="R256" s="1">
        <v>1</v>
      </c>
      <c r="S256" s="128">
        <v>0.21</v>
      </c>
      <c r="T256" s="128">
        <v>0.2</v>
      </c>
      <c r="U256" s="363"/>
      <c r="V256" s="186">
        <f t="shared" si="112"/>
        <v>127.99863999999999</v>
      </c>
      <c r="W256" t="s">
        <v>10836</v>
      </c>
      <c r="X256" s="5" t="s">
        <v>10837</v>
      </c>
      <c r="Y256" s="3">
        <v>33313</v>
      </c>
      <c r="Z256" s="2">
        <v>45517</v>
      </c>
      <c r="AA256" s="377" t="s">
        <v>11118</v>
      </c>
      <c r="AB256" s="2">
        <v>45593</v>
      </c>
      <c r="AC256" s="80" t="s">
        <v>1339</v>
      </c>
      <c r="AF256" t="s">
        <v>3198</v>
      </c>
      <c r="AI256" s="3" t="s">
        <v>10795</v>
      </c>
      <c r="AJ256" s="3">
        <v>45532</v>
      </c>
      <c r="AM256" s="3">
        <v>45539</v>
      </c>
    </row>
    <row r="257" spans="1:46">
      <c r="A257" s="1">
        <v>257</v>
      </c>
      <c r="B257" t="s">
        <v>33</v>
      </c>
      <c r="C257" s="2">
        <v>45517</v>
      </c>
      <c r="D257" s="2"/>
      <c r="E257" s="1" t="s">
        <v>10796</v>
      </c>
      <c r="F257" s="61" t="s">
        <v>10797</v>
      </c>
      <c r="G257" s="61" t="s">
        <v>10798</v>
      </c>
      <c r="H257" s="6" t="s">
        <v>219</v>
      </c>
      <c r="I257" s="1" t="s">
        <v>38</v>
      </c>
      <c r="J257" s="1"/>
      <c r="K257" s="114" t="s">
        <v>11744</v>
      </c>
      <c r="L257" s="1" t="s">
        <v>10796</v>
      </c>
      <c r="M257" s="2">
        <v>45535</v>
      </c>
      <c r="N257" s="1" t="s">
        <v>35</v>
      </c>
      <c r="O257" s="61" t="s">
        <v>9758</v>
      </c>
      <c r="P257" s="375" t="s">
        <v>10799</v>
      </c>
      <c r="Q257" s="187">
        <v>132.22999999999999</v>
      </c>
      <c r="R257" s="1">
        <v>1</v>
      </c>
      <c r="S257" s="90">
        <v>0.21</v>
      </c>
      <c r="T257" s="90">
        <v>0.2</v>
      </c>
      <c r="U257" s="363"/>
      <c r="V257" s="126">
        <f t="shared" si="112"/>
        <v>127.99863999999999</v>
      </c>
      <c r="W257" t="s">
        <v>10834</v>
      </c>
      <c r="X257" s="5" t="s">
        <v>10835</v>
      </c>
      <c r="Y257" s="2">
        <v>33934</v>
      </c>
      <c r="Z257" s="2">
        <v>45517</v>
      </c>
      <c r="AA257" s="2" t="s">
        <v>10803</v>
      </c>
      <c r="AB257" s="2"/>
      <c r="AC257" s="133"/>
      <c r="AE257" s="133"/>
      <c r="AF257" t="s">
        <v>3198</v>
      </c>
      <c r="AI257" s="3" t="s">
        <v>10800</v>
      </c>
      <c r="AJ257" s="2">
        <v>45532</v>
      </c>
      <c r="AM257" s="3">
        <v>45539</v>
      </c>
    </row>
    <row r="258" spans="1:46">
      <c r="A258" s="1">
        <v>259</v>
      </c>
      <c r="B258" t="s">
        <v>37</v>
      </c>
      <c r="C258" s="2">
        <v>45588</v>
      </c>
      <c r="D258" s="2"/>
      <c r="E258" s="1" t="s">
        <v>8927</v>
      </c>
      <c r="F258" t="s">
        <v>8928</v>
      </c>
      <c r="G258" t="s">
        <v>8929</v>
      </c>
      <c r="H258" s="6" t="s">
        <v>239</v>
      </c>
      <c r="I258" s="1" t="s">
        <v>2585</v>
      </c>
      <c r="J258" s="295">
        <v>600635013</v>
      </c>
      <c r="K258" s="1"/>
      <c r="L258" s="1" t="s">
        <v>8927</v>
      </c>
      <c r="M258" s="2">
        <v>45535</v>
      </c>
      <c r="N258" s="1" t="s">
        <v>35</v>
      </c>
      <c r="O258" s="61" t="s">
        <v>7936</v>
      </c>
      <c r="P258" s="14" t="s">
        <v>10820</v>
      </c>
      <c r="Q258" s="187">
        <v>132.22999999999999</v>
      </c>
      <c r="R258" s="1">
        <v>1</v>
      </c>
      <c r="S258" s="128">
        <v>0.21</v>
      </c>
      <c r="T258" s="128">
        <v>0</v>
      </c>
      <c r="U258" s="363"/>
      <c r="V258" s="95">
        <f t="shared" si="112"/>
        <v>159.99829999999997</v>
      </c>
      <c r="W258" s="1" t="s">
        <v>10821</v>
      </c>
      <c r="X258" s="5" t="s">
        <v>10822</v>
      </c>
      <c r="Y258" s="2">
        <v>39736</v>
      </c>
      <c r="Z258" s="2">
        <v>45588</v>
      </c>
      <c r="AA258" s="76" t="s">
        <v>11296</v>
      </c>
      <c r="AB258" s="2">
        <v>45627</v>
      </c>
      <c r="AC258" s="80" t="s">
        <v>1339</v>
      </c>
      <c r="AD258" s="403" t="s">
        <v>11090</v>
      </c>
      <c r="AE258" s="2">
        <v>45582</v>
      </c>
      <c r="AF258" t="s">
        <v>3198</v>
      </c>
      <c r="AI258" s="182" t="s">
        <v>10802</v>
      </c>
      <c r="AJ258" s="2">
        <v>45531</v>
      </c>
      <c r="AM258" s="74"/>
      <c r="AT258" s="1"/>
    </row>
    <row r="259" spans="1:46">
      <c r="A259" s="1">
        <v>260</v>
      </c>
      <c r="B259" t="s">
        <v>37</v>
      </c>
      <c r="C259" s="2">
        <v>45521</v>
      </c>
      <c r="D259" s="2"/>
      <c r="E259" s="1" t="s">
        <v>8522</v>
      </c>
      <c r="F259" t="s">
        <v>8523</v>
      </c>
      <c r="G259" t="s">
        <v>8524</v>
      </c>
      <c r="H259" s="6" t="s">
        <v>219</v>
      </c>
      <c r="I259" s="1" t="s">
        <v>38</v>
      </c>
      <c r="J259" s="1">
        <v>643599515</v>
      </c>
      <c r="K259" s="1"/>
      <c r="L259" s="1" t="s">
        <v>8522</v>
      </c>
      <c r="M259" s="2">
        <v>45535</v>
      </c>
      <c r="N259" s="1" t="s">
        <v>35</v>
      </c>
      <c r="O259" s="61" t="s">
        <v>7934</v>
      </c>
      <c r="P259" s="14" t="s">
        <v>10807</v>
      </c>
      <c r="Q259" s="187">
        <v>78.510000000000005</v>
      </c>
      <c r="R259" s="1">
        <v>1</v>
      </c>
      <c r="S259" s="90">
        <v>0.21</v>
      </c>
      <c r="T259" s="90">
        <v>0</v>
      </c>
      <c r="U259" s="363"/>
      <c r="V259" s="95">
        <f t="shared" si="112"/>
        <v>94.997100000000003</v>
      </c>
      <c r="W259" s="1" t="s">
        <v>8522</v>
      </c>
      <c r="X259" s="5" t="s">
        <v>10808</v>
      </c>
      <c r="Y259" s="2">
        <v>34495</v>
      </c>
      <c r="Z259" s="2">
        <v>45521</v>
      </c>
      <c r="AA259" s="11" t="s">
        <v>11042</v>
      </c>
      <c r="AB259" s="2">
        <v>45573</v>
      </c>
      <c r="AC259" s="80" t="s">
        <v>1339</v>
      </c>
      <c r="AF259" t="s">
        <v>3198</v>
      </c>
      <c r="AJ259" s="2"/>
      <c r="AM259" s="74"/>
      <c r="AT259" s="1"/>
    </row>
    <row r="260" spans="1:46">
      <c r="A260" s="1">
        <v>261</v>
      </c>
      <c r="B260" t="s">
        <v>37</v>
      </c>
      <c r="C260" s="2">
        <v>45533</v>
      </c>
      <c r="D260" s="2" t="s">
        <v>9900</v>
      </c>
      <c r="E260" s="1" t="s">
        <v>10840</v>
      </c>
      <c r="F260" s="61" t="s">
        <v>10841</v>
      </c>
      <c r="G260" t="s">
        <v>10842</v>
      </c>
      <c r="H260" s="6" t="s">
        <v>10843</v>
      </c>
      <c r="I260" s="1" t="s">
        <v>10375</v>
      </c>
      <c r="J260" s="1">
        <v>642969764</v>
      </c>
      <c r="K260" s="1"/>
      <c r="L260" s="1" t="s">
        <v>10840</v>
      </c>
      <c r="M260" s="2">
        <v>45535</v>
      </c>
      <c r="N260" s="1" t="s">
        <v>35</v>
      </c>
      <c r="O260" s="61" t="s">
        <v>7934</v>
      </c>
      <c r="P260" s="14" t="s">
        <v>10844</v>
      </c>
      <c r="Q260" s="187">
        <v>78.510000000000005</v>
      </c>
      <c r="R260" s="1">
        <v>1</v>
      </c>
      <c r="S260" s="90">
        <v>0.21</v>
      </c>
      <c r="T260" s="90">
        <v>0</v>
      </c>
      <c r="U260" s="363"/>
      <c r="V260" s="126">
        <f t="shared" si="112"/>
        <v>94.997100000000003</v>
      </c>
      <c r="W260" s="1" t="s">
        <v>10840</v>
      </c>
      <c r="X260" s="5" t="s">
        <v>10845</v>
      </c>
      <c r="Y260" s="2">
        <v>32078</v>
      </c>
      <c r="Z260" s="2">
        <v>45533</v>
      </c>
      <c r="AA260" s="11" t="s">
        <v>10921</v>
      </c>
      <c r="AB260" s="2">
        <v>45557</v>
      </c>
      <c r="AC260" s="80" t="s">
        <v>1339</v>
      </c>
      <c r="AF260" t="s">
        <v>3198</v>
      </c>
      <c r="AJ260" s="2"/>
      <c r="AM260" s="74"/>
      <c r="AT260" s="1"/>
    </row>
    <row r="261" spans="1:46">
      <c r="A261" s="1">
        <v>262</v>
      </c>
      <c r="B261" t="s">
        <v>33</v>
      </c>
      <c r="C261" s="2">
        <v>45533</v>
      </c>
      <c r="D261" s="2"/>
      <c r="E261" s="1" t="s">
        <v>8453</v>
      </c>
      <c r="F261" t="s">
        <v>8454</v>
      </c>
      <c r="G261" t="s">
        <v>8455</v>
      </c>
      <c r="H261" s="6" t="s">
        <v>219</v>
      </c>
      <c r="I261" s="1" t="s">
        <v>4334</v>
      </c>
      <c r="J261" s="295"/>
      <c r="K261" s="114" t="s">
        <v>11744</v>
      </c>
      <c r="L261" s="1" t="s">
        <v>237</v>
      </c>
      <c r="M261" s="2">
        <v>45535</v>
      </c>
      <c r="N261" s="1" t="s">
        <v>35</v>
      </c>
      <c r="O261" s="61" t="s">
        <v>7934</v>
      </c>
      <c r="P261" s="14" t="s">
        <v>10846</v>
      </c>
      <c r="Q261" s="187">
        <v>78.510000000000005</v>
      </c>
      <c r="R261" s="1">
        <v>1</v>
      </c>
      <c r="S261" s="90">
        <v>0.21</v>
      </c>
      <c r="T261" s="90">
        <v>0.2</v>
      </c>
      <c r="V261" s="95">
        <f t="shared" si="112"/>
        <v>75.997680000000003</v>
      </c>
      <c r="W261" t="s">
        <v>8519</v>
      </c>
      <c r="X261" s="5" t="s">
        <v>10847</v>
      </c>
      <c r="Y261" s="2">
        <v>36892</v>
      </c>
      <c r="Z261" s="2">
        <v>45533</v>
      </c>
      <c r="AA261" s="11" t="s">
        <v>11077</v>
      </c>
      <c r="AB261" s="2">
        <v>45581</v>
      </c>
      <c r="AC261" s="80" t="s">
        <v>1339</v>
      </c>
      <c r="AF261" t="s">
        <v>3198</v>
      </c>
      <c r="AJ261" s="2"/>
      <c r="AM261" s="74"/>
      <c r="AT261" s="1"/>
    </row>
    <row r="262" spans="1:46">
      <c r="A262" s="1">
        <v>263</v>
      </c>
      <c r="B262" t="s">
        <v>1414</v>
      </c>
      <c r="C262" s="2">
        <v>45533</v>
      </c>
      <c r="D262" s="2"/>
      <c r="E262" s="1" t="s">
        <v>9646</v>
      </c>
      <c r="F262" t="s">
        <v>10848</v>
      </c>
      <c r="G262" s="61" t="s">
        <v>9648</v>
      </c>
      <c r="H262" s="6" t="s">
        <v>221</v>
      </c>
      <c r="I262" s="1" t="s">
        <v>34</v>
      </c>
      <c r="J262" s="1"/>
      <c r="K262" s="396" t="s">
        <v>8355</v>
      </c>
      <c r="L262" s="1" t="s">
        <v>9646</v>
      </c>
      <c r="M262" s="2">
        <v>45535</v>
      </c>
      <c r="N262" s="1" t="s">
        <v>35</v>
      </c>
      <c r="O262" s="375" t="s">
        <v>7926</v>
      </c>
      <c r="P262" s="14" t="s">
        <v>9649</v>
      </c>
      <c r="Q262" s="92">
        <v>132.22999999999999</v>
      </c>
      <c r="R262" s="1">
        <v>1</v>
      </c>
      <c r="S262" s="90">
        <v>0.21</v>
      </c>
      <c r="T262" s="90">
        <v>0.2</v>
      </c>
      <c r="U262" s="363"/>
      <c r="V262" s="95">
        <f t="shared" si="112"/>
        <v>127.99863999999999</v>
      </c>
      <c r="W262" t="s">
        <v>9701</v>
      </c>
      <c r="X262" s="5" t="s">
        <v>11132</v>
      </c>
      <c r="Y262" s="2">
        <v>38981</v>
      </c>
      <c r="Z262" s="2">
        <v>45533</v>
      </c>
      <c r="AA262" s="11" t="s">
        <v>11146</v>
      </c>
      <c r="AB262" s="3">
        <v>45600</v>
      </c>
      <c r="AC262" s="80" t="s">
        <v>1339</v>
      </c>
      <c r="AD262" s="61"/>
      <c r="AF262" t="s">
        <v>3198</v>
      </c>
      <c r="AI262" t="s">
        <v>10849</v>
      </c>
      <c r="AJ262" s="2">
        <v>45547</v>
      </c>
      <c r="AM262" s="3">
        <v>45552</v>
      </c>
      <c r="AT262" s="1"/>
    </row>
    <row r="263" spans="1:46">
      <c r="A263" s="1">
        <v>264</v>
      </c>
      <c r="B263" t="s">
        <v>1414</v>
      </c>
      <c r="C263" s="2">
        <v>45533</v>
      </c>
      <c r="D263" s="2"/>
      <c r="E263" s="1" t="s">
        <v>9728</v>
      </c>
      <c r="F263" s="61" t="s">
        <v>9851</v>
      </c>
      <c r="G263" t="s">
        <v>9729</v>
      </c>
      <c r="H263" s="6" t="s">
        <v>230</v>
      </c>
      <c r="I263" s="1" t="s">
        <v>8550</v>
      </c>
      <c r="J263" s="1"/>
      <c r="K263" s="396" t="s">
        <v>8355</v>
      </c>
      <c r="L263" s="1" t="s">
        <v>9728</v>
      </c>
      <c r="M263" s="2">
        <v>45535</v>
      </c>
      <c r="N263" s="1" t="s">
        <v>35</v>
      </c>
      <c r="O263" s="14" t="s">
        <v>7926</v>
      </c>
      <c r="P263" s="14" t="s">
        <v>9730</v>
      </c>
      <c r="Q263" s="187">
        <v>132.22999999999999</v>
      </c>
      <c r="R263" s="1">
        <v>1</v>
      </c>
      <c r="S263" s="128">
        <v>0.21</v>
      </c>
      <c r="T263" s="128">
        <v>0.2</v>
      </c>
      <c r="U263" s="363"/>
      <c r="V263" s="126">
        <f t="shared" si="112"/>
        <v>127.99863999999999</v>
      </c>
      <c r="W263" t="s">
        <v>9799</v>
      </c>
      <c r="X263" s="5" t="s">
        <v>10875</v>
      </c>
      <c r="Y263" s="3">
        <v>38404</v>
      </c>
      <c r="Z263" s="2">
        <v>45533</v>
      </c>
      <c r="AA263" s="11" t="s">
        <v>11142</v>
      </c>
      <c r="AB263" s="2">
        <v>45599</v>
      </c>
      <c r="AC263" s="80" t="s">
        <v>1339</v>
      </c>
      <c r="AF263" t="s">
        <v>3198</v>
      </c>
      <c r="AI263" t="s">
        <v>10849</v>
      </c>
      <c r="AJ263" s="3">
        <v>45547</v>
      </c>
      <c r="AM263" s="3">
        <v>45552</v>
      </c>
      <c r="AS263" s="1" t="s">
        <v>7935</v>
      </c>
    </row>
    <row r="264" spans="1:46">
      <c r="A264" s="1">
        <v>265</v>
      </c>
      <c r="B264" t="s">
        <v>40</v>
      </c>
      <c r="C264" s="2">
        <v>45541</v>
      </c>
      <c r="D264" s="2" t="s">
        <v>9900</v>
      </c>
      <c r="E264" s="1" t="s">
        <v>10850</v>
      </c>
      <c r="F264" s="61" t="s">
        <v>10851</v>
      </c>
      <c r="G264" t="s">
        <v>10852</v>
      </c>
      <c r="H264" s="6" t="s">
        <v>221</v>
      </c>
      <c r="I264" s="1" t="s">
        <v>34</v>
      </c>
      <c r="J264" s="1"/>
      <c r="K264" s="396" t="s">
        <v>8357</v>
      </c>
      <c r="L264" s="1" t="s">
        <v>10850</v>
      </c>
      <c r="M264" s="2">
        <v>45565</v>
      </c>
      <c r="N264" s="1" t="s">
        <v>35</v>
      </c>
      <c r="O264" s="375" t="s">
        <v>9758</v>
      </c>
      <c r="P264" s="14" t="s">
        <v>10853</v>
      </c>
      <c r="Q264" s="92">
        <v>115.7</v>
      </c>
      <c r="R264" s="1">
        <v>1</v>
      </c>
      <c r="S264" s="128">
        <v>0.21</v>
      </c>
      <c r="T264" s="128">
        <v>0</v>
      </c>
      <c r="U264" s="363" t="s">
        <v>10854</v>
      </c>
      <c r="V264" s="126">
        <f t="shared" ref="V264:V268" si="113">SUM(Q264-(Q264*T264))*S264+(Q264-(Q264*T264))</f>
        <v>139.99700000000001</v>
      </c>
      <c r="W264" t="s">
        <v>10876</v>
      </c>
      <c r="X264" s="5" t="s">
        <v>10877</v>
      </c>
      <c r="Y264" s="2">
        <v>34836</v>
      </c>
      <c r="Z264" s="2">
        <v>45541</v>
      </c>
      <c r="AA264" s="11" t="s">
        <v>11144</v>
      </c>
      <c r="AB264" s="3">
        <v>45600</v>
      </c>
      <c r="AC264" s="80" t="s">
        <v>1339</v>
      </c>
      <c r="AD264" s="61"/>
      <c r="AF264" t="s">
        <v>3198</v>
      </c>
      <c r="AI264" t="s">
        <v>10855</v>
      </c>
      <c r="AJ264" s="2">
        <v>45547</v>
      </c>
      <c r="AM264" s="3">
        <v>45555</v>
      </c>
      <c r="AS264" s="1"/>
      <c r="AT264" s="1"/>
    </row>
    <row r="265" spans="1:46">
      <c r="A265" s="1">
        <v>266</v>
      </c>
      <c r="B265" s="61" t="s">
        <v>1414</v>
      </c>
      <c r="C265" s="2">
        <v>45541</v>
      </c>
      <c r="D265" s="2"/>
      <c r="E265" s="1" t="s">
        <v>1079</v>
      </c>
      <c r="F265" t="s">
        <v>41</v>
      </c>
      <c r="G265" s="61" t="s">
        <v>2115</v>
      </c>
      <c r="H265" s="1" t="s">
        <v>230</v>
      </c>
      <c r="I265" t="s">
        <v>1262</v>
      </c>
      <c r="J265" s="8">
        <v>631212115</v>
      </c>
      <c r="K265" s="8" t="s">
        <v>6306</v>
      </c>
      <c r="L265" t="s">
        <v>1079</v>
      </c>
      <c r="M265" s="2">
        <v>45565</v>
      </c>
      <c r="N265" s="1" t="s">
        <v>35</v>
      </c>
      <c r="O265" s="375" t="s">
        <v>9758</v>
      </c>
      <c r="P265" s="14" t="s">
        <v>7793</v>
      </c>
      <c r="Q265" s="144">
        <v>115.7</v>
      </c>
      <c r="R265" s="1">
        <v>1</v>
      </c>
      <c r="S265" s="90">
        <v>0.21</v>
      </c>
      <c r="T265" s="90">
        <v>0</v>
      </c>
      <c r="U265" s="363" t="s">
        <v>10854</v>
      </c>
      <c r="V265" s="95">
        <f t="shared" ref="V265" si="114">SUM(Q265-(Q265*T265))*S265+(Q265-(Q265*T265))</f>
        <v>139.99700000000001</v>
      </c>
      <c r="W265" t="s">
        <v>7942</v>
      </c>
      <c r="X265" s="5" t="s">
        <v>10881</v>
      </c>
      <c r="Y265" s="2">
        <v>38331</v>
      </c>
      <c r="Z265" s="2">
        <v>45541</v>
      </c>
      <c r="AA265" s="11" t="s">
        <v>11144</v>
      </c>
      <c r="AB265" s="3">
        <v>45600</v>
      </c>
      <c r="AC265" s="80" t="s">
        <v>1339</v>
      </c>
      <c r="AF265" t="s">
        <v>3198</v>
      </c>
      <c r="AI265" t="s">
        <v>3470</v>
      </c>
      <c r="AJ265" s="2">
        <v>45547</v>
      </c>
      <c r="AK265" s="1"/>
      <c r="AM265" s="74">
        <v>45552</v>
      </c>
      <c r="AT265" s="1"/>
    </row>
    <row r="266" spans="1:46">
      <c r="A266" s="1">
        <v>267</v>
      </c>
      <c r="B266" t="s">
        <v>37</v>
      </c>
      <c r="C266" s="2">
        <v>45541</v>
      </c>
      <c r="D266" s="2" t="s">
        <v>9900</v>
      </c>
      <c r="E266" s="1" t="s">
        <v>10950</v>
      </c>
      <c r="F266" s="61" t="s">
        <v>10856</v>
      </c>
      <c r="G266" t="s">
        <v>8524</v>
      </c>
      <c r="H266" s="6" t="s">
        <v>219</v>
      </c>
      <c r="I266" s="1" t="s">
        <v>4334</v>
      </c>
      <c r="J266" s="1">
        <v>613571398</v>
      </c>
      <c r="K266" s="1"/>
      <c r="L266" s="1" t="s">
        <v>10950</v>
      </c>
      <c r="M266" s="2">
        <v>45565</v>
      </c>
      <c r="N266" s="1" t="s">
        <v>35</v>
      </c>
      <c r="O266" s="375" t="s">
        <v>9511</v>
      </c>
      <c r="P266" s="14" t="s">
        <v>10857</v>
      </c>
      <c r="Q266" s="92">
        <v>132.22999999999999</v>
      </c>
      <c r="R266" s="1">
        <v>1</v>
      </c>
      <c r="S266" s="128">
        <v>0.21</v>
      </c>
      <c r="T266" s="128">
        <v>0</v>
      </c>
      <c r="U266" s="363"/>
      <c r="V266" s="126">
        <f t="shared" si="113"/>
        <v>159.99829999999997</v>
      </c>
      <c r="W266" s="1" t="s">
        <v>10950</v>
      </c>
      <c r="X266" s="5" t="s">
        <v>10951</v>
      </c>
      <c r="Y266" s="2">
        <v>35555</v>
      </c>
      <c r="Z266" s="2">
        <v>45541</v>
      </c>
      <c r="AA266" s="13" t="s">
        <v>11779</v>
      </c>
      <c r="AB266" s="2">
        <v>45712</v>
      </c>
      <c r="AC266" s="80" t="s">
        <v>1339</v>
      </c>
      <c r="AD266" s="61" t="s">
        <v>11780</v>
      </c>
      <c r="AE266" s="293">
        <v>45629</v>
      </c>
      <c r="AF266" t="s">
        <v>3198</v>
      </c>
      <c r="AI266" t="s">
        <v>3108</v>
      </c>
      <c r="AJ266" s="2">
        <v>45561</v>
      </c>
      <c r="AM266" s="3">
        <v>45567</v>
      </c>
      <c r="AS266" s="1"/>
      <c r="AT266" s="1"/>
    </row>
    <row r="267" spans="1:46">
      <c r="A267" s="1">
        <v>268</v>
      </c>
      <c r="B267" t="s">
        <v>37</v>
      </c>
      <c r="C267" s="2">
        <v>45541</v>
      </c>
      <c r="D267" s="2" t="s">
        <v>9900</v>
      </c>
      <c r="E267" t="s">
        <v>7287</v>
      </c>
      <c r="F267" s="61" t="s">
        <v>7288</v>
      </c>
      <c r="G267" s="61" t="s">
        <v>7289</v>
      </c>
      <c r="H267" s="6" t="s">
        <v>221</v>
      </c>
      <c r="I267" s="1" t="s">
        <v>34</v>
      </c>
      <c r="J267" s="8">
        <v>642976061</v>
      </c>
      <c r="K267" s="8"/>
      <c r="L267" t="s">
        <v>7287</v>
      </c>
      <c r="M267" s="2">
        <v>45565</v>
      </c>
      <c r="N267" s="1" t="s">
        <v>35</v>
      </c>
      <c r="O267" s="375" t="s">
        <v>7935</v>
      </c>
      <c r="P267" t="s">
        <v>10858</v>
      </c>
      <c r="Q267" s="186">
        <v>78.510000000000005</v>
      </c>
      <c r="R267" s="1">
        <v>1</v>
      </c>
      <c r="S267" s="128">
        <v>0.21</v>
      </c>
      <c r="T267" s="128">
        <v>0</v>
      </c>
      <c r="U267" s="363"/>
      <c r="V267" s="95">
        <f t="shared" ref="V267" si="115">SUM(Q267-(Q267*T267))*S267+(Q267-(Q267*T267))</f>
        <v>94.997100000000003</v>
      </c>
      <c r="W267" t="s">
        <v>7287</v>
      </c>
      <c r="X267" s="440" t="s">
        <v>10974</v>
      </c>
      <c r="Y267" s="2">
        <v>28219</v>
      </c>
      <c r="Z267" s="2">
        <v>45541</v>
      </c>
      <c r="AA267" s="287" t="s">
        <v>11296</v>
      </c>
      <c r="AB267" s="2">
        <v>45633</v>
      </c>
      <c r="AC267" s="80" t="s">
        <v>1339</v>
      </c>
      <c r="AD267" s="61"/>
      <c r="AF267" t="s">
        <v>3198</v>
      </c>
      <c r="AI267" s="2"/>
      <c r="AJ267" s="2"/>
      <c r="AM267" s="3"/>
      <c r="AS267" s="1"/>
      <c r="AT267" s="1"/>
    </row>
    <row r="268" spans="1:46">
      <c r="A268" s="1">
        <v>269</v>
      </c>
      <c r="B268" t="s">
        <v>33</v>
      </c>
      <c r="C268" s="2">
        <v>45544</v>
      </c>
      <c r="D268" s="2" t="s">
        <v>9900</v>
      </c>
      <c r="E268" s="1" t="s">
        <v>10862</v>
      </c>
      <c r="F268" s="61" t="s">
        <v>10863</v>
      </c>
      <c r="G268" t="s">
        <v>10864</v>
      </c>
      <c r="H268" s="6" t="s">
        <v>241</v>
      </c>
      <c r="I268" s="1" t="s">
        <v>60</v>
      </c>
      <c r="J268" s="1"/>
      <c r="K268" s="114" t="s">
        <v>11744</v>
      </c>
      <c r="L268" s="1" t="s">
        <v>237</v>
      </c>
      <c r="M268" s="2">
        <v>45565</v>
      </c>
      <c r="N268" s="1" t="s">
        <v>35</v>
      </c>
      <c r="O268" s="375" t="s">
        <v>9758</v>
      </c>
      <c r="P268" s="14" t="s">
        <v>10865</v>
      </c>
      <c r="Q268" s="92">
        <v>115.7</v>
      </c>
      <c r="R268" s="1">
        <v>1</v>
      </c>
      <c r="S268" s="128">
        <v>0.21</v>
      </c>
      <c r="T268" s="128">
        <v>0</v>
      </c>
      <c r="U268" s="363" t="s">
        <v>10854</v>
      </c>
      <c r="V268" s="126">
        <f t="shared" si="113"/>
        <v>139.99700000000001</v>
      </c>
      <c r="W268" t="s">
        <v>10879</v>
      </c>
      <c r="X268" s="5" t="s">
        <v>10880</v>
      </c>
      <c r="Y268" s="2">
        <v>37082</v>
      </c>
      <c r="Z268" s="2">
        <v>45544</v>
      </c>
      <c r="AA268" s="11" t="s">
        <v>11144</v>
      </c>
      <c r="AB268" s="3">
        <v>45600</v>
      </c>
      <c r="AC268" s="80" t="s">
        <v>1339</v>
      </c>
      <c r="AD268" s="61"/>
      <c r="AF268" t="s">
        <v>3198</v>
      </c>
      <c r="AI268" t="s">
        <v>3470</v>
      </c>
      <c r="AJ268" s="2">
        <v>45547</v>
      </c>
      <c r="AM268" s="3">
        <v>45551</v>
      </c>
      <c r="AS268" s="1"/>
      <c r="AT268" s="1"/>
    </row>
    <row r="269" spans="1:46">
      <c r="A269" s="1">
        <v>270</v>
      </c>
      <c r="B269" s="61" t="s">
        <v>33</v>
      </c>
      <c r="C269" s="2">
        <v>45544</v>
      </c>
      <c r="D269" s="2"/>
      <c r="E269" s="1" t="s">
        <v>5773</v>
      </c>
      <c r="F269" s="61" t="s">
        <v>5774</v>
      </c>
      <c r="G269" s="61" t="s">
        <v>5775</v>
      </c>
      <c r="H269" s="6" t="s">
        <v>220</v>
      </c>
      <c r="I269" s="1" t="s">
        <v>39</v>
      </c>
      <c r="J269" s="1"/>
      <c r="K269" s="114" t="s">
        <v>11744</v>
      </c>
      <c r="L269" s="1" t="s">
        <v>237</v>
      </c>
      <c r="M269" s="2">
        <v>45565</v>
      </c>
      <c r="N269" s="1" t="s">
        <v>35</v>
      </c>
      <c r="O269" s="14" t="s">
        <v>9758</v>
      </c>
      <c r="P269" s="14" t="s">
        <v>10311</v>
      </c>
      <c r="Q269" s="186">
        <v>115.7</v>
      </c>
      <c r="R269" s="1">
        <v>1</v>
      </c>
      <c r="S269" s="90">
        <v>0.21</v>
      </c>
      <c r="T269" s="90">
        <v>0</v>
      </c>
      <c r="U269" s="363" t="s">
        <v>10854</v>
      </c>
      <c r="V269" s="95">
        <f t="shared" ref="V269" si="116">SUM(Q269-(Q269*T269))*S269+(Q269-(Q269*T269))</f>
        <v>139.99700000000001</v>
      </c>
      <c r="W269" t="s">
        <v>10349</v>
      </c>
      <c r="X269" s="5" t="s">
        <v>10882</v>
      </c>
      <c r="Y269" s="2">
        <v>27760</v>
      </c>
      <c r="Z269" s="2">
        <v>45544</v>
      </c>
      <c r="AA269" s="11" t="s">
        <v>11144</v>
      </c>
      <c r="AB269" s="3">
        <v>45600</v>
      </c>
      <c r="AC269" s="80" t="s">
        <v>1339</v>
      </c>
      <c r="AE269" s="3"/>
      <c r="AF269" t="s">
        <v>3198</v>
      </c>
      <c r="AI269" s="76" t="s">
        <v>10866</v>
      </c>
      <c r="AJ269" s="2">
        <v>45547</v>
      </c>
      <c r="AM269" s="2">
        <v>45551</v>
      </c>
      <c r="AT269" s="1"/>
    </row>
    <row r="270" spans="1:46">
      <c r="A270" s="1">
        <v>271</v>
      </c>
      <c r="B270" t="s">
        <v>143</v>
      </c>
      <c r="C270" s="2">
        <v>45545</v>
      </c>
      <c r="D270" s="2" t="s">
        <v>9900</v>
      </c>
      <c r="E270" t="s">
        <v>10995</v>
      </c>
      <c r="F270" s="61" t="s">
        <v>10867</v>
      </c>
      <c r="G270" t="s">
        <v>10868</v>
      </c>
      <c r="H270" s="6" t="s">
        <v>10869</v>
      </c>
      <c r="I270" s="1" t="s">
        <v>9581</v>
      </c>
      <c r="J270" s="1">
        <v>613761936</v>
      </c>
      <c r="K270" s="1"/>
      <c r="L270" t="s">
        <v>10995</v>
      </c>
      <c r="M270" s="2">
        <v>45565</v>
      </c>
      <c r="N270" s="1" t="s">
        <v>35</v>
      </c>
      <c r="O270" s="14" t="s">
        <v>7925</v>
      </c>
      <c r="P270" s="14" t="s">
        <v>10870</v>
      </c>
      <c r="Q270" s="92">
        <v>165.29</v>
      </c>
      <c r="R270" s="1">
        <v>1</v>
      </c>
      <c r="S270" s="128">
        <v>0.21</v>
      </c>
      <c r="T270" s="128">
        <v>0</v>
      </c>
      <c r="U270" s="439"/>
      <c r="V270" s="126">
        <f t="shared" ref="V270:V276" si="117">SUM(Q270-(Q270*T270))*S270+(Q270-(Q270*T270))</f>
        <v>200.0009</v>
      </c>
      <c r="W270" t="s">
        <v>10995</v>
      </c>
      <c r="X270" s="438" t="s">
        <v>10994</v>
      </c>
      <c r="Y270" s="2">
        <v>34809</v>
      </c>
      <c r="Z270" s="2">
        <v>45545</v>
      </c>
      <c r="AA270" s="11" t="s">
        <v>11640</v>
      </c>
      <c r="AB270" s="2">
        <v>45686</v>
      </c>
      <c r="AC270" s="80" t="s">
        <v>1339</v>
      </c>
      <c r="AD270" s="61"/>
      <c r="AF270" t="s">
        <v>3198</v>
      </c>
      <c r="AI270" t="s">
        <v>3108</v>
      </c>
      <c r="AJ270" s="2">
        <v>45638</v>
      </c>
      <c r="AM270" s="3">
        <v>45639</v>
      </c>
      <c r="AS270" s="1"/>
      <c r="AT270" s="1"/>
    </row>
    <row r="271" spans="1:46">
      <c r="A271" s="1">
        <v>272</v>
      </c>
      <c r="B271" t="s">
        <v>37</v>
      </c>
      <c r="C271" s="2">
        <v>45545</v>
      </c>
      <c r="D271" s="2"/>
      <c r="E271" s="1" t="s">
        <v>8604</v>
      </c>
      <c r="F271" t="s">
        <v>8471</v>
      </c>
      <c r="G271" t="s">
        <v>8472</v>
      </c>
      <c r="H271" s="6" t="s">
        <v>8473</v>
      </c>
      <c r="I271" s="1" t="s">
        <v>8474</v>
      </c>
      <c r="J271" s="295">
        <v>641596714</v>
      </c>
      <c r="K271" s="8"/>
      <c r="L271" t="s">
        <v>8604</v>
      </c>
      <c r="M271" s="2">
        <v>45565</v>
      </c>
      <c r="N271" s="1" t="s">
        <v>35</v>
      </c>
      <c r="O271" s="61" t="s">
        <v>7934</v>
      </c>
      <c r="P271" s="14" t="s">
        <v>10871</v>
      </c>
      <c r="Q271" s="186">
        <v>86.78</v>
      </c>
      <c r="R271" s="1">
        <v>1</v>
      </c>
      <c r="S271" s="90">
        <v>0.21</v>
      </c>
      <c r="T271" s="90">
        <v>0</v>
      </c>
      <c r="V271" s="95">
        <f t="shared" ref="V271" si="118">SUM(Q271-(Q271*T271))*S271+(Q271-(Q271*T271))</f>
        <v>105.0038</v>
      </c>
      <c r="W271" t="s">
        <v>8604</v>
      </c>
      <c r="X271" s="5" t="s">
        <v>10872</v>
      </c>
      <c r="Y271" s="2">
        <v>33312</v>
      </c>
      <c r="Z271" s="2">
        <v>45545</v>
      </c>
      <c r="AA271" s="11" t="s">
        <v>11148</v>
      </c>
      <c r="AB271" s="2">
        <v>45608</v>
      </c>
      <c r="AC271" s="80" t="s">
        <v>1339</v>
      </c>
      <c r="AF271" t="s">
        <v>3198</v>
      </c>
      <c r="AJ271" s="2"/>
      <c r="AM271" s="2"/>
      <c r="AT271" s="1"/>
    </row>
    <row r="272" spans="1:46">
      <c r="A272" s="1">
        <v>273</v>
      </c>
      <c r="B272" t="s">
        <v>33</v>
      </c>
      <c r="C272" s="2">
        <v>45547</v>
      </c>
      <c r="D272" s="2" t="s">
        <v>9900</v>
      </c>
      <c r="E272" s="1" t="s">
        <v>10883</v>
      </c>
      <c r="F272" s="61" t="s">
        <v>10884</v>
      </c>
      <c r="G272" t="s">
        <v>10885</v>
      </c>
      <c r="H272" s="6" t="s">
        <v>219</v>
      </c>
      <c r="I272" s="1" t="s">
        <v>38</v>
      </c>
      <c r="J272" s="295"/>
      <c r="K272" s="114" t="s">
        <v>11744</v>
      </c>
      <c r="L272" s="1" t="s">
        <v>237</v>
      </c>
      <c r="M272" s="2">
        <v>45565</v>
      </c>
      <c r="N272" s="1" t="s">
        <v>35</v>
      </c>
      <c r="O272" s="61" t="s">
        <v>9758</v>
      </c>
      <c r="P272" s="14" t="s">
        <v>10886</v>
      </c>
      <c r="Q272" s="186">
        <v>115.7</v>
      </c>
      <c r="R272" s="1">
        <v>1</v>
      </c>
      <c r="S272" s="90">
        <v>0.21</v>
      </c>
      <c r="T272" s="90">
        <v>0</v>
      </c>
      <c r="U272" s="363" t="s">
        <v>10854</v>
      </c>
      <c r="V272" s="126">
        <f t="shared" ref="V272" si="119">SUM(Q272-(Q272*T272))*S272+(Q272-(Q272*T272))</f>
        <v>139.99700000000001</v>
      </c>
      <c r="W272" t="s">
        <v>10917</v>
      </c>
      <c r="X272" s="5" t="s">
        <v>10918</v>
      </c>
      <c r="Y272" s="2">
        <v>38087</v>
      </c>
      <c r="Z272" s="2">
        <v>45547</v>
      </c>
      <c r="AA272" s="11" t="s">
        <v>11146</v>
      </c>
      <c r="AB272" s="3">
        <v>45600</v>
      </c>
      <c r="AC272" s="80" t="s">
        <v>1339</v>
      </c>
      <c r="AF272" t="s">
        <v>3198</v>
      </c>
      <c r="AI272" t="s">
        <v>10887</v>
      </c>
      <c r="AJ272" s="2">
        <v>45552</v>
      </c>
      <c r="AM272" s="2">
        <v>45555</v>
      </c>
      <c r="AT272" s="1"/>
    </row>
    <row r="273" spans="1:46">
      <c r="A273" s="1">
        <v>274</v>
      </c>
      <c r="B273" s="61" t="s">
        <v>33</v>
      </c>
      <c r="C273" s="2">
        <v>45547</v>
      </c>
      <c r="D273" s="2"/>
      <c r="E273" s="1" t="s">
        <v>4330</v>
      </c>
      <c r="F273" s="61" t="s">
        <v>9865</v>
      </c>
      <c r="G273" s="61" t="s">
        <v>4333</v>
      </c>
      <c r="H273" s="6" t="s">
        <v>219</v>
      </c>
      <c r="I273" s="1" t="s">
        <v>4334</v>
      </c>
      <c r="J273" s="1"/>
      <c r="K273" s="114" t="s">
        <v>11744</v>
      </c>
      <c r="L273" s="1" t="s">
        <v>237</v>
      </c>
      <c r="M273" s="2">
        <v>45565</v>
      </c>
      <c r="N273" s="1" t="s">
        <v>35</v>
      </c>
      <c r="O273" s="61" t="s">
        <v>7925</v>
      </c>
      <c r="P273" s="14" t="s">
        <v>10888</v>
      </c>
      <c r="Q273" s="186">
        <v>115.7</v>
      </c>
      <c r="R273" s="1">
        <v>1</v>
      </c>
      <c r="S273" s="128">
        <v>0.21</v>
      </c>
      <c r="T273" s="128">
        <v>0</v>
      </c>
      <c r="U273" s="363" t="s">
        <v>10854</v>
      </c>
      <c r="V273" s="126">
        <f t="shared" ref="V273:V274" si="120">SUM(Q273-(Q273*T273))*S273+(Q273-(Q273*T273))</f>
        <v>139.99700000000001</v>
      </c>
      <c r="W273" t="s">
        <v>8024</v>
      </c>
      <c r="X273" s="5" t="s">
        <v>10949</v>
      </c>
      <c r="Y273" s="2">
        <v>34444</v>
      </c>
      <c r="Z273" s="2">
        <v>45547</v>
      </c>
      <c r="AA273" s="287" t="s">
        <v>11045</v>
      </c>
      <c r="AB273" s="2">
        <v>45574</v>
      </c>
      <c r="AC273" s="80" t="s">
        <v>1339</v>
      </c>
      <c r="AD273" s="61"/>
      <c r="AF273" t="s">
        <v>3198</v>
      </c>
      <c r="AI273" s="76" t="s">
        <v>6665</v>
      </c>
      <c r="AJ273" s="2">
        <v>45561</v>
      </c>
      <c r="AM273" s="3">
        <v>45565</v>
      </c>
    </row>
    <row r="274" spans="1:46">
      <c r="A274" s="1">
        <v>275</v>
      </c>
      <c r="B274" t="s">
        <v>37</v>
      </c>
      <c r="C274" s="2">
        <v>45551</v>
      </c>
      <c r="D274" s="2"/>
      <c r="E274" t="s">
        <v>8613</v>
      </c>
      <c r="F274" t="s">
        <v>8640</v>
      </c>
      <c r="G274" t="s">
        <v>8544</v>
      </c>
      <c r="H274" s="6" t="s">
        <v>8545</v>
      </c>
      <c r="I274" s="1" t="s">
        <v>8546</v>
      </c>
      <c r="J274" s="8">
        <v>643492386</v>
      </c>
      <c r="K274" s="8"/>
      <c r="L274" t="s">
        <v>8613</v>
      </c>
      <c r="M274" s="2">
        <v>45565</v>
      </c>
      <c r="N274" s="1" t="s">
        <v>35</v>
      </c>
      <c r="O274" s="14" t="s">
        <v>7934</v>
      </c>
      <c r="P274" s="14" t="s">
        <v>10889</v>
      </c>
      <c r="Q274" s="186">
        <v>78.510000000000005</v>
      </c>
      <c r="R274" s="1">
        <v>1</v>
      </c>
      <c r="S274" s="128">
        <v>0.21</v>
      </c>
      <c r="T274" s="128">
        <v>0</v>
      </c>
      <c r="V274" s="95">
        <f t="shared" si="120"/>
        <v>94.997100000000003</v>
      </c>
      <c r="W274" t="s">
        <v>8613</v>
      </c>
      <c r="X274" s="5" t="s">
        <v>10890</v>
      </c>
      <c r="Y274" s="2">
        <v>32201</v>
      </c>
      <c r="Z274" s="2">
        <v>45551</v>
      </c>
      <c r="AA274" s="11" t="s">
        <v>11148</v>
      </c>
      <c r="AB274" s="2">
        <v>45600</v>
      </c>
      <c r="AC274" s="80" t="s">
        <v>1339</v>
      </c>
      <c r="AE274" s="3"/>
      <c r="AF274" t="s">
        <v>3198</v>
      </c>
      <c r="AJ274" s="2"/>
      <c r="AM274" s="74"/>
      <c r="AT274" s="1"/>
    </row>
    <row r="275" spans="1:46">
      <c r="A275" s="1">
        <v>276</v>
      </c>
      <c r="B275" t="s">
        <v>5278</v>
      </c>
      <c r="C275" s="2">
        <v>45551</v>
      </c>
      <c r="D275" s="2"/>
      <c r="E275" s="1" t="s">
        <v>3036</v>
      </c>
      <c r="F275" t="s">
        <v>3037</v>
      </c>
      <c r="G275" s="61" t="s">
        <v>5279</v>
      </c>
      <c r="H275" s="6" t="s">
        <v>239</v>
      </c>
      <c r="I275" s="1" t="s">
        <v>3204</v>
      </c>
      <c r="J275" s="8"/>
      <c r="K275" s="1" t="s">
        <v>8094</v>
      </c>
      <c r="L275" t="s">
        <v>174</v>
      </c>
      <c r="M275" s="2">
        <v>45565</v>
      </c>
      <c r="N275" s="1" t="s">
        <v>35</v>
      </c>
      <c r="O275" s="14" t="s">
        <v>7934</v>
      </c>
      <c r="P275" s="14" t="s">
        <v>7323</v>
      </c>
      <c r="Q275" s="186">
        <v>69.42</v>
      </c>
      <c r="R275" s="1">
        <v>1</v>
      </c>
      <c r="S275" s="90">
        <v>0.21</v>
      </c>
      <c r="T275" s="90">
        <v>0</v>
      </c>
      <c r="U275" s="363" t="s">
        <v>10854</v>
      </c>
      <c r="V275" s="95">
        <f t="shared" ref="V275" si="121">SUM(Q275-(Q275*T275))*S275+(Q275-(Q275*T275))</f>
        <v>83.998199999999997</v>
      </c>
      <c r="W275" t="s">
        <v>5355</v>
      </c>
      <c r="X275" s="6" t="s">
        <v>11228</v>
      </c>
      <c r="Y275" s="2">
        <v>36160</v>
      </c>
      <c r="Z275" s="2">
        <v>45551</v>
      </c>
      <c r="AA275" s="284" t="s">
        <v>11229</v>
      </c>
      <c r="AB275" s="64">
        <v>45616</v>
      </c>
      <c r="AC275" s="80" t="s">
        <v>1339</v>
      </c>
      <c r="AD275" s="61"/>
      <c r="AE275" s="61"/>
      <c r="AF275" t="s">
        <v>3198</v>
      </c>
      <c r="AJ275" s="2"/>
      <c r="AM275" s="3"/>
      <c r="AT275" s="1"/>
    </row>
    <row r="276" spans="1:46">
      <c r="A276" s="1">
        <v>277</v>
      </c>
      <c r="B276" s="61" t="s">
        <v>33</v>
      </c>
      <c r="C276" s="2">
        <v>45551</v>
      </c>
      <c r="D276" s="2" t="s">
        <v>9900</v>
      </c>
      <c r="E276" s="1" t="s">
        <v>7513</v>
      </c>
      <c r="F276" s="61" t="s">
        <v>10891</v>
      </c>
      <c r="G276" t="s">
        <v>7515</v>
      </c>
      <c r="H276" s="6" t="s">
        <v>304</v>
      </c>
      <c r="I276" s="1" t="s">
        <v>68</v>
      </c>
      <c r="J276" s="1"/>
      <c r="K276" s="114" t="s">
        <v>11744</v>
      </c>
      <c r="L276" s="1" t="s">
        <v>237</v>
      </c>
      <c r="M276" s="2">
        <v>45565</v>
      </c>
      <c r="N276" s="1" t="s">
        <v>35</v>
      </c>
      <c r="O276" s="375" t="s">
        <v>7925</v>
      </c>
      <c r="P276" s="14" t="s">
        <v>10892</v>
      </c>
      <c r="Q276" s="92">
        <v>115.7</v>
      </c>
      <c r="R276" s="1">
        <v>1</v>
      </c>
      <c r="S276" s="128">
        <v>0.21</v>
      </c>
      <c r="T276" s="128">
        <v>0</v>
      </c>
      <c r="U276" s="363" t="s">
        <v>10854</v>
      </c>
      <c r="V276" s="126">
        <f t="shared" si="117"/>
        <v>139.99700000000001</v>
      </c>
      <c r="W276" t="s">
        <v>10957</v>
      </c>
      <c r="X276" s="5" t="s">
        <v>10958</v>
      </c>
      <c r="Y276" s="2">
        <v>33165</v>
      </c>
      <c r="Z276" s="2">
        <v>45551</v>
      </c>
      <c r="AA276" s="11" t="s">
        <v>11076</v>
      </c>
      <c r="AB276" s="2">
        <v>45581</v>
      </c>
      <c r="AC276" s="80" t="s">
        <v>1339</v>
      </c>
      <c r="AD276" s="61"/>
      <c r="AF276" t="s">
        <v>3198</v>
      </c>
      <c r="AI276" t="s">
        <v>3108</v>
      </c>
      <c r="AJ276" s="2">
        <v>45561</v>
      </c>
      <c r="AM276" s="3">
        <v>45572</v>
      </c>
      <c r="AS276" s="1"/>
      <c r="AT276" s="1"/>
    </row>
    <row r="277" spans="1:46">
      <c r="A277" s="1">
        <v>278</v>
      </c>
      <c r="B277" s="61" t="s">
        <v>37</v>
      </c>
      <c r="C277" s="2">
        <v>45551</v>
      </c>
      <c r="D277" s="2" t="s">
        <v>9900</v>
      </c>
      <c r="E277" s="1" t="s">
        <v>10959</v>
      </c>
      <c r="F277" s="61" t="s">
        <v>10893</v>
      </c>
      <c r="G277" t="s">
        <v>10894</v>
      </c>
      <c r="H277" s="6" t="s">
        <v>219</v>
      </c>
      <c r="I277" s="1" t="s">
        <v>38</v>
      </c>
      <c r="J277" s="1" t="s">
        <v>10895</v>
      </c>
      <c r="K277" s="1"/>
      <c r="L277" s="1" t="s">
        <v>10959</v>
      </c>
      <c r="M277" s="2">
        <v>45565</v>
      </c>
      <c r="N277" s="1" t="s">
        <v>35</v>
      </c>
      <c r="O277" s="375" t="s">
        <v>7925</v>
      </c>
      <c r="P277" s="14" t="s">
        <v>10896</v>
      </c>
      <c r="Q277" s="92">
        <v>165.29</v>
      </c>
      <c r="R277" s="1">
        <v>1</v>
      </c>
      <c r="S277" s="128">
        <v>0.21</v>
      </c>
      <c r="T277" s="128">
        <v>0</v>
      </c>
      <c r="U277" s="363" t="s">
        <v>10854</v>
      </c>
      <c r="V277" s="126">
        <f t="shared" ref="V277:V291" si="122">SUM(Q277-(Q277*T277))*S277+(Q277-(Q277*T277))</f>
        <v>200.0009</v>
      </c>
      <c r="W277" t="s">
        <v>10959</v>
      </c>
      <c r="X277" s="5" t="s">
        <v>10960</v>
      </c>
      <c r="Y277" s="2">
        <v>30394</v>
      </c>
      <c r="Z277" s="2">
        <v>45551</v>
      </c>
      <c r="AA277" s="11" t="s">
        <v>11107</v>
      </c>
      <c r="AB277" s="2">
        <v>45593</v>
      </c>
      <c r="AC277" s="80" t="s">
        <v>1339</v>
      </c>
      <c r="AD277" s="61"/>
      <c r="AF277" t="s">
        <v>3198</v>
      </c>
      <c r="AI277" t="s">
        <v>3108</v>
      </c>
      <c r="AJ277" s="2">
        <v>45561</v>
      </c>
      <c r="AM277" s="3">
        <v>45567</v>
      </c>
      <c r="AS277" s="1"/>
      <c r="AT277" s="1"/>
    </row>
    <row r="278" spans="1:46">
      <c r="A278" s="1">
        <v>279</v>
      </c>
      <c r="B278" t="s">
        <v>33</v>
      </c>
      <c r="C278" s="2">
        <v>45551</v>
      </c>
      <c r="D278" s="2"/>
      <c r="E278" t="s">
        <v>10182</v>
      </c>
      <c r="F278" s="61" t="s">
        <v>10183</v>
      </c>
      <c r="G278" t="s">
        <v>10184</v>
      </c>
      <c r="H278" s="6" t="s">
        <v>227</v>
      </c>
      <c r="I278" s="1" t="s">
        <v>68</v>
      </c>
      <c r="J278" s="295"/>
      <c r="K278" s="114" t="s">
        <v>11744</v>
      </c>
      <c r="L278" s="1" t="s">
        <v>237</v>
      </c>
      <c r="M278" s="2">
        <v>45565</v>
      </c>
      <c r="N278" s="1" t="s">
        <v>35</v>
      </c>
      <c r="O278" s="61" t="s">
        <v>9758</v>
      </c>
      <c r="P278" s="14" t="s">
        <v>10897</v>
      </c>
      <c r="Q278" s="186">
        <v>115.7</v>
      </c>
      <c r="R278" s="1">
        <v>1</v>
      </c>
      <c r="S278" s="90">
        <v>0.21</v>
      </c>
      <c r="T278" s="90">
        <v>0</v>
      </c>
      <c r="U278" s="363" t="s">
        <v>10854</v>
      </c>
      <c r="V278" s="126">
        <f t="shared" ref="V278:V279" si="123">SUM(Q278-(Q278*T278))*S278+(Q278-(Q278*T278))</f>
        <v>139.99700000000001</v>
      </c>
      <c r="W278" t="s">
        <v>10955</v>
      </c>
      <c r="X278" s="5" t="s">
        <v>10956</v>
      </c>
      <c r="Y278" s="2">
        <v>30929</v>
      </c>
      <c r="Z278" s="2">
        <v>45551</v>
      </c>
      <c r="AA278" s="287" t="s">
        <v>11171</v>
      </c>
      <c r="AB278" s="2">
        <v>45608</v>
      </c>
      <c r="AC278" s="80" t="s">
        <v>1339</v>
      </c>
      <c r="AF278" t="s">
        <v>3198</v>
      </c>
      <c r="AI278" t="s">
        <v>3470</v>
      </c>
      <c r="AJ278" s="2">
        <v>45561</v>
      </c>
      <c r="AM278" s="74">
        <v>45566</v>
      </c>
      <c r="AT278" s="1"/>
    </row>
    <row r="279" spans="1:46">
      <c r="A279" s="1">
        <v>280</v>
      </c>
      <c r="B279" t="s">
        <v>1242</v>
      </c>
      <c r="C279" s="2">
        <v>45551</v>
      </c>
      <c r="D279" s="2"/>
      <c r="E279" s="1" t="s">
        <v>4638</v>
      </c>
      <c r="F279" t="s">
        <v>10293</v>
      </c>
      <c r="G279" s="61" t="s">
        <v>7520</v>
      </c>
      <c r="H279" s="6" t="s">
        <v>221</v>
      </c>
      <c r="I279" s="1" t="s">
        <v>34</v>
      </c>
      <c r="J279" s="8"/>
      <c r="K279" s="8" t="s">
        <v>5905</v>
      </c>
      <c r="L279" s="31" t="s">
        <v>1250</v>
      </c>
      <c r="M279" s="2">
        <v>45565</v>
      </c>
      <c r="N279" s="1" t="s">
        <v>35</v>
      </c>
      <c r="O279" s="61" t="s">
        <v>9758</v>
      </c>
      <c r="P279" s="14" t="s">
        <v>10202</v>
      </c>
      <c r="Q279" s="186">
        <v>115.7</v>
      </c>
      <c r="R279" s="1">
        <v>1</v>
      </c>
      <c r="S279" s="128">
        <v>0.21</v>
      </c>
      <c r="T279" s="128">
        <v>0</v>
      </c>
      <c r="U279" s="363" t="s">
        <v>10854</v>
      </c>
      <c r="V279" s="95">
        <f t="shared" si="123"/>
        <v>139.99700000000001</v>
      </c>
      <c r="W279" t="s">
        <v>10249</v>
      </c>
      <c r="X279" s="6" t="s">
        <v>10954</v>
      </c>
      <c r="Y279" s="3">
        <v>36879</v>
      </c>
      <c r="Z279" s="2">
        <v>45551</v>
      </c>
      <c r="AA279" s="11" t="s">
        <v>11148</v>
      </c>
      <c r="AB279" s="3">
        <v>45600</v>
      </c>
      <c r="AC279" s="80" t="s">
        <v>1339</v>
      </c>
      <c r="AF279" t="s">
        <v>3198</v>
      </c>
      <c r="AI279" t="s">
        <v>10203</v>
      </c>
      <c r="AJ279" s="2">
        <v>45561</v>
      </c>
      <c r="AM279" s="2">
        <v>45565</v>
      </c>
      <c r="AT279" s="1"/>
    </row>
    <row r="280" spans="1:46">
      <c r="A280" s="1">
        <v>281</v>
      </c>
      <c r="B280" t="s">
        <v>33</v>
      </c>
      <c r="C280" s="2">
        <v>45552</v>
      </c>
      <c r="D280" s="2" t="s">
        <v>9900</v>
      </c>
      <c r="E280" s="1" t="s">
        <v>10976</v>
      </c>
      <c r="F280" s="61" t="s">
        <v>10899</v>
      </c>
      <c r="G280" t="s">
        <v>10900</v>
      </c>
      <c r="H280" s="6" t="s">
        <v>221</v>
      </c>
      <c r="I280" s="1" t="s">
        <v>38</v>
      </c>
      <c r="J280" s="295"/>
      <c r="K280" s="114" t="s">
        <v>11744</v>
      </c>
      <c r="L280" s="1" t="s">
        <v>237</v>
      </c>
      <c r="M280" s="2">
        <v>45565</v>
      </c>
      <c r="N280" s="1" t="s">
        <v>35</v>
      </c>
      <c r="O280" s="61" t="s">
        <v>9758</v>
      </c>
      <c r="P280" s="14" t="s">
        <v>10901</v>
      </c>
      <c r="Q280" s="186">
        <v>115.7</v>
      </c>
      <c r="R280" s="1">
        <v>1</v>
      </c>
      <c r="S280" s="128">
        <v>0.21</v>
      </c>
      <c r="T280" s="128">
        <v>0</v>
      </c>
      <c r="U280" s="363" t="s">
        <v>10854</v>
      </c>
      <c r="V280" s="126">
        <f t="shared" ref="V280:V285" si="124">SUM(Q280-(Q280*T280))*S280+(Q280-(Q280*T280))</f>
        <v>139.99700000000001</v>
      </c>
      <c r="W280" t="s">
        <v>11173</v>
      </c>
      <c r="X280" s="5" t="s">
        <v>11147</v>
      </c>
      <c r="Y280" s="2">
        <v>38706</v>
      </c>
      <c r="Z280" s="2">
        <v>45552</v>
      </c>
      <c r="AA280" s="11" t="s">
        <v>11174</v>
      </c>
      <c r="AB280" s="2">
        <v>45608</v>
      </c>
      <c r="AC280" s="80" t="s">
        <v>1339</v>
      </c>
      <c r="AF280" t="s">
        <v>3198</v>
      </c>
      <c r="AI280" t="s">
        <v>3470</v>
      </c>
      <c r="AJ280" s="2">
        <v>45593</v>
      </c>
      <c r="AM280" s="74">
        <v>45600</v>
      </c>
      <c r="AT280" s="1"/>
    </row>
    <row r="281" spans="1:46">
      <c r="A281" s="1">
        <v>282</v>
      </c>
      <c r="B281" t="s">
        <v>33</v>
      </c>
      <c r="C281" s="2">
        <v>45552</v>
      </c>
      <c r="D281" s="2"/>
      <c r="E281" s="1" t="s">
        <v>10976</v>
      </c>
      <c r="F281" s="61" t="s">
        <v>10899</v>
      </c>
      <c r="G281" t="s">
        <v>10900</v>
      </c>
      <c r="H281" s="6" t="s">
        <v>221</v>
      </c>
      <c r="I281" s="1" t="s">
        <v>38</v>
      </c>
      <c r="J281" s="295"/>
      <c r="K281" s="114" t="s">
        <v>11744</v>
      </c>
      <c r="L281" s="1" t="s">
        <v>237</v>
      </c>
      <c r="M281" s="2">
        <v>45565</v>
      </c>
      <c r="N281" s="1" t="s">
        <v>35</v>
      </c>
      <c r="O281" s="61" t="s">
        <v>9758</v>
      </c>
      <c r="P281" s="14" t="s">
        <v>10902</v>
      </c>
      <c r="Q281" s="186">
        <v>115.7</v>
      </c>
      <c r="R281" s="1">
        <v>1</v>
      </c>
      <c r="S281" s="128">
        <v>0.21</v>
      </c>
      <c r="T281" s="128">
        <v>0</v>
      </c>
      <c r="U281" s="363" t="s">
        <v>10854</v>
      </c>
      <c r="V281" s="126">
        <f t="shared" ref="V281" si="125">SUM(Q281-(Q281*T281))*S281+(Q281-(Q281*T281))</f>
        <v>139.99700000000001</v>
      </c>
      <c r="W281" t="s">
        <v>10952</v>
      </c>
      <c r="X281" s="5" t="s">
        <v>10953</v>
      </c>
      <c r="Y281" s="2">
        <v>37104</v>
      </c>
      <c r="Z281" s="2">
        <v>45552</v>
      </c>
      <c r="AA281" s="11" t="s">
        <v>11148</v>
      </c>
      <c r="AB281" s="2">
        <v>45608</v>
      </c>
      <c r="AC281" s="80" t="s">
        <v>1339</v>
      </c>
      <c r="AF281" t="s">
        <v>3198</v>
      </c>
      <c r="AI281" t="s">
        <v>3470</v>
      </c>
      <c r="AJ281" s="2">
        <v>45561</v>
      </c>
      <c r="AM281" s="74">
        <v>45572</v>
      </c>
      <c r="AT281" s="1"/>
    </row>
    <row r="282" spans="1:46">
      <c r="A282" s="1">
        <v>283</v>
      </c>
      <c r="B282" t="s">
        <v>5635</v>
      </c>
      <c r="C282" s="2">
        <v>45552</v>
      </c>
      <c r="D282" s="2" t="s">
        <v>9900</v>
      </c>
      <c r="E282" s="1" t="s">
        <v>10903</v>
      </c>
      <c r="F282" s="61" t="s">
        <v>10904</v>
      </c>
      <c r="G282" t="s">
        <v>10905</v>
      </c>
      <c r="H282" s="6" t="s">
        <v>1424</v>
      </c>
      <c r="I282" s="1" t="s">
        <v>1425</v>
      </c>
      <c r="J282" s="295"/>
      <c r="K282" s="1"/>
      <c r="L282" s="1" t="s">
        <v>10903</v>
      </c>
      <c r="M282" s="2">
        <v>45565</v>
      </c>
      <c r="N282" s="1" t="s">
        <v>35</v>
      </c>
      <c r="O282" s="61" t="s">
        <v>7925</v>
      </c>
      <c r="P282" s="14" t="s">
        <v>10906</v>
      </c>
      <c r="Q282" s="187">
        <v>115.7</v>
      </c>
      <c r="R282" s="1">
        <v>1</v>
      </c>
      <c r="S282" s="90">
        <v>0.21</v>
      </c>
      <c r="T282" s="90">
        <v>0</v>
      </c>
      <c r="U282" s="363" t="s">
        <v>10854</v>
      </c>
      <c r="V282" s="126">
        <f t="shared" si="124"/>
        <v>139.99700000000001</v>
      </c>
      <c r="W282" t="s">
        <v>10968</v>
      </c>
      <c r="X282" s="5" t="s">
        <v>10969</v>
      </c>
      <c r="Y282" s="2">
        <v>31555</v>
      </c>
      <c r="Z282" s="2">
        <v>45552</v>
      </c>
      <c r="AA282" s="11" t="s">
        <v>11107</v>
      </c>
      <c r="AB282" s="2">
        <v>45593</v>
      </c>
      <c r="AC282" s="80" t="s">
        <v>1339</v>
      </c>
      <c r="AF282" t="s">
        <v>3198</v>
      </c>
      <c r="AI282" s="76" t="s">
        <v>3108</v>
      </c>
      <c r="AJ282" s="2">
        <v>45565</v>
      </c>
      <c r="AM282" s="74"/>
      <c r="AT282" s="1"/>
    </row>
    <row r="283" spans="1:46">
      <c r="A283" s="1">
        <v>284</v>
      </c>
      <c r="B283" t="s">
        <v>33</v>
      </c>
      <c r="C283" s="2">
        <v>45555</v>
      </c>
      <c r="D283" s="2"/>
      <c r="E283" s="1" t="s">
        <v>5021</v>
      </c>
      <c r="F283" t="s">
        <v>5014</v>
      </c>
      <c r="G283" t="s">
        <v>5020</v>
      </c>
      <c r="H283" s="6" t="s">
        <v>219</v>
      </c>
      <c r="I283" s="1" t="s">
        <v>38</v>
      </c>
      <c r="J283" s="1"/>
      <c r="K283" s="114" t="s">
        <v>11744</v>
      </c>
      <c r="L283" s="1" t="s">
        <v>237</v>
      </c>
      <c r="M283" s="2">
        <v>45565</v>
      </c>
      <c r="N283" s="1" t="s">
        <v>35</v>
      </c>
      <c r="O283" s="14" t="s">
        <v>7925</v>
      </c>
      <c r="P283" s="14" t="s">
        <v>10908</v>
      </c>
      <c r="Q283" s="187">
        <v>115.7</v>
      </c>
      <c r="R283" s="1">
        <v>1</v>
      </c>
      <c r="S283" s="128">
        <v>0.21</v>
      </c>
      <c r="T283" s="128">
        <v>0</v>
      </c>
      <c r="U283" s="363" t="s">
        <v>10854</v>
      </c>
      <c r="V283" s="95">
        <f t="shared" ref="V283" si="126">SUM(Q283-(Q283*T283))*S283+(Q283-(Q283*T283))</f>
        <v>139.99700000000001</v>
      </c>
      <c r="W283" t="s">
        <v>11034</v>
      </c>
      <c r="X283" s="5" t="s">
        <v>11035</v>
      </c>
      <c r="Y283" s="2">
        <v>35091</v>
      </c>
      <c r="Z283" s="2">
        <v>45555</v>
      </c>
      <c r="AA283" s="284" t="s">
        <v>11106</v>
      </c>
      <c r="AB283" s="2">
        <v>45586</v>
      </c>
      <c r="AC283" s="80" t="s">
        <v>1339</v>
      </c>
      <c r="AD283" s="61"/>
      <c r="AF283" t="s">
        <v>3198</v>
      </c>
      <c r="AI283" t="s">
        <v>3108</v>
      </c>
      <c r="AJ283" s="2">
        <v>45573</v>
      </c>
      <c r="AM283" s="3">
        <v>45582</v>
      </c>
      <c r="AS283" s="1"/>
      <c r="AT283" s="1"/>
    </row>
    <row r="284" spans="1:46">
      <c r="A284" s="1">
        <v>285</v>
      </c>
      <c r="B284" t="s">
        <v>37</v>
      </c>
      <c r="C284" s="2">
        <v>45555</v>
      </c>
      <c r="D284" s="2" t="s">
        <v>9900</v>
      </c>
      <c r="E284" s="1" t="s">
        <v>4351</v>
      </c>
      <c r="F284" s="61" t="s">
        <v>4352</v>
      </c>
      <c r="G284" t="s">
        <v>10909</v>
      </c>
      <c r="H284" s="6" t="s">
        <v>2451</v>
      </c>
      <c r="I284" s="1" t="s">
        <v>49</v>
      </c>
      <c r="J284" s="295">
        <v>632863829</v>
      </c>
      <c r="K284" s="1"/>
      <c r="L284" s="1" t="s">
        <v>4351</v>
      </c>
      <c r="M284" s="2">
        <v>45565</v>
      </c>
      <c r="N284" s="1" t="s">
        <v>35</v>
      </c>
      <c r="O284" s="14" t="s">
        <v>7934</v>
      </c>
      <c r="P284" s="14" t="s">
        <v>10910</v>
      </c>
      <c r="Q284" s="187">
        <v>86.78</v>
      </c>
      <c r="R284" s="1">
        <v>1</v>
      </c>
      <c r="S284" s="90">
        <v>0.21</v>
      </c>
      <c r="T284" s="90">
        <v>0</v>
      </c>
      <c r="U284" s="363" t="s">
        <v>10854</v>
      </c>
      <c r="V284" s="126">
        <f t="shared" si="124"/>
        <v>105.0038</v>
      </c>
      <c r="W284" s="1" t="s">
        <v>4351</v>
      </c>
      <c r="X284" s="5" t="s">
        <v>10911</v>
      </c>
      <c r="Y284" s="2">
        <v>34021</v>
      </c>
      <c r="Z284" s="2">
        <v>45555</v>
      </c>
      <c r="AA284" s="284" t="s">
        <v>11226</v>
      </c>
      <c r="AB284" s="2">
        <v>45616</v>
      </c>
      <c r="AC284" s="80" t="s">
        <v>1339</v>
      </c>
      <c r="AE284" s="162">
        <v>45608</v>
      </c>
      <c r="AF284" t="s">
        <v>3198</v>
      </c>
      <c r="AJ284" s="2"/>
      <c r="AM284" s="74"/>
      <c r="AT284" s="1"/>
    </row>
    <row r="285" spans="1:46">
      <c r="A285" s="1">
        <v>286</v>
      </c>
      <c r="B285" t="s">
        <v>10912</v>
      </c>
      <c r="C285" s="2">
        <v>45555</v>
      </c>
      <c r="D285" s="2" t="s">
        <v>9900</v>
      </c>
      <c r="E285" s="1" t="s">
        <v>10913</v>
      </c>
      <c r="F285" s="61" t="s">
        <v>10914</v>
      </c>
      <c r="G285" t="s">
        <v>10915</v>
      </c>
      <c r="H285" s="6" t="s">
        <v>432</v>
      </c>
      <c r="I285" s="1" t="s">
        <v>49</v>
      </c>
      <c r="J285" s="295"/>
      <c r="K285" s="1"/>
      <c r="L285" s="1" t="s">
        <v>10913</v>
      </c>
      <c r="M285" s="2">
        <v>45565</v>
      </c>
      <c r="N285" s="1" t="s">
        <v>35</v>
      </c>
      <c r="O285" s="14" t="s">
        <v>7925</v>
      </c>
      <c r="P285" s="14" t="s">
        <v>10916</v>
      </c>
      <c r="Q285" s="187">
        <v>115.7</v>
      </c>
      <c r="R285" s="1">
        <v>1</v>
      </c>
      <c r="S285" s="90">
        <v>0.21</v>
      </c>
      <c r="T285" s="90">
        <v>0</v>
      </c>
      <c r="U285" s="363" t="s">
        <v>10854</v>
      </c>
      <c r="V285" s="126">
        <f t="shared" si="124"/>
        <v>139.99700000000001</v>
      </c>
      <c r="W285" s="1" t="s">
        <v>10913</v>
      </c>
      <c r="X285" s="6" t="s">
        <v>10964</v>
      </c>
      <c r="Y285" s="2">
        <v>32752</v>
      </c>
      <c r="Z285" s="2">
        <v>45555</v>
      </c>
      <c r="AA285" s="284" t="s">
        <v>11078</v>
      </c>
      <c r="AB285" s="2">
        <v>45582</v>
      </c>
      <c r="AC285" s="80" t="s">
        <v>1339</v>
      </c>
      <c r="AJ285" s="2"/>
      <c r="AM285" s="74"/>
      <c r="AT285" s="1"/>
    </row>
    <row r="286" spans="1:46">
      <c r="A286" s="1">
        <v>287</v>
      </c>
      <c r="B286" t="s">
        <v>33</v>
      </c>
      <c r="C286" s="2">
        <v>45559</v>
      </c>
      <c r="D286" s="2"/>
      <c r="E286" s="1" t="s">
        <v>5021</v>
      </c>
      <c r="F286" t="s">
        <v>5014</v>
      </c>
      <c r="G286" t="s">
        <v>5020</v>
      </c>
      <c r="H286" s="6" t="s">
        <v>219</v>
      </c>
      <c r="I286" s="1" t="s">
        <v>38</v>
      </c>
      <c r="J286" s="1"/>
      <c r="K286" s="114" t="s">
        <v>11744</v>
      </c>
      <c r="L286" s="1" t="s">
        <v>237</v>
      </c>
      <c r="M286" s="2">
        <v>45565</v>
      </c>
      <c r="N286" s="1" t="s">
        <v>35</v>
      </c>
      <c r="O286" s="14" t="s">
        <v>7925</v>
      </c>
      <c r="P286" s="14" t="s">
        <v>9520</v>
      </c>
      <c r="Q286" s="92">
        <v>0</v>
      </c>
      <c r="R286" s="1">
        <v>1</v>
      </c>
      <c r="S286" s="128">
        <v>0.21</v>
      </c>
      <c r="T286" s="128">
        <v>0.2</v>
      </c>
      <c r="U286" s="363"/>
      <c r="V286" s="95">
        <f>SUM(Q286-(Q286*T286))*S286+(Q286-(Q286*T286))</f>
        <v>0</v>
      </c>
      <c r="W286" t="s">
        <v>9549</v>
      </c>
      <c r="X286" s="5" t="s">
        <v>11069</v>
      </c>
      <c r="Y286" s="2">
        <v>35091</v>
      </c>
      <c r="Z286" s="2">
        <v>45559</v>
      </c>
      <c r="AA286" s="284" t="s">
        <v>11142</v>
      </c>
      <c r="AB286" s="2">
        <v>45599</v>
      </c>
      <c r="AC286" s="80" t="s">
        <v>1339</v>
      </c>
      <c r="AD286" s="61"/>
      <c r="AF286" t="s">
        <v>3198</v>
      </c>
      <c r="AI286" t="s">
        <v>3108</v>
      </c>
      <c r="AJ286" s="2">
        <v>45581</v>
      </c>
      <c r="AM286" s="2">
        <v>45581</v>
      </c>
      <c r="AS286" s="1"/>
      <c r="AT286" s="1"/>
    </row>
    <row r="287" spans="1:46">
      <c r="A287" s="1">
        <v>288</v>
      </c>
      <c r="B287" s="61" t="s">
        <v>6684</v>
      </c>
      <c r="C287" s="2">
        <v>45560</v>
      </c>
      <c r="D287" s="2"/>
      <c r="E287" s="1" t="s">
        <v>2582</v>
      </c>
      <c r="F287" s="61" t="s">
        <v>3992</v>
      </c>
      <c r="G287" s="61" t="s">
        <v>4025</v>
      </c>
      <c r="H287" s="6" t="s">
        <v>2579</v>
      </c>
      <c r="I287" s="1" t="s">
        <v>2580</v>
      </c>
      <c r="J287" s="8">
        <v>632709399</v>
      </c>
      <c r="K287" s="8"/>
      <c r="L287" t="s">
        <v>2582</v>
      </c>
      <c r="M287" s="2">
        <v>45565</v>
      </c>
      <c r="N287" s="1" t="s">
        <v>35</v>
      </c>
      <c r="O287" s="14" t="s">
        <v>7935</v>
      </c>
      <c r="P287" s="14" t="s">
        <v>10932</v>
      </c>
      <c r="Q287" s="92">
        <v>69.42</v>
      </c>
      <c r="R287" s="1">
        <v>1</v>
      </c>
      <c r="S287" s="90">
        <v>0.21</v>
      </c>
      <c r="T287" s="90">
        <v>0</v>
      </c>
      <c r="U287" s="363" t="s">
        <v>10854</v>
      </c>
      <c r="V287" s="95">
        <f t="shared" ref="V287:V289" si="127">SUM(Q287-(Q287*T287))*S287+(Q287-(Q287*T287))</f>
        <v>83.998199999999997</v>
      </c>
      <c r="W287" t="s">
        <v>2582</v>
      </c>
      <c r="X287" s="6" t="s">
        <v>11055</v>
      </c>
      <c r="Y287" s="2">
        <v>30682</v>
      </c>
      <c r="Z287" s="2">
        <v>45560</v>
      </c>
      <c r="AA287" s="284" t="s">
        <v>11079</v>
      </c>
      <c r="AB287" s="3">
        <v>45582</v>
      </c>
      <c r="AC287" s="80" t="s">
        <v>1339</v>
      </c>
      <c r="AF287" t="s">
        <v>3198</v>
      </c>
      <c r="AI287" s="1"/>
      <c r="AJ287" s="1"/>
      <c r="AK287" s="1"/>
      <c r="AM287" s="8"/>
      <c r="AT287" s="1"/>
    </row>
    <row r="288" spans="1:46">
      <c r="A288" s="1">
        <v>289</v>
      </c>
      <c r="B288" t="s">
        <v>7036</v>
      </c>
      <c r="C288" s="2">
        <v>45560</v>
      </c>
      <c r="D288" s="2"/>
      <c r="E288" s="1" t="s">
        <v>6375</v>
      </c>
      <c r="F288" t="s">
        <v>6376</v>
      </c>
      <c r="G288" s="61" t="s">
        <v>6377</v>
      </c>
      <c r="H288" s="6" t="s">
        <v>294</v>
      </c>
      <c r="I288" s="1" t="s">
        <v>103</v>
      </c>
      <c r="J288" s="8">
        <v>660744167</v>
      </c>
      <c r="K288" s="8" t="s">
        <v>6332</v>
      </c>
      <c r="L288" s="1" t="s">
        <v>6375</v>
      </c>
      <c r="M288" s="2">
        <v>45565</v>
      </c>
      <c r="N288" s="1" t="s">
        <v>35</v>
      </c>
      <c r="O288" s="61" t="s">
        <v>7925</v>
      </c>
      <c r="P288" s="14" t="s">
        <v>10933</v>
      </c>
      <c r="Q288" s="187">
        <v>115.7</v>
      </c>
      <c r="R288" s="1">
        <v>1</v>
      </c>
      <c r="S288" s="90">
        <v>0.21</v>
      </c>
      <c r="T288" s="90"/>
      <c r="U288" s="363" t="s">
        <v>10854</v>
      </c>
      <c r="V288" s="95">
        <f t="shared" si="127"/>
        <v>139.99700000000001</v>
      </c>
      <c r="W288" t="s">
        <v>10934</v>
      </c>
      <c r="X288" s="5" t="s">
        <v>11053</v>
      </c>
      <c r="Y288" s="2">
        <v>32923</v>
      </c>
      <c r="Z288" s="2">
        <v>45560</v>
      </c>
      <c r="AA288" s="287" t="s">
        <v>11093</v>
      </c>
      <c r="AB288" s="3">
        <v>45583</v>
      </c>
      <c r="AC288" s="80" t="s">
        <v>1339</v>
      </c>
      <c r="AD288" t="s">
        <v>11094</v>
      </c>
      <c r="AF288" t="s">
        <v>3198</v>
      </c>
      <c r="AI288" s="61"/>
      <c r="AJ288" s="2"/>
      <c r="AM288" s="3"/>
    </row>
    <row r="289" spans="1:137">
      <c r="A289" s="1">
        <v>290</v>
      </c>
      <c r="B289" t="s">
        <v>33</v>
      </c>
      <c r="C289" s="2">
        <v>45560</v>
      </c>
      <c r="D289" s="2"/>
      <c r="E289" s="1" t="s">
        <v>8756</v>
      </c>
      <c r="F289" t="s">
        <v>8757</v>
      </c>
      <c r="G289" t="s">
        <v>8758</v>
      </c>
      <c r="H289" s="6" t="s">
        <v>304</v>
      </c>
      <c r="I289" s="1" t="s">
        <v>3851</v>
      </c>
      <c r="J289" s="295"/>
      <c r="K289" s="114" t="s">
        <v>11744</v>
      </c>
      <c r="L289" t="s">
        <v>237</v>
      </c>
      <c r="M289" s="2">
        <v>45565</v>
      </c>
      <c r="N289" s="1" t="s">
        <v>35</v>
      </c>
      <c r="O289" s="61" t="s">
        <v>7934</v>
      </c>
      <c r="P289" s="14" t="s">
        <v>10935</v>
      </c>
      <c r="Q289" s="187">
        <v>69.42</v>
      </c>
      <c r="R289" s="1">
        <v>1</v>
      </c>
      <c r="S289" s="90">
        <v>0.21</v>
      </c>
      <c r="T289" s="90">
        <v>0</v>
      </c>
      <c r="U289" s="363" t="s">
        <v>10854</v>
      </c>
      <c r="V289" s="95">
        <f t="shared" si="127"/>
        <v>83.998199999999997</v>
      </c>
      <c r="W289" t="s">
        <v>8823</v>
      </c>
      <c r="X289" s="5" t="s">
        <v>10936</v>
      </c>
      <c r="Y289" s="2">
        <v>29883</v>
      </c>
      <c r="Z289" s="2">
        <v>45560</v>
      </c>
      <c r="AA289" s="284" t="s">
        <v>11079</v>
      </c>
      <c r="AB289" s="2">
        <v>45608</v>
      </c>
      <c r="AC289" s="80" t="s">
        <v>1339</v>
      </c>
      <c r="AF289" t="s">
        <v>3198</v>
      </c>
      <c r="AI289" s="61"/>
      <c r="AJ289" s="2"/>
      <c r="AK289" s="74"/>
      <c r="AL289" s="74"/>
      <c r="AM289" s="74"/>
      <c r="AT289" s="1"/>
    </row>
    <row r="290" spans="1:137">
      <c r="A290" s="1">
        <v>291</v>
      </c>
      <c r="B290" t="s">
        <v>9170</v>
      </c>
      <c r="C290" s="2">
        <v>45560</v>
      </c>
      <c r="D290" s="2"/>
      <c r="E290" s="1" t="s">
        <v>256</v>
      </c>
      <c r="F290" s="31" t="s">
        <v>155</v>
      </c>
      <c r="G290" s="31" t="s">
        <v>138</v>
      </c>
      <c r="H290" s="33" t="s">
        <v>227</v>
      </c>
      <c r="I290" s="30" t="s">
        <v>203</v>
      </c>
      <c r="J290" s="44">
        <v>631130911</v>
      </c>
      <c r="K290" s="1" t="s">
        <v>9171</v>
      </c>
      <c r="L290" s="1" t="s">
        <v>256</v>
      </c>
      <c r="M290" s="2">
        <v>45565</v>
      </c>
      <c r="N290" s="1" t="s">
        <v>35</v>
      </c>
      <c r="O290" s="61" t="s">
        <v>7934</v>
      </c>
      <c r="P290" s="14" t="s">
        <v>7337</v>
      </c>
      <c r="Q290" s="187">
        <v>69.42</v>
      </c>
      <c r="R290" s="1">
        <v>1</v>
      </c>
      <c r="S290" s="90">
        <v>0.21</v>
      </c>
      <c r="T290" s="90">
        <v>0</v>
      </c>
      <c r="U290" s="363" t="s">
        <v>10854</v>
      </c>
      <c r="V290" s="95">
        <f t="shared" ref="V290" si="128">SUM(Q290-(Q290*T290))*S290+(Q290-(Q290*T290))</f>
        <v>83.998199999999997</v>
      </c>
      <c r="W290" t="s">
        <v>5508</v>
      </c>
      <c r="X290" s="6" t="s">
        <v>10937</v>
      </c>
      <c r="Y290" s="2">
        <v>34335</v>
      </c>
      <c r="Z290" s="2">
        <v>45560</v>
      </c>
      <c r="AA290" s="284" t="s">
        <v>11202</v>
      </c>
      <c r="AB290" s="64">
        <v>45616</v>
      </c>
      <c r="AC290" s="80" t="s">
        <v>1339</v>
      </c>
      <c r="AF290" t="s">
        <v>3198</v>
      </c>
      <c r="AJ290" s="2"/>
      <c r="AM290" s="3"/>
      <c r="AT290" s="1"/>
    </row>
    <row r="291" spans="1:137">
      <c r="A291" s="1">
        <v>292</v>
      </c>
      <c r="B291" s="61" t="s">
        <v>3526</v>
      </c>
      <c r="C291" s="2">
        <v>45560</v>
      </c>
      <c r="D291" s="2" t="s">
        <v>9900</v>
      </c>
      <c r="E291" s="1" t="s">
        <v>10938</v>
      </c>
      <c r="F291" s="61" t="s">
        <v>10939</v>
      </c>
      <c r="G291" t="s">
        <v>10940</v>
      </c>
      <c r="H291" s="6" t="s">
        <v>2654</v>
      </c>
      <c r="I291" s="1" t="s">
        <v>2359</v>
      </c>
      <c r="J291" s="1"/>
      <c r="K291" s="396" t="s">
        <v>7759</v>
      </c>
      <c r="L291" s="1" t="s">
        <v>10938</v>
      </c>
      <c r="M291" s="2">
        <v>45565</v>
      </c>
      <c r="N291" s="1" t="s">
        <v>35</v>
      </c>
      <c r="O291" s="61" t="s">
        <v>9758</v>
      </c>
      <c r="P291" s="14" t="s">
        <v>10941</v>
      </c>
      <c r="Q291" s="92">
        <v>115.7</v>
      </c>
      <c r="R291" s="1">
        <v>1</v>
      </c>
      <c r="S291" s="128">
        <v>0.21</v>
      </c>
      <c r="T291" s="128">
        <v>0</v>
      </c>
      <c r="U291" s="363" t="s">
        <v>10854</v>
      </c>
      <c r="V291" s="126">
        <f t="shared" si="122"/>
        <v>139.99700000000001</v>
      </c>
      <c r="W291" t="s">
        <v>11038</v>
      </c>
      <c r="X291" s="5" t="s">
        <v>11039</v>
      </c>
      <c r="Y291" s="2">
        <v>34186</v>
      </c>
      <c r="Z291" s="2">
        <v>45560</v>
      </c>
      <c r="AA291" s="284" t="s">
        <v>11176</v>
      </c>
      <c r="AB291" s="2">
        <v>45608</v>
      </c>
      <c r="AC291" s="80" t="s">
        <v>1339</v>
      </c>
      <c r="AD291" s="61"/>
      <c r="AF291" t="s">
        <v>3198</v>
      </c>
      <c r="AI291" t="s">
        <v>3470</v>
      </c>
      <c r="AJ291" s="2">
        <v>45573</v>
      </c>
      <c r="AM291" s="3">
        <v>45575</v>
      </c>
      <c r="AS291" s="1"/>
      <c r="AT291" s="1"/>
    </row>
    <row r="292" spans="1:137">
      <c r="A292" s="1">
        <v>293</v>
      </c>
      <c r="B292" s="61" t="s">
        <v>4321</v>
      </c>
      <c r="C292" s="2">
        <v>45560</v>
      </c>
      <c r="D292" s="2" t="s">
        <v>9900</v>
      </c>
      <c r="E292" s="1" t="s">
        <v>10942</v>
      </c>
      <c r="F292" t="s">
        <v>10943</v>
      </c>
      <c r="G292" s="61" t="s">
        <v>10944</v>
      </c>
      <c r="H292" s="6" t="s">
        <v>239</v>
      </c>
      <c r="I292" s="1" t="s">
        <v>86</v>
      </c>
      <c r="J292" s="8"/>
      <c r="K292" s="301" t="s">
        <v>5991</v>
      </c>
      <c r="L292" s="1" t="s">
        <v>6375</v>
      </c>
      <c r="M292" s="2">
        <v>45565</v>
      </c>
      <c r="N292" s="1" t="s">
        <v>35</v>
      </c>
      <c r="O292" s="61" t="s">
        <v>7934</v>
      </c>
      <c r="P292" s="14" t="s">
        <v>10945</v>
      </c>
      <c r="Q292" s="187">
        <v>115.7</v>
      </c>
      <c r="R292" s="1">
        <v>1</v>
      </c>
      <c r="S292" s="90">
        <v>0.21</v>
      </c>
      <c r="T292" s="90"/>
      <c r="U292" s="363" t="s">
        <v>10854</v>
      </c>
      <c r="V292" s="95">
        <f t="shared" ref="V292:V293" si="129">SUM(Q292-(Q292*T292))*S292+(Q292-(Q292*T292))</f>
        <v>139.99700000000001</v>
      </c>
      <c r="W292" t="s">
        <v>10946</v>
      </c>
      <c r="X292" s="5" t="s">
        <v>11054</v>
      </c>
      <c r="Y292" s="2">
        <v>36616</v>
      </c>
      <c r="Z292" s="2">
        <v>45560</v>
      </c>
      <c r="AA292" s="284" t="s">
        <v>11074</v>
      </c>
      <c r="AB292" s="64">
        <v>45582</v>
      </c>
      <c r="AC292" s="80" t="s">
        <v>1339</v>
      </c>
      <c r="AF292" t="s">
        <v>3198</v>
      </c>
      <c r="AI292" s="61"/>
      <c r="AJ292" s="2"/>
      <c r="AM292" s="3"/>
    </row>
    <row r="293" spans="1:137">
      <c r="A293" s="1">
        <v>294</v>
      </c>
      <c r="B293" s="61" t="s">
        <v>52</v>
      </c>
      <c r="C293" s="2">
        <v>45560</v>
      </c>
      <c r="D293" s="2"/>
      <c r="E293" s="1" t="s">
        <v>66</v>
      </c>
      <c r="F293" s="61" t="s">
        <v>65</v>
      </c>
      <c r="G293" s="61" t="s">
        <v>3666</v>
      </c>
      <c r="H293" s="6" t="s">
        <v>230</v>
      </c>
      <c r="I293" s="1" t="s">
        <v>34</v>
      </c>
      <c r="J293" s="8">
        <v>646968420</v>
      </c>
      <c r="K293" s="8" t="s">
        <v>5906</v>
      </c>
      <c r="L293" t="s">
        <v>4432</v>
      </c>
      <c r="M293" s="2">
        <v>45565</v>
      </c>
      <c r="N293" s="1" t="s">
        <v>35</v>
      </c>
      <c r="O293" s="61" t="s">
        <v>7934</v>
      </c>
      <c r="P293" s="14" t="s">
        <v>10947</v>
      </c>
      <c r="Q293" s="144">
        <v>115.7</v>
      </c>
      <c r="R293" s="1">
        <v>1</v>
      </c>
      <c r="S293" s="90">
        <v>0.21</v>
      </c>
      <c r="T293" s="90">
        <v>0</v>
      </c>
      <c r="U293" s="363" t="s">
        <v>10854</v>
      </c>
      <c r="V293" s="95">
        <f t="shared" si="129"/>
        <v>139.99700000000001</v>
      </c>
      <c r="W293" t="s">
        <v>10992</v>
      </c>
      <c r="X293" s="5" t="s">
        <v>10991</v>
      </c>
      <c r="Y293" s="2">
        <v>32622</v>
      </c>
      <c r="Z293" s="2">
        <v>45560</v>
      </c>
      <c r="AA293" s="284" t="s">
        <v>11074</v>
      </c>
      <c r="AB293" s="64">
        <v>45581</v>
      </c>
      <c r="AC293" s="80" t="s">
        <v>1339</v>
      </c>
      <c r="AF293" t="s">
        <v>3198</v>
      </c>
      <c r="AI293" s="61"/>
      <c r="AJ293" s="3"/>
      <c r="AK293" s="1"/>
      <c r="AM293" s="74"/>
      <c r="AT293" s="1"/>
    </row>
    <row r="294" spans="1:137">
      <c r="A294" s="1">
        <v>295</v>
      </c>
      <c r="B294" t="s">
        <v>33</v>
      </c>
      <c r="C294" s="2">
        <v>45560</v>
      </c>
      <c r="D294" s="2" t="s">
        <v>9900</v>
      </c>
      <c r="E294" s="1" t="s">
        <v>5440</v>
      </c>
      <c r="F294" s="61" t="s">
        <v>5441</v>
      </c>
      <c r="G294" s="61" t="s">
        <v>5442</v>
      </c>
      <c r="H294" s="6" t="s">
        <v>236</v>
      </c>
      <c r="I294" s="1" t="s">
        <v>34</v>
      </c>
      <c r="J294" s="8"/>
      <c r="K294" s="114" t="s">
        <v>11744</v>
      </c>
      <c r="L294" t="s">
        <v>237</v>
      </c>
      <c r="M294" s="2">
        <v>45565</v>
      </c>
      <c r="N294" s="1" t="s">
        <v>35</v>
      </c>
      <c r="O294" s="61" t="s">
        <v>9758</v>
      </c>
      <c r="P294" s="14" t="s">
        <v>10948</v>
      </c>
      <c r="Q294" s="187">
        <v>115.7</v>
      </c>
      <c r="R294" s="1">
        <v>1</v>
      </c>
      <c r="S294" s="90">
        <v>0.21</v>
      </c>
      <c r="T294" s="90">
        <v>0</v>
      </c>
      <c r="U294" s="363" t="s">
        <v>10854</v>
      </c>
      <c r="V294" s="126">
        <f t="shared" ref="V294:V303" si="130">SUM(Q294-(Q294*T294))*S294+(Q294-(Q294*T294))</f>
        <v>139.99700000000001</v>
      </c>
      <c r="W294" t="s">
        <v>11036</v>
      </c>
      <c r="X294" s="5" t="s">
        <v>11037</v>
      </c>
      <c r="Y294" s="2">
        <v>34016</v>
      </c>
      <c r="Z294" s="2">
        <v>45560</v>
      </c>
      <c r="AA294" s="284" t="s">
        <v>11530</v>
      </c>
      <c r="AB294" s="2">
        <v>45667</v>
      </c>
      <c r="AC294" s="80" t="s">
        <v>1339</v>
      </c>
      <c r="AD294" t="s">
        <v>11257</v>
      </c>
      <c r="AE294" s="115">
        <v>45629</v>
      </c>
      <c r="AF294" t="s">
        <v>3198</v>
      </c>
      <c r="AI294" t="s">
        <v>3470</v>
      </c>
      <c r="AJ294" s="2">
        <v>45573</v>
      </c>
      <c r="AM294" s="3">
        <v>45575</v>
      </c>
    </row>
    <row r="295" spans="1:137">
      <c r="A295" s="1">
        <v>296</v>
      </c>
      <c r="B295" t="s">
        <v>37</v>
      </c>
      <c r="C295" s="2">
        <v>45565</v>
      </c>
      <c r="D295" s="2" t="s">
        <v>9900</v>
      </c>
      <c r="E295" s="1" t="s">
        <v>10970</v>
      </c>
      <c r="F295" s="61" t="s">
        <v>10971</v>
      </c>
      <c r="G295" s="61" t="s">
        <v>10972</v>
      </c>
      <c r="H295" s="6" t="s">
        <v>7966</v>
      </c>
      <c r="I295" s="1" t="s">
        <v>7965</v>
      </c>
      <c r="J295" s="8">
        <v>643439209</v>
      </c>
      <c r="K295" s="8"/>
      <c r="L295" s="1" t="s">
        <v>10970</v>
      </c>
      <c r="M295" s="2">
        <v>45565</v>
      </c>
      <c r="N295" s="1" t="s">
        <v>35</v>
      </c>
      <c r="O295" s="61" t="s">
        <v>7928</v>
      </c>
      <c r="P295" s="14" t="s">
        <v>10973</v>
      </c>
      <c r="Q295" s="187">
        <v>165.29</v>
      </c>
      <c r="R295" s="1">
        <v>1</v>
      </c>
      <c r="S295" s="90">
        <v>0.21</v>
      </c>
      <c r="T295" s="90">
        <v>0</v>
      </c>
      <c r="U295" s="363" t="s">
        <v>10854</v>
      </c>
      <c r="V295" s="126">
        <f t="shared" si="130"/>
        <v>200.0009</v>
      </c>
      <c r="W295" s="1" t="s">
        <v>10970</v>
      </c>
      <c r="X295" s="5" t="s">
        <v>11110</v>
      </c>
      <c r="Y295" s="2">
        <v>20935</v>
      </c>
      <c r="Z295" s="2">
        <v>45565</v>
      </c>
      <c r="AA295" s="287" t="s">
        <v>11256</v>
      </c>
      <c r="AB295" s="2">
        <v>45608</v>
      </c>
      <c r="AC295" s="80" t="s">
        <v>1339</v>
      </c>
      <c r="AF295" t="s">
        <v>3198</v>
      </c>
      <c r="AI295" t="s">
        <v>3108</v>
      </c>
      <c r="AJ295" s="2">
        <v>45573</v>
      </c>
      <c r="AM295" s="3">
        <v>45574</v>
      </c>
    </row>
    <row r="296" spans="1:137">
      <c r="A296" s="1">
        <v>297</v>
      </c>
      <c r="B296" t="s">
        <v>37</v>
      </c>
      <c r="C296" s="2">
        <v>45565</v>
      </c>
      <c r="D296" s="2"/>
      <c r="E296" t="s">
        <v>10127</v>
      </c>
      <c r="F296" s="61" t="s">
        <v>10051</v>
      </c>
      <c r="G296" t="s">
        <v>10052</v>
      </c>
      <c r="H296" s="6" t="s">
        <v>270</v>
      </c>
      <c r="I296" s="1" t="s">
        <v>49</v>
      </c>
      <c r="J296" s="8">
        <v>641091800</v>
      </c>
      <c r="K296" s="8"/>
      <c r="L296" t="s">
        <v>10127</v>
      </c>
      <c r="M296" s="2">
        <v>45565</v>
      </c>
      <c r="N296" s="1" t="s">
        <v>35</v>
      </c>
      <c r="O296" s="61" t="s">
        <v>7934</v>
      </c>
      <c r="P296" s="14" t="s">
        <v>10993</v>
      </c>
      <c r="Q296" s="187">
        <v>165.29</v>
      </c>
      <c r="R296" s="1">
        <v>1</v>
      </c>
      <c r="S296" s="128">
        <v>0.21</v>
      </c>
      <c r="T296" s="128">
        <v>0</v>
      </c>
      <c r="U296" s="363" t="s">
        <v>10854</v>
      </c>
      <c r="V296" s="126">
        <f t="shared" si="130"/>
        <v>200.0009</v>
      </c>
      <c r="W296" t="s">
        <v>10127</v>
      </c>
      <c r="X296" s="5" t="s">
        <v>10999</v>
      </c>
      <c r="Y296" s="2">
        <v>34700</v>
      </c>
      <c r="Z296" s="2">
        <v>45565</v>
      </c>
      <c r="AA296" s="61"/>
      <c r="AB296" s="2"/>
      <c r="AC296" s="133"/>
      <c r="AE296" s="3"/>
      <c r="AF296" t="s">
        <v>3198</v>
      </c>
      <c r="AI296" t="s">
        <v>3108</v>
      </c>
      <c r="AJ296" s="2">
        <v>45569</v>
      </c>
      <c r="AM296" s="2">
        <v>45569</v>
      </c>
      <c r="AS296" s="1"/>
      <c r="AT296" s="1"/>
    </row>
    <row r="297" spans="1:137">
      <c r="A297" s="1">
        <v>298</v>
      </c>
      <c r="B297" s="61" t="s">
        <v>6684</v>
      </c>
      <c r="C297" s="2">
        <v>45565</v>
      </c>
      <c r="D297" s="2"/>
      <c r="E297" s="1" t="s">
        <v>6685</v>
      </c>
      <c r="F297" s="61" t="s">
        <v>6686</v>
      </c>
      <c r="G297" t="s">
        <v>6687</v>
      </c>
      <c r="H297" s="6" t="s">
        <v>2579</v>
      </c>
      <c r="I297" t="s">
        <v>2580</v>
      </c>
      <c r="J297" s="8"/>
      <c r="K297" s="1" t="s">
        <v>7339</v>
      </c>
      <c r="L297" t="s">
        <v>6685</v>
      </c>
      <c r="M297" s="2">
        <v>45565</v>
      </c>
      <c r="N297" s="1" t="s">
        <v>35</v>
      </c>
      <c r="O297" s="61" t="s">
        <v>7925</v>
      </c>
      <c r="P297" s="14" t="s">
        <v>10975</v>
      </c>
      <c r="Q297" s="187">
        <v>115.7</v>
      </c>
      <c r="R297" s="1">
        <v>1</v>
      </c>
      <c r="S297" s="128">
        <v>0.21</v>
      </c>
      <c r="T297" s="128">
        <v>0</v>
      </c>
      <c r="U297" s="363" t="s">
        <v>10854</v>
      </c>
      <c r="V297" s="126">
        <f t="shared" si="130"/>
        <v>139.99700000000001</v>
      </c>
      <c r="W297" t="s">
        <v>11043</v>
      </c>
      <c r="X297" s="5" t="s">
        <v>11044</v>
      </c>
      <c r="Y297" s="2">
        <v>34016</v>
      </c>
      <c r="Z297" s="2">
        <v>45565</v>
      </c>
      <c r="AA297" s="61" t="s">
        <v>11093</v>
      </c>
      <c r="AB297" s="2">
        <v>45593</v>
      </c>
      <c r="AC297" s="80" t="s">
        <v>1339</v>
      </c>
      <c r="AE297" s="182">
        <v>45593</v>
      </c>
      <c r="AF297" t="s">
        <v>3198</v>
      </c>
      <c r="AI297" s="76" t="s">
        <v>6665</v>
      </c>
      <c r="AJ297" s="3">
        <v>45573</v>
      </c>
    </row>
    <row r="298" spans="1:137">
      <c r="A298" s="1">
        <v>299</v>
      </c>
      <c r="B298" s="61" t="s">
        <v>10978</v>
      </c>
      <c r="C298" s="2">
        <v>45565</v>
      </c>
      <c r="D298" s="2"/>
      <c r="E298" s="1" t="s">
        <v>10987</v>
      </c>
      <c r="F298" s="61" t="s">
        <v>10985</v>
      </c>
      <c r="G298" t="s">
        <v>10986</v>
      </c>
      <c r="H298" s="6" t="s">
        <v>221</v>
      </c>
      <c r="I298" s="1" t="s">
        <v>34</v>
      </c>
      <c r="J298" s="8"/>
      <c r="K298" s="1"/>
      <c r="L298" s="1" t="s">
        <v>10987</v>
      </c>
      <c r="M298" s="2">
        <v>45565</v>
      </c>
      <c r="N298" s="1" t="s">
        <v>35</v>
      </c>
      <c r="O298" s="61" t="s">
        <v>10536</v>
      </c>
      <c r="P298" s="14" t="s">
        <v>10988</v>
      </c>
      <c r="Q298" s="187">
        <v>50</v>
      </c>
      <c r="R298" s="1">
        <v>1</v>
      </c>
      <c r="S298" s="128">
        <v>0.21</v>
      </c>
      <c r="T298" s="128">
        <v>0</v>
      </c>
      <c r="U298" s="363"/>
      <c r="V298" s="126">
        <f>SUM(Q298-(Q298*T298))*S298+(Q298-(Q298*T298))</f>
        <v>60.5</v>
      </c>
      <c r="X298" s="5"/>
      <c r="Y298" s="2"/>
      <c r="Z298" s="2"/>
      <c r="AA298" s="61"/>
      <c r="AB298" s="2"/>
      <c r="AC298" s="133"/>
      <c r="AF298" t="s">
        <v>3198</v>
      </c>
      <c r="AI298" s="76"/>
    </row>
    <row r="299" spans="1:137">
      <c r="A299" s="1">
        <v>300</v>
      </c>
      <c r="B299" s="61" t="s">
        <v>37</v>
      </c>
      <c r="C299" s="2">
        <v>45566</v>
      </c>
      <c r="D299" s="2"/>
      <c r="E299" s="1" t="s">
        <v>5809</v>
      </c>
      <c r="F299" s="61" t="s">
        <v>5704</v>
      </c>
      <c r="G299" s="61" t="s">
        <v>5705</v>
      </c>
      <c r="H299" s="1">
        <v>4470</v>
      </c>
      <c r="I299" s="1" t="s">
        <v>4919</v>
      </c>
      <c r="J299" s="1">
        <v>631587864</v>
      </c>
      <c r="K299" s="1"/>
      <c r="L299" s="1" t="s">
        <v>5809</v>
      </c>
      <c r="M299" s="2">
        <v>45596</v>
      </c>
      <c r="N299" s="1" t="s">
        <v>35</v>
      </c>
      <c r="O299" s="61" t="s">
        <v>7934</v>
      </c>
      <c r="P299" s="14" t="s">
        <v>10979</v>
      </c>
      <c r="Q299" s="187">
        <v>86.78</v>
      </c>
      <c r="R299" s="1">
        <v>1</v>
      </c>
      <c r="S299" s="128">
        <v>0.21</v>
      </c>
      <c r="T299" s="128">
        <v>0</v>
      </c>
      <c r="U299" s="1"/>
      <c r="V299" s="126">
        <f t="shared" si="130"/>
        <v>105.0038</v>
      </c>
      <c r="W299" s="1" t="s">
        <v>5809</v>
      </c>
      <c r="X299" s="6" t="s">
        <v>10977</v>
      </c>
      <c r="Y299" s="2">
        <v>33162</v>
      </c>
      <c r="Z299" s="3">
        <v>45566</v>
      </c>
      <c r="AA299" s="284" t="s">
        <v>11225</v>
      </c>
      <c r="AB299" s="3">
        <v>45616</v>
      </c>
      <c r="AC299" s="80" t="s">
        <v>1339</v>
      </c>
      <c r="AF299" t="s">
        <v>3198</v>
      </c>
      <c r="AH299" s="2"/>
      <c r="AK299" s="3"/>
    </row>
    <row r="300" spans="1:137">
      <c r="A300" s="1">
        <v>301</v>
      </c>
      <c r="B300" t="s">
        <v>37</v>
      </c>
      <c r="C300" s="2">
        <v>45566</v>
      </c>
      <c r="D300" s="2"/>
      <c r="E300" t="s">
        <v>8816</v>
      </c>
      <c r="F300" t="s">
        <v>8775</v>
      </c>
      <c r="G300" t="s">
        <v>6594</v>
      </c>
      <c r="H300" s="6" t="s">
        <v>219</v>
      </c>
      <c r="I300" s="1" t="s">
        <v>4334</v>
      </c>
      <c r="J300" s="295">
        <v>602025411</v>
      </c>
      <c r="K300" s="295"/>
      <c r="L300" s="1" t="s">
        <v>8816</v>
      </c>
      <c r="M300" s="2">
        <v>45596</v>
      </c>
      <c r="N300" s="1" t="s">
        <v>35</v>
      </c>
      <c r="O300" s="61" t="s">
        <v>7934</v>
      </c>
      <c r="P300" s="14" t="s">
        <v>10980</v>
      </c>
      <c r="Q300" s="187">
        <v>86.78</v>
      </c>
      <c r="R300" s="1">
        <v>1</v>
      </c>
      <c r="S300" s="90">
        <v>0.21</v>
      </c>
      <c r="T300" s="128">
        <v>0</v>
      </c>
      <c r="U300" s="363"/>
      <c r="V300" s="95">
        <f t="shared" si="130"/>
        <v>105.0038</v>
      </c>
      <c r="W300" t="s">
        <v>8816</v>
      </c>
      <c r="X300" s="5" t="s">
        <v>10981</v>
      </c>
      <c r="Y300" s="2">
        <v>30627</v>
      </c>
      <c r="Z300" s="3">
        <v>45566</v>
      </c>
      <c r="AA300" s="284" t="s">
        <v>11226</v>
      </c>
      <c r="AB300" s="2">
        <v>45621</v>
      </c>
      <c r="AC300" s="80" t="s">
        <v>1339</v>
      </c>
      <c r="AF300" t="s">
        <v>3198</v>
      </c>
      <c r="AJ300" s="2"/>
      <c r="AK300" s="74"/>
      <c r="AL300" s="74"/>
      <c r="AM300" s="74"/>
      <c r="AT300" s="1"/>
    </row>
    <row r="301" spans="1:137" s="196" customFormat="1">
      <c r="A301" s="1">
        <v>302</v>
      </c>
      <c r="B301" t="s">
        <v>1414</v>
      </c>
      <c r="C301" s="2">
        <v>45566</v>
      </c>
      <c r="D301" s="2"/>
      <c r="E301" s="1" t="s">
        <v>1407</v>
      </c>
      <c r="F301" s="61" t="s">
        <v>1408</v>
      </c>
      <c r="G301" s="61" t="s">
        <v>1409</v>
      </c>
      <c r="H301" s="6" t="s">
        <v>227</v>
      </c>
      <c r="I301" s="1" t="s">
        <v>203</v>
      </c>
      <c r="J301" s="1" t="s">
        <v>10982</v>
      </c>
      <c r="K301" s="1"/>
      <c r="L301" s="1" t="s">
        <v>1407</v>
      </c>
      <c r="M301" s="2">
        <v>45596</v>
      </c>
      <c r="N301" s="1" t="s">
        <v>35</v>
      </c>
      <c r="O301" s="61" t="s">
        <v>7934</v>
      </c>
      <c r="P301" s="14" t="s">
        <v>10983</v>
      </c>
      <c r="Q301" s="187">
        <v>69.42</v>
      </c>
      <c r="R301" s="128">
        <v>0.01</v>
      </c>
      <c r="S301" s="90">
        <v>0.21</v>
      </c>
      <c r="T301" s="128">
        <v>0</v>
      </c>
      <c r="U301" s="363"/>
      <c r="V301" s="95">
        <f t="shared" si="130"/>
        <v>83.998199999999997</v>
      </c>
      <c r="W301" s="1" t="s">
        <v>5575</v>
      </c>
      <c r="X301" s="5" t="s">
        <v>10984</v>
      </c>
      <c r="Y301" s="2">
        <v>36525</v>
      </c>
      <c r="Z301" s="3">
        <v>45566</v>
      </c>
      <c r="AA301" s="284" t="s">
        <v>11225</v>
      </c>
      <c r="AB301" s="3">
        <v>45616</v>
      </c>
      <c r="AC301" s="80" t="s">
        <v>1339</v>
      </c>
      <c r="AD301"/>
      <c r="AE301"/>
      <c r="AF301" t="s">
        <v>3198</v>
      </c>
      <c r="AG301"/>
      <c r="AH301" s="2"/>
      <c r="AI301"/>
      <c r="AJ301"/>
      <c r="AK301" s="3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</row>
    <row r="302" spans="1:137">
      <c r="A302" s="1">
        <v>303</v>
      </c>
      <c r="B302" t="s">
        <v>33</v>
      </c>
      <c r="C302" s="2">
        <v>45567</v>
      </c>
      <c r="D302" s="2"/>
      <c r="E302" s="1" t="s">
        <v>5021</v>
      </c>
      <c r="F302" t="s">
        <v>5014</v>
      </c>
      <c r="G302" t="s">
        <v>5020</v>
      </c>
      <c r="H302" s="6" t="s">
        <v>219</v>
      </c>
      <c r="I302" s="1" t="s">
        <v>38</v>
      </c>
      <c r="J302" s="1"/>
      <c r="K302" s="114" t="s">
        <v>11744</v>
      </c>
      <c r="L302" s="1" t="s">
        <v>237</v>
      </c>
      <c r="M302" s="2">
        <v>45596</v>
      </c>
      <c r="N302" s="1" t="s">
        <v>35</v>
      </c>
      <c r="O302" s="14" t="s">
        <v>7934</v>
      </c>
      <c r="P302" s="14" t="s">
        <v>10989</v>
      </c>
      <c r="Q302" s="92">
        <v>69.42</v>
      </c>
      <c r="R302" s="1">
        <v>1</v>
      </c>
      <c r="S302" s="128">
        <v>0.21</v>
      </c>
      <c r="T302" s="128">
        <v>0</v>
      </c>
      <c r="U302" s="363" t="s">
        <v>10854</v>
      </c>
      <c r="V302" s="95">
        <f t="shared" si="130"/>
        <v>83.998199999999997</v>
      </c>
      <c r="W302" t="s">
        <v>8747</v>
      </c>
      <c r="X302" s="5" t="s">
        <v>10990</v>
      </c>
      <c r="Y302" s="2">
        <v>30170</v>
      </c>
      <c r="Z302" s="2">
        <v>45567</v>
      </c>
      <c r="AA302" s="284" t="s">
        <v>11227</v>
      </c>
      <c r="AB302" s="64">
        <v>45616</v>
      </c>
      <c r="AC302" s="80" t="s">
        <v>1339</v>
      </c>
      <c r="AD302" s="61"/>
      <c r="AE302" s="61"/>
      <c r="AF302" t="s">
        <v>3198</v>
      </c>
      <c r="AJ302" s="2"/>
      <c r="AM302" s="3"/>
      <c r="AT302" s="1"/>
    </row>
    <row r="303" spans="1:137">
      <c r="A303" s="1">
        <v>304</v>
      </c>
      <c r="B303" t="s">
        <v>33</v>
      </c>
      <c r="C303" s="2">
        <v>45569</v>
      </c>
      <c r="D303" s="2"/>
      <c r="E303" s="1" t="s">
        <v>5282</v>
      </c>
      <c r="F303" s="61" t="s">
        <v>9868</v>
      </c>
      <c r="G303" s="61" t="s">
        <v>5284</v>
      </c>
      <c r="H303" s="6" t="s">
        <v>3709</v>
      </c>
      <c r="I303" s="1" t="s">
        <v>5285</v>
      </c>
      <c r="J303" s="1"/>
      <c r="K303" s="114" t="s">
        <v>11744</v>
      </c>
      <c r="L303" s="30" t="s">
        <v>237</v>
      </c>
      <c r="M303" s="2">
        <v>45596</v>
      </c>
      <c r="N303" s="1" t="s">
        <v>35</v>
      </c>
      <c r="O303" s="61" t="s">
        <v>7925</v>
      </c>
      <c r="P303" s="14" t="s">
        <v>10998</v>
      </c>
      <c r="Q303" s="92">
        <v>115.7</v>
      </c>
      <c r="R303" s="1">
        <v>1</v>
      </c>
      <c r="S303" s="90">
        <v>0.21</v>
      </c>
      <c r="T303" s="90">
        <v>0</v>
      </c>
      <c r="U303" s="363" t="s">
        <v>10854</v>
      </c>
      <c r="V303" s="126">
        <f t="shared" si="130"/>
        <v>139.99700000000001</v>
      </c>
      <c r="W303" t="s">
        <v>11083</v>
      </c>
      <c r="X303" s="5" t="s">
        <v>11084</v>
      </c>
      <c r="Y303" s="2">
        <v>32577</v>
      </c>
      <c r="Z303" s="2">
        <v>45569</v>
      </c>
      <c r="AA303" s="284" t="s">
        <v>11172</v>
      </c>
      <c r="AB303" s="2">
        <v>45608</v>
      </c>
      <c r="AC303" s="80" t="s">
        <v>1339</v>
      </c>
      <c r="AF303" t="s">
        <v>3198</v>
      </c>
      <c r="AI303" s="76" t="s">
        <v>3108</v>
      </c>
      <c r="AJ303" s="2">
        <v>45582</v>
      </c>
      <c r="AT303" s="1"/>
    </row>
    <row r="304" spans="1:137">
      <c r="A304" s="1">
        <v>305</v>
      </c>
      <c r="B304" t="s">
        <v>3526</v>
      </c>
      <c r="C304" s="2">
        <v>45572</v>
      </c>
      <c r="D304" s="2"/>
      <c r="E304" s="1" t="s">
        <v>10032</v>
      </c>
      <c r="F304" s="61" t="s">
        <v>11000</v>
      </c>
      <c r="G304" s="61" t="s">
        <v>10034</v>
      </c>
      <c r="H304" s="6" t="s">
        <v>220</v>
      </c>
      <c r="I304" s="1" t="s">
        <v>39</v>
      </c>
      <c r="J304" s="8"/>
      <c r="K304" s="301" t="s">
        <v>7759</v>
      </c>
      <c r="L304" s="1" t="s">
        <v>10032</v>
      </c>
      <c r="M304" s="2">
        <v>45596</v>
      </c>
      <c r="N304" s="1" t="s">
        <v>35</v>
      </c>
      <c r="O304" s="61" t="s">
        <v>7934</v>
      </c>
      <c r="P304" s="14" t="s">
        <v>11001</v>
      </c>
      <c r="Q304" s="187">
        <v>69.42</v>
      </c>
      <c r="R304" s="1">
        <v>1</v>
      </c>
      <c r="S304" s="90">
        <v>0.21</v>
      </c>
      <c r="T304" s="128">
        <v>0</v>
      </c>
      <c r="U304" s="363" t="s">
        <v>10854</v>
      </c>
      <c r="V304" s="126">
        <f t="shared" ref="V304" si="131">SUM(Q304-(Q304*T304))*S304+(Q304-(Q304*T304))</f>
        <v>83.998199999999997</v>
      </c>
      <c r="W304" t="s">
        <v>11002</v>
      </c>
      <c r="X304" s="5" t="s">
        <v>11003</v>
      </c>
      <c r="Y304" s="2">
        <v>32236</v>
      </c>
      <c r="Z304" s="2">
        <v>45572</v>
      </c>
      <c r="AA304" s="284" t="s">
        <v>11297</v>
      </c>
      <c r="AB304" s="2">
        <v>45627</v>
      </c>
      <c r="AC304" s="80" t="s">
        <v>1339</v>
      </c>
      <c r="AF304" t="s">
        <v>3198</v>
      </c>
      <c r="AI304" s="61"/>
      <c r="AJ304" s="2"/>
      <c r="AM304" s="3"/>
    </row>
    <row r="305" spans="1:46">
      <c r="A305" s="1">
        <v>306</v>
      </c>
      <c r="B305" t="s">
        <v>33</v>
      </c>
      <c r="C305" s="2">
        <v>45572</v>
      </c>
      <c r="D305" s="2"/>
      <c r="E305" s="1" t="s">
        <v>4477</v>
      </c>
      <c r="F305" t="s">
        <v>8764</v>
      </c>
      <c r="G305" t="s">
        <v>4479</v>
      </c>
      <c r="H305" s="6" t="s">
        <v>236</v>
      </c>
      <c r="I305" s="1" t="s">
        <v>3851</v>
      </c>
      <c r="J305" s="295"/>
      <c r="K305" s="114" t="s">
        <v>11744</v>
      </c>
      <c r="L305" t="s">
        <v>237</v>
      </c>
      <c r="M305" s="2">
        <v>45596</v>
      </c>
      <c r="N305" s="1" t="s">
        <v>35</v>
      </c>
      <c r="O305" s="61" t="s">
        <v>7934</v>
      </c>
      <c r="P305" s="14" t="s">
        <v>11004</v>
      </c>
      <c r="Q305" s="187">
        <v>69.42</v>
      </c>
      <c r="R305" s="1">
        <v>1</v>
      </c>
      <c r="S305" s="90">
        <v>0.21</v>
      </c>
      <c r="T305" s="90">
        <v>0</v>
      </c>
      <c r="U305" s="363" t="s">
        <v>10854</v>
      </c>
      <c r="V305" s="95">
        <f t="shared" ref="V305" si="132">SUM(Q305-(Q305*T305))*S305+(Q305-(Q305*T305))</f>
        <v>83.998199999999997</v>
      </c>
      <c r="W305" t="s">
        <v>8818</v>
      </c>
      <c r="X305" s="5" t="s">
        <v>11005</v>
      </c>
      <c r="Y305" s="2">
        <v>33268</v>
      </c>
      <c r="Z305" s="2">
        <v>45572</v>
      </c>
      <c r="AA305" s="284" t="s">
        <v>11297</v>
      </c>
      <c r="AB305" s="2">
        <v>45627</v>
      </c>
      <c r="AC305" s="80" t="s">
        <v>1339</v>
      </c>
      <c r="AF305" t="s">
        <v>3198</v>
      </c>
      <c r="AJ305" s="2"/>
      <c r="AK305" s="74"/>
      <c r="AL305" s="74"/>
      <c r="AM305" s="74"/>
      <c r="AT305" s="1"/>
    </row>
    <row r="306" spans="1:46">
      <c r="A306" s="1">
        <v>307</v>
      </c>
      <c r="B306" t="s">
        <v>33</v>
      </c>
      <c r="C306" s="2">
        <v>45572</v>
      </c>
      <c r="D306" s="2"/>
      <c r="E306" s="1" t="s">
        <v>11006</v>
      </c>
      <c r="F306" s="61" t="s">
        <v>11007</v>
      </c>
      <c r="G306" s="61" t="s">
        <v>11008</v>
      </c>
      <c r="H306" s="6" t="s">
        <v>220</v>
      </c>
      <c r="I306" s="1" t="s">
        <v>11009</v>
      </c>
      <c r="J306" s="8"/>
      <c r="K306" s="114" t="s">
        <v>11744</v>
      </c>
      <c r="L306" t="s">
        <v>237</v>
      </c>
      <c r="M306" s="2">
        <v>45596</v>
      </c>
      <c r="N306" s="1" t="s">
        <v>35</v>
      </c>
      <c r="O306" s="61" t="s">
        <v>9758</v>
      </c>
      <c r="P306" s="14" t="s">
        <v>11010</v>
      </c>
      <c r="Q306" s="187">
        <v>115.7</v>
      </c>
      <c r="R306" s="1">
        <v>1</v>
      </c>
      <c r="S306" s="90">
        <v>0.21</v>
      </c>
      <c r="T306" s="128">
        <v>0</v>
      </c>
      <c r="U306" s="363" t="s">
        <v>10854</v>
      </c>
      <c r="V306" s="126">
        <f t="shared" ref="V306" si="133">SUM(Q306-(Q306*T306))*S306+(Q306-(Q306*T306))</f>
        <v>139.99700000000001</v>
      </c>
      <c r="W306" t="s">
        <v>11085</v>
      </c>
      <c r="X306" s="5" t="s">
        <v>11086</v>
      </c>
      <c r="Y306" s="2">
        <v>38966</v>
      </c>
      <c r="Z306" s="2">
        <v>45572</v>
      </c>
      <c r="AA306" s="284" t="s">
        <v>11364</v>
      </c>
      <c r="AB306" s="2">
        <v>45638</v>
      </c>
      <c r="AC306" s="259"/>
      <c r="AF306" t="s">
        <v>3198</v>
      </c>
      <c r="AI306" t="s">
        <v>3470</v>
      </c>
      <c r="AJ306" s="2">
        <v>45582</v>
      </c>
      <c r="AM306" s="3">
        <v>45587</v>
      </c>
    </row>
    <row r="307" spans="1:46">
      <c r="A307" s="1">
        <v>308</v>
      </c>
      <c r="B307" t="s">
        <v>33</v>
      </c>
      <c r="C307" s="2">
        <v>45572</v>
      </c>
      <c r="D307" s="2"/>
      <c r="E307" s="1" t="s">
        <v>1617</v>
      </c>
      <c r="F307" t="s">
        <v>1618</v>
      </c>
      <c r="G307" t="s">
        <v>8918</v>
      </c>
      <c r="H307" s="6" t="s">
        <v>304</v>
      </c>
      <c r="I307" s="1" t="s">
        <v>3851</v>
      </c>
      <c r="J307" s="295"/>
      <c r="K307" s="114" t="s">
        <v>11744</v>
      </c>
      <c r="L307" t="s">
        <v>237</v>
      </c>
      <c r="M307" s="2">
        <v>45596</v>
      </c>
      <c r="N307" s="1" t="s">
        <v>35</v>
      </c>
      <c r="O307" s="61" t="s">
        <v>7925</v>
      </c>
      <c r="P307" s="14" t="s">
        <v>11011</v>
      </c>
      <c r="Q307" s="187">
        <v>115.7</v>
      </c>
      <c r="R307" s="1">
        <v>1</v>
      </c>
      <c r="S307" s="128">
        <v>0.21</v>
      </c>
      <c r="T307" s="128">
        <v>0</v>
      </c>
      <c r="U307" s="363" t="s">
        <v>10854</v>
      </c>
      <c r="V307" s="95">
        <f t="shared" ref="V307" si="134">SUM(Q307-(Q307*T307))*S307+(Q307-(Q307*T307))</f>
        <v>139.99700000000001</v>
      </c>
      <c r="W307" t="s">
        <v>11087</v>
      </c>
      <c r="X307" s="5" t="s">
        <v>11088</v>
      </c>
      <c r="Y307" s="2">
        <v>35108</v>
      </c>
      <c r="Z307" s="2">
        <v>45572</v>
      </c>
      <c r="AA307" s="284" t="s">
        <v>11145</v>
      </c>
      <c r="AB307" s="2">
        <v>45600</v>
      </c>
      <c r="AC307" s="80" t="s">
        <v>1339</v>
      </c>
      <c r="AF307" t="s">
        <v>3198</v>
      </c>
      <c r="AI307" t="s">
        <v>3108</v>
      </c>
      <c r="AJ307" s="2">
        <v>45582</v>
      </c>
      <c r="AM307" s="74">
        <v>45586</v>
      </c>
      <c r="AT307" s="1"/>
    </row>
    <row r="308" spans="1:46">
      <c r="A308" s="1">
        <v>309</v>
      </c>
      <c r="B308" t="s">
        <v>4321</v>
      </c>
      <c r="C308" s="2">
        <v>45572</v>
      </c>
      <c r="D308" s="2"/>
      <c r="E308" s="1" t="s">
        <v>9135</v>
      </c>
      <c r="F308" t="s">
        <v>9136</v>
      </c>
      <c r="G308" t="s">
        <v>9137</v>
      </c>
      <c r="H308" s="6" t="s">
        <v>242</v>
      </c>
      <c r="I308" s="1" t="s">
        <v>86</v>
      </c>
      <c r="J308" s="30"/>
      <c r="K308" s="8" t="s">
        <v>5991</v>
      </c>
      <c r="L308" s="1" t="s">
        <v>9135</v>
      </c>
      <c r="M308" s="2">
        <v>45596</v>
      </c>
      <c r="N308" s="1" t="s">
        <v>35</v>
      </c>
      <c r="O308" s="61" t="s">
        <v>7934</v>
      </c>
      <c r="P308" s="14" t="s">
        <v>11014</v>
      </c>
      <c r="Q308" s="187">
        <v>69.42</v>
      </c>
      <c r="R308" s="1">
        <v>1</v>
      </c>
      <c r="S308" s="90">
        <v>0.21</v>
      </c>
      <c r="T308" s="90">
        <v>0</v>
      </c>
      <c r="U308" s="363" t="s">
        <v>10854</v>
      </c>
      <c r="V308" s="95">
        <f t="shared" ref="V308:V310" si="135">SUM(Q308-(Q308*T308))*S308+(Q308-(Q308*T308))</f>
        <v>83.998199999999997</v>
      </c>
      <c r="W308" s="1" t="s">
        <v>9139</v>
      </c>
      <c r="X308" s="5" t="s">
        <v>11012</v>
      </c>
      <c r="Y308" s="2">
        <v>35319</v>
      </c>
      <c r="Z308" s="2">
        <v>45572</v>
      </c>
      <c r="AA308" s="284" t="s">
        <v>11297</v>
      </c>
      <c r="AB308" s="2">
        <v>45627</v>
      </c>
      <c r="AC308" s="80" t="s">
        <v>1339</v>
      </c>
      <c r="AF308" t="s">
        <v>3198</v>
      </c>
      <c r="AI308" s="61"/>
      <c r="AJ308" s="2"/>
      <c r="AM308" s="3"/>
    </row>
    <row r="309" spans="1:46">
      <c r="A309" s="1">
        <v>310</v>
      </c>
      <c r="B309" t="s">
        <v>7245</v>
      </c>
      <c r="C309" s="2">
        <v>45572</v>
      </c>
      <c r="D309" s="2"/>
      <c r="E309" t="s">
        <v>1522</v>
      </c>
      <c r="F309" t="s">
        <v>3233</v>
      </c>
      <c r="G309" t="s">
        <v>3241</v>
      </c>
      <c r="H309" s="6" t="s">
        <v>3234</v>
      </c>
      <c r="I309" t="s">
        <v>3235</v>
      </c>
      <c r="J309" s="8">
        <v>680761760</v>
      </c>
      <c r="K309" s="8" t="s">
        <v>6232</v>
      </c>
      <c r="L309" t="s">
        <v>1522</v>
      </c>
      <c r="M309" s="2">
        <v>45596</v>
      </c>
      <c r="N309" s="1" t="s">
        <v>35</v>
      </c>
      <c r="O309" s="14" t="s">
        <v>7934</v>
      </c>
      <c r="P309" s="14" t="s">
        <v>11013</v>
      </c>
      <c r="Q309" s="187">
        <v>69.42</v>
      </c>
      <c r="R309" s="1">
        <v>1</v>
      </c>
      <c r="S309" s="128">
        <v>0.21</v>
      </c>
      <c r="T309" s="128">
        <v>0</v>
      </c>
      <c r="U309" s="363" t="s">
        <v>10854</v>
      </c>
      <c r="V309" s="95">
        <f t="shared" si="135"/>
        <v>83.998199999999997</v>
      </c>
      <c r="W309" t="s">
        <v>8656</v>
      </c>
      <c r="X309" s="5" t="s">
        <v>11015</v>
      </c>
      <c r="Y309" s="2">
        <v>33467</v>
      </c>
      <c r="Z309" s="2">
        <v>45572</v>
      </c>
      <c r="AA309" s="284" t="s">
        <v>11727</v>
      </c>
      <c r="AB309" s="2">
        <v>45700</v>
      </c>
      <c r="AC309" s="80" t="s">
        <v>1339</v>
      </c>
      <c r="AE309" s="3"/>
      <c r="AF309" t="s">
        <v>3198</v>
      </c>
      <c r="AI309" s="61"/>
      <c r="AJ309" s="2"/>
      <c r="AM309" s="74"/>
      <c r="AT309" s="1"/>
    </row>
    <row r="310" spans="1:46">
      <c r="A310" s="1">
        <v>311</v>
      </c>
      <c r="B310" t="s">
        <v>33</v>
      </c>
      <c r="C310" s="2">
        <v>45572</v>
      </c>
      <c r="D310" s="2"/>
      <c r="E310" s="1" t="s">
        <v>1777</v>
      </c>
      <c r="F310" s="61" t="s">
        <v>1778</v>
      </c>
      <c r="G310" s="61" t="s">
        <v>4479</v>
      </c>
      <c r="H310" s="6" t="s">
        <v>304</v>
      </c>
      <c r="I310" t="s">
        <v>4480</v>
      </c>
      <c r="J310" s="8"/>
      <c r="K310" s="114" t="s">
        <v>11744</v>
      </c>
      <c r="L310" t="s">
        <v>237</v>
      </c>
      <c r="M310" s="2">
        <v>45596</v>
      </c>
      <c r="N310" s="1" t="s">
        <v>35</v>
      </c>
      <c r="O310" s="61" t="s">
        <v>7934</v>
      </c>
      <c r="P310" s="14" t="s">
        <v>11016</v>
      </c>
      <c r="Q310" s="92">
        <v>69.42</v>
      </c>
      <c r="R310" s="1">
        <v>1</v>
      </c>
      <c r="S310" s="128">
        <v>0.21</v>
      </c>
      <c r="T310" s="128">
        <v>0</v>
      </c>
      <c r="U310" s="363" t="s">
        <v>10854</v>
      </c>
      <c r="V310" s="95">
        <f t="shared" si="135"/>
        <v>83.998199999999997</v>
      </c>
      <c r="W310" t="s">
        <v>4482</v>
      </c>
      <c r="X310" s="5" t="s">
        <v>11017</v>
      </c>
      <c r="Y310" s="2">
        <v>24249</v>
      </c>
      <c r="Z310" s="2">
        <v>45572</v>
      </c>
      <c r="AA310" s="284" t="s">
        <v>11297</v>
      </c>
      <c r="AB310" s="2">
        <v>45627</v>
      </c>
      <c r="AC310" s="80" t="s">
        <v>1339</v>
      </c>
      <c r="AD310" s="61"/>
      <c r="AE310" s="61"/>
      <c r="AF310" t="s">
        <v>3198</v>
      </c>
      <c r="AJ310" s="2"/>
      <c r="AM310" s="3"/>
      <c r="AT310" s="1"/>
    </row>
    <row r="311" spans="1:46">
      <c r="A311" s="1">
        <v>312</v>
      </c>
      <c r="B311" t="s">
        <v>4321</v>
      </c>
      <c r="C311" s="2">
        <v>45572</v>
      </c>
      <c r="D311" s="2"/>
      <c r="E311" s="1" t="s">
        <v>11018</v>
      </c>
      <c r="F311" s="61" t="s">
        <v>11019</v>
      </c>
      <c r="G311" s="61" t="s">
        <v>11020</v>
      </c>
      <c r="H311" s="6" t="s">
        <v>250</v>
      </c>
      <c r="I311" s="1" t="s">
        <v>86</v>
      </c>
      <c r="J311" s="8"/>
      <c r="K311" s="8" t="s">
        <v>5991</v>
      </c>
      <c r="L311" s="1" t="s">
        <v>11018</v>
      </c>
      <c r="M311" s="2">
        <v>45596</v>
      </c>
      <c r="N311" s="1" t="s">
        <v>35</v>
      </c>
      <c r="O311" s="61" t="s">
        <v>7934</v>
      </c>
      <c r="P311" s="14" t="s">
        <v>11021</v>
      </c>
      <c r="Q311" s="187">
        <v>115.7</v>
      </c>
      <c r="R311" s="1">
        <v>1</v>
      </c>
      <c r="S311" s="90">
        <v>0.21</v>
      </c>
      <c r="T311" s="128">
        <v>0</v>
      </c>
      <c r="U311" s="363" t="s">
        <v>10854</v>
      </c>
      <c r="V311" s="126">
        <f t="shared" ref="V311:V312" si="136">SUM(Q311-(Q311*T311))*S311+(Q311-(Q311*T311))</f>
        <v>139.99700000000001</v>
      </c>
      <c r="W311" t="s">
        <v>11022</v>
      </c>
      <c r="X311" s="5" t="s">
        <v>11097</v>
      </c>
      <c r="Y311" s="2">
        <v>27030</v>
      </c>
      <c r="Z311" s="2">
        <v>45572</v>
      </c>
      <c r="AA311" s="284" t="s">
        <v>11106</v>
      </c>
      <c r="AB311" s="2">
        <v>45593</v>
      </c>
      <c r="AC311" s="80" t="s">
        <v>1339</v>
      </c>
      <c r="AF311" t="s">
        <v>3198</v>
      </c>
      <c r="AJ311" s="2"/>
      <c r="AM311" s="3"/>
    </row>
    <row r="312" spans="1:46">
      <c r="A312" s="1">
        <v>313</v>
      </c>
      <c r="B312" t="s">
        <v>6452</v>
      </c>
      <c r="C312" s="2">
        <v>45573</v>
      </c>
      <c r="D312" s="2"/>
      <c r="E312" s="1" t="s">
        <v>11023</v>
      </c>
      <c r="F312" s="61" t="s">
        <v>11024</v>
      </c>
      <c r="G312" s="61" t="s">
        <v>11025</v>
      </c>
      <c r="H312" s="6" t="s">
        <v>250</v>
      </c>
      <c r="I312" s="1" t="s">
        <v>86</v>
      </c>
      <c r="J312" s="8"/>
      <c r="K312" s="1"/>
      <c r="L312" s="1" t="s">
        <v>11023</v>
      </c>
      <c r="M312" s="2">
        <v>45596</v>
      </c>
      <c r="N312" s="1" t="s">
        <v>35</v>
      </c>
      <c r="O312" s="61" t="s">
        <v>7931</v>
      </c>
      <c r="P312" s="14" t="s">
        <v>10105</v>
      </c>
      <c r="Q312" s="187">
        <v>99.17</v>
      </c>
      <c r="R312" s="1">
        <v>1</v>
      </c>
      <c r="S312" s="90">
        <v>0.21</v>
      </c>
      <c r="T312" s="128">
        <v>0</v>
      </c>
      <c r="U312" s="363" t="s">
        <v>10854</v>
      </c>
      <c r="V312" s="126">
        <f t="shared" si="136"/>
        <v>119.9957</v>
      </c>
      <c r="X312" s="5"/>
      <c r="Y312" s="2"/>
      <c r="Z312" s="2">
        <v>45573</v>
      </c>
      <c r="AA312" s="284"/>
      <c r="AB312" s="2"/>
      <c r="AC312" s="80"/>
      <c r="AJ312" s="2"/>
      <c r="AM312" s="3"/>
    </row>
    <row r="313" spans="1:46">
      <c r="A313" s="1">
        <v>314</v>
      </c>
      <c r="B313" t="s">
        <v>5635</v>
      </c>
      <c r="C313" s="2">
        <v>45573</v>
      </c>
      <c r="D313" s="2"/>
      <c r="E313" s="1" t="s">
        <v>11026</v>
      </c>
      <c r="F313" s="61" t="s">
        <v>11027</v>
      </c>
      <c r="G313" s="61" t="s">
        <v>11028</v>
      </c>
      <c r="H313" s="6" t="s">
        <v>2273</v>
      </c>
      <c r="I313" s="1" t="s">
        <v>2274</v>
      </c>
      <c r="J313" s="8"/>
      <c r="K313" s="396" t="s">
        <v>7800</v>
      </c>
      <c r="L313" s="1" t="s">
        <v>11026</v>
      </c>
      <c r="M313" s="2">
        <v>45596</v>
      </c>
      <c r="N313" s="1" t="s">
        <v>35</v>
      </c>
      <c r="O313" s="61" t="s">
        <v>7933</v>
      </c>
      <c r="P313" s="14" t="s">
        <v>11029</v>
      </c>
      <c r="Q313" s="187">
        <v>100</v>
      </c>
      <c r="R313" s="1">
        <v>1</v>
      </c>
      <c r="S313" s="90">
        <v>0.21</v>
      </c>
      <c r="T313" s="128">
        <v>0</v>
      </c>
      <c r="U313" s="363"/>
      <c r="V313" s="126">
        <f t="shared" ref="V313:V315" si="137">SUM(Q313-(Q313*T313))*S313+(Q313-(Q313*T313))</f>
        <v>121</v>
      </c>
      <c r="W313" t="s">
        <v>11030</v>
      </c>
      <c r="X313" s="5" t="s">
        <v>11031</v>
      </c>
      <c r="Y313" s="2">
        <v>35954</v>
      </c>
      <c r="Z313" s="2">
        <v>45573</v>
      </c>
      <c r="AA313" s="284"/>
      <c r="AB313" s="2"/>
      <c r="AC313" s="80"/>
      <c r="AF313" t="s">
        <v>3198</v>
      </c>
      <c r="AJ313" s="2"/>
      <c r="AM313" s="3"/>
    </row>
    <row r="314" spans="1:46">
      <c r="A314" s="1">
        <v>315</v>
      </c>
      <c r="B314" t="s">
        <v>3526</v>
      </c>
      <c r="C314" s="2">
        <v>45574</v>
      </c>
      <c r="D314" s="2"/>
      <c r="E314" s="1" t="s">
        <v>11046</v>
      </c>
      <c r="F314" s="61" t="s">
        <v>11047</v>
      </c>
      <c r="G314" s="61" t="s">
        <v>11048</v>
      </c>
      <c r="H314" s="6" t="s">
        <v>242</v>
      </c>
      <c r="I314" s="1" t="s">
        <v>86</v>
      </c>
      <c r="J314" s="8"/>
      <c r="K314" s="396" t="s">
        <v>7759</v>
      </c>
      <c r="L314" s="1" t="s">
        <v>11046</v>
      </c>
      <c r="M314" s="2">
        <v>45596</v>
      </c>
      <c r="N314" s="1" t="s">
        <v>35</v>
      </c>
      <c r="O314" s="61" t="s">
        <v>7934</v>
      </c>
      <c r="P314" s="14" t="s">
        <v>11049</v>
      </c>
      <c r="Q314" s="187">
        <v>115.7</v>
      </c>
      <c r="R314" s="1">
        <v>1</v>
      </c>
      <c r="S314" s="90">
        <v>0.21</v>
      </c>
      <c r="T314" s="128">
        <v>0</v>
      </c>
      <c r="U314" s="363" t="s">
        <v>10854</v>
      </c>
      <c r="V314" s="126">
        <f t="shared" si="137"/>
        <v>139.99700000000001</v>
      </c>
      <c r="W314" t="s">
        <v>11050</v>
      </c>
      <c r="X314" s="5" t="s">
        <v>11098</v>
      </c>
      <c r="Y314" s="2">
        <v>37239</v>
      </c>
      <c r="Z314" s="2">
        <v>45574</v>
      </c>
      <c r="AA314" s="284" t="s">
        <v>11143</v>
      </c>
      <c r="AB314" s="2">
        <v>45599</v>
      </c>
      <c r="AC314" s="80" t="s">
        <v>1339</v>
      </c>
      <c r="AF314" t="s">
        <v>3198</v>
      </c>
      <c r="AJ314" s="2"/>
      <c r="AM314" s="3"/>
    </row>
    <row r="315" spans="1:46">
      <c r="A315" s="1">
        <v>316</v>
      </c>
      <c r="B315" t="s">
        <v>33</v>
      </c>
      <c r="C315" s="2">
        <v>45575</v>
      </c>
      <c r="D315" s="2"/>
      <c r="E315" s="1" t="s">
        <v>5282</v>
      </c>
      <c r="F315" s="61" t="s">
        <v>5283</v>
      </c>
      <c r="G315" s="61" t="s">
        <v>5284</v>
      </c>
      <c r="H315" s="6" t="s">
        <v>3709</v>
      </c>
      <c r="I315" s="1" t="s">
        <v>5285</v>
      </c>
      <c r="K315" s="114" t="s">
        <v>11744</v>
      </c>
      <c r="L315" s="30" t="s">
        <v>237</v>
      </c>
      <c r="M315" s="2">
        <v>45596</v>
      </c>
      <c r="N315" t="s">
        <v>35</v>
      </c>
      <c r="O315" s="61" t="s">
        <v>7934</v>
      </c>
      <c r="P315" s="14" t="s">
        <v>11051</v>
      </c>
      <c r="Q315" s="187">
        <v>69.42</v>
      </c>
      <c r="R315" s="1">
        <v>1</v>
      </c>
      <c r="S315" s="90">
        <v>0.21</v>
      </c>
      <c r="T315" s="128">
        <v>0</v>
      </c>
      <c r="U315" s="363" t="s">
        <v>10854</v>
      </c>
      <c r="V315" s="126">
        <f t="shared" si="137"/>
        <v>83.998199999999997</v>
      </c>
      <c r="W315" s="1" t="s">
        <v>5340</v>
      </c>
      <c r="X315" s="6" t="s">
        <v>11052</v>
      </c>
      <c r="Y315" s="2">
        <v>35901</v>
      </c>
      <c r="Z315" s="3">
        <v>45575</v>
      </c>
      <c r="AA315" s="284" t="s">
        <v>11362</v>
      </c>
      <c r="AB315" s="3">
        <v>45638</v>
      </c>
      <c r="AC315" s="80" t="s">
        <v>1339</v>
      </c>
      <c r="AF315" t="s">
        <v>3198</v>
      </c>
      <c r="AH315" s="2"/>
      <c r="AK315" s="3"/>
    </row>
    <row r="316" spans="1:46">
      <c r="A316" s="1">
        <v>317</v>
      </c>
      <c r="B316" s="61" t="s">
        <v>9170</v>
      </c>
      <c r="C316" s="2">
        <v>45575</v>
      </c>
      <c r="D316" s="2"/>
      <c r="E316" s="1" t="s">
        <v>7075</v>
      </c>
      <c r="F316" s="61" t="s">
        <v>7076</v>
      </c>
      <c r="G316" s="61" t="s">
        <v>7077</v>
      </c>
      <c r="H316" s="6" t="s">
        <v>227</v>
      </c>
      <c r="I316" s="1" t="s">
        <v>34</v>
      </c>
      <c r="J316" s="44">
        <v>631130911</v>
      </c>
      <c r="K316" s="1" t="s">
        <v>9171</v>
      </c>
      <c r="L316" s="1" t="s">
        <v>256</v>
      </c>
      <c r="M316" s="2">
        <v>45596</v>
      </c>
      <c r="N316" s="1" t="s">
        <v>35</v>
      </c>
      <c r="O316" s="61" t="s">
        <v>9758</v>
      </c>
      <c r="P316" s="14" t="s">
        <v>7425</v>
      </c>
      <c r="Q316" s="187">
        <v>115.7</v>
      </c>
      <c r="R316" s="1">
        <v>1</v>
      </c>
      <c r="S316" s="128">
        <v>0.21</v>
      </c>
      <c r="T316" s="128">
        <v>0</v>
      </c>
      <c r="U316" s="363" t="s">
        <v>10854</v>
      </c>
      <c r="V316" s="95">
        <f t="shared" ref="V316" si="138">SUM(Q316-(Q316*T316))*S316+(Q316-(Q316*T316))</f>
        <v>139.99700000000001</v>
      </c>
      <c r="W316" t="s">
        <v>7567</v>
      </c>
      <c r="X316" s="6" t="s">
        <v>11089</v>
      </c>
      <c r="Y316" s="2">
        <v>25127</v>
      </c>
      <c r="Z316" s="3">
        <v>45575</v>
      </c>
      <c r="AA316" s="284" t="s">
        <v>11227</v>
      </c>
      <c r="AB316" s="3">
        <v>45627</v>
      </c>
      <c r="AC316" s="259"/>
      <c r="AD316" s="76" t="s">
        <v>11300</v>
      </c>
      <c r="AF316" t="s">
        <v>3198</v>
      </c>
      <c r="AI316" s="76" t="s">
        <v>3221</v>
      </c>
      <c r="AJ316" s="2">
        <v>45582</v>
      </c>
      <c r="AM316" s="74"/>
      <c r="AT316" s="1"/>
    </row>
    <row r="317" spans="1:46">
      <c r="A317" s="1">
        <v>318</v>
      </c>
      <c r="B317" t="s">
        <v>37</v>
      </c>
      <c r="C317" s="2">
        <v>45580</v>
      </c>
      <c r="D317" s="2"/>
      <c r="E317" s="1" t="s">
        <v>11056</v>
      </c>
      <c r="F317" s="61" t="s">
        <v>11057</v>
      </c>
      <c r="G317" s="61" t="s">
        <v>11058</v>
      </c>
      <c r="H317" s="6" t="s">
        <v>219</v>
      </c>
      <c r="I317" s="1" t="s">
        <v>38</v>
      </c>
      <c r="J317" s="8">
        <v>642073435</v>
      </c>
      <c r="K317" s="396"/>
      <c r="L317" s="1" t="s">
        <v>11056</v>
      </c>
      <c r="M317" s="2">
        <v>45596</v>
      </c>
      <c r="N317" s="1" t="s">
        <v>35</v>
      </c>
      <c r="O317" s="61" t="s">
        <v>7934</v>
      </c>
      <c r="P317" s="14" t="s">
        <v>11059</v>
      </c>
      <c r="Q317" s="187">
        <v>86.78</v>
      </c>
      <c r="R317" s="1">
        <v>1</v>
      </c>
      <c r="S317" s="90">
        <v>0.21</v>
      </c>
      <c r="T317" s="128">
        <v>0</v>
      </c>
      <c r="U317" s="363"/>
      <c r="V317" s="126">
        <f t="shared" ref="V317" si="139">SUM(Q317-(Q317*T317))*S317+(Q317-(Q317*T317))</f>
        <v>105.0038</v>
      </c>
      <c r="W317" s="1" t="s">
        <v>11056</v>
      </c>
      <c r="X317" s="5" t="s">
        <v>11060</v>
      </c>
      <c r="Y317" s="2">
        <v>33723</v>
      </c>
      <c r="Z317" s="2">
        <v>45580</v>
      </c>
      <c r="AA317" s="284" t="s">
        <v>11363</v>
      </c>
      <c r="AB317" s="3">
        <v>45638</v>
      </c>
      <c r="AC317" s="80" t="s">
        <v>1339</v>
      </c>
      <c r="AF317" t="s">
        <v>3198</v>
      </c>
      <c r="AJ317" s="2"/>
      <c r="AM317" s="3"/>
    </row>
    <row r="318" spans="1:46">
      <c r="A318" s="1">
        <v>319</v>
      </c>
      <c r="B318" s="61" t="s">
        <v>37</v>
      </c>
      <c r="C318" s="2">
        <v>45580</v>
      </c>
      <c r="D318" s="2"/>
      <c r="E318" t="s">
        <v>5632</v>
      </c>
      <c r="F318" t="s">
        <v>7362</v>
      </c>
      <c r="G318" t="s">
        <v>7363</v>
      </c>
      <c r="H318" s="6" t="s">
        <v>4146</v>
      </c>
      <c r="I318" t="s">
        <v>4147</v>
      </c>
      <c r="J318" s="8" t="s">
        <v>11061</v>
      </c>
      <c r="K318" s="302"/>
      <c r="L318" t="s">
        <v>5632</v>
      </c>
      <c r="M318" s="2">
        <v>45596</v>
      </c>
      <c r="N318" s="1" t="s">
        <v>35</v>
      </c>
      <c r="O318" s="61" t="s">
        <v>7934</v>
      </c>
      <c r="P318" s="14" t="s">
        <v>7361</v>
      </c>
      <c r="Q318" s="163">
        <v>86.78</v>
      </c>
      <c r="R318" s="1">
        <v>1</v>
      </c>
      <c r="S318" s="90">
        <v>0.21</v>
      </c>
      <c r="T318" s="90">
        <v>0</v>
      </c>
      <c r="V318" s="95">
        <f t="shared" ref="V318:V319" si="140">SUM(Q318-(Q318*T318))*S318+(Q318-(Q318*T318))</f>
        <v>105.0038</v>
      </c>
      <c r="W318" t="s">
        <v>5632</v>
      </c>
      <c r="X318" s="443" t="s">
        <v>11062</v>
      </c>
      <c r="Y318" s="2">
        <v>33979</v>
      </c>
      <c r="Z318" s="2">
        <v>45580</v>
      </c>
      <c r="AA318" s="284" t="s">
        <v>11302</v>
      </c>
      <c r="AB318" s="3">
        <v>45638</v>
      </c>
      <c r="AC318" s="80" t="s">
        <v>1339</v>
      </c>
      <c r="AF318" t="s">
        <v>3198</v>
      </c>
      <c r="AJ318" s="2"/>
      <c r="AK318" s="1"/>
      <c r="AM318" s="74"/>
      <c r="AT318" s="1"/>
    </row>
    <row r="319" spans="1:46">
      <c r="A319" s="1">
        <v>320</v>
      </c>
      <c r="B319" s="61" t="s">
        <v>6684</v>
      </c>
      <c r="C319" s="2">
        <v>45581</v>
      </c>
      <c r="D319" s="2" t="s">
        <v>9900</v>
      </c>
      <c r="E319" t="s">
        <v>2844</v>
      </c>
      <c r="F319" t="s">
        <v>11063</v>
      </c>
      <c r="G319" s="61" t="s">
        <v>4025</v>
      </c>
      <c r="H319" s="6" t="s">
        <v>2579</v>
      </c>
      <c r="I319" s="1" t="s">
        <v>2580</v>
      </c>
      <c r="J319" s="8">
        <v>624883670</v>
      </c>
      <c r="K319" s="302"/>
      <c r="L319" t="s">
        <v>2844</v>
      </c>
      <c r="M319" s="2">
        <v>45596</v>
      </c>
      <c r="N319" s="1" t="s">
        <v>35</v>
      </c>
      <c r="O319" s="61" t="s">
        <v>7934</v>
      </c>
      <c r="P319" s="14" t="s">
        <v>11064</v>
      </c>
      <c r="Q319" s="163">
        <v>69.42</v>
      </c>
      <c r="R319" s="1">
        <v>1</v>
      </c>
      <c r="S319" s="90">
        <v>0.21</v>
      </c>
      <c r="T319" s="90">
        <v>0</v>
      </c>
      <c r="U319" s="363" t="s">
        <v>10854</v>
      </c>
      <c r="V319" s="95">
        <f t="shared" si="140"/>
        <v>83.998199999999997</v>
      </c>
      <c r="W319" t="s">
        <v>2844</v>
      </c>
      <c r="X319" s="441" t="s">
        <v>11149</v>
      </c>
      <c r="Y319" s="2">
        <v>37496</v>
      </c>
      <c r="Z319" s="2">
        <v>45581</v>
      </c>
      <c r="AA319" s="284" t="s">
        <v>11146</v>
      </c>
      <c r="AB319" s="3">
        <v>45600</v>
      </c>
      <c r="AC319" s="80" t="s">
        <v>1339</v>
      </c>
      <c r="AF319" t="s">
        <v>3198</v>
      </c>
      <c r="AJ319" s="2"/>
      <c r="AK319" s="1"/>
      <c r="AM319" s="74"/>
      <c r="AT319" s="1"/>
    </row>
    <row r="320" spans="1:46">
      <c r="A320" s="1">
        <v>321</v>
      </c>
      <c r="B320" t="s">
        <v>33</v>
      </c>
      <c r="C320" s="2">
        <v>45581</v>
      </c>
      <c r="D320" s="2"/>
      <c r="E320" s="1" t="s">
        <v>3459</v>
      </c>
      <c r="F320" s="61" t="s">
        <v>3460</v>
      </c>
      <c r="G320" s="61" t="s">
        <v>3461</v>
      </c>
      <c r="H320" s="6" t="s">
        <v>219</v>
      </c>
      <c r="I320" s="1" t="s">
        <v>38</v>
      </c>
      <c r="J320" s="8">
        <v>600502530</v>
      </c>
      <c r="K320" s="114" t="s">
        <v>11744</v>
      </c>
      <c r="L320" t="s">
        <v>237</v>
      </c>
      <c r="M320" s="2">
        <v>45596</v>
      </c>
      <c r="N320" s="1" t="s">
        <v>35</v>
      </c>
      <c r="O320" s="14" t="s">
        <v>9758</v>
      </c>
      <c r="P320" s="14" t="s">
        <v>10492</v>
      </c>
      <c r="Q320" s="187">
        <v>115.7</v>
      </c>
      <c r="R320" s="1">
        <v>1</v>
      </c>
      <c r="S320" s="128">
        <v>0.21</v>
      </c>
      <c r="T320" s="128">
        <v>0</v>
      </c>
      <c r="U320" s="363" t="s">
        <v>10854</v>
      </c>
      <c r="V320" s="126">
        <f t="shared" ref="V320:V321" si="141">SUM(Q320-(Q320*T320))*S320+(Q320-(Q320*T320))</f>
        <v>139.99700000000001</v>
      </c>
      <c r="W320" t="s">
        <v>10515</v>
      </c>
      <c r="X320" s="401" t="s">
        <v>11109</v>
      </c>
      <c r="Y320" s="3">
        <v>37975</v>
      </c>
      <c r="Z320" s="2">
        <v>45581</v>
      </c>
      <c r="AA320" s="284" t="s">
        <v>11420</v>
      </c>
      <c r="AB320" s="3">
        <v>45645</v>
      </c>
      <c r="AC320" s="80" t="s">
        <v>1339</v>
      </c>
      <c r="AF320" t="s">
        <v>3198</v>
      </c>
      <c r="AI320" t="s">
        <v>3470</v>
      </c>
      <c r="AJ320" s="3">
        <v>45593</v>
      </c>
      <c r="AM320" s="3">
        <v>45601</v>
      </c>
      <c r="AS320" s="1"/>
    </row>
    <row r="321" spans="1:46">
      <c r="A321" s="1">
        <v>322</v>
      </c>
      <c r="B321" s="61" t="s">
        <v>33</v>
      </c>
      <c r="C321" s="2">
        <v>45581</v>
      </c>
      <c r="D321" s="2"/>
      <c r="E321" t="s">
        <v>9969</v>
      </c>
      <c r="F321" s="61" t="s">
        <v>9970</v>
      </c>
      <c r="G321" s="61" t="s">
        <v>9971</v>
      </c>
      <c r="H321" s="6" t="s">
        <v>304</v>
      </c>
      <c r="I321" s="1" t="s">
        <v>68</v>
      </c>
      <c r="J321" s="44"/>
      <c r="K321" s="114" t="s">
        <v>11744</v>
      </c>
      <c r="L321" s="30" t="s">
        <v>237</v>
      </c>
      <c r="M321" s="2">
        <v>45596</v>
      </c>
      <c r="N321" s="1" t="s">
        <v>35</v>
      </c>
      <c r="O321" s="61" t="s">
        <v>9758</v>
      </c>
      <c r="P321" s="14" t="s">
        <v>9972</v>
      </c>
      <c r="Q321" s="187">
        <v>115.7</v>
      </c>
      <c r="R321" s="1">
        <v>1</v>
      </c>
      <c r="S321" s="128">
        <v>0.21</v>
      </c>
      <c r="T321" s="128">
        <v>0</v>
      </c>
      <c r="U321" s="363" t="s">
        <v>10854</v>
      </c>
      <c r="V321" s="126">
        <f t="shared" si="141"/>
        <v>139.99700000000001</v>
      </c>
      <c r="W321" t="s">
        <v>10015</v>
      </c>
      <c r="X321" s="5" t="s">
        <v>11113</v>
      </c>
      <c r="Y321" s="2">
        <v>36526</v>
      </c>
      <c r="Z321" s="2">
        <v>45581</v>
      </c>
      <c r="AA321" s="284" t="s">
        <v>11678</v>
      </c>
      <c r="AB321" s="2">
        <v>45698</v>
      </c>
      <c r="AC321" s="80" t="s">
        <v>1339</v>
      </c>
      <c r="AE321" s="162">
        <v>45672</v>
      </c>
      <c r="AF321" t="s">
        <v>3198</v>
      </c>
      <c r="AI321" t="s">
        <v>3470</v>
      </c>
      <c r="AJ321" s="3">
        <v>45593</v>
      </c>
      <c r="AM321" s="3"/>
    </row>
    <row r="322" spans="1:46">
      <c r="A322" s="1">
        <v>323</v>
      </c>
      <c r="B322" s="61" t="s">
        <v>11091</v>
      </c>
      <c r="C322" s="2">
        <v>45581</v>
      </c>
      <c r="D322" s="2" t="s">
        <v>9900</v>
      </c>
      <c r="E322" s="1" t="s">
        <v>11065</v>
      </c>
      <c r="F322" s="61" t="s">
        <v>11066</v>
      </c>
      <c r="G322" s="61" t="s">
        <v>11067</v>
      </c>
      <c r="H322" s="6" t="s">
        <v>219</v>
      </c>
      <c r="I322" s="1" t="s">
        <v>4334</v>
      </c>
      <c r="J322" s="8"/>
      <c r="K322" s="1"/>
      <c r="L322" s="1" t="s">
        <v>11065</v>
      </c>
      <c r="M322" s="2">
        <v>45596</v>
      </c>
      <c r="N322" s="1" t="s">
        <v>35</v>
      </c>
      <c r="O322" s="61" t="s">
        <v>7925</v>
      </c>
      <c r="P322" s="14" t="s">
        <v>11116</v>
      </c>
      <c r="Q322" s="187">
        <v>115.7</v>
      </c>
      <c r="R322" s="1">
        <v>1</v>
      </c>
      <c r="S322" s="128">
        <v>0.21</v>
      </c>
      <c r="T322" s="128">
        <v>0</v>
      </c>
      <c r="U322" s="363" t="s">
        <v>10854</v>
      </c>
      <c r="V322" s="126">
        <f t="shared" ref="V322:V326" si="142">SUM(Q322-(Q322*T322))*S322+(Q322-(Q322*T322))</f>
        <v>139.99700000000001</v>
      </c>
      <c r="W322" t="s">
        <v>11114</v>
      </c>
      <c r="X322" s="401" t="s">
        <v>11115</v>
      </c>
      <c r="Y322" s="3">
        <v>36254</v>
      </c>
      <c r="Z322" s="2">
        <v>45581</v>
      </c>
      <c r="AA322" s="72" t="s">
        <v>11299</v>
      </c>
      <c r="AB322" s="2">
        <v>45627</v>
      </c>
      <c r="AC322" s="259"/>
      <c r="AF322" t="s">
        <v>3198</v>
      </c>
      <c r="AI322" s="61" t="s">
        <v>11068</v>
      </c>
      <c r="AJ322" s="3">
        <v>45593</v>
      </c>
      <c r="AM322" s="3">
        <v>45595</v>
      </c>
      <c r="AS322" s="1"/>
    </row>
    <row r="323" spans="1:46">
      <c r="A323" s="1">
        <v>324</v>
      </c>
      <c r="B323" t="s">
        <v>40</v>
      </c>
      <c r="C323" s="2">
        <v>45581</v>
      </c>
      <c r="D323" s="2" t="s">
        <v>9900</v>
      </c>
      <c r="E323" s="1" t="s">
        <v>11070</v>
      </c>
      <c r="F323" s="61" t="s">
        <v>11071</v>
      </c>
      <c r="G323" s="61" t="s">
        <v>11072</v>
      </c>
      <c r="H323" s="6" t="s">
        <v>221</v>
      </c>
      <c r="I323" s="1" t="s">
        <v>34</v>
      </c>
      <c r="J323" s="8"/>
      <c r="K323" s="396" t="s">
        <v>8357</v>
      </c>
      <c r="L323" s="1" t="s">
        <v>11070</v>
      </c>
      <c r="M323" s="2">
        <v>45596</v>
      </c>
      <c r="N323" s="1" t="s">
        <v>35</v>
      </c>
      <c r="O323" s="61" t="s">
        <v>9758</v>
      </c>
      <c r="P323" s="14" t="s">
        <v>11073</v>
      </c>
      <c r="Q323" s="187">
        <v>115.7</v>
      </c>
      <c r="R323" s="1">
        <v>1</v>
      </c>
      <c r="S323" s="128">
        <v>0.21</v>
      </c>
      <c r="T323" s="128">
        <v>0</v>
      </c>
      <c r="U323" s="363" t="s">
        <v>10854</v>
      </c>
      <c r="V323" s="126">
        <f t="shared" si="142"/>
        <v>139.99700000000001</v>
      </c>
      <c r="W323" t="s">
        <v>11117</v>
      </c>
      <c r="X323" s="5" t="s">
        <v>11663</v>
      </c>
      <c r="Y323" s="3">
        <v>38949</v>
      </c>
      <c r="Z323" s="2">
        <v>45581</v>
      </c>
      <c r="AA323" s="284" t="s">
        <v>11640</v>
      </c>
      <c r="AB323" s="2">
        <v>45691</v>
      </c>
      <c r="AC323" s="80" t="s">
        <v>1339</v>
      </c>
      <c r="AF323" t="s">
        <v>3198</v>
      </c>
      <c r="AI323" s="76" t="s">
        <v>3470</v>
      </c>
      <c r="AJ323" s="3">
        <v>45593</v>
      </c>
      <c r="AM323" s="3"/>
      <c r="AS323" s="1"/>
    </row>
    <row r="324" spans="1:46">
      <c r="A324" s="1">
        <v>325</v>
      </c>
      <c r="B324" t="s">
        <v>7036</v>
      </c>
      <c r="C324" s="2">
        <v>45581</v>
      </c>
      <c r="D324" s="2"/>
      <c r="E324" s="1" t="s">
        <v>6375</v>
      </c>
      <c r="F324" t="s">
        <v>6376</v>
      </c>
      <c r="G324" s="61" t="s">
        <v>6377</v>
      </c>
      <c r="H324" s="6" t="s">
        <v>294</v>
      </c>
      <c r="I324" s="1" t="s">
        <v>103</v>
      </c>
      <c r="J324" s="8">
        <v>660744167</v>
      </c>
      <c r="K324" s="301" t="s">
        <v>6332</v>
      </c>
      <c r="L324" s="1" t="s">
        <v>6375</v>
      </c>
      <c r="M324" s="2">
        <v>45596</v>
      </c>
      <c r="N324" s="1" t="s">
        <v>35</v>
      </c>
      <c r="O324" s="61" t="s">
        <v>7926</v>
      </c>
      <c r="P324" s="14" t="s">
        <v>8393</v>
      </c>
      <c r="Q324" s="187">
        <v>115.7</v>
      </c>
      <c r="R324" s="1">
        <v>1</v>
      </c>
      <c r="S324" s="90">
        <v>0.21</v>
      </c>
      <c r="T324" s="90">
        <v>0</v>
      </c>
      <c r="U324" s="363" t="s">
        <v>10854</v>
      </c>
      <c r="V324" s="95">
        <f t="shared" ref="V324" si="143">SUM(Q324-(Q324*T324))*S324+(Q324-(Q324*T324))</f>
        <v>139.99700000000001</v>
      </c>
      <c r="W324" t="s">
        <v>8461</v>
      </c>
      <c r="X324" s="5" t="s">
        <v>11112</v>
      </c>
      <c r="Y324" s="2">
        <v>38049</v>
      </c>
      <c r="Z324" s="2">
        <v>45581</v>
      </c>
      <c r="AA324" s="284" t="s">
        <v>11362</v>
      </c>
      <c r="AB324" s="2">
        <v>45638</v>
      </c>
      <c r="AC324" s="80" t="s">
        <v>1339</v>
      </c>
      <c r="AF324" t="s">
        <v>3198</v>
      </c>
      <c r="AI324" t="s">
        <v>3470</v>
      </c>
      <c r="AJ324" s="2">
        <v>45593</v>
      </c>
      <c r="AM324" s="74">
        <v>45595</v>
      </c>
      <c r="AT324" s="1"/>
    </row>
    <row r="325" spans="1:46">
      <c r="A325" s="1">
        <v>326</v>
      </c>
      <c r="B325" t="s">
        <v>1242</v>
      </c>
      <c r="C325" s="403">
        <v>45565</v>
      </c>
      <c r="D325" s="2"/>
      <c r="E325" s="1" t="s">
        <v>6151</v>
      </c>
      <c r="F325" t="s">
        <v>1096</v>
      </c>
      <c r="G325" t="s">
        <v>1097</v>
      </c>
      <c r="H325" s="6" t="s">
        <v>227</v>
      </c>
      <c r="I325" s="1" t="s">
        <v>203</v>
      </c>
      <c r="J325" s="8"/>
      <c r="K325" s="8" t="s">
        <v>5905</v>
      </c>
      <c r="L325" s="31" t="s">
        <v>1250</v>
      </c>
      <c r="M325" s="2">
        <v>45596</v>
      </c>
      <c r="N325" s="1" t="s">
        <v>35</v>
      </c>
      <c r="O325" s="14" t="s">
        <v>7926</v>
      </c>
      <c r="P325" s="14" t="s">
        <v>11080</v>
      </c>
      <c r="Q325" s="187">
        <v>115.7</v>
      </c>
      <c r="R325" s="1">
        <v>1</v>
      </c>
      <c r="S325" s="90">
        <v>0.21</v>
      </c>
      <c r="T325" s="90">
        <v>0</v>
      </c>
      <c r="U325" s="363" t="s">
        <v>10854</v>
      </c>
      <c r="V325" s="95">
        <f t="shared" ref="V325" si="144">SUM(Q325-(Q325*T325))*S325+(Q325-(Q325*T325))</f>
        <v>139.99700000000001</v>
      </c>
      <c r="W325" t="s">
        <v>11081</v>
      </c>
      <c r="X325" s="5" t="s">
        <v>11082</v>
      </c>
      <c r="Y325" s="2">
        <v>34889</v>
      </c>
      <c r="Z325" s="2">
        <v>45565</v>
      </c>
      <c r="AA325" s="284" t="s">
        <v>11225</v>
      </c>
      <c r="AB325" s="2">
        <v>45633</v>
      </c>
      <c r="AC325" s="80" t="s">
        <v>1339</v>
      </c>
      <c r="AF325" t="s">
        <v>3198</v>
      </c>
      <c r="AI325" t="s">
        <v>3470</v>
      </c>
      <c r="AJ325" s="2">
        <v>45582</v>
      </c>
      <c r="AK325" s="3"/>
      <c r="AL325" s="3"/>
      <c r="AM325" s="74">
        <v>45586</v>
      </c>
      <c r="AT325" s="1"/>
    </row>
    <row r="326" spans="1:46">
      <c r="A326" s="1">
        <v>327</v>
      </c>
      <c r="B326" t="s">
        <v>3526</v>
      </c>
      <c r="C326" s="2">
        <v>45583</v>
      </c>
      <c r="D326" s="2" t="s">
        <v>9900</v>
      </c>
      <c r="E326" s="1" t="s">
        <v>4220</v>
      </c>
      <c r="F326" s="61" t="s">
        <v>4219</v>
      </c>
      <c r="G326" s="61" t="s">
        <v>11092</v>
      </c>
      <c r="H326" s="6" t="s">
        <v>294</v>
      </c>
      <c r="I326" s="1" t="s">
        <v>103</v>
      </c>
      <c r="J326" s="8"/>
      <c r="K326" s="396" t="s">
        <v>7759</v>
      </c>
      <c r="L326" s="1" t="s">
        <v>4220</v>
      </c>
      <c r="M326" s="2">
        <v>45596</v>
      </c>
      <c r="N326" s="1" t="s">
        <v>35</v>
      </c>
      <c r="O326" s="14" t="s">
        <v>7926</v>
      </c>
      <c r="P326" s="14" t="s">
        <v>11095</v>
      </c>
      <c r="Q326" s="187">
        <v>115.7</v>
      </c>
      <c r="R326" s="1">
        <v>1</v>
      </c>
      <c r="S326" s="90">
        <v>0.21</v>
      </c>
      <c r="T326" s="90">
        <v>0</v>
      </c>
      <c r="U326" s="363" t="s">
        <v>10854</v>
      </c>
      <c r="V326" s="126">
        <f t="shared" si="142"/>
        <v>139.99700000000001</v>
      </c>
      <c r="W326" t="s">
        <v>11122</v>
      </c>
      <c r="X326" s="401" t="s">
        <v>11123</v>
      </c>
      <c r="Y326" s="3">
        <v>34776</v>
      </c>
      <c r="Z326" s="2">
        <v>45583</v>
      </c>
      <c r="AA326" s="284" t="s">
        <v>11365</v>
      </c>
      <c r="AB326" s="2">
        <v>45638</v>
      </c>
      <c r="AC326" s="80" t="s">
        <v>1339</v>
      </c>
      <c r="AF326" t="s">
        <v>3198</v>
      </c>
      <c r="AI326" t="s">
        <v>3470</v>
      </c>
      <c r="AJ326" s="3">
        <v>45593</v>
      </c>
      <c r="AM326" s="3">
        <v>45600</v>
      </c>
      <c r="AS326" s="1"/>
    </row>
    <row r="327" spans="1:46">
      <c r="A327" s="1">
        <v>328</v>
      </c>
      <c r="B327" t="s">
        <v>3526</v>
      </c>
      <c r="C327" s="2">
        <v>45583</v>
      </c>
      <c r="D327" s="2"/>
      <c r="E327" s="1" t="s">
        <v>4220</v>
      </c>
      <c r="F327" s="61" t="s">
        <v>4219</v>
      </c>
      <c r="G327" s="61" t="s">
        <v>11092</v>
      </c>
      <c r="H327" s="6" t="s">
        <v>294</v>
      </c>
      <c r="I327" s="1" t="s">
        <v>103</v>
      </c>
      <c r="J327" s="8"/>
      <c r="K327" s="396" t="s">
        <v>7759</v>
      </c>
      <c r="L327" s="1" t="s">
        <v>4220</v>
      </c>
      <c r="M327" s="2">
        <v>45596</v>
      </c>
      <c r="N327" s="1" t="s">
        <v>35</v>
      </c>
      <c r="O327" s="14" t="s">
        <v>7926</v>
      </c>
      <c r="P327" s="14" t="s">
        <v>11096</v>
      </c>
      <c r="Q327" s="187">
        <v>115.7</v>
      </c>
      <c r="R327" s="1">
        <v>1</v>
      </c>
      <c r="S327" s="90">
        <v>0.21</v>
      </c>
      <c r="T327" s="90">
        <v>0</v>
      </c>
      <c r="U327" s="363" t="s">
        <v>10854</v>
      </c>
      <c r="V327" s="126">
        <f t="shared" ref="V327" si="145">SUM(Q327-(Q327*T327))*S327+(Q327-(Q327*T327))</f>
        <v>139.99700000000001</v>
      </c>
      <c r="W327" t="s">
        <v>11120</v>
      </c>
      <c r="X327" s="401" t="s">
        <v>11121</v>
      </c>
      <c r="Y327" s="3">
        <v>31889</v>
      </c>
      <c r="Z327" s="2">
        <v>45583</v>
      </c>
      <c r="AA327" s="284" t="s">
        <v>11566</v>
      </c>
      <c r="AB327" s="2">
        <v>45674</v>
      </c>
      <c r="AC327" s="80" t="s">
        <v>1339</v>
      </c>
      <c r="AF327" t="s">
        <v>3198</v>
      </c>
      <c r="AI327" t="s">
        <v>3470</v>
      </c>
      <c r="AJ327" s="3">
        <v>45593</v>
      </c>
      <c r="AM327" s="3">
        <v>45600</v>
      </c>
      <c r="AS327" s="1"/>
    </row>
    <row r="328" spans="1:46">
      <c r="A328" s="1">
        <v>329</v>
      </c>
      <c r="B328" t="s">
        <v>33</v>
      </c>
      <c r="C328" s="2">
        <v>45586</v>
      </c>
      <c r="D328" s="2"/>
      <c r="E328" s="1" t="s">
        <v>1617</v>
      </c>
      <c r="F328" t="s">
        <v>1618</v>
      </c>
      <c r="G328" t="s">
        <v>8918</v>
      </c>
      <c r="H328" s="6" t="s">
        <v>304</v>
      </c>
      <c r="I328" s="1" t="s">
        <v>3851</v>
      </c>
      <c r="J328" s="295"/>
      <c r="K328" s="114" t="s">
        <v>11744</v>
      </c>
      <c r="L328" t="s">
        <v>237</v>
      </c>
      <c r="M328" s="2">
        <v>45596</v>
      </c>
      <c r="N328" s="1" t="s">
        <v>35</v>
      </c>
      <c r="O328" s="61" t="s">
        <v>7934</v>
      </c>
      <c r="P328" s="14" t="s">
        <v>11099</v>
      </c>
      <c r="Q328" s="187">
        <v>69.42</v>
      </c>
      <c r="R328" s="1">
        <v>1</v>
      </c>
      <c r="S328" s="128">
        <v>0.21</v>
      </c>
      <c r="T328" s="128">
        <v>0</v>
      </c>
      <c r="U328" s="363" t="s">
        <v>10854</v>
      </c>
      <c r="V328" s="95">
        <f t="shared" ref="V328" si="146">SUM(Q328-(Q328*T328))*S328+(Q328-(Q328*T328))</f>
        <v>83.998199999999997</v>
      </c>
      <c r="W328" t="s">
        <v>8975</v>
      </c>
      <c r="X328" s="5" t="s">
        <v>11100</v>
      </c>
      <c r="Y328" s="2">
        <v>31537</v>
      </c>
      <c r="Z328" s="2">
        <v>45586</v>
      </c>
      <c r="AA328" s="284" t="s">
        <v>11565</v>
      </c>
      <c r="AB328" s="2">
        <v>45311</v>
      </c>
      <c r="AC328" s="80" t="s">
        <v>1339</v>
      </c>
      <c r="AF328" t="s">
        <v>3198</v>
      </c>
      <c r="AJ328" s="2"/>
      <c r="AM328" s="74"/>
      <c r="AT328" s="1"/>
    </row>
    <row r="329" spans="1:46">
      <c r="A329" s="1">
        <v>330</v>
      </c>
      <c r="B329" t="s">
        <v>37</v>
      </c>
      <c r="C329" s="2">
        <v>45586</v>
      </c>
      <c r="D329" s="2"/>
      <c r="E329" s="1" t="s">
        <v>5120</v>
      </c>
      <c r="F329" t="s">
        <v>5121</v>
      </c>
      <c r="G329" s="61" t="s">
        <v>5122</v>
      </c>
      <c r="H329" s="6" t="s">
        <v>3709</v>
      </c>
      <c r="I329" s="1" t="s">
        <v>39</v>
      </c>
      <c r="J329" s="1">
        <v>643279263</v>
      </c>
      <c r="L329" s="1" t="s">
        <v>5120</v>
      </c>
      <c r="M329" s="2">
        <v>45596</v>
      </c>
      <c r="N329" s="1" t="s">
        <v>35</v>
      </c>
      <c r="O329" s="61" t="s">
        <v>7934</v>
      </c>
      <c r="P329" s="14" t="s">
        <v>11101</v>
      </c>
      <c r="Q329" s="187">
        <v>86.78</v>
      </c>
      <c r="R329" s="1">
        <v>1</v>
      </c>
      <c r="S329" s="128">
        <v>0.21</v>
      </c>
      <c r="T329" s="128">
        <v>0</v>
      </c>
      <c r="U329" s="363"/>
      <c r="V329" s="126">
        <f t="shared" ref="V329" si="147">SUM(Q329-(Q329*T329))*S329+(Q329-(Q329*T329))</f>
        <v>105.0038</v>
      </c>
      <c r="W329" s="1" t="s">
        <v>5120</v>
      </c>
      <c r="X329" s="401" t="s">
        <v>11111</v>
      </c>
      <c r="Y329" s="3">
        <v>24067</v>
      </c>
      <c r="Z329" s="2">
        <v>45586</v>
      </c>
      <c r="AA329" s="284" t="s">
        <v>11567</v>
      </c>
      <c r="AB329" s="2">
        <v>45311</v>
      </c>
      <c r="AC329" s="80" t="s">
        <v>1339</v>
      </c>
      <c r="AF329" t="s">
        <v>3198</v>
      </c>
      <c r="AI329" s="61"/>
      <c r="AJ329" s="3"/>
      <c r="AM329" s="3"/>
      <c r="AS329" s="1"/>
    </row>
    <row r="330" spans="1:46">
      <c r="A330" s="1">
        <v>331</v>
      </c>
      <c r="B330" t="s">
        <v>83</v>
      </c>
      <c r="C330" s="2">
        <v>45586</v>
      </c>
      <c r="D330" s="2"/>
      <c r="E330" t="s">
        <v>8948</v>
      </c>
      <c r="F330" t="s">
        <v>8889</v>
      </c>
      <c r="G330" t="s">
        <v>8890</v>
      </c>
      <c r="H330" s="6" t="s">
        <v>236</v>
      </c>
      <c r="I330" s="1" t="s">
        <v>110</v>
      </c>
      <c r="J330" s="30">
        <v>632504315</v>
      </c>
      <c r="K330" s="30"/>
      <c r="L330" t="s">
        <v>8948</v>
      </c>
      <c r="M330" s="2">
        <v>45596</v>
      </c>
      <c r="N330" s="1" t="s">
        <v>35</v>
      </c>
      <c r="O330" s="61" t="s">
        <v>7934</v>
      </c>
      <c r="P330" s="14" t="s">
        <v>11102</v>
      </c>
      <c r="Q330" s="187">
        <v>86.78</v>
      </c>
      <c r="R330" s="1">
        <v>1</v>
      </c>
      <c r="S330" s="128">
        <v>0.21</v>
      </c>
      <c r="T330" s="128">
        <v>0</v>
      </c>
      <c r="U330" s="363"/>
      <c r="V330" s="95">
        <f t="shared" ref="V330:V331" si="148">SUM(Q330-(Q330*T330))*S330+(Q330-(Q330*T330))</f>
        <v>105.0038</v>
      </c>
      <c r="W330" t="s">
        <v>8948</v>
      </c>
      <c r="X330" s="5" t="s">
        <v>11103</v>
      </c>
      <c r="Y330" s="3">
        <v>34274</v>
      </c>
      <c r="Z330" s="2">
        <v>45586</v>
      </c>
      <c r="AA330" s="284" t="s">
        <v>11565</v>
      </c>
      <c r="AB330" s="2">
        <v>45311</v>
      </c>
      <c r="AC330" s="80" t="s">
        <v>1339</v>
      </c>
      <c r="AD330" s="61"/>
      <c r="AE330" s="61"/>
      <c r="AF330" t="s">
        <v>3198</v>
      </c>
      <c r="AJ330" s="2"/>
      <c r="AM330" s="2"/>
      <c r="AT330" s="1"/>
    </row>
    <row r="331" spans="1:46">
      <c r="A331" s="1">
        <v>332</v>
      </c>
      <c r="B331" t="s">
        <v>37</v>
      </c>
      <c r="C331" s="2">
        <v>45586</v>
      </c>
      <c r="D331" s="2"/>
      <c r="E331" s="1" t="s">
        <v>8936</v>
      </c>
      <c r="F331" t="s">
        <v>9021</v>
      </c>
      <c r="G331" t="s">
        <v>8937</v>
      </c>
      <c r="H331" s="6" t="s">
        <v>2451</v>
      </c>
      <c r="I331" s="1" t="s">
        <v>3681</v>
      </c>
      <c r="J331" s="295">
        <v>643015992</v>
      </c>
      <c r="K331" s="1"/>
      <c r="L331" s="1" t="s">
        <v>8936</v>
      </c>
      <c r="M331" s="2">
        <v>45596</v>
      </c>
      <c r="N331" s="1" t="s">
        <v>35</v>
      </c>
      <c r="O331" s="61" t="s">
        <v>7934</v>
      </c>
      <c r="P331" s="14" t="s">
        <v>11104</v>
      </c>
      <c r="Q331" s="187">
        <v>86.78</v>
      </c>
      <c r="R331" s="1">
        <v>1</v>
      </c>
      <c r="S331" s="128">
        <v>0.21</v>
      </c>
      <c r="T331" s="128">
        <v>0</v>
      </c>
      <c r="U331" s="363"/>
      <c r="V331" s="95">
        <f t="shared" si="148"/>
        <v>105.0038</v>
      </c>
      <c r="W331" s="1" t="s">
        <v>8936</v>
      </c>
      <c r="X331" s="5" t="s">
        <v>11105</v>
      </c>
      <c r="Y331" s="2">
        <v>30337</v>
      </c>
      <c r="Z331" s="2">
        <v>45586</v>
      </c>
      <c r="AA331" s="284" t="s">
        <v>11565</v>
      </c>
      <c r="AB331" s="2">
        <v>45311</v>
      </c>
      <c r="AC331" s="80" t="s">
        <v>1339</v>
      </c>
      <c r="AF331" t="s">
        <v>3198</v>
      </c>
      <c r="AJ331" s="2"/>
      <c r="AM331" s="74"/>
      <c r="AT331" s="1"/>
    </row>
    <row r="332" spans="1:46">
      <c r="A332" s="1">
        <v>333</v>
      </c>
      <c r="B332" t="s">
        <v>33</v>
      </c>
      <c r="C332" s="2">
        <v>45594</v>
      </c>
      <c r="D332" s="2"/>
      <c r="E332" s="1" t="s">
        <v>5021</v>
      </c>
      <c r="F332" t="s">
        <v>5014</v>
      </c>
      <c r="G332" t="s">
        <v>5020</v>
      </c>
      <c r="H332" s="6" t="s">
        <v>219</v>
      </c>
      <c r="I332" s="1" t="s">
        <v>38</v>
      </c>
      <c r="J332" s="1"/>
      <c r="K332" s="114" t="s">
        <v>11744</v>
      </c>
      <c r="L332" s="1" t="s">
        <v>237</v>
      </c>
      <c r="M332" s="2">
        <v>45596</v>
      </c>
      <c r="N332" s="1" t="s">
        <v>35</v>
      </c>
      <c r="O332" s="14" t="s">
        <v>7925</v>
      </c>
      <c r="P332" s="14" t="s">
        <v>11124</v>
      </c>
      <c r="Q332" s="187">
        <v>115.7</v>
      </c>
      <c r="R332" s="1">
        <v>1</v>
      </c>
      <c r="S332" s="128">
        <v>0.21</v>
      </c>
      <c r="T332" s="128">
        <v>0</v>
      </c>
      <c r="U332" s="363" t="s">
        <v>10854</v>
      </c>
      <c r="V332" s="95">
        <f t="shared" ref="V332" si="149">SUM(Q332-(Q332*T332))*S332+(Q332-(Q332*T332))</f>
        <v>139.99700000000001</v>
      </c>
      <c r="W332" t="s">
        <v>11235</v>
      </c>
      <c r="X332" s="5" t="s">
        <v>11236</v>
      </c>
      <c r="Y332" s="2">
        <v>34698</v>
      </c>
      <c r="Z332" s="2">
        <v>45594</v>
      </c>
      <c r="AA332" s="284" t="s">
        <v>11418</v>
      </c>
      <c r="AB332" s="2">
        <v>45645</v>
      </c>
      <c r="AC332" s="133" t="s">
        <v>1339</v>
      </c>
      <c r="AD332" s="61"/>
      <c r="AF332" t="s">
        <v>3198</v>
      </c>
      <c r="AI332" t="s">
        <v>3108</v>
      </c>
      <c r="AJ332" s="2">
        <v>45616</v>
      </c>
      <c r="AM332" s="3">
        <v>45618</v>
      </c>
      <c r="AS332" s="1"/>
      <c r="AT332" s="1"/>
    </row>
    <row r="333" spans="1:46">
      <c r="A333" s="1">
        <v>334</v>
      </c>
      <c r="B333" s="61" t="s">
        <v>40</v>
      </c>
      <c r="C333" s="2">
        <v>45594</v>
      </c>
      <c r="D333" s="2"/>
      <c r="E333" s="1" t="s">
        <v>4727</v>
      </c>
      <c r="F333" t="s">
        <v>4707</v>
      </c>
      <c r="G333" t="s">
        <v>4708</v>
      </c>
      <c r="H333" s="6" t="s">
        <v>236</v>
      </c>
      <c r="I333" s="1" t="s">
        <v>4710</v>
      </c>
      <c r="J333" s="1"/>
      <c r="K333" t="s">
        <v>8357</v>
      </c>
      <c r="L333" s="1" t="s">
        <v>4706</v>
      </c>
      <c r="M333" s="2">
        <v>45596</v>
      </c>
      <c r="N333" s="1" t="s">
        <v>35</v>
      </c>
      <c r="O333" s="61" t="s">
        <v>9758</v>
      </c>
      <c r="P333" s="14" t="s">
        <v>11125</v>
      </c>
      <c r="Q333" s="187">
        <v>115.7</v>
      </c>
      <c r="R333" s="1">
        <v>1</v>
      </c>
      <c r="S333" s="128">
        <v>0.21</v>
      </c>
      <c r="T333" s="128">
        <v>0</v>
      </c>
      <c r="U333" s="363" t="s">
        <v>10854</v>
      </c>
      <c r="V333" s="126">
        <f t="shared" ref="V333" si="150">SUM(Q333-(Q333*T333))*S333+(Q333-(Q333*T333))</f>
        <v>139.99700000000001</v>
      </c>
      <c r="W333" s="1" t="s">
        <v>11233</v>
      </c>
      <c r="X333" s="5" t="s">
        <v>11234</v>
      </c>
      <c r="Y333" s="2">
        <v>38830</v>
      </c>
      <c r="Z333" s="2">
        <v>45594</v>
      </c>
      <c r="AA333" s="287" t="s">
        <v>11366</v>
      </c>
      <c r="AB333" s="2">
        <v>45645</v>
      </c>
      <c r="AC333" s="133" t="s">
        <v>1339</v>
      </c>
      <c r="AF333" t="s">
        <v>3198</v>
      </c>
      <c r="AI333" t="s">
        <v>3470</v>
      </c>
      <c r="AJ333" s="2">
        <v>45616</v>
      </c>
      <c r="AM333" s="74">
        <v>45625</v>
      </c>
      <c r="AT333" s="1"/>
    </row>
    <row r="334" spans="1:46">
      <c r="A334" s="1">
        <v>335</v>
      </c>
      <c r="B334" s="61" t="s">
        <v>5635</v>
      </c>
      <c r="C334" s="2">
        <v>45594</v>
      </c>
      <c r="D334" s="2" t="s">
        <v>9900</v>
      </c>
      <c r="E334" s="1" t="s">
        <v>11126</v>
      </c>
      <c r="F334" s="61" t="s">
        <v>11127</v>
      </c>
      <c r="G334" t="s">
        <v>11128</v>
      </c>
      <c r="H334" s="6" t="s">
        <v>11129</v>
      </c>
      <c r="I334" s="1" t="s">
        <v>2274</v>
      </c>
      <c r="J334" s="1"/>
      <c r="K334" s="396" t="s">
        <v>11130</v>
      </c>
      <c r="L334" s="1" t="s">
        <v>11126</v>
      </c>
      <c r="M334" s="2">
        <v>45596</v>
      </c>
      <c r="N334" s="1" t="s">
        <v>35</v>
      </c>
      <c r="O334" s="61" t="s">
        <v>9758</v>
      </c>
      <c r="P334" s="14" t="s">
        <v>11131</v>
      </c>
      <c r="Q334" s="187">
        <v>115.7</v>
      </c>
      <c r="R334" s="1">
        <v>1</v>
      </c>
      <c r="S334" s="128">
        <v>0.21</v>
      </c>
      <c r="T334" s="128">
        <v>0</v>
      </c>
      <c r="U334" s="363" t="s">
        <v>10854</v>
      </c>
      <c r="V334" s="126">
        <f t="shared" ref="V334" si="151">SUM(Q334-(Q334*T334))*S334+(Q334-(Q334*T334))</f>
        <v>139.99700000000001</v>
      </c>
      <c r="W334" t="s">
        <v>11232</v>
      </c>
      <c r="X334" s="5" t="s">
        <v>11285</v>
      </c>
      <c r="Y334" s="2">
        <v>37347</v>
      </c>
      <c r="Z334" s="2">
        <v>45594</v>
      </c>
      <c r="AA334" s="284" t="s">
        <v>11406</v>
      </c>
      <c r="AB334" s="2">
        <v>45644</v>
      </c>
      <c r="AC334" s="80" t="s">
        <v>1339</v>
      </c>
      <c r="AF334" t="s">
        <v>3198</v>
      </c>
      <c r="AI334" t="s">
        <v>3470</v>
      </c>
      <c r="AJ334" s="2">
        <v>45616</v>
      </c>
      <c r="AM334" s="74">
        <v>45625</v>
      </c>
      <c r="AT334" s="1"/>
    </row>
    <row r="335" spans="1:46">
      <c r="A335" s="1">
        <v>336</v>
      </c>
      <c r="B335" s="61" t="s">
        <v>37</v>
      </c>
      <c r="C335" s="2">
        <v>45595</v>
      </c>
      <c r="D335" s="2"/>
      <c r="E335" s="1" t="s">
        <v>4101</v>
      </c>
      <c r="F335" s="61" t="s">
        <v>9023</v>
      </c>
      <c r="G335" s="61" t="s">
        <v>4103</v>
      </c>
      <c r="H335" s="6" t="s">
        <v>1402</v>
      </c>
      <c r="I335" s="1" t="s">
        <v>3681</v>
      </c>
      <c r="J335" s="8">
        <v>666276574</v>
      </c>
      <c r="K335" s="8"/>
      <c r="L335" t="s">
        <v>4101</v>
      </c>
      <c r="M335" s="2">
        <v>45596</v>
      </c>
      <c r="N335" s="1" t="s">
        <v>35</v>
      </c>
      <c r="O335" s="61" t="s">
        <v>7934</v>
      </c>
      <c r="P335" s="14" t="s">
        <v>11133</v>
      </c>
      <c r="Q335" s="187">
        <v>86.78</v>
      </c>
      <c r="R335" s="1">
        <v>1</v>
      </c>
      <c r="S335" s="128">
        <v>0.21</v>
      </c>
      <c r="T335" s="128">
        <v>0</v>
      </c>
      <c r="U335" s="363"/>
      <c r="V335" s="95">
        <f t="shared" ref="V335" si="152">SUM(Q335-(Q335*T335))*S335+(Q335-(Q335*T335))</f>
        <v>105.0038</v>
      </c>
      <c r="W335" s="1" t="s">
        <v>8990</v>
      </c>
      <c r="X335" s="5" t="s">
        <v>11134</v>
      </c>
      <c r="Y335" s="2">
        <v>32427</v>
      </c>
      <c r="Z335" s="2">
        <v>45595</v>
      </c>
      <c r="AA335" s="284" t="s">
        <v>11633</v>
      </c>
      <c r="AB335" s="2">
        <v>45685</v>
      </c>
      <c r="AC335" s="80" t="s">
        <v>1339</v>
      </c>
      <c r="AF335" t="s">
        <v>3198</v>
      </c>
      <c r="AJ335" s="2"/>
      <c r="AM335" s="74"/>
      <c r="AT335" s="1"/>
    </row>
    <row r="336" spans="1:46">
      <c r="A336" s="1">
        <v>337</v>
      </c>
      <c r="B336" s="61" t="s">
        <v>37</v>
      </c>
      <c r="C336" s="2">
        <v>45596</v>
      </c>
      <c r="D336" s="2" t="s">
        <v>9900</v>
      </c>
      <c r="E336" s="1" t="s">
        <v>11135</v>
      </c>
      <c r="F336" s="61" t="s">
        <v>11136</v>
      </c>
      <c r="G336" s="61" t="s">
        <v>11137</v>
      </c>
      <c r="H336" s="6" t="s">
        <v>250</v>
      </c>
      <c r="I336" s="1" t="s">
        <v>86</v>
      </c>
      <c r="J336" s="8" t="s">
        <v>11138</v>
      </c>
      <c r="K336" s="8"/>
      <c r="L336" s="1" t="s">
        <v>11135</v>
      </c>
      <c r="M336" s="2">
        <v>45596</v>
      </c>
      <c r="N336" s="1" t="s">
        <v>35</v>
      </c>
      <c r="O336" s="61" t="s">
        <v>7925</v>
      </c>
      <c r="P336" s="14" t="s">
        <v>11139</v>
      </c>
      <c r="Q336" s="187">
        <v>115.7</v>
      </c>
      <c r="R336" s="1">
        <v>1</v>
      </c>
      <c r="S336" s="128">
        <v>0.21</v>
      </c>
      <c r="T336" s="128">
        <v>0</v>
      </c>
      <c r="U336" s="363" t="s">
        <v>10854</v>
      </c>
      <c r="V336" s="126">
        <f t="shared" ref="V336:V339" si="153">SUM(Q336-(Q336*T336))*S336+(Q336-(Q336*T336))</f>
        <v>139.99700000000001</v>
      </c>
      <c r="W336" s="1" t="s">
        <v>11238</v>
      </c>
      <c r="X336" s="5" t="s">
        <v>11239</v>
      </c>
      <c r="Y336" s="2">
        <v>35796</v>
      </c>
      <c r="Z336" s="2">
        <v>45596</v>
      </c>
      <c r="AA336" s="285" t="s">
        <v>11947</v>
      </c>
      <c r="AB336" s="2">
        <v>45674</v>
      </c>
      <c r="AC336" s="80" t="s">
        <v>1339</v>
      </c>
      <c r="AE336" s="292">
        <v>45705</v>
      </c>
      <c r="AF336" t="s">
        <v>3198</v>
      </c>
      <c r="AI336" t="s">
        <v>3108</v>
      </c>
      <c r="AJ336" s="2">
        <v>45617</v>
      </c>
      <c r="AM336" s="74">
        <v>45621</v>
      </c>
      <c r="AT336" s="1"/>
    </row>
    <row r="337" spans="1:138">
      <c r="A337" s="1">
        <v>338</v>
      </c>
      <c r="B337" t="s">
        <v>45</v>
      </c>
      <c r="C337" s="2">
        <v>45596</v>
      </c>
      <c r="D337" s="2"/>
      <c r="E337" s="1" t="s">
        <v>991</v>
      </c>
      <c r="F337" t="s">
        <v>992</v>
      </c>
      <c r="G337" t="s">
        <v>5028</v>
      </c>
      <c r="H337" s="6" t="s">
        <v>241</v>
      </c>
      <c r="I337" s="1" t="s">
        <v>60</v>
      </c>
      <c r="J337">
        <v>605080088</v>
      </c>
      <c r="K337" s="1" t="s">
        <v>8356</v>
      </c>
      <c r="L337" t="s">
        <v>991</v>
      </c>
      <c r="M337" s="2">
        <v>45596</v>
      </c>
      <c r="N337" s="1" t="s">
        <v>35</v>
      </c>
      <c r="O337" s="61" t="s">
        <v>7934</v>
      </c>
      <c r="P337" s="14" t="s">
        <v>11140</v>
      </c>
      <c r="Q337" s="187">
        <v>69.42</v>
      </c>
      <c r="R337" s="1">
        <v>1</v>
      </c>
      <c r="S337" s="90">
        <v>0.21</v>
      </c>
      <c r="T337" s="90">
        <v>0</v>
      </c>
      <c r="U337" s="363" t="s">
        <v>10854</v>
      </c>
      <c r="V337" s="95">
        <f t="shared" ref="V337" si="154">SUM(Q337-(Q337*T337))*S337+(Q337-(Q337*T337))</f>
        <v>83.998199999999997</v>
      </c>
      <c r="W337" t="s">
        <v>8492</v>
      </c>
      <c r="X337" s="5" t="s">
        <v>11141</v>
      </c>
      <c r="Y337" s="2">
        <v>37737</v>
      </c>
      <c r="Z337" s="2">
        <v>45596</v>
      </c>
      <c r="AA337" s="284" t="s">
        <v>11526</v>
      </c>
      <c r="AB337" s="2">
        <v>45666</v>
      </c>
      <c r="AC337" s="80" t="s">
        <v>1339</v>
      </c>
      <c r="AF337" t="s">
        <v>3198</v>
      </c>
      <c r="AJ337" s="2"/>
      <c r="AM337" s="2"/>
      <c r="AT337" s="1"/>
    </row>
    <row r="338" spans="1:138">
      <c r="A338" s="1">
        <v>339</v>
      </c>
      <c r="B338" s="61" t="s">
        <v>52</v>
      </c>
      <c r="C338" s="2">
        <v>45601</v>
      </c>
      <c r="D338" s="2" t="s">
        <v>9900</v>
      </c>
      <c r="E338" s="1" t="s">
        <v>11150</v>
      </c>
      <c r="F338" s="61" t="s">
        <v>11151</v>
      </c>
      <c r="G338" s="61" t="s">
        <v>11152</v>
      </c>
      <c r="H338" s="6" t="s">
        <v>230</v>
      </c>
      <c r="I338" s="1" t="s">
        <v>34</v>
      </c>
      <c r="J338" s="8"/>
      <c r="K338" s="44" t="s">
        <v>5906</v>
      </c>
      <c r="L338" t="s">
        <v>4432</v>
      </c>
      <c r="M338" s="2">
        <v>45626</v>
      </c>
      <c r="N338" s="1" t="s">
        <v>35</v>
      </c>
      <c r="O338" s="61" t="s">
        <v>9758</v>
      </c>
      <c r="P338" s="14" t="s">
        <v>4269</v>
      </c>
      <c r="Q338" s="187">
        <v>115.7</v>
      </c>
      <c r="R338" s="1">
        <v>1</v>
      </c>
      <c r="S338" s="128">
        <v>0.21</v>
      </c>
      <c r="T338" s="128">
        <v>0</v>
      </c>
      <c r="U338" s="363" t="s">
        <v>10854</v>
      </c>
      <c r="V338" s="126">
        <f t="shared" si="153"/>
        <v>139.99700000000001</v>
      </c>
      <c r="W338" s="1" t="s">
        <v>4270</v>
      </c>
      <c r="X338" s="5" t="s">
        <v>11237</v>
      </c>
      <c r="Y338" s="2">
        <v>33247</v>
      </c>
      <c r="Z338" s="2">
        <v>45601</v>
      </c>
      <c r="AA338" s="287" t="s">
        <v>11419</v>
      </c>
      <c r="AB338" s="2">
        <v>45645</v>
      </c>
      <c r="AC338" s="80" t="s">
        <v>1339</v>
      </c>
      <c r="AF338" t="s">
        <v>3198</v>
      </c>
      <c r="AI338" t="s">
        <v>3470</v>
      </c>
      <c r="AJ338" s="2">
        <v>45616</v>
      </c>
      <c r="AM338" s="74">
        <v>45625</v>
      </c>
      <c r="AT338" s="1"/>
    </row>
    <row r="339" spans="1:138">
      <c r="A339" s="1">
        <v>340</v>
      </c>
      <c r="B339" s="61" t="s">
        <v>143</v>
      </c>
      <c r="C339" s="2">
        <v>45601</v>
      </c>
      <c r="D339" s="2" t="s">
        <v>9900</v>
      </c>
      <c r="E339" s="1" t="s">
        <v>11252</v>
      </c>
      <c r="F339" s="61" t="s">
        <v>11154</v>
      </c>
      <c r="G339" s="61" t="s">
        <v>11153</v>
      </c>
      <c r="H339" s="6" t="s">
        <v>219</v>
      </c>
      <c r="I339" s="1" t="s">
        <v>38</v>
      </c>
      <c r="J339" s="8"/>
      <c r="K339" s="8"/>
      <c r="L339" s="1" t="s">
        <v>11252</v>
      </c>
      <c r="M339" s="2">
        <v>45626</v>
      </c>
      <c r="N339" s="1" t="s">
        <v>35</v>
      </c>
      <c r="O339" s="61" t="s">
        <v>7925</v>
      </c>
      <c r="P339" s="14" t="s">
        <v>11155</v>
      </c>
      <c r="Q339" s="187">
        <v>165.29</v>
      </c>
      <c r="R339" s="1">
        <v>1</v>
      </c>
      <c r="S339" s="128">
        <v>0.21</v>
      </c>
      <c r="T339" s="128">
        <v>0</v>
      </c>
      <c r="U339" s="363" t="s">
        <v>10854</v>
      </c>
      <c r="V339" s="126">
        <f t="shared" si="153"/>
        <v>200.0009</v>
      </c>
      <c r="W339" s="1" t="s">
        <v>11252</v>
      </c>
      <c r="X339" s="5" t="s">
        <v>11253</v>
      </c>
      <c r="Y339" s="2">
        <v>35446</v>
      </c>
      <c r="Z339" s="2">
        <v>45601</v>
      </c>
      <c r="AA339" s="284" t="s">
        <v>11527</v>
      </c>
      <c r="AB339" s="2">
        <v>45667</v>
      </c>
      <c r="AC339" s="80" t="s">
        <v>1339</v>
      </c>
      <c r="AF339" t="s">
        <v>3198</v>
      </c>
      <c r="AI339" s="76" t="s">
        <v>3108</v>
      </c>
      <c r="AJ339" s="2">
        <v>45621</v>
      </c>
      <c r="AM339" s="74"/>
      <c r="AT339" s="1"/>
    </row>
    <row r="340" spans="1:138">
      <c r="A340" s="1">
        <v>341</v>
      </c>
      <c r="B340" s="61" t="s">
        <v>143</v>
      </c>
      <c r="C340" s="2">
        <v>45601</v>
      </c>
      <c r="D340" s="2" t="s">
        <v>9900</v>
      </c>
      <c r="E340" s="1" t="s">
        <v>11254</v>
      </c>
      <c r="F340" s="61" t="s">
        <v>11156</v>
      </c>
      <c r="G340" s="61" t="s">
        <v>11157</v>
      </c>
      <c r="H340" s="6" t="s">
        <v>219</v>
      </c>
      <c r="I340" s="1" t="s">
        <v>38</v>
      </c>
      <c r="J340" s="8">
        <v>602889827</v>
      </c>
      <c r="K340" s="8"/>
      <c r="L340" s="1" t="s">
        <v>11254</v>
      </c>
      <c r="M340" s="2">
        <v>45626</v>
      </c>
      <c r="N340" s="1" t="s">
        <v>35</v>
      </c>
      <c r="O340" s="61" t="s">
        <v>7925</v>
      </c>
      <c r="P340" s="14" t="s">
        <v>11158</v>
      </c>
      <c r="Q340" s="187">
        <v>165.29</v>
      </c>
      <c r="R340" s="1">
        <v>1</v>
      </c>
      <c r="S340" s="128">
        <v>0.21</v>
      </c>
      <c r="T340" s="128">
        <v>0</v>
      </c>
      <c r="U340" s="363" t="s">
        <v>10854</v>
      </c>
      <c r="V340" s="126">
        <f t="shared" ref="V340:V344" si="155">SUM(Q340-(Q340*T340))*S340+(Q340-(Q340*T340))</f>
        <v>200.0009</v>
      </c>
      <c r="W340" s="1" t="s">
        <v>11254</v>
      </c>
      <c r="X340" s="5" t="s">
        <v>11255</v>
      </c>
      <c r="Y340" s="2">
        <v>37622</v>
      </c>
      <c r="Z340" s="2">
        <v>45601</v>
      </c>
      <c r="AA340" s="284" t="s">
        <v>11527</v>
      </c>
      <c r="AB340" s="2">
        <v>45667</v>
      </c>
      <c r="AC340" s="80" t="s">
        <v>1339</v>
      </c>
      <c r="AF340" t="s">
        <v>3198</v>
      </c>
      <c r="AI340" t="s">
        <v>3108</v>
      </c>
      <c r="AJ340" s="2">
        <v>45621</v>
      </c>
      <c r="AM340" s="74">
        <v>45622</v>
      </c>
      <c r="AT340" s="1"/>
    </row>
    <row r="341" spans="1:138">
      <c r="A341" s="1">
        <v>342</v>
      </c>
      <c r="B341" s="61" t="s">
        <v>1414</v>
      </c>
      <c r="C341" s="2">
        <v>45602</v>
      </c>
      <c r="D341" s="2"/>
      <c r="E341" t="s">
        <v>2781</v>
      </c>
      <c r="F341" s="14" t="s">
        <v>229</v>
      </c>
      <c r="G341" t="s">
        <v>4023</v>
      </c>
      <c r="H341" s="6" t="s">
        <v>230</v>
      </c>
      <c r="I341" t="s">
        <v>1262</v>
      </c>
      <c r="J341" s="8">
        <v>637571817</v>
      </c>
      <c r="K341" s="8" t="s">
        <v>8852</v>
      </c>
      <c r="L341" t="s">
        <v>2781</v>
      </c>
      <c r="M341" s="2">
        <v>45626</v>
      </c>
      <c r="N341" s="1" t="s">
        <v>35</v>
      </c>
      <c r="O341" s="61" t="s">
        <v>7925</v>
      </c>
      <c r="P341" s="14" t="s">
        <v>11159</v>
      </c>
      <c r="Q341" s="187">
        <v>115.7</v>
      </c>
      <c r="R341" s="1">
        <v>1</v>
      </c>
      <c r="S341" s="90">
        <v>0.21</v>
      </c>
      <c r="T341" s="90">
        <v>0</v>
      </c>
      <c r="U341" s="363" t="s">
        <v>10854</v>
      </c>
      <c r="V341" s="95">
        <f t="shared" si="155"/>
        <v>139.99700000000001</v>
      </c>
      <c r="W341" t="s">
        <v>11242</v>
      </c>
      <c r="X341" s="5" t="s">
        <v>11243</v>
      </c>
      <c r="Y341" s="2">
        <v>33604</v>
      </c>
      <c r="Z341" s="2">
        <v>45602</v>
      </c>
      <c r="AA341" s="284" t="s">
        <v>11683</v>
      </c>
      <c r="AB341" s="3">
        <v>45698</v>
      </c>
      <c r="AC341" s="80" t="s">
        <v>1339</v>
      </c>
      <c r="AE341" s="411">
        <v>45672</v>
      </c>
      <c r="AF341" t="s">
        <v>3198</v>
      </c>
      <c r="AI341" s="76" t="s">
        <v>11167</v>
      </c>
      <c r="AJ341" s="2">
        <v>45617</v>
      </c>
      <c r="AK341" s="74"/>
      <c r="AL341" s="74"/>
      <c r="AM341" s="74"/>
      <c r="AT341" s="1"/>
    </row>
    <row r="342" spans="1:138" s="197" customFormat="1">
      <c r="A342" s="1">
        <v>343</v>
      </c>
      <c r="B342" s="61" t="s">
        <v>1414</v>
      </c>
      <c r="C342" s="2">
        <v>45602</v>
      </c>
      <c r="D342" s="1"/>
      <c r="E342" s="1" t="s">
        <v>1079</v>
      </c>
      <c r="F342" s="61" t="s">
        <v>41</v>
      </c>
      <c r="G342" s="61" t="s">
        <v>2115</v>
      </c>
      <c r="H342" s="1" t="s">
        <v>230</v>
      </c>
      <c r="I342" t="s">
        <v>1262</v>
      </c>
      <c r="J342" s="8">
        <v>631212115</v>
      </c>
      <c r="K342" s="8" t="s">
        <v>6306</v>
      </c>
      <c r="L342" t="s">
        <v>1079</v>
      </c>
      <c r="M342" s="2">
        <v>45626</v>
      </c>
      <c r="N342" s="1" t="s">
        <v>35</v>
      </c>
      <c r="O342" s="61" t="s">
        <v>9758</v>
      </c>
      <c r="P342" s="14" t="s">
        <v>11168</v>
      </c>
      <c r="Q342" s="187">
        <v>115.7</v>
      </c>
      <c r="R342" s="1">
        <v>1</v>
      </c>
      <c r="S342" s="128">
        <v>0.21</v>
      </c>
      <c r="T342" s="128">
        <v>0</v>
      </c>
      <c r="U342" s="363" t="s">
        <v>10854</v>
      </c>
      <c r="V342" s="126">
        <f t="shared" si="155"/>
        <v>139.99700000000001</v>
      </c>
      <c r="W342" t="s">
        <v>11240</v>
      </c>
      <c r="X342" s="5" t="s">
        <v>11241</v>
      </c>
      <c r="Y342" s="2">
        <v>37853</v>
      </c>
      <c r="Z342" s="2">
        <v>45602</v>
      </c>
      <c r="AA342" s="284" t="s">
        <v>11418</v>
      </c>
      <c r="AB342" s="64">
        <v>45645</v>
      </c>
      <c r="AC342" s="80" t="s">
        <v>1339</v>
      </c>
      <c r="AD342"/>
      <c r="AE342"/>
      <c r="AF342" t="s">
        <v>3198</v>
      </c>
      <c r="AG342"/>
      <c r="AH342"/>
      <c r="AI342" t="s">
        <v>3470</v>
      </c>
      <c r="AJ342" s="3">
        <v>45617</v>
      </c>
      <c r="AK342"/>
      <c r="AL342" s="2"/>
      <c r="AM342" s="3">
        <v>45624</v>
      </c>
      <c r="AN342"/>
      <c r="AO342"/>
      <c r="AP342"/>
      <c r="AQ342"/>
      <c r="AR342"/>
      <c r="AS342" s="1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</row>
    <row r="343" spans="1:138">
      <c r="A343" s="1">
        <v>344</v>
      </c>
      <c r="B343" s="61" t="s">
        <v>37</v>
      </c>
      <c r="C343" s="2">
        <v>45603</v>
      </c>
      <c r="D343" s="2" t="s">
        <v>9900</v>
      </c>
      <c r="E343" s="1" t="s">
        <v>11160</v>
      </c>
      <c r="F343" s="61" t="s">
        <v>11161</v>
      </c>
      <c r="G343" s="61" t="s">
        <v>11162</v>
      </c>
      <c r="H343" s="6" t="s">
        <v>7966</v>
      </c>
      <c r="I343" s="1" t="s">
        <v>11163</v>
      </c>
      <c r="J343" s="8" t="s">
        <v>11164</v>
      </c>
      <c r="K343" s="8"/>
      <c r="L343" s="1" t="s">
        <v>11160</v>
      </c>
      <c r="M343" s="2">
        <v>45626</v>
      </c>
      <c r="N343" s="1" t="s">
        <v>35</v>
      </c>
      <c r="O343" s="61" t="s">
        <v>7934</v>
      </c>
      <c r="P343" s="14" t="s">
        <v>11165</v>
      </c>
      <c r="Q343" s="187">
        <v>86.78</v>
      </c>
      <c r="R343" s="1">
        <v>1</v>
      </c>
      <c r="S343" s="128">
        <v>0.21</v>
      </c>
      <c r="T343" s="128">
        <v>0</v>
      </c>
      <c r="U343" s="363"/>
      <c r="V343" s="126">
        <f t="shared" si="155"/>
        <v>105.0038</v>
      </c>
      <c r="W343" s="1" t="s">
        <v>11160</v>
      </c>
      <c r="X343" s="5" t="s">
        <v>11166</v>
      </c>
      <c r="Y343" s="2">
        <v>30556</v>
      </c>
      <c r="Z343" s="2">
        <v>45603</v>
      </c>
      <c r="AA343" s="61"/>
      <c r="AB343" s="2"/>
      <c r="AC343" s="80"/>
      <c r="AI343" s="2"/>
      <c r="AJ343" s="2"/>
      <c r="AM343" s="74"/>
      <c r="AT343" s="1"/>
    </row>
    <row r="344" spans="1:138">
      <c r="A344" s="1">
        <v>345</v>
      </c>
      <c r="B344" t="s">
        <v>6684</v>
      </c>
      <c r="C344" s="2">
        <v>45603</v>
      </c>
      <c r="D344" s="2"/>
      <c r="E344" s="1" t="s">
        <v>6685</v>
      </c>
      <c r="F344" t="s">
        <v>6686</v>
      </c>
      <c r="G344" t="s">
        <v>6687</v>
      </c>
      <c r="H344" s="6" t="s">
        <v>2579</v>
      </c>
      <c r="I344" t="s">
        <v>2580</v>
      </c>
      <c r="J344" s="8"/>
      <c r="K344" s="1" t="s">
        <v>7339</v>
      </c>
      <c r="L344" t="s">
        <v>6685</v>
      </c>
      <c r="M344" s="2">
        <v>45626</v>
      </c>
      <c r="N344" s="1" t="s">
        <v>35</v>
      </c>
      <c r="O344" s="61" t="s">
        <v>7925</v>
      </c>
      <c r="P344" s="14" t="s">
        <v>11169</v>
      </c>
      <c r="Q344" s="187">
        <v>115.7</v>
      </c>
      <c r="R344" s="1">
        <v>1</v>
      </c>
      <c r="S344" s="128">
        <v>0.21</v>
      </c>
      <c r="T344" s="128">
        <v>0</v>
      </c>
      <c r="U344" s="363" t="s">
        <v>10854</v>
      </c>
      <c r="V344" s="126">
        <f t="shared" si="155"/>
        <v>139.99700000000001</v>
      </c>
      <c r="W344" t="s">
        <v>11250</v>
      </c>
      <c r="X344" s="5" t="s">
        <v>11251</v>
      </c>
      <c r="Y344" s="3">
        <v>28535</v>
      </c>
      <c r="Z344" s="2">
        <v>45603</v>
      </c>
      <c r="AA344" s="284" t="s">
        <v>11385</v>
      </c>
      <c r="AB344" s="2">
        <v>45643</v>
      </c>
      <c r="AC344" s="80" t="s">
        <v>1339</v>
      </c>
      <c r="AF344" t="s">
        <v>3198</v>
      </c>
      <c r="AI344" t="s">
        <v>3108</v>
      </c>
      <c r="AJ344" s="3">
        <v>45621</v>
      </c>
      <c r="AM344" s="3">
        <v>45627</v>
      </c>
    </row>
    <row r="345" spans="1:138">
      <c r="A345" s="1">
        <v>346</v>
      </c>
      <c r="B345" t="s">
        <v>6684</v>
      </c>
      <c r="C345" s="2">
        <v>45604</v>
      </c>
      <c r="D345" s="2"/>
      <c r="E345" s="1" t="s">
        <v>6685</v>
      </c>
      <c r="F345" t="s">
        <v>6686</v>
      </c>
      <c r="G345" t="s">
        <v>6687</v>
      </c>
      <c r="H345" s="6" t="s">
        <v>2579</v>
      </c>
      <c r="I345" t="s">
        <v>2580</v>
      </c>
      <c r="J345" s="8"/>
      <c r="K345" s="1" t="s">
        <v>7339</v>
      </c>
      <c r="L345" t="s">
        <v>6685</v>
      </c>
      <c r="M345" s="2">
        <v>45626</v>
      </c>
      <c r="N345" s="1" t="s">
        <v>35</v>
      </c>
      <c r="O345" s="61" t="s">
        <v>7925</v>
      </c>
      <c r="P345" s="14" t="s">
        <v>11170</v>
      </c>
      <c r="Q345" s="187">
        <v>115.7</v>
      </c>
      <c r="R345" s="1">
        <v>1</v>
      </c>
      <c r="S345" s="128">
        <v>0.21</v>
      </c>
      <c r="T345" s="128">
        <v>0</v>
      </c>
      <c r="U345" s="363" t="s">
        <v>10854</v>
      </c>
      <c r="V345" s="126">
        <f t="shared" ref="V345:V346" si="156">SUM(Q345-(Q345*T345))*S345+(Q345-(Q345*T345))</f>
        <v>139.99700000000001</v>
      </c>
      <c r="W345" t="s">
        <v>11248</v>
      </c>
      <c r="X345" s="5" t="s">
        <v>11249</v>
      </c>
      <c r="Y345" s="3">
        <v>32095</v>
      </c>
      <c r="Z345" s="2">
        <v>45604</v>
      </c>
      <c r="AA345" s="284" t="s">
        <v>11462</v>
      </c>
      <c r="AB345" s="2">
        <v>45657</v>
      </c>
      <c r="AC345" s="80" t="s">
        <v>1339</v>
      </c>
      <c r="AF345" t="s">
        <v>3198</v>
      </c>
      <c r="AI345" t="s">
        <v>3108</v>
      </c>
      <c r="AJ345" s="3">
        <v>45617</v>
      </c>
      <c r="AM345" s="3">
        <v>45625</v>
      </c>
    </row>
    <row r="346" spans="1:138">
      <c r="A346" s="1">
        <v>347</v>
      </c>
      <c r="B346" t="s">
        <v>1242</v>
      </c>
      <c r="C346" s="2">
        <v>45607</v>
      </c>
      <c r="D346" s="2"/>
      <c r="E346" s="1" t="s">
        <v>344</v>
      </c>
      <c r="F346" s="61" t="s">
        <v>345</v>
      </c>
      <c r="G346" s="61" t="s">
        <v>1249</v>
      </c>
      <c r="H346" s="6" t="s">
        <v>221</v>
      </c>
      <c r="I346" s="1" t="s">
        <v>34</v>
      </c>
      <c r="J346" s="1">
        <v>677842922</v>
      </c>
      <c r="K346" s="1" t="s">
        <v>5905</v>
      </c>
      <c r="L346" s="30" t="s">
        <v>1250</v>
      </c>
      <c r="M346" s="2">
        <v>45626</v>
      </c>
      <c r="N346" t="s">
        <v>35</v>
      </c>
      <c r="O346" s="14" t="s">
        <v>7925</v>
      </c>
      <c r="P346" s="14" t="s">
        <v>9583</v>
      </c>
      <c r="Q346" s="187">
        <v>0</v>
      </c>
      <c r="R346" s="1">
        <v>1</v>
      </c>
      <c r="S346" s="90">
        <v>0.21</v>
      </c>
      <c r="T346" s="90">
        <v>0</v>
      </c>
      <c r="U346" s="363"/>
      <c r="V346" s="95">
        <f t="shared" si="156"/>
        <v>0</v>
      </c>
      <c r="W346" t="s">
        <v>9660</v>
      </c>
      <c r="X346" s="5" t="s">
        <v>11369</v>
      </c>
      <c r="Y346" s="2">
        <v>27193</v>
      </c>
      <c r="Z346" s="2">
        <v>45607</v>
      </c>
      <c r="AA346" s="61"/>
      <c r="AB346" s="3"/>
      <c r="AC346" s="80"/>
      <c r="AF346" t="s">
        <v>3198</v>
      </c>
      <c r="AJ346" s="2"/>
      <c r="AL346" s="3"/>
      <c r="AM346" s="3"/>
    </row>
    <row r="347" spans="1:138">
      <c r="A347" s="1">
        <v>348</v>
      </c>
      <c r="B347" t="s">
        <v>37</v>
      </c>
      <c r="C347" s="2">
        <v>45608</v>
      </c>
      <c r="D347" s="2"/>
      <c r="E347" t="s">
        <v>8988</v>
      </c>
      <c r="F347" t="s">
        <v>9026</v>
      </c>
      <c r="G347" t="s">
        <v>6594</v>
      </c>
      <c r="H347" s="6" t="s">
        <v>219</v>
      </c>
      <c r="I347" s="1" t="s">
        <v>38</v>
      </c>
      <c r="J347" s="295">
        <v>643754458</v>
      </c>
      <c r="K347" s="1"/>
      <c r="L347" t="s">
        <v>8988</v>
      </c>
      <c r="M347" s="2">
        <v>45626</v>
      </c>
      <c r="N347" s="1" t="s">
        <v>35</v>
      </c>
      <c r="O347" s="61" t="s">
        <v>7934</v>
      </c>
      <c r="P347" s="14" t="s">
        <v>11177</v>
      </c>
      <c r="Q347" s="187">
        <v>86.78</v>
      </c>
      <c r="R347" s="1">
        <v>1</v>
      </c>
      <c r="S347" s="128">
        <v>0.21</v>
      </c>
      <c r="T347" s="128">
        <v>0</v>
      </c>
      <c r="U347" s="363"/>
      <c r="V347" s="95">
        <f t="shared" ref="V347" si="157">SUM(Q347-(Q347*T347))*S347+(Q347-(Q347*T347))</f>
        <v>105.0038</v>
      </c>
      <c r="W347" t="s">
        <v>8988</v>
      </c>
      <c r="X347" s="5" t="s">
        <v>11178</v>
      </c>
      <c r="Y347" s="2">
        <v>35355</v>
      </c>
      <c r="Z347" s="2">
        <v>45608</v>
      </c>
      <c r="AA347" s="284" t="s">
        <v>11640</v>
      </c>
      <c r="AB347" s="2">
        <v>45691</v>
      </c>
      <c r="AC347" s="80" t="s">
        <v>1339</v>
      </c>
      <c r="AF347" t="s">
        <v>3198</v>
      </c>
      <c r="AJ347" s="2"/>
      <c r="AM347" s="74"/>
      <c r="AT347" s="1"/>
    </row>
    <row r="348" spans="1:138">
      <c r="A348" s="1">
        <v>349</v>
      </c>
      <c r="B348" t="s">
        <v>3526</v>
      </c>
      <c r="C348" s="2">
        <v>45609</v>
      </c>
      <c r="D348" s="2"/>
      <c r="E348" s="1" t="s">
        <v>11180</v>
      </c>
      <c r="F348" t="s">
        <v>11179</v>
      </c>
      <c r="G348" s="61" t="s">
        <v>7470</v>
      </c>
      <c r="H348" s="6" t="s">
        <v>294</v>
      </c>
      <c r="I348" s="1" t="s">
        <v>103</v>
      </c>
      <c r="J348" s="8">
        <v>649440769</v>
      </c>
      <c r="K348" s="396" t="s">
        <v>7759</v>
      </c>
      <c r="L348" s="1" t="s">
        <v>11180</v>
      </c>
      <c r="M348" s="2">
        <v>45626</v>
      </c>
      <c r="N348" s="1" t="s">
        <v>35</v>
      </c>
      <c r="O348" s="61" t="s">
        <v>7934</v>
      </c>
      <c r="P348" s="14" t="s">
        <v>11181</v>
      </c>
      <c r="Q348" s="92">
        <v>69.42</v>
      </c>
      <c r="R348" s="1">
        <v>1</v>
      </c>
      <c r="S348" s="90">
        <v>0.21</v>
      </c>
      <c r="T348" s="90">
        <v>0</v>
      </c>
      <c r="U348" s="363" t="s">
        <v>10854</v>
      </c>
      <c r="V348" s="95">
        <f t="shared" ref="V348" si="158">SUM(Q348-(Q348*T348))*S348+(Q348-(Q348*T348))</f>
        <v>83.998199999999997</v>
      </c>
      <c r="W348" t="s">
        <v>8950</v>
      </c>
      <c r="X348" s="5" t="s">
        <v>11182</v>
      </c>
      <c r="Y348" s="2">
        <v>30088</v>
      </c>
      <c r="Z348" s="2">
        <v>45609</v>
      </c>
      <c r="AA348" s="284" t="s">
        <v>11669</v>
      </c>
      <c r="AB348" s="2">
        <v>45691</v>
      </c>
      <c r="AC348" s="80" t="s">
        <v>1339</v>
      </c>
      <c r="AF348" t="s">
        <v>3198</v>
      </c>
      <c r="AJ348" s="2"/>
      <c r="AM348" s="3"/>
      <c r="AT348" s="1"/>
    </row>
    <row r="349" spans="1:138">
      <c r="A349" s="1">
        <v>350</v>
      </c>
      <c r="B349" s="61" t="s">
        <v>33</v>
      </c>
      <c r="C349" s="2">
        <v>45609</v>
      </c>
      <c r="D349" s="2"/>
      <c r="E349" t="s">
        <v>9958</v>
      </c>
      <c r="F349" s="61" t="s">
        <v>9959</v>
      </c>
      <c r="G349" s="61" t="s">
        <v>9960</v>
      </c>
      <c r="H349" s="6" t="s">
        <v>219</v>
      </c>
      <c r="I349" s="1" t="s">
        <v>4334</v>
      </c>
      <c r="J349" s="44"/>
      <c r="K349" s="114" t="s">
        <v>11744</v>
      </c>
      <c r="L349" s="30" t="s">
        <v>237</v>
      </c>
      <c r="M349" s="2">
        <v>45626</v>
      </c>
      <c r="N349" s="1" t="s">
        <v>35</v>
      </c>
      <c r="O349" s="61" t="s">
        <v>7934</v>
      </c>
      <c r="P349" s="14" t="s">
        <v>11183</v>
      </c>
      <c r="Q349" s="187">
        <v>69.42</v>
      </c>
      <c r="R349" s="1">
        <v>1</v>
      </c>
      <c r="S349" s="128">
        <v>0.21</v>
      </c>
      <c r="T349" s="128">
        <v>0</v>
      </c>
      <c r="U349" s="363" t="s">
        <v>10854</v>
      </c>
      <c r="V349" s="126">
        <f t="shared" ref="V349" si="159">SUM(Q349-(Q349*T349))*S349+(Q349-(Q349*T349))</f>
        <v>83.998199999999997</v>
      </c>
      <c r="W349" t="s">
        <v>9962</v>
      </c>
      <c r="X349" s="5" t="s">
        <v>11184</v>
      </c>
      <c r="Y349" s="2">
        <v>33020</v>
      </c>
      <c r="Z349" s="2">
        <v>45609</v>
      </c>
      <c r="AA349" s="284" t="s">
        <v>11565</v>
      </c>
      <c r="AB349" s="2">
        <v>45674</v>
      </c>
      <c r="AC349" s="80" t="s">
        <v>1339</v>
      </c>
      <c r="AF349" t="s">
        <v>3198</v>
      </c>
    </row>
    <row r="350" spans="1:138">
      <c r="A350" s="1">
        <v>351</v>
      </c>
      <c r="B350" t="s">
        <v>37</v>
      </c>
      <c r="C350" s="2">
        <v>45609</v>
      </c>
      <c r="D350" s="2" t="s">
        <v>9900</v>
      </c>
      <c r="E350" s="1" t="s">
        <v>11185</v>
      </c>
      <c r="F350" s="61" t="s">
        <v>11186</v>
      </c>
      <c r="G350" t="s">
        <v>11187</v>
      </c>
      <c r="H350" s="6" t="s">
        <v>242</v>
      </c>
      <c r="I350" s="1" t="s">
        <v>86</v>
      </c>
      <c r="J350" s="8">
        <v>641654415</v>
      </c>
      <c r="K350" s="1"/>
      <c r="L350" s="1" t="s">
        <v>11185</v>
      </c>
      <c r="M350" s="2">
        <v>45626</v>
      </c>
      <c r="N350" s="1" t="s">
        <v>35</v>
      </c>
      <c r="O350" s="61" t="s">
        <v>11188</v>
      </c>
      <c r="P350" s="14" t="s">
        <v>11189</v>
      </c>
      <c r="Q350" s="187">
        <v>115.7</v>
      </c>
      <c r="R350" s="1">
        <v>1</v>
      </c>
      <c r="S350" s="128">
        <v>0.21</v>
      </c>
      <c r="T350" s="128">
        <v>0</v>
      </c>
      <c r="U350" s="363" t="s">
        <v>10854</v>
      </c>
      <c r="V350" s="126">
        <f t="shared" ref="V350" si="160">SUM(Q350-(Q350*T350))*S350+(Q350-(Q350*T350))</f>
        <v>139.99700000000001</v>
      </c>
      <c r="W350" t="s">
        <v>11185</v>
      </c>
      <c r="X350" s="5" t="s">
        <v>11258</v>
      </c>
      <c r="Y350" s="3">
        <v>36493</v>
      </c>
      <c r="Z350" s="2">
        <v>45609</v>
      </c>
      <c r="AA350" s="284" t="s">
        <v>11227</v>
      </c>
      <c r="AB350" s="2">
        <v>45621</v>
      </c>
      <c r="AC350" s="80" t="s">
        <v>1339</v>
      </c>
      <c r="AF350" t="s">
        <v>3198</v>
      </c>
      <c r="AJ350" s="3"/>
      <c r="AM350" s="3"/>
    </row>
    <row r="351" spans="1:138">
      <c r="A351" s="1">
        <v>352</v>
      </c>
      <c r="B351" t="s">
        <v>37</v>
      </c>
      <c r="C351" s="2">
        <v>45610</v>
      </c>
      <c r="D351" s="2"/>
      <c r="E351" t="s">
        <v>7980</v>
      </c>
      <c r="F351" t="s">
        <v>5796</v>
      </c>
      <c r="G351" s="61" t="s">
        <v>7979</v>
      </c>
      <c r="H351" s="6" t="s">
        <v>1402</v>
      </c>
      <c r="I351" s="1" t="s">
        <v>3681</v>
      </c>
      <c r="J351">
        <v>643587766</v>
      </c>
      <c r="K351" s="1"/>
      <c r="L351" t="s">
        <v>7980</v>
      </c>
      <c r="M351" s="2">
        <v>45626</v>
      </c>
      <c r="N351" s="1" t="s">
        <v>35</v>
      </c>
      <c r="O351" s="14" t="s">
        <v>7934</v>
      </c>
      <c r="P351" s="187" t="s">
        <v>7981</v>
      </c>
      <c r="Q351" s="187">
        <v>86.78</v>
      </c>
      <c r="R351" s="1">
        <v>1</v>
      </c>
      <c r="S351" s="90">
        <v>0.21</v>
      </c>
      <c r="T351" s="128">
        <v>0</v>
      </c>
      <c r="U351" s="95"/>
      <c r="V351" s="186">
        <f t="shared" ref="V351" si="161">SUM(Q351-(Q351*T351))*S351+(Q351-(Q351*T351))</f>
        <v>105.0038</v>
      </c>
      <c r="W351" t="s">
        <v>7980</v>
      </c>
      <c r="X351" s="406" t="s">
        <v>11231</v>
      </c>
      <c r="Y351" s="2">
        <v>33983</v>
      </c>
      <c r="Z351" s="2">
        <v>45610</v>
      </c>
      <c r="AA351" s="284" t="s">
        <v>11565</v>
      </c>
      <c r="AB351" s="2">
        <v>45674</v>
      </c>
      <c r="AC351" s="80" t="s">
        <v>1339</v>
      </c>
      <c r="AF351" t="s">
        <v>3198</v>
      </c>
      <c r="AI351" s="2"/>
      <c r="AL351" s="3"/>
    </row>
    <row r="352" spans="1:138">
      <c r="A352" s="1">
        <v>353</v>
      </c>
      <c r="B352" t="s">
        <v>6684</v>
      </c>
      <c r="C352" s="2">
        <v>45610</v>
      </c>
      <c r="D352" s="2"/>
      <c r="E352" t="s">
        <v>6685</v>
      </c>
      <c r="F352" t="s">
        <v>6686</v>
      </c>
      <c r="G352" t="s">
        <v>6687</v>
      </c>
      <c r="H352" s="6" t="s">
        <v>2579</v>
      </c>
      <c r="I352" t="s">
        <v>2580</v>
      </c>
      <c r="J352" s="8"/>
      <c r="K352" s="1" t="s">
        <v>7339</v>
      </c>
      <c r="L352" t="s">
        <v>6685</v>
      </c>
      <c r="M352" s="2">
        <v>45626</v>
      </c>
      <c r="N352" s="1" t="s">
        <v>35</v>
      </c>
      <c r="O352" s="61" t="s">
        <v>7934</v>
      </c>
      <c r="P352" s="14" t="s">
        <v>11190</v>
      </c>
      <c r="Q352" s="187">
        <v>115.7</v>
      </c>
      <c r="R352" s="1">
        <v>1</v>
      </c>
      <c r="S352" s="128">
        <v>0.21</v>
      </c>
      <c r="T352" s="128">
        <v>0</v>
      </c>
      <c r="U352" s="363" t="s">
        <v>10854</v>
      </c>
      <c r="V352" s="95">
        <f t="shared" ref="V352:V353" si="162">SUM(Q352-(Q352*T352))*S352+(Q352-(Q352*T352))</f>
        <v>139.99700000000001</v>
      </c>
      <c r="W352" t="s">
        <v>11191</v>
      </c>
      <c r="X352" s="5" t="s">
        <v>11283</v>
      </c>
      <c r="Y352" s="3">
        <v>32181</v>
      </c>
      <c r="Z352" s="2">
        <v>45610</v>
      </c>
      <c r="AA352" s="284" t="s">
        <v>11676</v>
      </c>
      <c r="AB352" s="2">
        <v>45694</v>
      </c>
      <c r="AC352" s="80" t="s">
        <v>1339</v>
      </c>
      <c r="AD352" t="s">
        <v>11637</v>
      </c>
      <c r="AF352" t="s">
        <v>3198</v>
      </c>
      <c r="AJ352" s="3"/>
      <c r="AM352" s="3"/>
    </row>
    <row r="353" spans="1:46">
      <c r="A353" s="1">
        <v>354</v>
      </c>
      <c r="B353" t="s">
        <v>45</v>
      </c>
      <c r="C353" s="2">
        <v>45610</v>
      </c>
      <c r="D353" s="2"/>
      <c r="E353" s="1" t="s">
        <v>5726</v>
      </c>
      <c r="F353" t="s">
        <v>5727</v>
      </c>
      <c r="G353" t="s">
        <v>5728</v>
      </c>
      <c r="H353" s="6" t="s">
        <v>221</v>
      </c>
      <c r="I353" s="1" t="s">
        <v>34</v>
      </c>
      <c r="J353" s="14">
        <v>628869680</v>
      </c>
      <c r="K353" s="114" t="s">
        <v>5837</v>
      </c>
      <c r="L353" s="1" t="s">
        <v>5726</v>
      </c>
      <c r="M353" s="2">
        <v>45626</v>
      </c>
      <c r="N353" s="1" t="s">
        <v>35</v>
      </c>
      <c r="O353" s="61" t="s">
        <v>7934</v>
      </c>
      <c r="P353" s="14" t="s">
        <v>7673</v>
      </c>
      <c r="Q353" s="187">
        <v>69.42</v>
      </c>
      <c r="R353" s="1">
        <v>1</v>
      </c>
      <c r="S353" s="90">
        <v>0.21</v>
      </c>
      <c r="T353" s="90">
        <v>0</v>
      </c>
      <c r="U353" s="363" t="s">
        <v>10854</v>
      </c>
      <c r="V353" s="95">
        <f t="shared" si="162"/>
        <v>83.998199999999997</v>
      </c>
      <c r="W353" t="s">
        <v>5868</v>
      </c>
      <c r="X353" s="406" t="s">
        <v>11230</v>
      </c>
      <c r="Y353" s="2">
        <v>29451</v>
      </c>
      <c r="Z353" s="2">
        <v>45610</v>
      </c>
      <c r="AA353" s="284" t="s">
        <v>11565</v>
      </c>
      <c r="AB353" s="64">
        <v>45674</v>
      </c>
      <c r="AC353" s="80" t="s">
        <v>1339</v>
      </c>
      <c r="AF353" t="s">
        <v>3198</v>
      </c>
      <c r="AJ353" s="2"/>
      <c r="AM353" s="3"/>
      <c r="AT353" s="1"/>
    </row>
    <row r="354" spans="1:46" s="76" customFormat="1">
      <c r="A354" s="410">
        <v>355</v>
      </c>
      <c r="B354" s="76" t="s">
        <v>137</v>
      </c>
      <c r="C354" s="403">
        <v>45610</v>
      </c>
      <c r="D354" s="403" t="s">
        <v>9900</v>
      </c>
      <c r="E354" s="410" t="s">
        <v>11192</v>
      </c>
      <c r="F354" s="287" t="s">
        <v>11193</v>
      </c>
      <c r="G354" s="76" t="s">
        <v>11194</v>
      </c>
      <c r="H354" s="444" t="s">
        <v>236</v>
      </c>
      <c r="I354" s="410" t="s">
        <v>11195</v>
      </c>
      <c r="J354" s="445"/>
      <c r="K354" s="410"/>
      <c r="L354" s="410" t="s">
        <v>11192</v>
      </c>
      <c r="M354" s="403">
        <v>45626</v>
      </c>
      <c r="N354" s="410" t="s">
        <v>35</v>
      </c>
      <c r="O354" s="287" t="s">
        <v>7935</v>
      </c>
      <c r="P354" s="446" t="s">
        <v>11196</v>
      </c>
      <c r="Q354" s="442">
        <v>0</v>
      </c>
      <c r="R354" s="410">
        <v>1</v>
      </c>
      <c r="S354" s="447">
        <v>0.21</v>
      </c>
      <c r="T354" s="447">
        <v>0</v>
      </c>
      <c r="U354" s="448" t="s">
        <v>10854</v>
      </c>
      <c r="V354" s="449">
        <f t="shared" ref="V354" si="163">SUM(Q354-(Q354*T354))*S354+(Q354-(Q354*T354))</f>
        <v>0</v>
      </c>
      <c r="W354" s="76" t="s">
        <v>11192</v>
      </c>
      <c r="X354" s="450" t="s">
        <v>11197</v>
      </c>
      <c r="Y354" s="182">
        <v>25126</v>
      </c>
      <c r="Z354" s="403">
        <v>45610</v>
      </c>
      <c r="AA354" s="287" t="s">
        <v>11298</v>
      </c>
      <c r="AB354" s="403">
        <v>45627</v>
      </c>
      <c r="AC354" s="259"/>
      <c r="AF354" s="76" t="s">
        <v>3198</v>
      </c>
      <c r="AJ354" s="182"/>
      <c r="AM354" s="182"/>
    </row>
    <row r="355" spans="1:46">
      <c r="A355" s="1">
        <v>356</v>
      </c>
      <c r="B355" t="s">
        <v>119</v>
      </c>
      <c r="C355" s="2">
        <v>45610</v>
      </c>
      <c r="D355" s="2"/>
      <c r="E355" s="1" t="s">
        <v>4389</v>
      </c>
      <c r="F355" t="s">
        <v>2349</v>
      </c>
      <c r="G355" t="s">
        <v>2350</v>
      </c>
      <c r="H355" s="6" t="s">
        <v>242</v>
      </c>
      <c r="I355" s="1" t="s">
        <v>86</v>
      </c>
      <c r="J355" s="44"/>
      <c r="K355" s="1" t="s">
        <v>8094</v>
      </c>
      <c r="L355" s="31" t="s">
        <v>174</v>
      </c>
      <c r="M355" s="2">
        <v>45626</v>
      </c>
      <c r="N355" s="1" t="s">
        <v>35</v>
      </c>
      <c r="O355" s="61" t="s">
        <v>7925</v>
      </c>
      <c r="P355" s="14" t="s">
        <v>11198</v>
      </c>
      <c r="Q355" s="187">
        <v>115.7</v>
      </c>
      <c r="R355" s="1">
        <v>1</v>
      </c>
      <c r="S355" s="128">
        <v>0.21</v>
      </c>
      <c r="T355" s="128">
        <v>0</v>
      </c>
      <c r="U355" s="363" t="s">
        <v>10854</v>
      </c>
      <c r="V355" s="126">
        <f t="shared" ref="V355" si="164">SUM(Q355-(Q355*T355))*S355+(Q355-(Q355*T355))</f>
        <v>139.99700000000001</v>
      </c>
      <c r="W355" t="s">
        <v>11259</v>
      </c>
      <c r="X355" s="6" t="s">
        <v>11260</v>
      </c>
      <c r="Y355" s="2">
        <v>33166</v>
      </c>
      <c r="Z355" s="2">
        <v>45610</v>
      </c>
      <c r="AA355" s="284" t="s">
        <v>11418</v>
      </c>
      <c r="AB355" s="64">
        <v>45645</v>
      </c>
      <c r="AC355" s="80" t="s">
        <v>1339</v>
      </c>
      <c r="AF355" t="s">
        <v>3198</v>
      </c>
      <c r="AI355" t="s">
        <v>3108</v>
      </c>
      <c r="AJ355" s="2">
        <v>45621</v>
      </c>
      <c r="AM355" s="74">
        <v>45625</v>
      </c>
      <c r="AT355" s="1"/>
    </row>
    <row r="356" spans="1:46">
      <c r="A356" s="1">
        <v>357</v>
      </c>
      <c r="B356" t="s">
        <v>111</v>
      </c>
      <c r="C356" s="2">
        <v>45610</v>
      </c>
      <c r="D356" s="2"/>
      <c r="E356" t="s">
        <v>2920</v>
      </c>
      <c r="F356" s="14" t="s">
        <v>2921</v>
      </c>
      <c r="G356" t="s">
        <v>2922</v>
      </c>
      <c r="H356" s="6" t="s">
        <v>220</v>
      </c>
      <c r="I356" t="s">
        <v>39</v>
      </c>
      <c r="J356">
        <v>686382523</v>
      </c>
      <c r="L356" t="s">
        <v>2920</v>
      </c>
      <c r="M356" s="2">
        <v>45626</v>
      </c>
      <c r="N356" s="1" t="s">
        <v>35</v>
      </c>
      <c r="O356" s="61" t="s">
        <v>7925</v>
      </c>
      <c r="P356" s="14" t="s">
        <v>11199</v>
      </c>
      <c r="Q356" s="187">
        <v>115.7</v>
      </c>
      <c r="R356" s="1">
        <v>1</v>
      </c>
      <c r="S356" s="128">
        <v>0.21</v>
      </c>
      <c r="T356" s="128">
        <v>0</v>
      </c>
      <c r="U356" s="363" t="s">
        <v>10854</v>
      </c>
      <c r="V356" s="126">
        <f t="shared" ref="V356" si="165">SUM(Q356-(Q356*T356))*S356+(Q356-(Q356*T356))</f>
        <v>139.99700000000001</v>
      </c>
      <c r="W356" t="s">
        <v>11261</v>
      </c>
      <c r="X356" s="6" t="s">
        <v>11262</v>
      </c>
      <c r="Y356" s="3">
        <v>36167</v>
      </c>
      <c r="Z356" s="2">
        <v>45610</v>
      </c>
      <c r="AA356" s="284" t="s">
        <v>11418</v>
      </c>
      <c r="AB356" s="64">
        <v>45645</v>
      </c>
      <c r="AC356" s="80" t="s">
        <v>1339</v>
      </c>
      <c r="AF356" t="s">
        <v>3198</v>
      </c>
      <c r="AI356" t="s">
        <v>3108</v>
      </c>
      <c r="AJ356" s="3">
        <v>45621</v>
      </c>
      <c r="AM356" s="3">
        <v>45628</v>
      </c>
    </row>
    <row r="357" spans="1:46">
      <c r="A357" s="1">
        <v>358</v>
      </c>
      <c r="B357" t="s">
        <v>33</v>
      </c>
      <c r="C357" s="2">
        <v>45610</v>
      </c>
      <c r="D357" s="2"/>
      <c r="E357" s="1" t="s">
        <v>10582</v>
      </c>
      <c r="F357" s="61" t="s">
        <v>10583</v>
      </c>
      <c r="G357" t="s">
        <v>10584</v>
      </c>
      <c r="H357" s="6" t="s">
        <v>220</v>
      </c>
      <c r="I357" s="1" t="s">
        <v>39</v>
      </c>
      <c r="J357" s="430"/>
      <c r="K357" s="114" t="s">
        <v>11744</v>
      </c>
      <c r="L357" s="30" t="s">
        <v>237</v>
      </c>
      <c r="M357" s="2">
        <v>45626</v>
      </c>
      <c r="N357" s="1" t="s">
        <v>35</v>
      </c>
      <c r="O357" s="14" t="s">
        <v>7934</v>
      </c>
      <c r="P357" s="14" t="s">
        <v>11200</v>
      </c>
      <c r="Q357" s="187">
        <v>69.42</v>
      </c>
      <c r="R357" s="1">
        <v>1</v>
      </c>
      <c r="S357" s="128">
        <v>0.21</v>
      </c>
      <c r="T357" s="128">
        <v>0</v>
      </c>
      <c r="U357" s="363" t="s">
        <v>10854</v>
      </c>
      <c r="V357" s="126">
        <f t="shared" ref="V357" si="166">SUM(Q357-(Q357*T357))*S357+(Q357-(Q357*T357))</f>
        <v>83.998199999999997</v>
      </c>
      <c r="W357" t="s">
        <v>11201</v>
      </c>
      <c r="X357" s="6" t="s">
        <v>11677</v>
      </c>
      <c r="Y357" s="3">
        <v>36167</v>
      </c>
      <c r="Z357" s="2">
        <v>45610</v>
      </c>
      <c r="AA357" s="284" t="s">
        <v>11678</v>
      </c>
      <c r="AB357" s="2">
        <v>45694</v>
      </c>
      <c r="AC357" s="80" t="s">
        <v>1339</v>
      </c>
      <c r="AF357" t="s">
        <v>3198</v>
      </c>
      <c r="AJ357" s="3"/>
      <c r="AM357" s="3"/>
    </row>
    <row r="358" spans="1:46">
      <c r="A358" s="1">
        <v>359</v>
      </c>
      <c r="B358" t="s">
        <v>37</v>
      </c>
      <c r="C358" s="2">
        <v>45614</v>
      </c>
      <c r="D358" s="2" t="s">
        <v>9900</v>
      </c>
      <c r="E358" s="1" t="s">
        <v>11204</v>
      </c>
      <c r="F358" s="61" t="s">
        <v>11205</v>
      </c>
      <c r="G358" t="s">
        <v>11206</v>
      </c>
      <c r="H358" s="6" t="s">
        <v>242</v>
      </c>
      <c r="I358" s="1" t="s">
        <v>86</v>
      </c>
      <c r="J358" s="430">
        <v>641613938</v>
      </c>
      <c r="K358" s="1"/>
      <c r="L358" s="1" t="s">
        <v>11204</v>
      </c>
      <c r="M358" s="2">
        <v>45626</v>
      </c>
      <c r="N358" s="1" t="s">
        <v>35</v>
      </c>
      <c r="O358" s="14" t="s">
        <v>9511</v>
      </c>
      <c r="P358" s="14" t="s">
        <v>11207</v>
      </c>
      <c r="Q358" s="187">
        <v>115.7</v>
      </c>
      <c r="R358" s="1">
        <v>1</v>
      </c>
      <c r="S358" s="128">
        <v>0.21</v>
      </c>
      <c r="T358" s="128">
        <v>0</v>
      </c>
      <c r="U358" s="363" t="s">
        <v>10854</v>
      </c>
      <c r="V358" s="126">
        <f t="shared" ref="V358:V365" si="167">SUM(Q358-(Q358*T358))*S358+(Q358-(Q358*T358))</f>
        <v>139.99700000000001</v>
      </c>
      <c r="W358" s="1" t="s">
        <v>11204</v>
      </c>
      <c r="X358" s="6" t="s">
        <v>11295</v>
      </c>
      <c r="Y358" s="3">
        <v>38135</v>
      </c>
      <c r="Z358" s="2">
        <v>45614</v>
      </c>
      <c r="AA358" s="61"/>
      <c r="AB358" s="2"/>
      <c r="AC358" s="80"/>
      <c r="AF358" t="s">
        <v>3198</v>
      </c>
      <c r="AI358" t="s">
        <v>3108</v>
      </c>
      <c r="AJ358" s="3">
        <v>45627</v>
      </c>
      <c r="AM358" s="3">
        <v>45637</v>
      </c>
    </row>
    <row r="359" spans="1:46">
      <c r="A359" s="1">
        <v>360</v>
      </c>
      <c r="B359" t="s">
        <v>4321</v>
      </c>
      <c r="C359" s="2">
        <v>45614</v>
      </c>
      <c r="D359" s="2" t="s">
        <v>9900</v>
      </c>
      <c r="E359" s="1" t="s">
        <v>11208</v>
      </c>
      <c r="F359" s="61" t="s">
        <v>11209</v>
      </c>
      <c r="G359" t="s">
        <v>11210</v>
      </c>
      <c r="H359" s="6" t="s">
        <v>242</v>
      </c>
      <c r="I359" s="1" t="s">
        <v>86</v>
      </c>
      <c r="J359" s="430"/>
      <c r="K359" s="8" t="s">
        <v>5991</v>
      </c>
      <c r="L359" s="1" t="s">
        <v>11208</v>
      </c>
      <c r="M359" s="2">
        <v>45626</v>
      </c>
      <c r="N359" s="1" t="s">
        <v>35</v>
      </c>
      <c r="O359" s="14" t="s">
        <v>7934</v>
      </c>
      <c r="P359" s="14" t="s">
        <v>11211</v>
      </c>
      <c r="Q359" s="187">
        <v>115.7</v>
      </c>
      <c r="R359" s="1">
        <v>1</v>
      </c>
      <c r="S359" s="128">
        <v>0.21</v>
      </c>
      <c r="T359" s="128">
        <v>0</v>
      </c>
      <c r="U359" s="363" t="s">
        <v>10854</v>
      </c>
      <c r="V359" s="126">
        <f t="shared" si="167"/>
        <v>139.99700000000001</v>
      </c>
      <c r="W359" t="s">
        <v>11212</v>
      </c>
      <c r="X359" s="6" t="s">
        <v>11301</v>
      </c>
      <c r="Y359" s="3">
        <v>29062</v>
      </c>
      <c r="Z359" s="2">
        <v>45614</v>
      </c>
      <c r="AA359" s="284" t="s">
        <v>11302</v>
      </c>
      <c r="AB359" s="2">
        <v>45627</v>
      </c>
      <c r="AC359" s="80" t="s">
        <v>1339</v>
      </c>
      <c r="AF359" t="s">
        <v>3198</v>
      </c>
      <c r="AJ359" s="3"/>
      <c r="AM359" s="3"/>
    </row>
    <row r="360" spans="1:46">
      <c r="A360" s="1">
        <v>361</v>
      </c>
      <c r="B360" t="s">
        <v>7245</v>
      </c>
      <c r="C360" s="2">
        <v>45614</v>
      </c>
      <c r="D360" s="2"/>
      <c r="E360" s="1" t="s">
        <v>1522</v>
      </c>
      <c r="F360" s="61" t="s">
        <v>3233</v>
      </c>
      <c r="G360" t="s">
        <v>3241</v>
      </c>
      <c r="H360" s="6" t="s">
        <v>3234</v>
      </c>
      <c r="I360" t="s">
        <v>3235</v>
      </c>
      <c r="J360" s="8">
        <v>680761760</v>
      </c>
      <c r="K360" s="8" t="s">
        <v>6232</v>
      </c>
      <c r="L360" t="s">
        <v>1522</v>
      </c>
      <c r="M360" s="2">
        <v>45626</v>
      </c>
      <c r="N360" s="1" t="s">
        <v>35</v>
      </c>
      <c r="O360" s="14" t="s">
        <v>7926</v>
      </c>
      <c r="P360" s="14" t="s">
        <v>11213</v>
      </c>
      <c r="Q360" s="187">
        <v>115.7</v>
      </c>
      <c r="R360" s="1">
        <v>1</v>
      </c>
      <c r="S360" s="128">
        <v>0.21</v>
      </c>
      <c r="T360" s="128">
        <v>0</v>
      </c>
      <c r="U360" s="363" t="s">
        <v>10854</v>
      </c>
      <c r="V360" s="126">
        <f t="shared" si="167"/>
        <v>139.99700000000001</v>
      </c>
      <c r="W360" t="s">
        <v>11293</v>
      </c>
      <c r="X360" s="5" t="s">
        <v>11294</v>
      </c>
      <c r="Y360" s="2">
        <v>37476</v>
      </c>
      <c r="Z360" s="2">
        <v>45614</v>
      </c>
      <c r="AA360" s="284" t="s">
        <v>11678</v>
      </c>
      <c r="AB360" s="2">
        <v>45698</v>
      </c>
      <c r="AC360" s="80" t="s">
        <v>1339</v>
      </c>
      <c r="AE360" s="162">
        <v>45672</v>
      </c>
      <c r="AF360" t="s">
        <v>3198</v>
      </c>
      <c r="AI360" t="s">
        <v>3470</v>
      </c>
      <c r="AJ360" s="3">
        <v>45627</v>
      </c>
      <c r="AM360" s="74">
        <v>45636</v>
      </c>
      <c r="AS360" s="1" t="s">
        <v>7934</v>
      </c>
      <c r="AT360" s="1"/>
    </row>
    <row r="361" spans="1:46">
      <c r="A361" s="1">
        <v>362</v>
      </c>
      <c r="B361" t="s">
        <v>33</v>
      </c>
      <c r="C361" s="2">
        <v>45615</v>
      </c>
      <c r="D361" s="2" t="s">
        <v>9900</v>
      </c>
      <c r="E361" s="1" t="s">
        <v>11214</v>
      </c>
      <c r="F361" s="61" t="s">
        <v>11215</v>
      </c>
      <c r="G361" t="s">
        <v>11216</v>
      </c>
      <c r="H361" s="6" t="s">
        <v>221</v>
      </c>
      <c r="I361" s="1" t="s">
        <v>34</v>
      </c>
      <c r="J361" s="430"/>
      <c r="K361" s="114" t="s">
        <v>11744</v>
      </c>
      <c r="L361" s="30" t="s">
        <v>237</v>
      </c>
      <c r="M361" s="2">
        <v>45626</v>
      </c>
      <c r="N361" s="1" t="s">
        <v>35</v>
      </c>
      <c r="O361" s="14" t="s">
        <v>7926</v>
      </c>
      <c r="P361" s="14" t="s">
        <v>11217</v>
      </c>
      <c r="Q361" s="187">
        <v>115.7</v>
      </c>
      <c r="R361" s="1">
        <v>1</v>
      </c>
      <c r="S361" s="128">
        <v>0.21</v>
      </c>
      <c r="T361" s="128">
        <v>0</v>
      </c>
      <c r="U361" s="363" t="s">
        <v>10854</v>
      </c>
      <c r="V361" s="126">
        <f t="shared" ref="V361:V362" si="168">SUM(Q361-(Q361*T361))*S361+(Q361-(Q361*T361))</f>
        <v>139.99700000000001</v>
      </c>
      <c r="W361" t="s">
        <v>11291</v>
      </c>
      <c r="X361" s="6" t="s">
        <v>11292</v>
      </c>
      <c r="Y361" s="3">
        <v>37717</v>
      </c>
      <c r="Z361" s="2">
        <v>45615</v>
      </c>
      <c r="AA361" s="284" t="s">
        <v>11524</v>
      </c>
      <c r="AB361" s="2">
        <v>45667</v>
      </c>
      <c r="AC361" s="80" t="s">
        <v>1339</v>
      </c>
      <c r="AF361" t="s">
        <v>3198</v>
      </c>
      <c r="AI361" t="s">
        <v>3470</v>
      </c>
      <c r="AJ361" s="3">
        <v>45627</v>
      </c>
      <c r="AM361" s="3">
        <v>45636</v>
      </c>
    </row>
    <row r="362" spans="1:46">
      <c r="A362" s="1">
        <v>363</v>
      </c>
      <c r="B362" s="61" t="s">
        <v>143</v>
      </c>
      <c r="C362" s="2">
        <v>45616</v>
      </c>
      <c r="D362" s="2" t="s">
        <v>9900</v>
      </c>
      <c r="E362" s="1" t="s">
        <v>11289</v>
      </c>
      <c r="F362" s="61" t="s">
        <v>11218</v>
      </c>
      <c r="G362" s="61" t="s">
        <v>11219</v>
      </c>
      <c r="H362" s="6" t="s">
        <v>226</v>
      </c>
      <c r="I362" s="1" t="s">
        <v>86</v>
      </c>
      <c r="J362" s="8">
        <v>643821467</v>
      </c>
      <c r="K362" s="8"/>
      <c r="L362" s="1" t="s">
        <v>11289</v>
      </c>
      <c r="M362" s="2">
        <v>45626</v>
      </c>
      <c r="N362" s="1" t="s">
        <v>35</v>
      </c>
      <c r="O362" s="61" t="s">
        <v>7925</v>
      </c>
      <c r="P362" s="14" t="s">
        <v>11220</v>
      </c>
      <c r="Q362" s="187">
        <v>115.7</v>
      </c>
      <c r="R362" s="1">
        <v>1</v>
      </c>
      <c r="S362" s="128">
        <v>0.21</v>
      </c>
      <c r="T362" s="128">
        <v>0</v>
      </c>
      <c r="U362" s="363" t="s">
        <v>10854</v>
      </c>
      <c r="V362" s="126">
        <f t="shared" si="168"/>
        <v>139.99700000000001</v>
      </c>
      <c r="W362" s="1" t="s">
        <v>11289</v>
      </c>
      <c r="X362" s="5" t="s">
        <v>11290</v>
      </c>
      <c r="Y362" s="2">
        <v>37622</v>
      </c>
      <c r="Z362" s="2">
        <v>45616</v>
      </c>
      <c r="AA362" s="284" t="s">
        <v>11565</v>
      </c>
      <c r="AB362" s="2">
        <v>45677</v>
      </c>
      <c r="AC362" s="80" t="s">
        <v>1339</v>
      </c>
      <c r="AF362" t="s">
        <v>3198</v>
      </c>
      <c r="AI362" t="s">
        <v>3108</v>
      </c>
      <c r="AJ362" s="2">
        <v>45627</v>
      </c>
      <c r="AM362" s="74">
        <v>45629</v>
      </c>
      <c r="AT362" s="1"/>
    </row>
    <row r="363" spans="1:46">
      <c r="A363" s="1">
        <v>364</v>
      </c>
      <c r="B363" t="s">
        <v>5635</v>
      </c>
      <c r="C363" s="2">
        <v>45616</v>
      </c>
      <c r="D363" s="2" t="s">
        <v>9900</v>
      </c>
      <c r="E363" s="1" t="s">
        <v>11221</v>
      </c>
      <c r="F363" s="61" t="s">
        <v>11222</v>
      </c>
      <c r="G363" t="s">
        <v>11223</v>
      </c>
      <c r="H363" s="6" t="s">
        <v>1424</v>
      </c>
      <c r="I363" s="1" t="s">
        <v>1425</v>
      </c>
      <c r="J363" s="430"/>
      <c r="K363" s="396" t="s">
        <v>10609</v>
      </c>
      <c r="L363" s="1" t="s">
        <v>11221</v>
      </c>
      <c r="M363" s="2">
        <v>45626</v>
      </c>
      <c r="N363" s="1" t="s">
        <v>35</v>
      </c>
      <c r="O363" s="61" t="s">
        <v>7925</v>
      </c>
      <c r="P363" s="14" t="s">
        <v>11224</v>
      </c>
      <c r="Q363" s="187">
        <v>115.7</v>
      </c>
      <c r="R363" s="1">
        <v>1</v>
      </c>
      <c r="S363" s="128">
        <v>0.21</v>
      </c>
      <c r="T363" s="128">
        <v>0</v>
      </c>
      <c r="U363" s="363" t="s">
        <v>10854</v>
      </c>
      <c r="V363" s="126">
        <f t="shared" ref="V363" si="169">SUM(Q363-(Q363*T363))*S363+(Q363-(Q363*T363))</f>
        <v>139.99700000000001</v>
      </c>
      <c r="W363" t="s">
        <v>11287</v>
      </c>
      <c r="X363" s="6" t="s">
        <v>11288</v>
      </c>
      <c r="Y363" s="3">
        <v>30026</v>
      </c>
      <c r="Z363" s="2">
        <v>45616</v>
      </c>
      <c r="AA363" s="287" t="s">
        <v>11577</v>
      </c>
      <c r="AB363" s="2">
        <v>45677</v>
      </c>
      <c r="AC363" s="80" t="s">
        <v>1339</v>
      </c>
      <c r="AF363" t="s">
        <v>3198</v>
      </c>
      <c r="AI363" t="s">
        <v>3108</v>
      </c>
      <c r="AJ363" s="3">
        <v>45627</v>
      </c>
      <c r="AM363" s="3">
        <v>45637</v>
      </c>
    </row>
    <row r="364" spans="1:46">
      <c r="A364" s="1">
        <v>365</v>
      </c>
      <c r="B364" t="s">
        <v>143</v>
      </c>
      <c r="C364" s="2">
        <v>45617</v>
      </c>
      <c r="D364" s="2" t="s">
        <v>9900</v>
      </c>
      <c r="E364" s="1" t="s">
        <v>11244</v>
      </c>
      <c r="F364" s="61" t="s">
        <v>11245</v>
      </c>
      <c r="G364" t="s">
        <v>11246</v>
      </c>
      <c r="H364" s="6" t="s">
        <v>242</v>
      </c>
      <c r="I364" s="1" t="s">
        <v>1474</v>
      </c>
      <c r="J364" s="430"/>
      <c r="K364" s="1"/>
      <c r="L364" s="1" t="s">
        <v>11244</v>
      </c>
      <c r="M364" s="2">
        <v>45626</v>
      </c>
      <c r="N364" s="1" t="s">
        <v>35</v>
      </c>
      <c r="O364" s="61" t="s">
        <v>7934</v>
      </c>
      <c r="P364" s="14" t="s">
        <v>11247</v>
      </c>
      <c r="Q364" s="187">
        <v>165.29</v>
      </c>
      <c r="R364" s="1">
        <v>1</v>
      </c>
      <c r="S364" s="128">
        <v>0.21</v>
      </c>
      <c r="T364" s="128">
        <v>0</v>
      </c>
      <c r="U364" s="363" t="s">
        <v>10854</v>
      </c>
      <c r="V364" s="126">
        <f t="shared" si="167"/>
        <v>200.0009</v>
      </c>
      <c r="W364" s="1" t="s">
        <v>11244</v>
      </c>
      <c r="X364" s="6" t="s">
        <v>11286</v>
      </c>
      <c r="Y364" s="3">
        <v>35065</v>
      </c>
      <c r="Z364" s="2">
        <v>45617</v>
      </c>
      <c r="AA364" s="284" t="s">
        <v>11418</v>
      </c>
      <c r="AB364" s="2">
        <v>45659</v>
      </c>
      <c r="AC364" s="80" t="s">
        <v>1339</v>
      </c>
      <c r="AF364" t="s">
        <v>3198</v>
      </c>
      <c r="AJ364" s="3"/>
      <c r="AM364" s="3"/>
    </row>
    <row r="365" spans="1:46">
      <c r="A365" s="1">
        <v>366</v>
      </c>
      <c r="B365" t="s">
        <v>37</v>
      </c>
      <c r="C365" s="2">
        <v>45621</v>
      </c>
      <c r="D365" s="2" t="s">
        <v>9900</v>
      </c>
      <c r="E365" s="1" t="s">
        <v>11310</v>
      </c>
      <c r="F365" s="61" t="s">
        <v>11263</v>
      </c>
      <c r="G365" t="s">
        <v>5007</v>
      </c>
      <c r="H365" s="6" t="s">
        <v>245</v>
      </c>
      <c r="I365" s="1" t="s">
        <v>1266</v>
      </c>
      <c r="J365" s="430">
        <v>641723384</v>
      </c>
      <c r="K365" s="1"/>
      <c r="L365" s="30" t="s">
        <v>11310</v>
      </c>
      <c r="M365" s="2">
        <v>45626</v>
      </c>
      <c r="N365" s="1" t="s">
        <v>35</v>
      </c>
      <c r="O365" s="61" t="s">
        <v>7925</v>
      </c>
      <c r="P365" s="14" t="s">
        <v>11264</v>
      </c>
      <c r="Q365" s="187">
        <v>165.29</v>
      </c>
      <c r="R365" s="1">
        <v>1</v>
      </c>
      <c r="S365" s="128">
        <v>0.21</v>
      </c>
      <c r="T365" s="128">
        <v>0</v>
      </c>
      <c r="U365" s="363" t="s">
        <v>10854</v>
      </c>
      <c r="V365" s="126">
        <f t="shared" si="167"/>
        <v>200.0009</v>
      </c>
      <c r="W365" t="s">
        <v>11310</v>
      </c>
      <c r="X365" s="6" t="s">
        <v>11311</v>
      </c>
      <c r="Y365" s="3">
        <v>34375</v>
      </c>
      <c r="Z365" s="2">
        <v>45621</v>
      </c>
      <c r="AA365" s="284" t="s">
        <v>11636</v>
      </c>
      <c r="AB365" s="3">
        <v>45685</v>
      </c>
      <c r="AC365" s="80" t="s">
        <v>1339</v>
      </c>
      <c r="AF365" t="s">
        <v>3198</v>
      </c>
      <c r="AI365" t="s">
        <v>3108</v>
      </c>
      <c r="AJ365" s="3">
        <v>45627</v>
      </c>
      <c r="AM365" s="3">
        <v>45628</v>
      </c>
    </row>
    <row r="366" spans="1:46">
      <c r="A366" s="1">
        <v>367</v>
      </c>
      <c r="B366" t="s">
        <v>143</v>
      </c>
      <c r="C366" s="2">
        <v>45621</v>
      </c>
      <c r="D366" s="2" t="s">
        <v>9900</v>
      </c>
      <c r="E366" s="1" t="s">
        <v>11314</v>
      </c>
      <c r="F366" s="61" t="s">
        <v>11265</v>
      </c>
      <c r="G366" t="s">
        <v>11266</v>
      </c>
      <c r="H366" s="6" t="s">
        <v>250</v>
      </c>
      <c r="I366" s="1" t="s">
        <v>1474</v>
      </c>
      <c r="J366" s="430"/>
      <c r="K366" s="1"/>
      <c r="L366" s="1" t="s">
        <v>11314</v>
      </c>
      <c r="M366" s="2">
        <v>45626</v>
      </c>
      <c r="N366" s="1" t="s">
        <v>35</v>
      </c>
      <c r="O366" s="61" t="s">
        <v>7925</v>
      </c>
      <c r="P366" s="14" t="s">
        <v>11267</v>
      </c>
      <c r="Q366" s="187">
        <v>165.29</v>
      </c>
      <c r="R366" s="1">
        <v>1</v>
      </c>
      <c r="S366" s="128">
        <v>0.21</v>
      </c>
      <c r="T366" s="128">
        <v>0</v>
      </c>
      <c r="U366" s="363" t="s">
        <v>10854</v>
      </c>
      <c r="V366" s="126">
        <f t="shared" ref="V366" si="170">SUM(Q366-(Q366*T366))*S366+(Q366-(Q366*T366))</f>
        <v>200.0009</v>
      </c>
      <c r="W366" t="s">
        <v>11314</v>
      </c>
      <c r="X366" s="6" t="s">
        <v>11315</v>
      </c>
      <c r="Y366" s="3">
        <v>36499</v>
      </c>
      <c r="Z366" s="2">
        <v>45621</v>
      </c>
      <c r="AA366" s="284" t="s">
        <v>11639</v>
      </c>
      <c r="AB366" s="3">
        <v>45685</v>
      </c>
      <c r="AC366" s="80" t="s">
        <v>1339</v>
      </c>
      <c r="AF366" t="s">
        <v>3198</v>
      </c>
      <c r="AI366" t="s">
        <v>3108</v>
      </c>
      <c r="AJ366" s="3">
        <v>45627</v>
      </c>
      <c r="AM366" s="3">
        <v>45629</v>
      </c>
    </row>
    <row r="367" spans="1:46">
      <c r="A367" s="1">
        <v>368</v>
      </c>
      <c r="B367" t="s">
        <v>37</v>
      </c>
      <c r="C367" s="2">
        <v>45621</v>
      </c>
      <c r="D367" s="2" t="s">
        <v>9900</v>
      </c>
      <c r="E367" s="1" t="s">
        <v>11312</v>
      </c>
      <c r="F367" s="61" t="s">
        <v>11268</v>
      </c>
      <c r="G367" t="s">
        <v>6594</v>
      </c>
      <c r="H367" s="6" t="s">
        <v>219</v>
      </c>
      <c r="I367" s="1" t="s">
        <v>38</v>
      </c>
      <c r="J367" s="430">
        <v>631664238</v>
      </c>
      <c r="K367" s="1"/>
      <c r="L367" s="30" t="s">
        <v>11312</v>
      </c>
      <c r="M367" s="2">
        <v>45626</v>
      </c>
      <c r="N367" s="1" t="s">
        <v>35</v>
      </c>
      <c r="O367" s="61" t="s">
        <v>7925</v>
      </c>
      <c r="P367" s="14" t="s">
        <v>11269</v>
      </c>
      <c r="Q367" s="187">
        <v>165.29</v>
      </c>
      <c r="R367" s="1">
        <v>1</v>
      </c>
      <c r="S367" s="128">
        <v>0.21</v>
      </c>
      <c r="T367" s="128">
        <v>0</v>
      </c>
      <c r="U367" s="363" t="s">
        <v>10854</v>
      </c>
      <c r="V367" s="126">
        <f t="shared" ref="V367:V368" si="171">SUM(Q367-(Q367*T367))*S367+(Q367-(Q367*T367))</f>
        <v>200.0009</v>
      </c>
      <c r="W367" t="s">
        <v>11312</v>
      </c>
      <c r="X367" s="6" t="s">
        <v>11313</v>
      </c>
      <c r="Y367" s="3">
        <v>30358</v>
      </c>
      <c r="Z367" s="2">
        <v>45621</v>
      </c>
      <c r="AA367" s="284" t="s">
        <v>11565</v>
      </c>
      <c r="AB367" s="2">
        <v>45677</v>
      </c>
      <c r="AC367" s="80" t="s">
        <v>1339</v>
      </c>
      <c r="AF367" t="s">
        <v>3198</v>
      </c>
      <c r="AI367" t="s">
        <v>3108</v>
      </c>
      <c r="AJ367" s="3">
        <v>45627</v>
      </c>
      <c r="AM367" s="3">
        <v>45629</v>
      </c>
    </row>
    <row r="368" spans="1:46">
      <c r="A368" s="1">
        <v>369</v>
      </c>
      <c r="B368" s="61" t="s">
        <v>9196</v>
      </c>
      <c r="C368" s="2">
        <v>45622</v>
      </c>
      <c r="D368" s="2"/>
      <c r="E368" s="1" t="s">
        <v>4107</v>
      </c>
      <c r="F368" s="61" t="s">
        <v>4108</v>
      </c>
      <c r="G368" s="61" t="s">
        <v>4109</v>
      </c>
      <c r="H368" s="6" t="s">
        <v>259</v>
      </c>
      <c r="I368" s="1" t="s">
        <v>4110</v>
      </c>
      <c r="J368" s="1">
        <v>660981182</v>
      </c>
      <c r="K368" s="427" t="s">
        <v>10338</v>
      </c>
      <c r="L368" s="1" t="s">
        <v>4107</v>
      </c>
      <c r="M368" s="2">
        <v>45626</v>
      </c>
      <c r="N368" s="1" t="s">
        <v>35</v>
      </c>
      <c r="O368" s="14" t="s">
        <v>7934</v>
      </c>
      <c r="P368" s="14" t="s">
        <v>11270</v>
      </c>
      <c r="Q368" s="187">
        <v>69.42</v>
      </c>
      <c r="R368" s="1">
        <v>1</v>
      </c>
      <c r="S368" s="128">
        <v>0.21</v>
      </c>
      <c r="T368" s="128">
        <v>0</v>
      </c>
      <c r="U368" s="363" t="s">
        <v>10854</v>
      </c>
      <c r="V368" s="95">
        <f t="shared" si="171"/>
        <v>83.998199999999997</v>
      </c>
      <c r="W368" t="s">
        <v>9250</v>
      </c>
      <c r="X368" s="5" t="s">
        <v>11271</v>
      </c>
      <c r="Y368" s="2">
        <v>31818</v>
      </c>
      <c r="Z368" s="2">
        <v>45622</v>
      </c>
      <c r="AA368" s="284" t="s">
        <v>11727</v>
      </c>
      <c r="AB368" s="2">
        <v>45705</v>
      </c>
      <c r="AC368" s="80" t="s">
        <v>1339</v>
      </c>
      <c r="AF368" t="s">
        <v>3198</v>
      </c>
      <c r="AJ368" s="2"/>
      <c r="AM368" s="74"/>
      <c r="AT368" s="1"/>
    </row>
    <row r="369" spans="1:139">
      <c r="A369" s="1">
        <v>370</v>
      </c>
      <c r="B369" t="s">
        <v>3526</v>
      </c>
      <c r="C369" s="2">
        <v>45622</v>
      </c>
      <c r="D369" s="2"/>
      <c r="E369" s="1" t="s">
        <v>9002</v>
      </c>
      <c r="F369" s="14" t="s">
        <v>9003</v>
      </c>
      <c r="G369" t="s">
        <v>9004</v>
      </c>
      <c r="H369" s="6" t="s">
        <v>6223</v>
      </c>
      <c r="I369" s="1" t="s">
        <v>6224</v>
      </c>
      <c r="J369" s="8"/>
      <c r="K369" s="1" t="s">
        <v>7759</v>
      </c>
      <c r="L369" s="1" t="s">
        <v>9002</v>
      </c>
      <c r="M369" s="2">
        <v>45626</v>
      </c>
      <c r="N369" s="1" t="s">
        <v>35</v>
      </c>
      <c r="O369" s="61" t="s">
        <v>7934</v>
      </c>
      <c r="P369" s="14" t="s">
        <v>11272</v>
      </c>
      <c r="Q369" s="187">
        <v>69.42</v>
      </c>
      <c r="R369" s="1">
        <v>1</v>
      </c>
      <c r="S369" s="128">
        <v>0.21</v>
      </c>
      <c r="T369" s="128">
        <v>0</v>
      </c>
      <c r="U369" s="95" t="s">
        <v>10854</v>
      </c>
      <c r="V369" s="95">
        <f t="shared" ref="V369" si="172">SUM(Q369-(Q369*T369))*S369+(Q369-(Q369*T369))</f>
        <v>83.998199999999997</v>
      </c>
      <c r="W369" t="s">
        <v>9040</v>
      </c>
      <c r="X369" s="5" t="s">
        <v>11273</v>
      </c>
      <c r="Y369" s="2">
        <v>32745</v>
      </c>
      <c r="Z369" s="2">
        <v>45622</v>
      </c>
      <c r="AA369" s="284" t="s">
        <v>11727</v>
      </c>
      <c r="AB369" s="2">
        <v>45700</v>
      </c>
      <c r="AC369" s="80" t="s">
        <v>1339</v>
      </c>
      <c r="AF369" t="s">
        <v>3198</v>
      </c>
      <c r="AJ369" s="2"/>
      <c r="AM369" s="74"/>
      <c r="AT369" s="1"/>
    </row>
    <row r="370" spans="1:139">
      <c r="A370" s="1">
        <v>371</v>
      </c>
      <c r="B370" t="s">
        <v>45</v>
      </c>
      <c r="C370" s="2">
        <v>45623</v>
      </c>
      <c r="D370" s="2" t="s">
        <v>9900</v>
      </c>
      <c r="E370" s="1" t="s">
        <v>11274</v>
      </c>
      <c r="F370" s="61" t="s">
        <v>11275</v>
      </c>
      <c r="G370" t="s">
        <v>11276</v>
      </c>
      <c r="H370" s="6" t="s">
        <v>1229</v>
      </c>
      <c r="I370" s="1" t="s">
        <v>3454</v>
      </c>
      <c r="J370" s="8"/>
      <c r="K370" s="396" t="s">
        <v>8356</v>
      </c>
      <c r="L370" s="1" t="s">
        <v>11274</v>
      </c>
      <c r="M370" s="2">
        <v>45626</v>
      </c>
      <c r="N370" s="1" t="s">
        <v>35</v>
      </c>
      <c r="O370" s="61" t="s">
        <v>7934</v>
      </c>
      <c r="P370" s="14" t="s">
        <v>11277</v>
      </c>
      <c r="Q370" s="187">
        <v>69.42</v>
      </c>
      <c r="R370" s="1">
        <v>1</v>
      </c>
      <c r="S370" s="128">
        <v>0.21</v>
      </c>
      <c r="T370" s="128">
        <v>0</v>
      </c>
      <c r="U370" s="95" t="s">
        <v>10854</v>
      </c>
      <c r="V370" s="126">
        <f t="shared" ref="V370:V428" si="173">SUM(Q370-(Q370*T370))*S370+(Q370-(Q370*T370))</f>
        <v>83.998199999999997</v>
      </c>
      <c r="W370" t="s">
        <v>11278</v>
      </c>
      <c r="X370" s="5" t="s">
        <v>11279</v>
      </c>
      <c r="Y370" s="3">
        <v>30317</v>
      </c>
      <c r="Z370" s="2">
        <v>45623</v>
      </c>
      <c r="AA370" s="284" t="s">
        <v>11727</v>
      </c>
      <c r="AB370" s="2">
        <v>45700</v>
      </c>
      <c r="AC370" s="80" t="s">
        <v>1339</v>
      </c>
      <c r="AF370" t="s">
        <v>3198</v>
      </c>
      <c r="AJ370" s="3"/>
      <c r="AM370" s="3"/>
    </row>
    <row r="371" spans="1:139">
      <c r="A371" s="1">
        <v>372</v>
      </c>
      <c r="B371" t="s">
        <v>4189</v>
      </c>
      <c r="C371" s="2">
        <v>45625</v>
      </c>
      <c r="D371" s="2" t="s">
        <v>9900</v>
      </c>
      <c r="E371" t="s">
        <v>10801</v>
      </c>
      <c r="F371" s="61" t="s">
        <v>11280</v>
      </c>
      <c r="G371" s="31" t="s">
        <v>188</v>
      </c>
      <c r="H371" s="33" t="s">
        <v>220</v>
      </c>
      <c r="I371" s="30" t="s">
        <v>92</v>
      </c>
      <c r="J371" s="31"/>
      <c r="K371" t="s">
        <v>8724</v>
      </c>
      <c r="L371" t="s">
        <v>10801</v>
      </c>
      <c r="M371" s="2">
        <v>45626</v>
      </c>
      <c r="N371" s="1" t="s">
        <v>35</v>
      </c>
      <c r="O371" s="61" t="s">
        <v>9758</v>
      </c>
      <c r="P371" s="14" t="s">
        <v>11281</v>
      </c>
      <c r="Q371" s="187">
        <v>165.29</v>
      </c>
      <c r="R371" s="1">
        <v>1</v>
      </c>
      <c r="S371" s="128">
        <v>0.21</v>
      </c>
      <c r="T371" s="128">
        <v>0</v>
      </c>
      <c r="U371" s="95" t="s">
        <v>10854</v>
      </c>
      <c r="V371" s="126">
        <f t="shared" ref="V371" si="174">SUM(Q371-(Q371*T371))*S371+(Q371-(Q371*T371))</f>
        <v>200.0009</v>
      </c>
      <c r="W371" t="s">
        <v>10801</v>
      </c>
      <c r="X371" s="437" t="s">
        <v>10907</v>
      </c>
      <c r="Y371" s="3">
        <v>30534</v>
      </c>
      <c r="Z371" s="2">
        <v>45625</v>
      </c>
      <c r="AA371" s="284" t="s">
        <v>11679</v>
      </c>
      <c r="AB371" s="2">
        <v>45694</v>
      </c>
      <c r="AC371" s="80" t="s">
        <v>1339</v>
      </c>
      <c r="AF371" t="s">
        <v>3198</v>
      </c>
      <c r="AI371" s="3" t="s">
        <v>3392</v>
      </c>
      <c r="AJ371" s="2"/>
      <c r="AM371" s="3"/>
    </row>
    <row r="372" spans="1:139">
      <c r="A372" s="1">
        <v>373</v>
      </c>
      <c r="B372" t="s">
        <v>7036</v>
      </c>
      <c r="C372" s="2">
        <v>45625</v>
      </c>
      <c r="D372" s="2"/>
      <c r="E372" s="1" t="s">
        <v>6375</v>
      </c>
      <c r="F372" t="s">
        <v>6376</v>
      </c>
      <c r="G372" s="61" t="s">
        <v>6377</v>
      </c>
      <c r="H372" s="6" t="s">
        <v>294</v>
      </c>
      <c r="I372" s="1" t="s">
        <v>103</v>
      </c>
      <c r="J372" s="8">
        <v>660744167</v>
      </c>
      <c r="K372" s="8" t="s">
        <v>6332</v>
      </c>
      <c r="L372" s="1" t="s">
        <v>6375</v>
      </c>
      <c r="M372" s="2">
        <v>45626</v>
      </c>
      <c r="N372" s="1" t="s">
        <v>35</v>
      </c>
      <c r="O372" s="61" t="s">
        <v>9758</v>
      </c>
      <c r="P372" s="14" t="s">
        <v>11282</v>
      </c>
      <c r="Q372" s="187">
        <v>115.7</v>
      </c>
      <c r="R372" s="1">
        <v>1</v>
      </c>
      <c r="S372" s="90">
        <v>0.21</v>
      </c>
      <c r="T372" s="90">
        <v>0</v>
      </c>
      <c r="U372" s="95" t="s">
        <v>10854</v>
      </c>
      <c r="V372" s="95">
        <f t="shared" ref="V372:V373" si="175">SUM(Q372-(Q372*T372))*S372+(Q372-(Q372*T372))</f>
        <v>139.99700000000001</v>
      </c>
      <c r="W372" t="s">
        <v>11360</v>
      </c>
      <c r="X372" s="5" t="s">
        <v>11361</v>
      </c>
      <c r="Y372" s="2">
        <v>36283</v>
      </c>
      <c r="Z372" s="2">
        <v>45625</v>
      </c>
      <c r="AA372" s="284" t="s">
        <v>11636</v>
      </c>
      <c r="AB372" s="3">
        <v>45685</v>
      </c>
      <c r="AC372" s="80" t="s">
        <v>1339</v>
      </c>
      <c r="AF372" t="s">
        <v>3198</v>
      </c>
      <c r="AI372" t="s">
        <v>3470</v>
      </c>
      <c r="AJ372" s="2">
        <v>45638</v>
      </c>
      <c r="AM372" s="3">
        <v>45306</v>
      </c>
    </row>
    <row r="373" spans="1:139">
      <c r="A373" s="1">
        <v>374</v>
      </c>
      <c r="B373" t="s">
        <v>119</v>
      </c>
      <c r="C373" s="2">
        <v>45625</v>
      </c>
      <c r="D373" s="2"/>
      <c r="E373" s="1" t="s">
        <v>3826</v>
      </c>
      <c r="F373" s="61" t="s">
        <v>3827</v>
      </c>
      <c r="G373" s="61" t="s">
        <v>3828</v>
      </c>
      <c r="H373" s="6" t="s">
        <v>250</v>
      </c>
      <c r="I373" s="1" t="s">
        <v>2585</v>
      </c>
      <c r="J373" s="8">
        <v>670341556</v>
      </c>
      <c r="K373" s="1" t="s">
        <v>8094</v>
      </c>
      <c r="L373" s="31" t="s">
        <v>174</v>
      </c>
      <c r="M373" s="2">
        <v>45626</v>
      </c>
      <c r="N373" s="1" t="s">
        <v>35</v>
      </c>
      <c r="O373" s="61" t="s">
        <v>7925</v>
      </c>
      <c r="P373" s="14" t="s">
        <v>11284</v>
      </c>
      <c r="Q373" s="187">
        <v>115.7</v>
      </c>
      <c r="R373" s="1">
        <v>1</v>
      </c>
      <c r="S373" s="128">
        <v>0.21</v>
      </c>
      <c r="T373" s="128">
        <v>0</v>
      </c>
      <c r="U373" s="95" t="s">
        <v>10854</v>
      </c>
      <c r="V373" s="126">
        <f t="shared" si="175"/>
        <v>139.99700000000001</v>
      </c>
      <c r="W373" t="s">
        <v>11370</v>
      </c>
      <c r="X373" s="6" t="s">
        <v>11371</v>
      </c>
      <c r="Y373" s="2">
        <v>31710</v>
      </c>
      <c r="Z373" s="2">
        <v>45625</v>
      </c>
      <c r="AA373" s="284" t="s">
        <v>11636</v>
      </c>
      <c r="AB373" s="3">
        <v>45685</v>
      </c>
      <c r="AC373" s="80" t="s">
        <v>1339</v>
      </c>
      <c r="AF373" t="s">
        <v>3198</v>
      </c>
      <c r="AI373" s="3" t="s">
        <v>3392</v>
      </c>
      <c r="AJ373" s="2">
        <v>45642</v>
      </c>
      <c r="AM373" s="74">
        <v>45645</v>
      </c>
      <c r="AT373" s="1"/>
    </row>
    <row r="374" spans="1:139">
      <c r="A374" s="1">
        <v>375</v>
      </c>
      <c r="B374" t="s">
        <v>45</v>
      </c>
      <c r="C374" s="2">
        <v>45628</v>
      </c>
      <c r="D374" s="2" t="s">
        <v>9900</v>
      </c>
      <c r="E374" s="1" t="s">
        <v>10742</v>
      </c>
      <c r="F374" s="61" t="s">
        <v>10756</v>
      </c>
      <c r="G374" t="s">
        <v>10743</v>
      </c>
      <c r="H374" s="6" t="s">
        <v>219</v>
      </c>
      <c r="I374" s="1" t="s">
        <v>4334</v>
      </c>
      <c r="J374" s="8"/>
      <c r="K374" s="396" t="s">
        <v>8356</v>
      </c>
      <c r="L374" s="1" t="s">
        <v>10742</v>
      </c>
      <c r="M374" s="2">
        <v>45657</v>
      </c>
      <c r="N374" s="1" t="s">
        <v>35</v>
      </c>
      <c r="O374" s="61" t="s">
        <v>7925</v>
      </c>
      <c r="P374" s="14" t="s">
        <v>11316</v>
      </c>
      <c r="Q374" s="187">
        <v>115.7</v>
      </c>
      <c r="R374" s="1">
        <v>1</v>
      </c>
      <c r="S374" s="128">
        <v>0.21</v>
      </c>
      <c r="T374" s="128">
        <v>0</v>
      </c>
      <c r="U374" s="95" t="s">
        <v>10854</v>
      </c>
      <c r="V374" s="126">
        <f t="shared" ref="V374:V378" si="176">SUM(Q374-(Q374*T374))*S374+(Q374-(Q374*T374))</f>
        <v>139.99700000000001</v>
      </c>
      <c r="W374" t="s">
        <v>11372</v>
      </c>
      <c r="X374" s="5" t="s">
        <v>11373</v>
      </c>
      <c r="Y374" s="3">
        <v>32309</v>
      </c>
      <c r="Z374" s="2">
        <v>45628</v>
      </c>
      <c r="AA374" s="284" t="s">
        <v>11636</v>
      </c>
      <c r="AB374" s="3">
        <v>45685</v>
      </c>
      <c r="AC374" s="80" t="s">
        <v>1339</v>
      </c>
      <c r="AI374" s="3" t="s">
        <v>3392</v>
      </c>
      <c r="AJ374" s="3">
        <v>45642</v>
      </c>
      <c r="AM374" s="3">
        <v>45645</v>
      </c>
    </row>
    <row r="375" spans="1:139">
      <c r="A375" s="1">
        <v>376</v>
      </c>
      <c r="B375" s="61" t="s">
        <v>33</v>
      </c>
      <c r="C375" s="2">
        <v>45629</v>
      </c>
      <c r="D375" s="2"/>
      <c r="E375" s="1" t="s">
        <v>9480</v>
      </c>
      <c r="F375" t="s">
        <v>9481</v>
      </c>
      <c r="G375" s="61" t="s">
        <v>6907</v>
      </c>
      <c r="H375" s="6" t="s">
        <v>304</v>
      </c>
      <c r="I375" s="1" t="s">
        <v>3851</v>
      </c>
      <c r="J375" s="44"/>
      <c r="K375" s="114" t="s">
        <v>11744</v>
      </c>
      <c r="L375" t="s">
        <v>237</v>
      </c>
      <c r="M375" s="2">
        <v>45657</v>
      </c>
      <c r="N375" s="1" t="s">
        <v>35</v>
      </c>
      <c r="O375" s="61" t="s">
        <v>7934</v>
      </c>
      <c r="P375" s="14" t="s">
        <v>11317</v>
      </c>
      <c r="Q375" s="92">
        <v>69.42</v>
      </c>
      <c r="R375" s="1">
        <v>1</v>
      </c>
      <c r="S375" s="128">
        <v>0.21</v>
      </c>
      <c r="T375" s="128">
        <v>0</v>
      </c>
      <c r="U375" s="95" t="s">
        <v>10854</v>
      </c>
      <c r="V375" s="95">
        <f t="shared" si="176"/>
        <v>83.998199999999997</v>
      </c>
      <c r="W375" t="s">
        <v>9483</v>
      </c>
      <c r="X375" s="5" t="s">
        <v>11318</v>
      </c>
      <c r="Y375" s="2">
        <v>32555</v>
      </c>
      <c r="Z375" s="2">
        <v>45629</v>
      </c>
      <c r="AA375" s="284" t="s">
        <v>11767</v>
      </c>
      <c r="AB375" s="2">
        <v>45709</v>
      </c>
      <c r="AC375" s="80" t="s">
        <v>1339</v>
      </c>
      <c r="AF375" t="s">
        <v>3198</v>
      </c>
      <c r="AJ375" s="2"/>
      <c r="AK375" s="2"/>
      <c r="AM375" s="2"/>
      <c r="AT375" s="1"/>
    </row>
    <row r="376" spans="1:139">
      <c r="A376" s="1">
        <v>377</v>
      </c>
      <c r="B376" t="s">
        <v>143</v>
      </c>
      <c r="C376" s="2">
        <v>45629</v>
      </c>
      <c r="D376" s="2"/>
      <c r="E376" t="s">
        <v>9345</v>
      </c>
      <c r="F376" t="s">
        <v>9326</v>
      </c>
      <c r="G376" t="s">
        <v>9327</v>
      </c>
      <c r="H376" s="6" t="s">
        <v>219</v>
      </c>
      <c r="I376" s="1" t="s">
        <v>38</v>
      </c>
      <c r="J376" s="8">
        <v>642367594</v>
      </c>
      <c r="K376" s="8"/>
      <c r="L376" t="s">
        <v>9345</v>
      </c>
      <c r="M376" s="2">
        <v>45657</v>
      </c>
      <c r="N376" s="1" t="s">
        <v>35</v>
      </c>
      <c r="O376" s="14" t="s">
        <v>7934</v>
      </c>
      <c r="P376" s="14" t="s">
        <v>11319</v>
      </c>
      <c r="Q376" s="187">
        <v>86.78</v>
      </c>
      <c r="R376" s="1">
        <v>1</v>
      </c>
      <c r="S376" s="90">
        <v>0.21</v>
      </c>
      <c r="T376" s="90">
        <v>0</v>
      </c>
      <c r="U376" s="95" t="s">
        <v>10854</v>
      </c>
      <c r="V376" s="95">
        <f t="shared" si="176"/>
        <v>105.0038</v>
      </c>
      <c r="W376" t="s">
        <v>9345</v>
      </c>
      <c r="X376" s="5" t="s">
        <v>11320</v>
      </c>
      <c r="Y376" s="2">
        <v>30723</v>
      </c>
      <c r="Z376" s="2">
        <v>45629</v>
      </c>
      <c r="AA376" s="284" t="s">
        <v>11767</v>
      </c>
      <c r="AB376" s="2">
        <v>45714</v>
      </c>
      <c r="AC376" s="80" t="s">
        <v>1339</v>
      </c>
      <c r="AF376" t="s">
        <v>3198</v>
      </c>
      <c r="AJ376" s="3"/>
      <c r="AM376" s="74"/>
      <c r="AT376" s="1"/>
    </row>
    <row r="377" spans="1:139">
      <c r="A377" s="1">
        <v>378</v>
      </c>
      <c r="B377" t="s">
        <v>143</v>
      </c>
      <c r="C377" s="2">
        <v>45629</v>
      </c>
      <c r="D377" s="2"/>
      <c r="E377" t="s">
        <v>9431</v>
      </c>
      <c r="F377" t="s">
        <v>9382</v>
      </c>
      <c r="G377" t="s">
        <v>9383</v>
      </c>
      <c r="H377" s="6" t="s">
        <v>219</v>
      </c>
      <c r="I377" s="1" t="s">
        <v>4334</v>
      </c>
      <c r="J377" s="8">
        <v>612421723</v>
      </c>
      <c r="K377" s="8"/>
      <c r="L377" t="s">
        <v>9431</v>
      </c>
      <c r="M377" s="2">
        <v>45657</v>
      </c>
      <c r="N377" s="1" t="s">
        <v>35</v>
      </c>
      <c r="O377" s="14" t="s">
        <v>7934</v>
      </c>
      <c r="P377" s="14" t="s">
        <v>11321</v>
      </c>
      <c r="Q377" s="187">
        <v>86.78</v>
      </c>
      <c r="R377" s="1">
        <v>1</v>
      </c>
      <c r="S377" s="90">
        <v>0.21</v>
      </c>
      <c r="T377" s="90">
        <v>0</v>
      </c>
      <c r="U377" s="95" t="s">
        <v>10854</v>
      </c>
      <c r="V377" s="95">
        <f t="shared" si="176"/>
        <v>105.0038</v>
      </c>
      <c r="W377" t="s">
        <v>9431</v>
      </c>
      <c r="X377" s="5" t="s">
        <v>11322</v>
      </c>
      <c r="Y377" s="2">
        <v>31576</v>
      </c>
      <c r="Z377" s="2">
        <v>45629</v>
      </c>
      <c r="AA377" s="284" t="s">
        <v>11767</v>
      </c>
      <c r="AB377" s="2">
        <v>45714</v>
      </c>
      <c r="AC377" s="80" t="s">
        <v>1339</v>
      </c>
      <c r="AF377" t="s">
        <v>3198</v>
      </c>
      <c r="AJ377" s="2"/>
      <c r="AM377" s="74"/>
      <c r="AT377" s="1"/>
    </row>
    <row r="378" spans="1:139">
      <c r="A378" s="1">
        <v>379</v>
      </c>
      <c r="B378" t="s">
        <v>40</v>
      </c>
      <c r="C378" s="2">
        <v>45629</v>
      </c>
      <c r="D378" s="2"/>
      <c r="E378" s="1" t="s">
        <v>11070</v>
      </c>
      <c r="F378" s="61" t="s">
        <v>11071</v>
      </c>
      <c r="G378" s="61" t="s">
        <v>11072</v>
      </c>
      <c r="H378" s="6" t="s">
        <v>221</v>
      </c>
      <c r="I378" s="1" t="s">
        <v>34</v>
      </c>
      <c r="J378" s="8"/>
      <c r="K378" s="396" t="s">
        <v>8357</v>
      </c>
      <c r="L378" s="1" t="s">
        <v>11070</v>
      </c>
      <c r="M378" s="2">
        <v>45657</v>
      </c>
      <c r="N378" s="1" t="s">
        <v>35</v>
      </c>
      <c r="O378" s="61" t="s">
        <v>9758</v>
      </c>
      <c r="P378" s="14" t="s">
        <v>11073</v>
      </c>
      <c r="Q378" s="187">
        <v>0</v>
      </c>
      <c r="R378" s="1">
        <v>1</v>
      </c>
      <c r="S378" s="128">
        <v>0.21</v>
      </c>
      <c r="T378" s="128">
        <v>0</v>
      </c>
      <c r="U378" s="363" t="s">
        <v>10854</v>
      </c>
      <c r="V378" s="126">
        <f t="shared" si="176"/>
        <v>0</v>
      </c>
      <c r="W378" t="s">
        <v>11117</v>
      </c>
      <c r="X378" s="5" t="s">
        <v>11323</v>
      </c>
      <c r="Y378" s="3">
        <v>38949</v>
      </c>
      <c r="Z378" s="2">
        <v>45629</v>
      </c>
      <c r="AA378" s="72"/>
      <c r="AB378" s="2"/>
      <c r="AC378" s="80"/>
      <c r="AF378" t="s">
        <v>3198</v>
      </c>
      <c r="AI378" t="s">
        <v>3470</v>
      </c>
      <c r="AJ378" s="3"/>
      <c r="AM378" s="3"/>
      <c r="AS378" s="1"/>
    </row>
    <row r="379" spans="1:139">
      <c r="A379" s="1">
        <v>380</v>
      </c>
      <c r="B379" t="s">
        <v>1414</v>
      </c>
      <c r="C379" s="2">
        <v>45629</v>
      </c>
      <c r="D379" s="2"/>
      <c r="E379" s="1" t="s">
        <v>1079</v>
      </c>
      <c r="F379" t="s">
        <v>41</v>
      </c>
      <c r="G379" s="61" t="s">
        <v>2115</v>
      </c>
      <c r="H379" s="1" t="s">
        <v>230</v>
      </c>
      <c r="I379" s="1" t="s">
        <v>1262</v>
      </c>
      <c r="J379" s="1">
        <v>631212115</v>
      </c>
      <c r="K379" s="8" t="s">
        <v>6306</v>
      </c>
      <c r="L379" s="1" t="s">
        <v>1079</v>
      </c>
      <c r="M379" s="2">
        <v>45657</v>
      </c>
      <c r="N379" s="1" t="s">
        <v>35</v>
      </c>
      <c r="O379" s="61" t="s">
        <v>7931</v>
      </c>
      <c r="P379" s="14" t="s">
        <v>11324</v>
      </c>
      <c r="Q379" s="92">
        <v>99.17</v>
      </c>
      <c r="R379" s="1">
        <v>1</v>
      </c>
      <c r="S379" s="128">
        <v>0.21</v>
      </c>
      <c r="T379" s="128">
        <v>0</v>
      </c>
      <c r="U379" s="363" t="s">
        <v>10854</v>
      </c>
      <c r="V379" s="95">
        <f t="shared" ref="V379" si="177">SUM(Q379-(Q379*T379))*S379+(Q379-(Q379*T379))</f>
        <v>119.9957</v>
      </c>
      <c r="W379" t="s">
        <v>9047</v>
      </c>
      <c r="X379" s="5"/>
      <c r="Y379" s="2"/>
      <c r="Z379" s="2"/>
      <c r="AA379" s="72"/>
      <c r="AB379" s="2"/>
      <c r="AC379" s="80"/>
      <c r="AJ379" s="3"/>
      <c r="AL379" s="3"/>
      <c r="AM379" s="3"/>
    </row>
    <row r="380" spans="1:139">
      <c r="A380" s="1">
        <v>381</v>
      </c>
      <c r="B380" t="s">
        <v>37</v>
      </c>
      <c r="C380" s="2">
        <v>45629</v>
      </c>
      <c r="D380" s="2" t="s">
        <v>9900</v>
      </c>
      <c r="E380" s="1" t="s">
        <v>11325</v>
      </c>
      <c r="F380" s="61" t="s">
        <v>11326</v>
      </c>
      <c r="G380" t="s">
        <v>11327</v>
      </c>
      <c r="H380" s="6" t="s">
        <v>270</v>
      </c>
      <c r="I380" s="1" t="s">
        <v>49</v>
      </c>
      <c r="J380" s="8">
        <v>625852256</v>
      </c>
      <c r="K380" s="8"/>
      <c r="L380" s="1" t="s">
        <v>11325</v>
      </c>
      <c r="M380" s="2">
        <v>45657</v>
      </c>
      <c r="N380" s="1" t="s">
        <v>35</v>
      </c>
      <c r="O380" s="61" t="s">
        <v>7925</v>
      </c>
      <c r="P380" s="14" t="s">
        <v>11328</v>
      </c>
      <c r="Q380" s="187">
        <v>165.29</v>
      </c>
      <c r="R380" s="1">
        <v>1</v>
      </c>
      <c r="S380" s="128">
        <v>0.21</v>
      </c>
      <c r="T380" s="128">
        <v>0</v>
      </c>
      <c r="U380" s="363" t="s">
        <v>10854</v>
      </c>
      <c r="V380" s="126">
        <f t="shared" ref="V380" si="178">SUM(Q380-(Q380*T380))*S380+(Q380-(Q380*T380))</f>
        <v>200.0009</v>
      </c>
      <c r="W380" s="1" t="s">
        <v>11325</v>
      </c>
      <c r="X380" s="5" t="s">
        <v>11403</v>
      </c>
      <c r="Y380" s="2">
        <v>32052</v>
      </c>
      <c r="Z380" s="2">
        <v>45629</v>
      </c>
      <c r="AA380" s="284" t="s">
        <v>12021</v>
      </c>
      <c r="AB380" s="2">
        <v>45796</v>
      </c>
      <c r="AC380" s="80" t="s">
        <v>1339</v>
      </c>
      <c r="AE380" s="162">
        <v>45721</v>
      </c>
      <c r="AF380" t="s">
        <v>3198</v>
      </c>
      <c r="AI380" s="182" t="s">
        <v>3392</v>
      </c>
      <c r="AJ380" s="3"/>
      <c r="AM380" s="74"/>
      <c r="AT380" s="1"/>
    </row>
    <row r="381" spans="1:139" s="197" customFormat="1">
      <c r="A381" s="1">
        <v>382</v>
      </c>
      <c r="B381" s="61" t="s">
        <v>4321</v>
      </c>
      <c r="C381" s="2">
        <v>45629</v>
      </c>
      <c r="D381" s="2"/>
      <c r="E381" s="1" t="s">
        <v>3427</v>
      </c>
      <c r="F381" s="61" t="s">
        <v>3428</v>
      </c>
      <c r="G381" s="61" t="s">
        <v>3433</v>
      </c>
      <c r="H381" s="6" t="s">
        <v>3429</v>
      </c>
      <c r="I381" s="1" t="s">
        <v>86</v>
      </c>
      <c r="J381" s="1">
        <v>650379091</v>
      </c>
      <c r="K381" s="8" t="s">
        <v>5991</v>
      </c>
      <c r="L381" s="1" t="s">
        <v>3427</v>
      </c>
      <c r="M381" s="2">
        <v>45657</v>
      </c>
      <c r="N381" t="s">
        <v>35</v>
      </c>
      <c r="O381" s="14" t="s">
        <v>7925</v>
      </c>
      <c r="P381" s="14" t="s">
        <v>11329</v>
      </c>
      <c r="Q381" s="187">
        <v>115.7</v>
      </c>
      <c r="R381" s="1">
        <v>1</v>
      </c>
      <c r="S381" s="128">
        <v>0.21</v>
      </c>
      <c r="T381" s="128">
        <v>0</v>
      </c>
      <c r="U381" s="363" t="s">
        <v>10854</v>
      </c>
      <c r="V381" s="126">
        <f t="shared" ref="V381" si="179">SUM(Q381-(Q381*T381))*S381+(Q381-(Q381*T381))</f>
        <v>139.99700000000001</v>
      </c>
      <c r="W381" t="s">
        <v>11404</v>
      </c>
      <c r="X381" s="5" t="s">
        <v>11405</v>
      </c>
      <c r="Y381" s="2">
        <v>34888</v>
      </c>
      <c r="Z381" s="2">
        <v>45629</v>
      </c>
      <c r="AA381" s="284" t="s">
        <v>11622</v>
      </c>
      <c r="AB381" s="64">
        <v>45684</v>
      </c>
      <c r="AC381" s="80" t="s">
        <v>1339</v>
      </c>
      <c r="AD381"/>
      <c r="AE381"/>
      <c r="AF381" t="s">
        <v>3198</v>
      </c>
      <c r="AG381"/>
      <c r="AH381"/>
      <c r="AI381" s="3" t="s">
        <v>10489</v>
      </c>
      <c r="AJ381" s="2">
        <v>45644</v>
      </c>
      <c r="AK381"/>
      <c r="AL381"/>
      <c r="AM381" s="2">
        <v>45644</v>
      </c>
      <c r="AN381"/>
      <c r="AO381"/>
      <c r="AP381"/>
      <c r="AQ381"/>
      <c r="AR381"/>
      <c r="AS381"/>
      <c r="AT381" s="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</row>
    <row r="382" spans="1:139">
      <c r="A382" s="1">
        <v>383</v>
      </c>
      <c r="B382" t="s">
        <v>9775</v>
      </c>
      <c r="C382" s="2">
        <v>45629</v>
      </c>
      <c r="D382" s="2"/>
      <c r="E382" s="1" t="s">
        <v>9776</v>
      </c>
      <c r="F382" s="61" t="s">
        <v>9777</v>
      </c>
      <c r="G382" t="s">
        <v>843</v>
      </c>
      <c r="H382" s="6" t="s">
        <v>227</v>
      </c>
      <c r="I382" s="1" t="s">
        <v>34</v>
      </c>
      <c r="J382" s="1"/>
      <c r="K382" s="396" t="s">
        <v>9778</v>
      </c>
      <c r="L382" s="1" t="s">
        <v>9776</v>
      </c>
      <c r="M382" s="2">
        <v>45657</v>
      </c>
      <c r="N382" s="1" t="s">
        <v>35</v>
      </c>
      <c r="O382" s="14" t="s">
        <v>7934</v>
      </c>
      <c r="P382" s="14" t="s">
        <v>11330</v>
      </c>
      <c r="Q382" s="187">
        <v>69.42</v>
      </c>
      <c r="R382" s="1">
        <v>1</v>
      </c>
      <c r="S382" s="128">
        <v>0.21</v>
      </c>
      <c r="T382" s="128">
        <v>0</v>
      </c>
      <c r="U382" s="363" t="s">
        <v>10854</v>
      </c>
      <c r="V382" s="126">
        <f t="shared" ref="V382" si="180">SUM(Q382-(Q382*T382))*S382+(Q382-(Q382*T382))</f>
        <v>83.998199999999997</v>
      </c>
      <c r="W382" s="1" t="s">
        <v>8176</v>
      </c>
      <c r="X382" s="406" t="s">
        <v>11335</v>
      </c>
      <c r="Y382" s="2">
        <v>35331</v>
      </c>
      <c r="Z382" s="2">
        <v>45629</v>
      </c>
      <c r="AA382" s="284" t="s">
        <v>11638</v>
      </c>
      <c r="AB382" s="3">
        <v>45685</v>
      </c>
      <c r="AC382" s="80" t="s">
        <v>1339</v>
      </c>
      <c r="AF382" t="s">
        <v>3198</v>
      </c>
      <c r="AI382" s="61"/>
      <c r="AJ382" s="3"/>
      <c r="AM382" s="3"/>
    </row>
    <row r="383" spans="1:139">
      <c r="A383" s="1">
        <v>384</v>
      </c>
      <c r="B383" s="61" t="s">
        <v>33</v>
      </c>
      <c r="C383" s="2">
        <v>45629</v>
      </c>
      <c r="D383" s="2"/>
      <c r="E383" s="1" t="s">
        <v>11331</v>
      </c>
      <c r="F383" t="s">
        <v>11332</v>
      </c>
      <c r="G383" s="61" t="s">
        <v>11333</v>
      </c>
      <c r="H383" s="6" t="s">
        <v>1229</v>
      </c>
      <c r="I383" s="1" t="s">
        <v>3454</v>
      </c>
      <c r="J383" s="44"/>
      <c r="K383" s="114" t="s">
        <v>11744</v>
      </c>
      <c r="L383" t="s">
        <v>237</v>
      </c>
      <c r="M383" s="2">
        <v>45657</v>
      </c>
      <c r="N383" s="1" t="s">
        <v>35</v>
      </c>
      <c r="O383" s="61" t="s">
        <v>9758</v>
      </c>
      <c r="P383" s="14" t="s">
        <v>11334</v>
      </c>
      <c r="Q383" s="92">
        <v>115.7</v>
      </c>
      <c r="R383" s="1">
        <v>1</v>
      </c>
      <c r="S383" s="128">
        <v>0.21</v>
      </c>
      <c r="T383" s="128">
        <v>0</v>
      </c>
      <c r="U383" s="95" t="s">
        <v>10854</v>
      </c>
      <c r="V383" s="95">
        <f t="shared" ref="V383" si="181">SUM(Q383-(Q383*T383))*S383+(Q383-(Q383*T383))</f>
        <v>139.99700000000001</v>
      </c>
      <c r="W383" t="s">
        <v>11367</v>
      </c>
      <c r="X383" s="5" t="s">
        <v>11368</v>
      </c>
      <c r="Y383" s="2">
        <v>37944</v>
      </c>
      <c r="Z383" s="2">
        <v>45629</v>
      </c>
      <c r="AA383" s="284" t="s">
        <v>11640</v>
      </c>
      <c r="AB383" s="64">
        <v>45691</v>
      </c>
      <c r="AC383" s="80" t="s">
        <v>1339</v>
      </c>
      <c r="AF383" t="s">
        <v>3198</v>
      </c>
      <c r="AI383" t="s">
        <v>3470</v>
      </c>
      <c r="AJ383" s="2">
        <v>45642</v>
      </c>
      <c r="AK383" s="2"/>
      <c r="AM383" s="2">
        <v>45657</v>
      </c>
      <c r="AT383" s="1"/>
    </row>
    <row r="384" spans="1:139">
      <c r="A384" s="1">
        <v>385</v>
      </c>
      <c r="B384" s="61" t="s">
        <v>37</v>
      </c>
      <c r="C384" s="2">
        <v>45636</v>
      </c>
      <c r="D384" s="2" t="s">
        <v>9900</v>
      </c>
      <c r="E384" s="1" t="s">
        <v>11407</v>
      </c>
      <c r="F384" t="s">
        <v>11336</v>
      </c>
      <c r="G384" s="61" t="s">
        <v>11337</v>
      </c>
      <c r="H384" s="6" t="s">
        <v>4146</v>
      </c>
      <c r="I384" s="1" t="s">
        <v>4147</v>
      </c>
      <c r="J384" s="44"/>
      <c r="K384" s="1"/>
      <c r="L384" s="1" t="s">
        <v>11407</v>
      </c>
      <c r="M384" s="2">
        <v>45657</v>
      </c>
      <c r="N384" s="1" t="s">
        <v>35</v>
      </c>
      <c r="O384" s="61" t="s">
        <v>7925</v>
      </c>
      <c r="P384" s="14" t="s">
        <v>11338</v>
      </c>
      <c r="Q384" s="92">
        <v>165.29</v>
      </c>
      <c r="R384" s="1">
        <v>1</v>
      </c>
      <c r="S384" s="128">
        <v>0.21</v>
      </c>
      <c r="T384" s="128">
        <v>0</v>
      </c>
      <c r="U384" s="95" t="s">
        <v>10854</v>
      </c>
      <c r="V384" s="95">
        <f t="shared" ref="V384" si="182">SUM(Q384-(Q384*T384))*S384+(Q384-(Q384*T384))</f>
        <v>200.0009</v>
      </c>
      <c r="W384" s="1" t="s">
        <v>11407</v>
      </c>
      <c r="X384" s="5" t="s">
        <v>11408</v>
      </c>
      <c r="Y384" s="2">
        <v>33985</v>
      </c>
      <c r="Z384" s="2">
        <v>45636</v>
      </c>
      <c r="AA384" s="284" t="s">
        <v>12086</v>
      </c>
      <c r="AB384" s="2">
        <v>45777</v>
      </c>
      <c r="AC384" s="80" t="s">
        <v>1339</v>
      </c>
      <c r="AE384" s="182">
        <v>45727</v>
      </c>
      <c r="AF384" t="s">
        <v>3198</v>
      </c>
      <c r="AI384" s="3" t="s">
        <v>11409</v>
      </c>
      <c r="AJ384" s="2">
        <v>45644</v>
      </c>
      <c r="AK384" s="2"/>
      <c r="AM384" s="2">
        <v>45646</v>
      </c>
      <c r="AT384" s="1"/>
    </row>
    <row r="385" spans="1:46">
      <c r="A385" s="1">
        <v>386</v>
      </c>
      <c r="B385" s="61" t="s">
        <v>6452</v>
      </c>
      <c r="C385" s="2">
        <v>45636</v>
      </c>
      <c r="D385" s="2" t="s">
        <v>9900</v>
      </c>
      <c r="E385" s="1" t="s">
        <v>11339</v>
      </c>
      <c r="F385" s="61" t="s">
        <v>11340</v>
      </c>
      <c r="G385" s="61" t="s">
        <v>11341</v>
      </c>
      <c r="H385" s="6" t="s">
        <v>245</v>
      </c>
      <c r="I385" s="1" t="s">
        <v>54</v>
      </c>
      <c r="J385" s="44"/>
      <c r="K385" s="1" t="s">
        <v>11342</v>
      </c>
      <c r="L385" s="1" t="s">
        <v>11339</v>
      </c>
      <c r="M385" s="2">
        <v>45657</v>
      </c>
      <c r="N385" s="1" t="s">
        <v>35</v>
      </c>
      <c r="O385" s="61" t="s">
        <v>9758</v>
      </c>
      <c r="P385" s="14" t="s">
        <v>11343</v>
      </c>
      <c r="Q385" s="92">
        <v>165.29</v>
      </c>
      <c r="R385" s="1">
        <v>1</v>
      </c>
      <c r="S385" s="128">
        <v>0.21</v>
      </c>
      <c r="T385" s="128">
        <v>0</v>
      </c>
      <c r="U385" s="95" t="s">
        <v>10854</v>
      </c>
      <c r="V385" s="126">
        <f t="shared" ref="V385" si="183">SUM(Q385-(Q385*T385))*S385+(Q385-(Q385*T385))</f>
        <v>200.0009</v>
      </c>
      <c r="W385" t="s">
        <v>11410</v>
      </c>
      <c r="X385" s="5" t="s">
        <v>11411</v>
      </c>
      <c r="Y385" s="2">
        <v>27987</v>
      </c>
      <c r="Z385" s="2">
        <v>45636</v>
      </c>
      <c r="AA385" s="284" t="s">
        <v>11843</v>
      </c>
      <c r="AB385" s="2">
        <v>45720</v>
      </c>
      <c r="AC385" s="80" t="s">
        <v>1339</v>
      </c>
      <c r="AF385" t="s">
        <v>3198</v>
      </c>
      <c r="AI385" t="s">
        <v>3470</v>
      </c>
      <c r="AJ385" s="2">
        <v>45644</v>
      </c>
      <c r="AK385" s="2"/>
      <c r="AM385" s="2">
        <v>45657</v>
      </c>
      <c r="AT385" s="1"/>
    </row>
    <row r="386" spans="1:46">
      <c r="A386" s="1">
        <v>387</v>
      </c>
      <c r="B386" t="s">
        <v>3526</v>
      </c>
      <c r="C386" s="2">
        <v>45637</v>
      </c>
      <c r="D386" s="2"/>
      <c r="E386" s="1" t="s">
        <v>4512</v>
      </c>
      <c r="F386" t="s">
        <v>4613</v>
      </c>
      <c r="G386" t="s">
        <v>4614</v>
      </c>
      <c r="H386" s="6" t="s">
        <v>242</v>
      </c>
      <c r="I386" s="1" t="s">
        <v>86</v>
      </c>
      <c r="J386" s="1">
        <v>673821555</v>
      </c>
      <c r="K386" s="8" t="s">
        <v>7157</v>
      </c>
      <c r="L386" s="1" t="s">
        <v>6215</v>
      </c>
      <c r="M386" s="2">
        <v>45657</v>
      </c>
      <c r="N386" s="1" t="s">
        <v>35</v>
      </c>
      <c r="O386" s="61" t="s">
        <v>7934</v>
      </c>
      <c r="P386" s="14" t="s">
        <v>11344</v>
      </c>
      <c r="Q386" s="187">
        <v>69.42</v>
      </c>
      <c r="R386" s="1">
        <v>1</v>
      </c>
      <c r="S386" s="90">
        <v>0.21</v>
      </c>
      <c r="T386" s="90">
        <v>0</v>
      </c>
      <c r="U386" s="95" t="s">
        <v>10854</v>
      </c>
      <c r="V386" s="95">
        <f t="shared" ref="V386" si="184">SUM(Q386-(Q386*T386))*S386+(Q386-(Q386*T386))</f>
        <v>83.998199999999997</v>
      </c>
      <c r="W386" t="s">
        <v>9322</v>
      </c>
      <c r="X386" s="5" t="s">
        <v>11345</v>
      </c>
      <c r="Y386" s="2">
        <v>34591</v>
      </c>
      <c r="Z386" s="2">
        <v>45637</v>
      </c>
      <c r="AA386" s="284" t="s">
        <v>11640</v>
      </c>
      <c r="AB386" s="64">
        <v>45686</v>
      </c>
      <c r="AC386" s="80" t="s">
        <v>1339</v>
      </c>
      <c r="AF386" t="s">
        <v>3198</v>
      </c>
      <c r="AI386" s="61"/>
      <c r="AJ386" s="3"/>
      <c r="AM386" s="3"/>
      <c r="AS386" s="1" t="s">
        <v>7929</v>
      </c>
    </row>
    <row r="387" spans="1:46">
      <c r="A387" s="1">
        <v>388</v>
      </c>
      <c r="B387" s="61" t="s">
        <v>37</v>
      </c>
      <c r="C387" s="2">
        <v>45637</v>
      </c>
      <c r="D387" s="2" t="s">
        <v>9900</v>
      </c>
      <c r="E387" s="1" t="s">
        <v>11346</v>
      </c>
      <c r="F387" s="61" t="s">
        <v>11347</v>
      </c>
      <c r="G387" s="61" t="s">
        <v>11348</v>
      </c>
      <c r="H387" s="6" t="s">
        <v>432</v>
      </c>
      <c r="I387" s="1" t="s">
        <v>49</v>
      </c>
      <c r="J387" s="44">
        <v>642857924</v>
      </c>
      <c r="K387" s="1"/>
      <c r="L387" s="1" t="s">
        <v>11346</v>
      </c>
      <c r="M387" s="2">
        <v>45657</v>
      </c>
      <c r="N387" s="1" t="s">
        <v>35</v>
      </c>
      <c r="O387" s="61" t="s">
        <v>7934</v>
      </c>
      <c r="P387" s="14" t="s">
        <v>11349</v>
      </c>
      <c r="Q387" s="187">
        <v>86.78</v>
      </c>
      <c r="R387" s="1">
        <v>1</v>
      </c>
      <c r="S387" s="90">
        <v>0.21</v>
      </c>
      <c r="T387" s="90">
        <v>0</v>
      </c>
      <c r="U387" s="95" t="s">
        <v>10854</v>
      </c>
      <c r="V387" s="95">
        <f t="shared" ref="V387" si="185">SUM(Q387-(Q387*T387))*S387+(Q387-(Q387*T387))</f>
        <v>105.0038</v>
      </c>
      <c r="W387" s="1" t="s">
        <v>11346</v>
      </c>
      <c r="X387" s="5" t="s">
        <v>11350</v>
      </c>
      <c r="Y387" s="2">
        <v>36233</v>
      </c>
      <c r="Z387" s="2">
        <v>45637</v>
      </c>
      <c r="AA387" s="284" t="s">
        <v>11727</v>
      </c>
      <c r="AB387" s="2">
        <v>45705</v>
      </c>
      <c r="AC387" s="80" t="s">
        <v>1339</v>
      </c>
      <c r="AF387" t="s">
        <v>3198</v>
      </c>
      <c r="AJ387" s="2"/>
      <c r="AK387" s="2"/>
      <c r="AM387" s="2"/>
      <c r="AT387" s="1"/>
    </row>
    <row r="388" spans="1:46">
      <c r="A388" s="1">
        <v>389</v>
      </c>
      <c r="B388" t="s">
        <v>143</v>
      </c>
      <c r="C388" s="2">
        <v>45637</v>
      </c>
      <c r="D388" s="2"/>
      <c r="E388" t="s">
        <v>9470</v>
      </c>
      <c r="F388" t="s">
        <v>9439</v>
      </c>
      <c r="G388" t="s">
        <v>9440</v>
      </c>
      <c r="H388" s="6" t="s">
        <v>219</v>
      </c>
      <c r="I388" s="1" t="s">
        <v>4334</v>
      </c>
      <c r="J388" s="8">
        <v>632863286</v>
      </c>
      <c r="K388" s="8"/>
      <c r="L388" t="s">
        <v>9470</v>
      </c>
      <c r="M388" s="2">
        <v>45657</v>
      </c>
      <c r="N388" s="1" t="s">
        <v>35</v>
      </c>
      <c r="O388" s="61" t="s">
        <v>7934</v>
      </c>
      <c r="P388" s="14" t="s">
        <v>11351</v>
      </c>
      <c r="Q388" s="187">
        <v>86.78</v>
      </c>
      <c r="R388" s="1">
        <v>1</v>
      </c>
      <c r="S388" s="90">
        <v>0.21</v>
      </c>
      <c r="T388" s="90">
        <v>0</v>
      </c>
      <c r="U388" s="95" t="s">
        <v>10854</v>
      </c>
      <c r="V388" s="95">
        <f t="shared" ref="V388" si="186">SUM(Q388-(Q388*T388))*S388+(Q388-(Q388*T388))</f>
        <v>105.0038</v>
      </c>
      <c r="W388" t="s">
        <v>9470</v>
      </c>
      <c r="X388" s="5" t="s">
        <v>11352</v>
      </c>
      <c r="Y388" s="2">
        <v>35713</v>
      </c>
      <c r="Z388" s="2">
        <v>45637</v>
      </c>
      <c r="AA388" s="284" t="s">
        <v>11789</v>
      </c>
      <c r="AB388" s="2">
        <v>45714</v>
      </c>
      <c r="AC388" s="80" t="s">
        <v>1339</v>
      </c>
      <c r="AF388" t="s">
        <v>3198</v>
      </c>
      <c r="AJ388" s="2"/>
      <c r="AM388" s="74"/>
      <c r="AT388" s="1"/>
    </row>
    <row r="389" spans="1:46">
      <c r="A389" s="1">
        <v>390</v>
      </c>
      <c r="B389" t="s">
        <v>143</v>
      </c>
      <c r="C389" s="2">
        <v>45637</v>
      </c>
      <c r="D389" s="2"/>
      <c r="E389" t="s">
        <v>9485</v>
      </c>
      <c r="F389" t="s">
        <v>9442</v>
      </c>
      <c r="G389" t="s">
        <v>9443</v>
      </c>
      <c r="H389" s="6" t="s">
        <v>219</v>
      </c>
      <c r="I389" s="1" t="s">
        <v>4334</v>
      </c>
      <c r="J389" s="8">
        <v>624466934</v>
      </c>
      <c r="K389" s="8"/>
      <c r="L389" t="s">
        <v>9485</v>
      </c>
      <c r="M389" s="2">
        <v>45657</v>
      </c>
      <c r="N389" s="1" t="s">
        <v>35</v>
      </c>
      <c r="O389" s="61" t="s">
        <v>7934</v>
      </c>
      <c r="P389" s="14" t="s">
        <v>11353</v>
      </c>
      <c r="Q389" s="187">
        <v>86.78</v>
      </c>
      <c r="R389" s="1">
        <v>1</v>
      </c>
      <c r="S389" s="90">
        <v>0.21</v>
      </c>
      <c r="T389" s="90">
        <v>0</v>
      </c>
      <c r="U389" s="95" t="s">
        <v>10854</v>
      </c>
      <c r="V389" s="95">
        <f t="shared" ref="V389" si="187">SUM(Q389-(Q389*T389))*S389+(Q389-(Q389*T389))</f>
        <v>105.0038</v>
      </c>
      <c r="W389" t="s">
        <v>9485</v>
      </c>
      <c r="X389" s="5" t="s">
        <v>11354</v>
      </c>
      <c r="Y389" s="2">
        <v>36015</v>
      </c>
      <c r="Z389" s="2">
        <v>45637</v>
      </c>
      <c r="AA389" s="284" t="s">
        <v>11789</v>
      </c>
      <c r="AB389" s="2">
        <v>45714</v>
      </c>
      <c r="AC389" s="80" t="s">
        <v>1339</v>
      </c>
      <c r="AF389" t="s">
        <v>3198</v>
      </c>
      <c r="AJ389" s="2"/>
      <c r="AM389" s="74"/>
      <c r="AT389" s="1"/>
    </row>
    <row r="390" spans="1:46">
      <c r="A390" s="1">
        <v>391</v>
      </c>
      <c r="B390" s="61" t="s">
        <v>37</v>
      </c>
      <c r="C390" s="2">
        <v>45637</v>
      </c>
      <c r="D390" s="2" t="s">
        <v>9900</v>
      </c>
      <c r="E390" s="1" t="s">
        <v>11355</v>
      </c>
      <c r="F390" s="61" t="s">
        <v>11358</v>
      </c>
      <c r="G390" s="61" t="s">
        <v>11356</v>
      </c>
      <c r="H390" s="6" t="s">
        <v>221</v>
      </c>
      <c r="I390" s="1" t="s">
        <v>34</v>
      </c>
      <c r="J390" s="44"/>
      <c r="K390" s="1"/>
      <c r="L390" s="1" t="s">
        <v>11355</v>
      </c>
      <c r="M390" s="2">
        <v>45657</v>
      </c>
      <c r="N390" s="1" t="s">
        <v>35</v>
      </c>
      <c r="O390" s="61" t="s">
        <v>7934</v>
      </c>
      <c r="P390" s="14" t="s">
        <v>11357</v>
      </c>
      <c r="Q390" s="187">
        <v>86.78</v>
      </c>
      <c r="R390" s="1">
        <v>1</v>
      </c>
      <c r="S390" s="90">
        <v>0.21</v>
      </c>
      <c r="T390" s="90">
        <v>0</v>
      </c>
      <c r="U390" s="95" t="s">
        <v>10854</v>
      </c>
      <c r="V390" s="95">
        <f t="shared" ref="V390:V395" si="188">SUM(Q390-(Q390*T390))*S390+(Q390-(Q390*T390))</f>
        <v>105.0038</v>
      </c>
      <c r="W390" s="1" t="s">
        <v>11355</v>
      </c>
      <c r="X390" s="5" t="s">
        <v>11359</v>
      </c>
      <c r="Y390" s="2">
        <v>31039</v>
      </c>
      <c r="Z390" s="2">
        <v>45637</v>
      </c>
      <c r="AA390" s="284" t="s">
        <v>11640</v>
      </c>
      <c r="AB390" s="64">
        <v>45686</v>
      </c>
      <c r="AC390" s="80" t="s">
        <v>1339</v>
      </c>
      <c r="AF390" t="s">
        <v>3198</v>
      </c>
      <c r="AJ390" s="2"/>
      <c r="AK390" s="2"/>
      <c r="AM390" s="2"/>
      <c r="AT390" s="1"/>
    </row>
    <row r="391" spans="1:46">
      <c r="A391" s="1">
        <v>392</v>
      </c>
      <c r="B391" s="61" t="s">
        <v>33</v>
      </c>
      <c r="C391" s="2">
        <v>45637</v>
      </c>
      <c r="D391" s="2" t="s">
        <v>9900</v>
      </c>
      <c r="E391" s="1" t="s">
        <v>11412</v>
      </c>
      <c r="F391" t="s">
        <v>11413</v>
      </c>
      <c r="G391" s="61" t="s">
        <v>11414</v>
      </c>
      <c r="H391" s="6" t="s">
        <v>219</v>
      </c>
      <c r="I391" s="1" t="s">
        <v>38</v>
      </c>
      <c r="J391" s="44"/>
      <c r="K391" s="114" t="s">
        <v>11744</v>
      </c>
      <c r="L391" t="s">
        <v>237</v>
      </c>
      <c r="M391" s="2">
        <v>45657</v>
      </c>
      <c r="N391" s="1" t="s">
        <v>35</v>
      </c>
      <c r="O391" s="61" t="s">
        <v>9758</v>
      </c>
      <c r="P391" s="14" t="s">
        <v>11415</v>
      </c>
      <c r="Q391" s="187">
        <v>115.7</v>
      </c>
      <c r="R391" s="1">
        <v>1</v>
      </c>
      <c r="S391" s="90">
        <v>0.21</v>
      </c>
      <c r="T391" s="90">
        <v>0</v>
      </c>
      <c r="U391" s="95" t="s">
        <v>10854</v>
      </c>
      <c r="V391" s="126">
        <f>SUM(Q391-(Q391*T391))*S391+(Q391-(Q391*T391))</f>
        <v>139.99700000000001</v>
      </c>
      <c r="W391" s="1" t="s">
        <v>11416</v>
      </c>
      <c r="X391" s="5" t="s">
        <v>11417</v>
      </c>
      <c r="Y391" s="2">
        <v>39083</v>
      </c>
      <c r="Z391" s="2">
        <v>45637</v>
      </c>
      <c r="AA391" s="284" t="s">
        <v>11735</v>
      </c>
      <c r="AB391" s="3">
        <v>45705</v>
      </c>
      <c r="AC391" s="80" t="s">
        <v>1339</v>
      </c>
      <c r="AF391" t="s">
        <v>3198</v>
      </c>
      <c r="AI391" s="3" t="s">
        <v>3470</v>
      </c>
      <c r="AJ391" s="2">
        <v>45645</v>
      </c>
      <c r="AK391" s="2"/>
      <c r="AM391" s="2">
        <v>45646</v>
      </c>
      <c r="AT391" s="1"/>
    </row>
    <row r="392" spans="1:46">
      <c r="A392" s="1">
        <v>393</v>
      </c>
      <c r="B392" t="s">
        <v>143</v>
      </c>
      <c r="C392" s="2">
        <v>45642</v>
      </c>
      <c r="D392" s="2" t="s">
        <v>9900</v>
      </c>
      <c r="E392" t="s">
        <v>11463</v>
      </c>
      <c r="F392" t="s">
        <v>11375</v>
      </c>
      <c r="G392" t="s">
        <v>11376</v>
      </c>
      <c r="H392" s="6" t="s">
        <v>5141</v>
      </c>
      <c r="I392" s="1" t="s">
        <v>5142</v>
      </c>
      <c r="J392" s="8" t="s">
        <v>11377</v>
      </c>
      <c r="K392" s="8"/>
      <c r="L392" t="s">
        <v>11463</v>
      </c>
      <c r="M392" s="2">
        <v>45657</v>
      </c>
      <c r="N392" s="1" t="s">
        <v>35</v>
      </c>
      <c r="O392" s="61" t="s">
        <v>7925</v>
      </c>
      <c r="P392" s="14" t="s">
        <v>11378</v>
      </c>
      <c r="Q392" s="187">
        <v>165.29</v>
      </c>
      <c r="R392" s="1">
        <v>1</v>
      </c>
      <c r="S392" s="90">
        <v>0.21</v>
      </c>
      <c r="T392" s="90">
        <v>0</v>
      </c>
      <c r="U392" s="95" t="s">
        <v>10854</v>
      </c>
      <c r="V392" s="95">
        <f t="shared" si="188"/>
        <v>200.0009</v>
      </c>
      <c r="W392" t="s">
        <v>11463</v>
      </c>
      <c r="X392" s="5" t="s">
        <v>11464</v>
      </c>
      <c r="Y392" s="2">
        <v>35834</v>
      </c>
      <c r="Z392" s="2">
        <v>45642</v>
      </c>
      <c r="AA392" s="284" t="s">
        <v>11727</v>
      </c>
      <c r="AB392" s="3">
        <v>45705</v>
      </c>
      <c r="AC392" s="80" t="s">
        <v>1339</v>
      </c>
      <c r="AF392" t="s">
        <v>3198</v>
      </c>
      <c r="AI392" s="3" t="s">
        <v>3392</v>
      </c>
      <c r="AJ392" s="2">
        <v>45659</v>
      </c>
      <c r="AM392" s="74">
        <v>45670</v>
      </c>
      <c r="AT392" s="1"/>
    </row>
    <row r="393" spans="1:46">
      <c r="A393" s="1">
        <v>394</v>
      </c>
      <c r="B393" s="61" t="s">
        <v>1414</v>
      </c>
      <c r="C393" s="2">
        <v>45642</v>
      </c>
      <c r="D393" s="2"/>
      <c r="E393" s="1" t="s">
        <v>176</v>
      </c>
      <c r="F393" s="61" t="s">
        <v>4460</v>
      </c>
      <c r="G393" s="61" t="s">
        <v>4461</v>
      </c>
      <c r="H393" s="6" t="s">
        <v>230</v>
      </c>
      <c r="I393" t="s">
        <v>1262</v>
      </c>
      <c r="J393" s="8">
        <v>637571817</v>
      </c>
      <c r="K393" s="8"/>
      <c r="L393" t="s">
        <v>176</v>
      </c>
      <c r="M393" s="2">
        <v>45657</v>
      </c>
      <c r="N393" s="1" t="s">
        <v>35</v>
      </c>
      <c r="O393" s="61" t="s">
        <v>7925</v>
      </c>
      <c r="P393" s="14" t="s">
        <v>11379</v>
      </c>
      <c r="Q393" s="163">
        <v>115.7</v>
      </c>
      <c r="R393" s="1">
        <v>1</v>
      </c>
      <c r="S393" s="90">
        <v>0.21</v>
      </c>
      <c r="T393" s="90">
        <v>0</v>
      </c>
      <c r="U393" s="95" t="s">
        <v>10854</v>
      </c>
      <c r="V393" s="95">
        <f t="shared" si="188"/>
        <v>139.99700000000001</v>
      </c>
      <c r="W393" t="s">
        <v>11467</v>
      </c>
      <c r="X393" s="5" t="s">
        <v>11468</v>
      </c>
      <c r="Y393" s="2">
        <v>33887</v>
      </c>
      <c r="Z393" s="2">
        <v>45642</v>
      </c>
      <c r="AA393" s="284" t="s">
        <v>11727</v>
      </c>
      <c r="AB393" s="3">
        <v>45705</v>
      </c>
      <c r="AC393" s="80" t="s">
        <v>1339</v>
      </c>
      <c r="AF393" t="s">
        <v>3198</v>
      </c>
      <c r="AI393" s="3" t="s">
        <v>3392</v>
      </c>
      <c r="AJ393" s="2">
        <v>45659</v>
      </c>
      <c r="AM393" s="74">
        <v>45665</v>
      </c>
      <c r="AT393" s="1"/>
    </row>
    <row r="394" spans="1:46">
      <c r="A394" s="1">
        <v>395</v>
      </c>
      <c r="B394" s="61" t="s">
        <v>33</v>
      </c>
      <c r="C394" s="2">
        <v>45642</v>
      </c>
      <c r="D394" s="2"/>
      <c r="E394" s="1" t="s">
        <v>4245</v>
      </c>
      <c r="F394" t="s">
        <v>4246</v>
      </c>
      <c r="G394" s="61" t="s">
        <v>7517</v>
      </c>
      <c r="H394" s="6" t="s">
        <v>227</v>
      </c>
      <c r="I394" s="1" t="s">
        <v>4719</v>
      </c>
      <c r="J394" s="44"/>
      <c r="K394" s="114" t="s">
        <v>11744</v>
      </c>
      <c r="L394" t="s">
        <v>237</v>
      </c>
      <c r="M394" s="2">
        <v>45657</v>
      </c>
      <c r="N394" s="1" t="s">
        <v>35</v>
      </c>
      <c r="O394" s="61" t="s">
        <v>9758</v>
      </c>
      <c r="P394" s="14" t="s">
        <v>11380</v>
      </c>
      <c r="Q394" s="92">
        <v>115.7</v>
      </c>
      <c r="R394" s="1">
        <v>1</v>
      </c>
      <c r="S394" s="128">
        <v>0.21</v>
      </c>
      <c r="T394" s="128">
        <v>0</v>
      </c>
      <c r="U394" s="95" t="s">
        <v>10854</v>
      </c>
      <c r="V394" s="95">
        <f t="shared" si="188"/>
        <v>139.99700000000001</v>
      </c>
      <c r="W394" t="s">
        <v>11465</v>
      </c>
      <c r="X394" s="5" t="s">
        <v>11466</v>
      </c>
      <c r="Y394" s="2">
        <v>36897</v>
      </c>
      <c r="Z394" s="2">
        <v>45642</v>
      </c>
      <c r="AA394" s="11" t="s">
        <v>11923</v>
      </c>
      <c r="AB394" s="2">
        <v>45733</v>
      </c>
      <c r="AC394" s="80" t="s">
        <v>1339</v>
      </c>
      <c r="AE394" s="162">
        <v>45722</v>
      </c>
      <c r="AF394" t="s">
        <v>3198</v>
      </c>
      <c r="AI394" s="3" t="s">
        <v>3470</v>
      </c>
      <c r="AJ394" s="2">
        <v>45659</v>
      </c>
      <c r="AK394" s="2"/>
      <c r="AL394" s="3"/>
      <c r="AM394" s="74">
        <v>45665</v>
      </c>
      <c r="AT394" s="1"/>
    </row>
    <row r="395" spans="1:46">
      <c r="A395" s="1">
        <v>396</v>
      </c>
      <c r="B395" t="s">
        <v>33</v>
      </c>
      <c r="C395" s="2">
        <v>45642</v>
      </c>
      <c r="D395" s="2"/>
      <c r="E395" s="1" t="s">
        <v>4537</v>
      </c>
      <c r="F395" t="s">
        <v>4540</v>
      </c>
      <c r="G395" s="61" t="s">
        <v>6316</v>
      </c>
      <c r="H395" s="6" t="s">
        <v>220</v>
      </c>
      <c r="I395" s="1" t="s">
        <v>39</v>
      </c>
      <c r="J395" s="8"/>
      <c r="K395" s="114" t="s">
        <v>11744</v>
      </c>
      <c r="L395" t="s">
        <v>237</v>
      </c>
      <c r="M395" s="2">
        <v>45657</v>
      </c>
      <c r="N395" s="1" t="s">
        <v>35</v>
      </c>
      <c r="O395" s="61" t="s">
        <v>7934</v>
      </c>
      <c r="P395" s="14" t="s">
        <v>6568</v>
      </c>
      <c r="Q395" s="187">
        <v>69.42</v>
      </c>
      <c r="R395" s="1">
        <v>1</v>
      </c>
      <c r="S395" s="128">
        <v>0.21</v>
      </c>
      <c r="T395" s="128">
        <v>0</v>
      </c>
      <c r="U395" s="95" t="s">
        <v>10854</v>
      </c>
      <c r="V395" s="95">
        <f t="shared" si="188"/>
        <v>83.998199999999997</v>
      </c>
      <c r="W395" t="s">
        <v>9352</v>
      </c>
      <c r="X395" s="5" t="s">
        <v>11381</v>
      </c>
      <c r="Y395" s="2">
        <v>31411</v>
      </c>
      <c r="Z395" s="2">
        <v>45642</v>
      </c>
      <c r="AA395" s="11" t="s">
        <v>11923</v>
      </c>
      <c r="AB395" s="2">
        <v>45733</v>
      </c>
      <c r="AC395" s="80" t="s">
        <v>1339</v>
      </c>
      <c r="AF395" t="s">
        <v>3198</v>
      </c>
      <c r="AJ395" s="2"/>
      <c r="AM395" s="74"/>
      <c r="AT395" s="1"/>
    </row>
    <row r="396" spans="1:46">
      <c r="A396" s="1">
        <v>397</v>
      </c>
      <c r="B396" s="61" t="s">
        <v>40</v>
      </c>
      <c r="C396" s="2">
        <v>45642</v>
      </c>
      <c r="D396" s="2"/>
      <c r="E396" s="1" t="s">
        <v>4831</v>
      </c>
      <c r="F396" t="s">
        <v>4824</v>
      </c>
      <c r="G396" t="s">
        <v>4825</v>
      </c>
      <c r="H396" s="6" t="s">
        <v>227</v>
      </c>
      <c r="I396" s="1" t="s">
        <v>4719</v>
      </c>
      <c r="J396" s="1"/>
      <c r="K396" s="114" t="s">
        <v>8357</v>
      </c>
      <c r="L396" s="1" t="s">
        <v>4823</v>
      </c>
      <c r="M396" s="2">
        <v>45657</v>
      </c>
      <c r="N396" s="1" t="s">
        <v>35</v>
      </c>
      <c r="O396" s="61" t="s">
        <v>9758</v>
      </c>
      <c r="P396" s="14" t="s">
        <v>11382</v>
      </c>
      <c r="Q396" s="92">
        <v>115.7</v>
      </c>
      <c r="R396" s="1">
        <v>1</v>
      </c>
      <c r="S396" s="128">
        <v>0.21</v>
      </c>
      <c r="T396" s="128">
        <v>0</v>
      </c>
      <c r="U396" s="95" t="s">
        <v>10854</v>
      </c>
      <c r="V396" s="126">
        <f t="shared" ref="V396" si="189">SUM(Q396-(Q396*T396))*S396+(Q396-(Q396*T396))</f>
        <v>139.99700000000001</v>
      </c>
      <c r="W396" t="s">
        <v>11477</v>
      </c>
      <c r="X396" s="5" t="s">
        <v>11478</v>
      </c>
      <c r="Y396" s="2">
        <v>35765</v>
      </c>
      <c r="Z396" s="2">
        <v>45642</v>
      </c>
      <c r="AA396" s="11" t="s">
        <v>11733</v>
      </c>
      <c r="AB396" s="2">
        <v>45705</v>
      </c>
      <c r="AC396" s="80" t="s">
        <v>1339</v>
      </c>
      <c r="AF396" t="s">
        <v>3198</v>
      </c>
      <c r="AI396" s="3" t="s">
        <v>3470</v>
      </c>
      <c r="AJ396" s="2">
        <v>45659</v>
      </c>
      <c r="AK396" s="2"/>
      <c r="AM396" s="2">
        <v>45666</v>
      </c>
      <c r="AT396" s="1"/>
    </row>
    <row r="397" spans="1:46">
      <c r="A397" s="1">
        <v>398</v>
      </c>
      <c r="B397" t="s">
        <v>1511</v>
      </c>
      <c r="C397" s="2">
        <v>45642</v>
      </c>
      <c r="D397" s="2"/>
      <c r="E397" s="1" t="s">
        <v>9433</v>
      </c>
      <c r="F397" t="s">
        <v>9385</v>
      </c>
      <c r="G397" t="s">
        <v>9386</v>
      </c>
      <c r="H397" s="6" t="s">
        <v>220</v>
      </c>
      <c r="I397" s="1" t="s">
        <v>39</v>
      </c>
      <c r="J397" s="8">
        <v>641363201</v>
      </c>
      <c r="K397" s="8"/>
      <c r="L397" s="1" t="s">
        <v>9433</v>
      </c>
      <c r="M397" s="2">
        <v>45657</v>
      </c>
      <c r="N397" s="1" t="s">
        <v>35</v>
      </c>
      <c r="O397" s="61" t="s">
        <v>7934</v>
      </c>
      <c r="P397" s="14" t="s">
        <v>11383</v>
      </c>
      <c r="Q397" s="187">
        <v>86.78</v>
      </c>
      <c r="R397" s="1">
        <v>1</v>
      </c>
      <c r="S397" s="90">
        <v>0.21</v>
      </c>
      <c r="T397" s="90">
        <v>0</v>
      </c>
      <c r="U397" s="95" t="s">
        <v>10854</v>
      </c>
      <c r="V397" s="95">
        <f t="shared" ref="V397:V398" si="190">SUM(Q397-(Q397*T397))*S397+(Q397-(Q397*T397))</f>
        <v>105.0038</v>
      </c>
      <c r="W397" t="s">
        <v>9433</v>
      </c>
      <c r="X397" s="5" t="s">
        <v>11384</v>
      </c>
      <c r="Y397" s="2">
        <v>36284</v>
      </c>
      <c r="Z397" s="2">
        <v>45642</v>
      </c>
      <c r="AA397" s="11" t="s">
        <v>11768</v>
      </c>
      <c r="AB397" s="2">
        <v>45714</v>
      </c>
      <c r="AC397" s="80" t="s">
        <v>1339</v>
      </c>
      <c r="AF397" t="s">
        <v>3198</v>
      </c>
      <c r="AJ397" s="2"/>
      <c r="AL397" s="3"/>
      <c r="AM397" s="74"/>
      <c r="AT397" s="1"/>
    </row>
    <row r="398" spans="1:46" ht="14.25" customHeight="1">
      <c r="A398" s="1">
        <v>399</v>
      </c>
      <c r="B398" t="s">
        <v>52</v>
      </c>
      <c r="C398" s="2">
        <v>45643</v>
      </c>
      <c r="D398" s="2"/>
      <c r="E398" s="1" t="s">
        <v>70</v>
      </c>
      <c r="F398" s="61" t="s">
        <v>3543</v>
      </c>
      <c r="G398" s="61" t="s">
        <v>3544</v>
      </c>
      <c r="H398" s="6" t="s">
        <v>221</v>
      </c>
      <c r="I398" s="1" t="s">
        <v>34</v>
      </c>
      <c r="J398" s="1">
        <v>645871002</v>
      </c>
      <c r="K398" s="1" t="s">
        <v>5906</v>
      </c>
      <c r="L398" s="1" t="s">
        <v>4432</v>
      </c>
      <c r="M398" s="2">
        <v>45657</v>
      </c>
      <c r="N398" s="1" t="s">
        <v>35</v>
      </c>
      <c r="O398" s="375" t="s">
        <v>7926</v>
      </c>
      <c r="P398" s="14" t="s">
        <v>11386</v>
      </c>
      <c r="Q398" s="187">
        <v>115.7</v>
      </c>
      <c r="R398" s="1">
        <v>1</v>
      </c>
      <c r="S398" s="128">
        <v>0.21</v>
      </c>
      <c r="T398" s="128">
        <v>0</v>
      </c>
      <c r="U398" s="95" t="s">
        <v>10854</v>
      </c>
      <c r="V398" s="95">
        <f t="shared" si="190"/>
        <v>139.99700000000001</v>
      </c>
      <c r="W398" t="s">
        <v>11475</v>
      </c>
      <c r="X398" s="5" t="s">
        <v>11476</v>
      </c>
      <c r="Y398" s="211">
        <v>32734</v>
      </c>
      <c r="Z398" s="2">
        <v>45643</v>
      </c>
      <c r="AA398" s="11" t="s">
        <v>11727</v>
      </c>
      <c r="AB398" s="2">
        <v>45705</v>
      </c>
      <c r="AC398" s="80" t="s">
        <v>1339</v>
      </c>
      <c r="AF398" t="s">
        <v>3198</v>
      </c>
      <c r="AI398" s="3" t="s">
        <v>3470</v>
      </c>
      <c r="AJ398" s="3">
        <v>45659</v>
      </c>
      <c r="AM398" s="74">
        <v>45665</v>
      </c>
      <c r="AS398" s="1"/>
    </row>
    <row r="399" spans="1:46" ht="14.25" customHeight="1">
      <c r="A399" s="1">
        <v>400</v>
      </c>
      <c r="B399" t="s">
        <v>37</v>
      </c>
      <c r="C399" s="2">
        <v>45643</v>
      </c>
      <c r="D399" s="2" t="s">
        <v>9900</v>
      </c>
      <c r="E399" s="1" t="s">
        <v>11471</v>
      </c>
      <c r="F399" s="61" t="s">
        <v>11387</v>
      </c>
      <c r="G399" s="61" t="s">
        <v>11388</v>
      </c>
      <c r="H399" s="6" t="s">
        <v>219</v>
      </c>
      <c r="I399" s="1" t="s">
        <v>38</v>
      </c>
      <c r="J399" s="1" t="s">
        <v>11389</v>
      </c>
      <c r="K399" s="1"/>
      <c r="L399" s="1" t="s">
        <v>11471</v>
      </c>
      <c r="M399" s="2">
        <v>45657</v>
      </c>
      <c r="N399" s="1" t="s">
        <v>35</v>
      </c>
      <c r="O399" s="375" t="s">
        <v>7925</v>
      </c>
      <c r="P399" s="14" t="s">
        <v>11390</v>
      </c>
      <c r="Q399" s="187">
        <v>115.7</v>
      </c>
      <c r="R399" s="1">
        <v>1</v>
      </c>
      <c r="S399" s="128">
        <v>0.21</v>
      </c>
      <c r="T399" s="128">
        <v>0</v>
      </c>
      <c r="U399" s="95" t="s">
        <v>10854</v>
      </c>
      <c r="V399" s="126">
        <f t="shared" ref="V399:V403" si="191">SUM(Q399-(Q399*T399))*S399+(Q399-(Q399*T399))</f>
        <v>139.99700000000001</v>
      </c>
      <c r="W399" t="s">
        <v>11471</v>
      </c>
      <c r="X399" s="5" t="s">
        <v>11472</v>
      </c>
      <c r="Y399" s="211">
        <v>30807</v>
      </c>
      <c r="Z399" s="2">
        <v>45643</v>
      </c>
      <c r="AA399" s="11" t="s">
        <v>11727</v>
      </c>
      <c r="AB399" s="2">
        <v>45705</v>
      </c>
      <c r="AC399" s="80" t="s">
        <v>1339</v>
      </c>
      <c r="AF399" t="s">
        <v>3198</v>
      </c>
      <c r="AI399" s="3" t="s">
        <v>11391</v>
      </c>
      <c r="AJ399" s="3">
        <v>45659</v>
      </c>
      <c r="AM399" s="74">
        <v>45670</v>
      </c>
      <c r="AS399" s="1"/>
    </row>
    <row r="400" spans="1:46">
      <c r="A400" s="1">
        <v>401</v>
      </c>
      <c r="B400" t="s">
        <v>6684</v>
      </c>
      <c r="C400" s="2">
        <v>45643</v>
      </c>
      <c r="D400" s="2"/>
      <c r="E400" t="s">
        <v>6685</v>
      </c>
      <c r="F400" t="s">
        <v>6686</v>
      </c>
      <c r="G400" t="s">
        <v>6687</v>
      </c>
      <c r="H400" s="6" t="s">
        <v>2579</v>
      </c>
      <c r="I400" t="s">
        <v>2580</v>
      </c>
      <c r="J400" s="8"/>
      <c r="K400" s="1" t="s">
        <v>7339</v>
      </c>
      <c r="L400" t="s">
        <v>6685</v>
      </c>
      <c r="M400" s="2">
        <v>45657</v>
      </c>
      <c r="N400" s="1" t="s">
        <v>35</v>
      </c>
      <c r="O400" s="61" t="s">
        <v>7925</v>
      </c>
      <c r="P400" s="14" t="s">
        <v>11392</v>
      </c>
      <c r="Q400" s="187">
        <v>115.7</v>
      </c>
      <c r="R400" s="1">
        <v>1</v>
      </c>
      <c r="S400" s="128">
        <v>0.21</v>
      </c>
      <c r="T400" s="128">
        <v>0</v>
      </c>
      <c r="U400" s="95" t="s">
        <v>10854</v>
      </c>
      <c r="V400" s="95">
        <f t="shared" ref="V400" si="192">SUM(Q400-(Q400*T400))*S400+(Q400-(Q400*T400))</f>
        <v>139.99700000000001</v>
      </c>
      <c r="W400" t="s">
        <v>11469</v>
      </c>
      <c r="X400" s="5" t="s">
        <v>11470</v>
      </c>
      <c r="Y400" s="3">
        <v>31778</v>
      </c>
      <c r="Z400" s="2">
        <v>45643</v>
      </c>
      <c r="AA400" s="284" t="s">
        <v>12115</v>
      </c>
      <c r="AB400" s="3">
        <v>45777</v>
      </c>
      <c r="AC400" s="80" t="s">
        <v>1339</v>
      </c>
      <c r="AE400" s="182">
        <v>45735</v>
      </c>
      <c r="AF400" t="s">
        <v>3198</v>
      </c>
      <c r="AI400" s="3" t="s">
        <v>11393</v>
      </c>
      <c r="AJ400" s="3">
        <v>45659</v>
      </c>
      <c r="AM400" s="3">
        <v>45666</v>
      </c>
    </row>
    <row r="401" spans="1:46">
      <c r="A401" s="1">
        <v>402</v>
      </c>
      <c r="B401" s="61" t="s">
        <v>6684</v>
      </c>
      <c r="C401" s="2">
        <v>45643</v>
      </c>
      <c r="D401" s="2"/>
      <c r="E401" t="s">
        <v>6685</v>
      </c>
      <c r="F401" t="s">
        <v>6686</v>
      </c>
      <c r="G401" t="s">
        <v>6687</v>
      </c>
      <c r="H401" s="6" t="s">
        <v>2579</v>
      </c>
      <c r="I401" t="s">
        <v>2580</v>
      </c>
      <c r="J401" s="8"/>
      <c r="K401" s="1" t="s">
        <v>7339</v>
      </c>
      <c r="L401" t="s">
        <v>6685</v>
      </c>
      <c r="M401" s="2">
        <v>45657</v>
      </c>
      <c r="N401" s="1" t="s">
        <v>35</v>
      </c>
      <c r="O401" s="61" t="s">
        <v>7934</v>
      </c>
      <c r="P401" s="14" t="s">
        <v>11394</v>
      </c>
      <c r="Q401" s="187">
        <v>69.42</v>
      </c>
      <c r="R401" s="1">
        <v>1</v>
      </c>
      <c r="S401" s="90">
        <v>0.21</v>
      </c>
      <c r="T401" s="90">
        <v>0</v>
      </c>
      <c r="U401" s="95" t="s">
        <v>10854</v>
      </c>
      <c r="V401" s="95">
        <f t="shared" ref="V401" si="193">SUM(Q401-(Q401*T401))*S401+(Q401-(Q401*T401))</f>
        <v>83.998199999999997</v>
      </c>
      <c r="W401" t="s">
        <v>7667</v>
      </c>
      <c r="X401" s="6" t="s">
        <v>11395</v>
      </c>
      <c r="Y401" s="2">
        <v>36264</v>
      </c>
      <c r="Z401" s="2">
        <v>45643</v>
      </c>
      <c r="AA401" s="284" t="s">
        <v>11789</v>
      </c>
      <c r="AB401" s="2">
        <v>45714</v>
      </c>
      <c r="AC401" s="80" t="s">
        <v>1339</v>
      </c>
      <c r="AF401" t="s">
        <v>3198</v>
      </c>
      <c r="AJ401" s="2"/>
      <c r="AM401" s="3"/>
      <c r="AT401" s="1"/>
    </row>
    <row r="402" spans="1:46" ht="14.25" customHeight="1">
      <c r="A402" s="1">
        <v>403</v>
      </c>
      <c r="B402" t="s">
        <v>143</v>
      </c>
      <c r="C402" s="2">
        <v>45643</v>
      </c>
      <c r="D402" s="2" t="s">
        <v>9900</v>
      </c>
      <c r="E402" s="1" t="s">
        <v>11473</v>
      </c>
      <c r="F402" s="61" t="s">
        <v>11396</v>
      </c>
      <c r="G402" s="61" t="s">
        <v>11397</v>
      </c>
      <c r="H402" s="6" t="s">
        <v>230</v>
      </c>
      <c r="I402" s="1" t="s">
        <v>8550</v>
      </c>
      <c r="J402" s="1"/>
      <c r="K402" s="1"/>
      <c r="L402" s="1" t="s">
        <v>11473</v>
      </c>
      <c r="M402" s="2">
        <v>45657</v>
      </c>
      <c r="N402" s="1" t="s">
        <v>35</v>
      </c>
      <c r="O402" s="375" t="s">
        <v>9758</v>
      </c>
      <c r="P402" s="14" t="s">
        <v>11398</v>
      </c>
      <c r="Q402" s="187">
        <v>165.29</v>
      </c>
      <c r="R402" s="1">
        <v>1</v>
      </c>
      <c r="S402" s="128">
        <v>0.21</v>
      </c>
      <c r="T402" s="128">
        <v>0</v>
      </c>
      <c r="U402" s="95" t="s">
        <v>10854</v>
      </c>
      <c r="V402" s="126">
        <f t="shared" si="191"/>
        <v>200.0009</v>
      </c>
      <c r="W402" t="s">
        <v>11473</v>
      </c>
      <c r="X402" s="5" t="s">
        <v>11474</v>
      </c>
      <c r="Y402" s="211">
        <v>31778</v>
      </c>
      <c r="Z402" s="2">
        <v>45643</v>
      </c>
      <c r="AA402" s="11" t="s">
        <v>11705</v>
      </c>
      <c r="AB402" s="2">
        <v>45699</v>
      </c>
      <c r="AC402" s="80" t="s">
        <v>1339</v>
      </c>
      <c r="AF402" t="s">
        <v>3198</v>
      </c>
      <c r="AI402" s="3" t="s">
        <v>3470</v>
      </c>
      <c r="AJ402" s="3">
        <v>45659</v>
      </c>
      <c r="AM402" s="74"/>
      <c r="AS402" s="1"/>
    </row>
    <row r="403" spans="1:46">
      <c r="A403" s="1">
        <v>404</v>
      </c>
      <c r="B403" t="s">
        <v>37</v>
      </c>
      <c r="C403" s="2">
        <v>45644</v>
      </c>
      <c r="D403" s="2"/>
      <c r="E403" t="s">
        <v>5762</v>
      </c>
      <c r="F403" t="s">
        <v>5651</v>
      </c>
      <c r="G403" t="s">
        <v>5652</v>
      </c>
      <c r="H403" s="1">
        <v>4140</v>
      </c>
      <c r="I403" s="1" t="s">
        <v>48</v>
      </c>
      <c r="J403" s="1">
        <v>658541350</v>
      </c>
      <c r="L403" t="s">
        <v>5762</v>
      </c>
      <c r="M403" s="2">
        <v>45657</v>
      </c>
      <c r="N403" s="1" t="s">
        <v>35</v>
      </c>
      <c r="O403" s="375" t="s">
        <v>7934</v>
      </c>
      <c r="P403" s="14" t="s">
        <v>7795</v>
      </c>
      <c r="Q403" s="187">
        <v>86.78</v>
      </c>
      <c r="R403" s="1">
        <v>1</v>
      </c>
      <c r="S403" s="90">
        <v>0.21</v>
      </c>
      <c r="T403" s="90">
        <v>0</v>
      </c>
      <c r="U403" s="95" t="s">
        <v>10854</v>
      </c>
      <c r="V403" s="95">
        <f t="shared" si="191"/>
        <v>105.0038</v>
      </c>
      <c r="W403" s="1" t="s">
        <v>5762</v>
      </c>
      <c r="X403" s="5" t="s">
        <v>11399</v>
      </c>
      <c r="Y403" s="2">
        <v>32888</v>
      </c>
      <c r="Z403" s="2">
        <v>45644</v>
      </c>
      <c r="AA403" s="11" t="s">
        <v>11673</v>
      </c>
      <c r="AB403" s="2">
        <v>45692</v>
      </c>
      <c r="AC403" s="80" t="s">
        <v>1339</v>
      </c>
      <c r="AF403" t="s">
        <v>3198</v>
      </c>
      <c r="AJ403" s="2"/>
      <c r="AM403" s="3"/>
      <c r="AT403" s="1"/>
    </row>
    <row r="404" spans="1:46" ht="14.25" customHeight="1">
      <c r="A404" s="1">
        <v>405</v>
      </c>
      <c r="B404" t="s">
        <v>37</v>
      </c>
      <c r="C404" s="2">
        <v>45644</v>
      </c>
      <c r="D404" s="2" t="s">
        <v>9900</v>
      </c>
      <c r="E404" s="1" t="s">
        <v>8753</v>
      </c>
      <c r="F404" s="61" t="s">
        <v>11400</v>
      </c>
      <c r="G404" s="61" t="s">
        <v>10894</v>
      </c>
      <c r="H404" s="6" t="s">
        <v>219</v>
      </c>
      <c r="I404" s="1" t="s">
        <v>38</v>
      </c>
      <c r="J404" s="1"/>
      <c r="K404" s="1"/>
      <c r="L404" s="1" t="s">
        <v>8753</v>
      </c>
      <c r="M404" s="2">
        <v>45657</v>
      </c>
      <c r="N404" s="1" t="s">
        <v>35</v>
      </c>
      <c r="O404" s="375" t="s">
        <v>7934</v>
      </c>
      <c r="P404" s="14" t="s">
        <v>11401</v>
      </c>
      <c r="Q404" s="187">
        <v>86.78</v>
      </c>
      <c r="R404" s="1">
        <v>1</v>
      </c>
      <c r="S404" s="90">
        <v>0.21</v>
      </c>
      <c r="T404" s="90">
        <v>0</v>
      </c>
      <c r="U404" s="95" t="s">
        <v>10854</v>
      </c>
      <c r="V404" s="95">
        <f t="shared" ref="V404:V406" si="194">SUM(Q404-(Q404*T404))*S404+(Q404-(Q404*T404))</f>
        <v>105.0038</v>
      </c>
      <c r="W404" t="s">
        <v>8753</v>
      </c>
      <c r="X404" s="5" t="s">
        <v>11402</v>
      </c>
      <c r="Y404" s="211">
        <v>37636</v>
      </c>
      <c r="Z404" s="2">
        <v>45644</v>
      </c>
      <c r="AA404" s="11" t="s">
        <v>11673</v>
      </c>
      <c r="AB404" s="2">
        <v>45692</v>
      </c>
      <c r="AC404" s="80" t="s">
        <v>1339</v>
      </c>
      <c r="AF404" t="s">
        <v>3198</v>
      </c>
      <c r="AJ404" s="3"/>
      <c r="AM404" s="74"/>
      <c r="AS404" s="1"/>
    </row>
    <row r="405" spans="1:46">
      <c r="A405" s="1">
        <v>406</v>
      </c>
      <c r="B405" t="s">
        <v>143</v>
      </c>
      <c r="C405" s="2">
        <v>45646</v>
      </c>
      <c r="D405" s="2"/>
      <c r="E405" t="s">
        <v>9527</v>
      </c>
      <c r="F405" t="s">
        <v>9497</v>
      </c>
      <c r="G405" t="s">
        <v>9383</v>
      </c>
      <c r="H405" s="6" t="s">
        <v>219</v>
      </c>
      <c r="I405" s="1" t="s">
        <v>4334</v>
      </c>
      <c r="J405" s="8">
        <v>632582110</v>
      </c>
      <c r="K405" s="8"/>
      <c r="L405" t="s">
        <v>9527</v>
      </c>
      <c r="M405" s="2">
        <v>45657</v>
      </c>
      <c r="N405" s="1" t="s">
        <v>35</v>
      </c>
      <c r="O405" s="14" t="s">
        <v>7934</v>
      </c>
      <c r="P405" s="14" t="s">
        <v>11421</v>
      </c>
      <c r="Q405" s="187">
        <v>86.78</v>
      </c>
      <c r="R405" s="1">
        <v>1</v>
      </c>
      <c r="S405" s="90">
        <v>0.21</v>
      </c>
      <c r="T405" s="90">
        <v>0</v>
      </c>
      <c r="U405" s="95" t="s">
        <v>10854</v>
      </c>
      <c r="V405" s="95">
        <f t="shared" si="194"/>
        <v>105.0038</v>
      </c>
      <c r="W405" t="s">
        <v>9527</v>
      </c>
      <c r="X405" s="5" t="s">
        <v>11422</v>
      </c>
      <c r="Y405" s="2">
        <v>34103</v>
      </c>
      <c r="Z405" s="2">
        <v>45646</v>
      </c>
      <c r="AA405" s="11" t="s">
        <v>11863</v>
      </c>
      <c r="AB405" s="2">
        <v>45723</v>
      </c>
      <c r="AC405" s="80" t="s">
        <v>1339</v>
      </c>
      <c r="AF405" t="s">
        <v>3198</v>
      </c>
      <c r="AI405" t="s">
        <v>9499</v>
      </c>
      <c r="AJ405" s="2">
        <v>45258</v>
      </c>
      <c r="AM405" s="74">
        <v>45271</v>
      </c>
      <c r="AT405" s="1"/>
    </row>
    <row r="406" spans="1:46">
      <c r="A406" s="1">
        <v>407</v>
      </c>
      <c r="B406" s="61" t="s">
        <v>143</v>
      </c>
      <c r="C406" s="2">
        <v>45646</v>
      </c>
      <c r="D406" s="2" t="s">
        <v>9900</v>
      </c>
      <c r="E406" s="1" t="s">
        <v>11486</v>
      </c>
      <c r="F406" s="61" t="s">
        <v>11423</v>
      </c>
      <c r="G406" s="61" t="s">
        <v>11424</v>
      </c>
      <c r="H406" s="6" t="s">
        <v>250</v>
      </c>
      <c r="I406" s="1" t="s">
        <v>86</v>
      </c>
      <c r="J406" s="8">
        <v>643142671</v>
      </c>
      <c r="K406" s="8"/>
      <c r="L406" s="1" t="s">
        <v>11486</v>
      </c>
      <c r="M406" s="2">
        <v>45657</v>
      </c>
      <c r="N406" s="1" t="s">
        <v>35</v>
      </c>
      <c r="O406" s="61" t="s">
        <v>7925</v>
      </c>
      <c r="P406" s="14" t="s">
        <v>11425</v>
      </c>
      <c r="Q406" s="187">
        <v>165.29</v>
      </c>
      <c r="R406" s="1">
        <v>1</v>
      </c>
      <c r="S406" s="128">
        <v>0.21</v>
      </c>
      <c r="T406" s="128">
        <v>0</v>
      </c>
      <c r="U406" s="95" t="s">
        <v>10854</v>
      </c>
      <c r="V406" s="126">
        <f t="shared" si="194"/>
        <v>200.0009</v>
      </c>
      <c r="W406" t="s">
        <v>11486</v>
      </c>
      <c r="X406" s="5" t="s">
        <v>11487</v>
      </c>
      <c r="Y406" s="2">
        <v>31723</v>
      </c>
      <c r="Z406" s="2">
        <v>45646</v>
      </c>
      <c r="AA406" s="11" t="s">
        <v>11767</v>
      </c>
      <c r="AB406" s="2">
        <v>45714</v>
      </c>
      <c r="AC406" s="80" t="s">
        <v>1339</v>
      </c>
      <c r="AF406" t="s">
        <v>3198</v>
      </c>
      <c r="AI406" s="3" t="s">
        <v>3392</v>
      </c>
      <c r="AJ406" s="2">
        <v>45660</v>
      </c>
      <c r="AM406" s="74">
        <v>45670</v>
      </c>
      <c r="AT406" s="1"/>
    </row>
    <row r="407" spans="1:46">
      <c r="A407" s="1">
        <v>408</v>
      </c>
      <c r="B407" s="61" t="s">
        <v>143</v>
      </c>
      <c r="C407" s="2">
        <v>45646</v>
      </c>
      <c r="D407" s="2" t="s">
        <v>9900</v>
      </c>
      <c r="E407" s="1" t="s">
        <v>11488</v>
      </c>
      <c r="F407" s="61" t="s">
        <v>11426</v>
      </c>
      <c r="G407" s="61" t="s">
        <v>11427</v>
      </c>
      <c r="H407" s="6" t="s">
        <v>242</v>
      </c>
      <c r="I407" s="1" t="s">
        <v>1474</v>
      </c>
      <c r="J407" s="8">
        <v>641771488</v>
      </c>
      <c r="K407" s="8"/>
      <c r="L407" s="1" t="s">
        <v>11488</v>
      </c>
      <c r="M407" s="2">
        <v>45657</v>
      </c>
      <c r="N407" s="1" t="s">
        <v>35</v>
      </c>
      <c r="O407" s="61" t="s">
        <v>7925</v>
      </c>
      <c r="P407" s="14" t="s">
        <v>11428</v>
      </c>
      <c r="Q407" s="187">
        <v>165.29</v>
      </c>
      <c r="R407" s="1">
        <v>1</v>
      </c>
      <c r="S407" s="128">
        <v>0.21</v>
      </c>
      <c r="T407" s="128">
        <v>0</v>
      </c>
      <c r="U407" s="95" t="s">
        <v>10854</v>
      </c>
      <c r="V407" s="126">
        <f t="shared" ref="V407" si="195">SUM(Q407-(Q407*T407))*S407+(Q407-(Q407*T407))</f>
        <v>200.0009</v>
      </c>
      <c r="W407" t="s">
        <v>11488</v>
      </c>
      <c r="X407" s="5" t="s">
        <v>11489</v>
      </c>
      <c r="Y407" s="2">
        <v>35065</v>
      </c>
      <c r="Z407" s="2">
        <v>45646</v>
      </c>
      <c r="AA407" s="11" t="s">
        <v>11768</v>
      </c>
      <c r="AB407" s="2">
        <v>45713</v>
      </c>
      <c r="AC407" s="80" t="s">
        <v>1339</v>
      </c>
      <c r="AF407" t="s">
        <v>3198</v>
      </c>
      <c r="AI407" s="3" t="s">
        <v>3392</v>
      </c>
      <c r="AJ407" s="2">
        <v>45660</v>
      </c>
      <c r="AM407" s="74">
        <v>45670</v>
      </c>
      <c r="AT407" s="1"/>
    </row>
    <row r="408" spans="1:46">
      <c r="A408" s="1">
        <v>409</v>
      </c>
      <c r="B408" t="s">
        <v>33</v>
      </c>
      <c r="C408" s="2">
        <v>45646</v>
      </c>
      <c r="D408" s="2" t="s">
        <v>9900</v>
      </c>
      <c r="E408" s="1" t="s">
        <v>11429</v>
      </c>
      <c r="F408" s="61" t="s">
        <v>11430</v>
      </c>
      <c r="G408" t="s">
        <v>11008</v>
      </c>
      <c r="H408" s="6" t="s">
        <v>220</v>
      </c>
      <c r="I408" s="1" t="s">
        <v>11009</v>
      </c>
      <c r="J408" s="8"/>
      <c r="K408" s="114" t="s">
        <v>11744</v>
      </c>
      <c r="L408" t="s">
        <v>237</v>
      </c>
      <c r="M408" s="2">
        <v>45657</v>
      </c>
      <c r="N408" s="1" t="s">
        <v>35</v>
      </c>
      <c r="O408" s="61" t="s">
        <v>9758</v>
      </c>
      <c r="P408" s="14" t="s">
        <v>11534</v>
      </c>
      <c r="Q408" s="187">
        <v>165.29</v>
      </c>
      <c r="R408" s="1">
        <v>1</v>
      </c>
      <c r="S408" s="128">
        <v>0.21</v>
      </c>
      <c r="T408" s="128">
        <v>0</v>
      </c>
      <c r="U408" s="95" t="s">
        <v>10854</v>
      </c>
      <c r="V408" s="126">
        <f t="shared" ref="V408" si="196">SUM(Q408-(Q408*T408))*S408+(Q408-(Q408*T408))</f>
        <v>200.0009</v>
      </c>
      <c r="W408" t="s">
        <v>11541</v>
      </c>
      <c r="X408" s="5" t="s">
        <v>11542</v>
      </c>
      <c r="Y408" s="2">
        <v>35947</v>
      </c>
      <c r="Z408" s="2">
        <v>45646</v>
      </c>
      <c r="AA408" s="11" t="s">
        <v>11727</v>
      </c>
      <c r="AB408" s="2">
        <v>45705</v>
      </c>
      <c r="AC408" s="80" t="s">
        <v>1339</v>
      </c>
      <c r="AF408" t="s">
        <v>3198</v>
      </c>
      <c r="AI408" s="3" t="s">
        <v>3470</v>
      </c>
      <c r="AJ408" s="2">
        <v>45671</v>
      </c>
      <c r="AM408" s="74">
        <v>45673</v>
      </c>
      <c r="AT408" s="1"/>
    </row>
    <row r="409" spans="1:46">
      <c r="A409" s="1">
        <v>410</v>
      </c>
      <c r="B409" s="61" t="s">
        <v>4321</v>
      </c>
      <c r="C409" s="2">
        <v>45646</v>
      </c>
      <c r="D409" s="2" t="s">
        <v>9900</v>
      </c>
      <c r="E409" s="1" t="s">
        <v>11431</v>
      </c>
      <c r="F409" s="61" t="s">
        <v>11432</v>
      </c>
      <c r="G409" t="s">
        <v>11433</v>
      </c>
      <c r="H409" s="6" t="s">
        <v>250</v>
      </c>
      <c r="I409" s="1" t="s">
        <v>86</v>
      </c>
      <c r="J409" s="8"/>
      <c r="K409" s="302" t="s">
        <v>5991</v>
      </c>
      <c r="L409" s="1" t="s">
        <v>11431</v>
      </c>
      <c r="M409" s="2">
        <v>45657</v>
      </c>
      <c r="N409" s="1" t="s">
        <v>35</v>
      </c>
      <c r="O409" s="375" t="s">
        <v>7934</v>
      </c>
      <c r="P409" s="14" t="s">
        <v>11434</v>
      </c>
      <c r="Q409" s="187">
        <v>115.7</v>
      </c>
      <c r="R409" s="1">
        <v>1</v>
      </c>
      <c r="S409" s="90">
        <v>0.21</v>
      </c>
      <c r="T409" s="90">
        <v>0</v>
      </c>
      <c r="U409" s="95" t="s">
        <v>10854</v>
      </c>
      <c r="V409" s="126">
        <f t="shared" ref="V409" si="197">SUM(Q409-(Q409*T409))*S409+(Q409-(Q409*T409))</f>
        <v>139.99700000000001</v>
      </c>
      <c r="X409" s="5" t="s">
        <v>11684</v>
      </c>
      <c r="Y409" s="2">
        <v>35065</v>
      </c>
      <c r="Z409" s="2">
        <v>45646</v>
      </c>
      <c r="AA409" s="11" t="s">
        <v>11683</v>
      </c>
      <c r="AB409" s="2">
        <v>45694</v>
      </c>
      <c r="AC409" s="80" t="s">
        <v>1339</v>
      </c>
      <c r="AF409" t="s">
        <v>3198</v>
      </c>
      <c r="AJ409" s="2"/>
      <c r="AM409" s="74"/>
      <c r="AT409" s="1"/>
    </row>
    <row r="410" spans="1:46">
      <c r="A410" s="1">
        <v>411</v>
      </c>
      <c r="B410" t="s">
        <v>1242</v>
      </c>
      <c r="C410" s="2">
        <v>45646</v>
      </c>
      <c r="D410" s="2"/>
      <c r="E410" s="1" t="s">
        <v>6151</v>
      </c>
      <c r="F410" t="s">
        <v>1096</v>
      </c>
      <c r="G410" t="s">
        <v>1097</v>
      </c>
      <c r="H410" s="6" t="s">
        <v>227</v>
      </c>
      <c r="I410" s="1" t="s">
        <v>203</v>
      </c>
      <c r="J410" s="8"/>
      <c r="K410" s="8" t="s">
        <v>5905</v>
      </c>
      <c r="L410" s="31" t="s">
        <v>1250</v>
      </c>
      <c r="M410" s="2">
        <v>45657</v>
      </c>
      <c r="N410" s="1" t="s">
        <v>35</v>
      </c>
      <c r="O410" s="14" t="s">
        <v>7925</v>
      </c>
      <c r="P410" s="14" t="s">
        <v>11435</v>
      </c>
      <c r="Q410" s="187">
        <v>115.7</v>
      </c>
      <c r="R410" s="1">
        <v>1</v>
      </c>
      <c r="S410" s="90">
        <v>0.21</v>
      </c>
      <c r="T410" s="90">
        <v>0</v>
      </c>
      <c r="U410" s="363" t="s">
        <v>10854</v>
      </c>
      <c r="V410" s="95">
        <f t="shared" ref="V410" si="198">SUM(Q410-(Q410*T410))*S410+(Q410-(Q410*T410))</f>
        <v>139.99700000000001</v>
      </c>
      <c r="W410" t="s">
        <v>11436</v>
      </c>
      <c r="X410" s="5" t="s">
        <v>11485</v>
      </c>
      <c r="Y410" s="2">
        <v>33871</v>
      </c>
      <c r="Z410" s="2">
        <v>45646</v>
      </c>
      <c r="AA410" s="11" t="s">
        <v>11788</v>
      </c>
      <c r="AB410" s="2">
        <v>45714</v>
      </c>
      <c r="AC410" s="80" t="s">
        <v>1339</v>
      </c>
      <c r="AF410" t="s">
        <v>3198</v>
      </c>
      <c r="AI410" s="3" t="s">
        <v>3392</v>
      </c>
      <c r="AJ410" s="2">
        <v>45660</v>
      </c>
      <c r="AK410" s="3"/>
      <c r="AL410" s="3"/>
      <c r="AM410" s="74">
        <v>45665</v>
      </c>
      <c r="AT410" s="1"/>
    </row>
    <row r="411" spans="1:46">
      <c r="A411" s="1">
        <v>412</v>
      </c>
      <c r="B411" s="61" t="s">
        <v>4321</v>
      </c>
      <c r="C411" s="2">
        <v>45646</v>
      </c>
      <c r="D411" s="2" t="s">
        <v>9900</v>
      </c>
      <c r="E411" s="1" t="s">
        <v>4505</v>
      </c>
      <c r="F411" s="61" t="s">
        <v>11437</v>
      </c>
      <c r="G411" t="s">
        <v>11438</v>
      </c>
      <c r="H411" s="6" t="s">
        <v>239</v>
      </c>
      <c r="I411" s="1" t="s">
        <v>86</v>
      </c>
      <c r="J411" s="8"/>
      <c r="K411" s="302" t="s">
        <v>5991</v>
      </c>
      <c r="L411" s="1" t="s">
        <v>4505</v>
      </c>
      <c r="M411" s="2">
        <v>45657</v>
      </c>
      <c r="N411" s="1" t="s">
        <v>35</v>
      </c>
      <c r="O411" s="375" t="s">
        <v>7934</v>
      </c>
      <c r="P411" s="14" t="s">
        <v>11439</v>
      </c>
      <c r="Q411" s="187">
        <v>115.7</v>
      </c>
      <c r="R411" s="1">
        <v>1</v>
      </c>
      <c r="S411" s="90">
        <v>0.21</v>
      </c>
      <c r="T411" s="90">
        <v>0</v>
      </c>
      <c r="U411" s="95" t="s">
        <v>10854</v>
      </c>
      <c r="V411" s="126">
        <f t="shared" ref="V411" si="199">SUM(Q411-(Q411*T411))*S411+(Q411-(Q411*T411))</f>
        <v>139.99700000000001</v>
      </c>
      <c r="W411" t="s">
        <v>11440</v>
      </c>
      <c r="X411" s="5" t="s">
        <v>11682</v>
      </c>
      <c r="Y411" s="2">
        <v>34812</v>
      </c>
      <c r="Z411" s="2">
        <v>45646</v>
      </c>
      <c r="AA411" s="11" t="s">
        <v>11683</v>
      </c>
      <c r="AB411" s="2">
        <v>45694</v>
      </c>
      <c r="AC411" s="80" t="s">
        <v>1339</v>
      </c>
      <c r="AF411" t="s">
        <v>3198</v>
      </c>
      <c r="AJ411" s="2"/>
      <c r="AM411" s="74"/>
      <c r="AT411" s="1"/>
    </row>
    <row r="412" spans="1:46">
      <c r="A412" s="1">
        <v>413</v>
      </c>
      <c r="B412" s="61" t="s">
        <v>143</v>
      </c>
      <c r="C412" s="2">
        <v>45648</v>
      </c>
      <c r="D412" s="2" t="s">
        <v>9900</v>
      </c>
      <c r="E412" s="1" t="s">
        <v>11522</v>
      </c>
      <c r="F412" s="61" t="s">
        <v>11441</v>
      </c>
      <c r="G412" s="61" t="s">
        <v>11442</v>
      </c>
      <c r="H412" s="6" t="s">
        <v>219</v>
      </c>
      <c r="I412" s="1" t="s">
        <v>38</v>
      </c>
      <c r="J412" s="8"/>
      <c r="K412" s="8"/>
      <c r="L412" s="1" t="s">
        <v>11522</v>
      </c>
      <c r="M412" s="2">
        <v>45657</v>
      </c>
      <c r="N412" s="1" t="s">
        <v>35</v>
      </c>
      <c r="O412" s="61" t="s">
        <v>7925</v>
      </c>
      <c r="P412" s="14" t="s">
        <v>11443</v>
      </c>
      <c r="Q412" s="187">
        <v>165.29</v>
      </c>
      <c r="R412" s="1">
        <v>1</v>
      </c>
      <c r="S412" s="128">
        <v>0.21</v>
      </c>
      <c r="T412" s="128">
        <v>0</v>
      </c>
      <c r="U412" s="95" t="s">
        <v>10854</v>
      </c>
      <c r="V412" s="126">
        <f t="shared" ref="V412:V413" si="200">SUM(Q412-(Q412*T412))*S412+(Q412-(Q412*T412))</f>
        <v>200.0009</v>
      </c>
      <c r="W412" t="s">
        <v>11522</v>
      </c>
      <c r="X412" s="5" t="s">
        <v>11523</v>
      </c>
      <c r="Y412" s="2">
        <v>35107</v>
      </c>
      <c r="Z412" s="2">
        <v>45648</v>
      </c>
      <c r="AA412" s="11" t="s">
        <v>11864</v>
      </c>
      <c r="AB412" s="2">
        <v>45756</v>
      </c>
      <c r="AC412" s="80" t="s">
        <v>1339</v>
      </c>
      <c r="AF412" t="s">
        <v>3198</v>
      </c>
      <c r="AI412" s="3" t="s">
        <v>11444</v>
      </c>
      <c r="AJ412" s="2">
        <v>45665</v>
      </c>
      <c r="AM412" s="74">
        <v>45665</v>
      </c>
      <c r="AT412" s="1"/>
    </row>
    <row r="413" spans="1:46">
      <c r="A413" s="1">
        <v>414</v>
      </c>
      <c r="B413" t="s">
        <v>33</v>
      </c>
      <c r="C413" s="2">
        <v>45648</v>
      </c>
      <c r="D413" s="2" t="s">
        <v>9900</v>
      </c>
      <c r="E413" s="1" t="s">
        <v>11445</v>
      </c>
      <c r="F413" s="61" t="s">
        <v>11446</v>
      </c>
      <c r="G413" t="s">
        <v>11447</v>
      </c>
      <c r="H413" s="6" t="s">
        <v>219</v>
      </c>
      <c r="I413" s="1" t="s">
        <v>38</v>
      </c>
      <c r="J413" s="8"/>
      <c r="K413" s="114" t="s">
        <v>11744</v>
      </c>
      <c r="L413" t="s">
        <v>237</v>
      </c>
      <c r="M413" s="2">
        <v>45657</v>
      </c>
      <c r="N413" s="1" t="s">
        <v>35</v>
      </c>
      <c r="O413" s="61" t="s">
        <v>7968</v>
      </c>
      <c r="P413" s="14" t="s">
        <v>11448</v>
      </c>
      <c r="Q413" s="187">
        <v>115.7</v>
      </c>
      <c r="R413" s="1">
        <v>1</v>
      </c>
      <c r="S413" s="128">
        <v>0.21</v>
      </c>
      <c r="T413" s="128">
        <v>0</v>
      </c>
      <c r="U413" s="95" t="s">
        <v>10854</v>
      </c>
      <c r="V413" s="126">
        <f t="shared" si="200"/>
        <v>139.99700000000001</v>
      </c>
      <c r="W413" t="s">
        <v>11479</v>
      </c>
      <c r="X413" s="5" t="s">
        <v>11480</v>
      </c>
      <c r="Y413" s="2">
        <v>30870</v>
      </c>
      <c r="Z413" s="2">
        <v>45648</v>
      </c>
      <c r="AA413" s="61" t="s">
        <v>12019</v>
      </c>
      <c r="AB413" s="2">
        <v>45755</v>
      </c>
      <c r="AC413" s="80" t="s">
        <v>1339</v>
      </c>
      <c r="AE413" s="182">
        <v>45721</v>
      </c>
      <c r="AF413" t="s">
        <v>3198</v>
      </c>
      <c r="AI413" s="3" t="s">
        <v>11449</v>
      </c>
      <c r="AJ413" s="2">
        <v>45659</v>
      </c>
      <c r="AM413" s="74">
        <v>45670</v>
      </c>
      <c r="AT413" s="1"/>
    </row>
    <row r="414" spans="1:46">
      <c r="A414" s="1">
        <v>415</v>
      </c>
      <c r="B414" t="s">
        <v>33</v>
      </c>
      <c r="C414" s="2">
        <v>45648</v>
      </c>
      <c r="D414" s="2"/>
      <c r="E414" s="1" t="s">
        <v>11445</v>
      </c>
      <c r="F414" s="61" t="s">
        <v>11446</v>
      </c>
      <c r="G414" t="s">
        <v>11447</v>
      </c>
      <c r="H414" s="6" t="s">
        <v>219</v>
      </c>
      <c r="I414" s="1" t="s">
        <v>38</v>
      </c>
      <c r="J414" s="8"/>
      <c r="K414" s="114" t="s">
        <v>11744</v>
      </c>
      <c r="L414" t="s">
        <v>237</v>
      </c>
      <c r="M414" s="2">
        <v>45657</v>
      </c>
      <c r="N414" s="1" t="s">
        <v>35</v>
      </c>
      <c r="O414" s="61" t="s">
        <v>7968</v>
      </c>
      <c r="P414" s="14" t="s">
        <v>11450</v>
      </c>
      <c r="Q414" s="187">
        <v>115.7</v>
      </c>
      <c r="R414" s="1">
        <v>1</v>
      </c>
      <c r="S414" s="128">
        <v>0.21</v>
      </c>
      <c r="T414" s="128">
        <v>0</v>
      </c>
      <c r="U414" s="95" t="s">
        <v>10854</v>
      </c>
      <c r="V414" s="126">
        <f t="shared" ref="V414:V415" si="201">SUM(Q414-(Q414*T414))*S414+(Q414-(Q414*T414))</f>
        <v>139.99700000000001</v>
      </c>
      <c r="W414" t="s">
        <v>11481</v>
      </c>
      <c r="X414" s="5" t="s">
        <v>11482</v>
      </c>
      <c r="Y414" s="2">
        <v>41488</v>
      </c>
      <c r="Z414" s="2">
        <v>45648</v>
      </c>
      <c r="AA414" s="61" t="s">
        <v>12019</v>
      </c>
      <c r="AB414" s="2">
        <v>45755</v>
      </c>
      <c r="AC414" s="80" t="s">
        <v>1339</v>
      </c>
      <c r="AF414" t="s">
        <v>3198</v>
      </c>
      <c r="AI414" s="3" t="s">
        <v>3392</v>
      </c>
      <c r="AJ414" s="2">
        <v>45659</v>
      </c>
      <c r="AM414" s="74">
        <v>45670</v>
      </c>
      <c r="AT414" s="1"/>
    </row>
    <row r="415" spans="1:46">
      <c r="A415" s="1">
        <v>416</v>
      </c>
      <c r="B415" t="s">
        <v>33</v>
      </c>
      <c r="C415" s="2">
        <v>45648</v>
      </c>
      <c r="D415" s="2"/>
      <c r="E415" s="1" t="s">
        <v>11445</v>
      </c>
      <c r="F415" s="61" t="s">
        <v>11446</v>
      </c>
      <c r="G415" t="s">
        <v>11447</v>
      </c>
      <c r="H415" s="6" t="s">
        <v>219</v>
      </c>
      <c r="I415" s="1" t="s">
        <v>38</v>
      </c>
      <c r="J415" s="8"/>
      <c r="K415" s="114" t="s">
        <v>11744</v>
      </c>
      <c r="L415" t="s">
        <v>237</v>
      </c>
      <c r="M415" s="2">
        <v>45657</v>
      </c>
      <c r="N415" s="1" t="s">
        <v>35</v>
      </c>
      <c r="O415" s="61" t="s">
        <v>7968</v>
      </c>
      <c r="P415" s="14" t="s">
        <v>11451</v>
      </c>
      <c r="Q415" s="187">
        <v>115.7</v>
      </c>
      <c r="R415" s="1">
        <v>1</v>
      </c>
      <c r="S415" s="128">
        <v>0.21</v>
      </c>
      <c r="T415" s="128">
        <v>0</v>
      </c>
      <c r="U415" s="95" t="s">
        <v>10854</v>
      </c>
      <c r="V415" s="126">
        <f t="shared" si="201"/>
        <v>139.99700000000001</v>
      </c>
      <c r="W415" t="s">
        <v>11483</v>
      </c>
      <c r="X415" s="5" t="s">
        <v>11484</v>
      </c>
      <c r="Y415" s="2">
        <v>40250</v>
      </c>
      <c r="Z415" s="2">
        <v>45648</v>
      </c>
      <c r="AA415" s="61" t="s">
        <v>12019</v>
      </c>
      <c r="AB415" s="2">
        <v>45755</v>
      </c>
      <c r="AC415" s="80" t="s">
        <v>1339</v>
      </c>
      <c r="AF415" t="s">
        <v>3198</v>
      </c>
      <c r="AI415" s="3" t="s">
        <v>3392</v>
      </c>
      <c r="AJ415" s="2">
        <v>45659</v>
      </c>
      <c r="AM415" s="74">
        <v>45670</v>
      </c>
      <c r="AT415" s="1"/>
    </row>
    <row r="416" spans="1:46">
      <c r="A416" s="1">
        <v>417</v>
      </c>
      <c r="B416" t="s">
        <v>9170</v>
      </c>
      <c r="C416" s="2">
        <v>45648</v>
      </c>
      <c r="D416" s="2"/>
      <c r="E416" s="1" t="s">
        <v>256</v>
      </c>
      <c r="F416" s="31" t="s">
        <v>155</v>
      </c>
      <c r="G416" s="31" t="s">
        <v>138</v>
      </c>
      <c r="H416" s="33" t="s">
        <v>227</v>
      </c>
      <c r="I416" s="30" t="s">
        <v>203</v>
      </c>
      <c r="J416" s="30">
        <v>631130911</v>
      </c>
      <c r="K416" s="44" t="s">
        <v>5906</v>
      </c>
      <c r="L416" s="1" t="s">
        <v>4432</v>
      </c>
      <c r="M416" s="2">
        <v>45657</v>
      </c>
      <c r="N416" s="1" t="s">
        <v>35</v>
      </c>
      <c r="O416" s="61" t="s">
        <v>7934</v>
      </c>
      <c r="P416" s="14" t="s">
        <v>7951</v>
      </c>
      <c r="Q416" s="187">
        <v>69.42</v>
      </c>
      <c r="R416" s="1">
        <v>1</v>
      </c>
      <c r="S416" s="90">
        <v>0.21</v>
      </c>
      <c r="T416" s="90">
        <v>0</v>
      </c>
      <c r="U416" s="95" t="s">
        <v>10854</v>
      </c>
      <c r="V416" s="95">
        <f t="shared" ref="V416" si="202">SUM(Q416-(Q416*T416))*S416+(Q416-(Q416*T416))</f>
        <v>83.998199999999997</v>
      </c>
      <c r="W416" s="1" t="s">
        <v>5840</v>
      </c>
      <c r="X416" s="5" t="s">
        <v>11452</v>
      </c>
      <c r="Y416" s="2">
        <v>32927</v>
      </c>
      <c r="Z416" s="2">
        <v>45648</v>
      </c>
      <c r="AA416" s="377" t="s">
        <v>11708</v>
      </c>
      <c r="AB416" s="2">
        <v>45698</v>
      </c>
      <c r="AE416" s="3"/>
      <c r="AF416" t="s">
        <v>3198</v>
      </c>
      <c r="AJ416" s="2"/>
      <c r="AM416" s="3"/>
      <c r="AS416" t="s">
        <v>7968</v>
      </c>
    </row>
    <row r="417" spans="1:46">
      <c r="A417" s="1">
        <v>418</v>
      </c>
      <c r="B417" t="s">
        <v>33</v>
      </c>
      <c r="C417" s="2">
        <v>45648</v>
      </c>
      <c r="D417" s="2"/>
      <c r="E417" t="s">
        <v>2169</v>
      </c>
      <c r="F417" t="s">
        <v>2170</v>
      </c>
      <c r="G417" t="s">
        <v>2171</v>
      </c>
      <c r="H417" s="6" t="s">
        <v>221</v>
      </c>
      <c r="I417" t="s">
        <v>34</v>
      </c>
      <c r="J417">
        <v>615630460</v>
      </c>
      <c r="K417" s="114" t="s">
        <v>11744</v>
      </c>
      <c r="L417" t="s">
        <v>237</v>
      </c>
      <c r="M417" s="2">
        <v>45657</v>
      </c>
      <c r="N417" s="1" t="s">
        <v>35</v>
      </c>
      <c r="O417" s="61" t="s">
        <v>9758</v>
      </c>
      <c r="P417" s="14" t="s">
        <v>11521</v>
      </c>
      <c r="Q417" s="187">
        <v>115.7</v>
      </c>
      <c r="R417" s="1">
        <v>1</v>
      </c>
      <c r="S417" s="90">
        <v>0.21</v>
      </c>
      <c r="T417" s="90">
        <v>0</v>
      </c>
      <c r="U417" s="95" t="s">
        <v>10854</v>
      </c>
      <c r="V417" s="126">
        <f t="shared" ref="V417" si="203">SUM(Q417-(Q417*T417))*S417+(Q417-(Q417*T417))</f>
        <v>139.99700000000001</v>
      </c>
      <c r="W417" t="s">
        <v>11543</v>
      </c>
      <c r="X417" s="5" t="s">
        <v>11544</v>
      </c>
      <c r="Y417" s="2">
        <v>38718</v>
      </c>
      <c r="Z417" s="2">
        <v>45648</v>
      </c>
      <c r="AA417" s="377" t="s">
        <v>11767</v>
      </c>
      <c r="AB417" s="2">
        <v>45714</v>
      </c>
      <c r="AC417" s="80" t="s">
        <v>1339</v>
      </c>
      <c r="AE417" s="3"/>
      <c r="AF417" t="s">
        <v>3198</v>
      </c>
      <c r="AI417" s="3" t="s">
        <v>3470</v>
      </c>
      <c r="AJ417" s="2">
        <v>45671</v>
      </c>
      <c r="AM417" s="3">
        <v>45673</v>
      </c>
    </row>
    <row r="418" spans="1:46">
      <c r="A418" s="1">
        <v>419</v>
      </c>
      <c r="B418" t="s">
        <v>37</v>
      </c>
      <c r="C418" s="2">
        <v>45648</v>
      </c>
      <c r="D418" s="2" t="s">
        <v>9900</v>
      </c>
      <c r="E418" s="1" t="s">
        <v>8561</v>
      </c>
      <c r="F418" s="61" t="s">
        <v>11453</v>
      </c>
      <c r="G418" t="s">
        <v>11454</v>
      </c>
      <c r="H418" s="6" t="s">
        <v>6434</v>
      </c>
      <c r="I418" s="1" t="s">
        <v>6435</v>
      </c>
      <c r="J418" s="30">
        <v>675751710</v>
      </c>
      <c r="K418" s="44"/>
      <c r="L418" s="1" t="s">
        <v>8561</v>
      </c>
      <c r="M418" s="2">
        <v>45657</v>
      </c>
      <c r="N418" s="1" t="s">
        <v>35</v>
      </c>
      <c r="O418" s="61" t="s">
        <v>11188</v>
      </c>
      <c r="P418" s="14" t="s">
        <v>11455</v>
      </c>
      <c r="Q418" s="187">
        <v>115.7</v>
      </c>
      <c r="R418" s="1">
        <v>1</v>
      </c>
      <c r="S418" s="90">
        <v>0.21</v>
      </c>
      <c r="T418" s="90">
        <v>0</v>
      </c>
      <c r="U418" s="95" t="s">
        <v>10854</v>
      </c>
      <c r="V418" s="126">
        <f t="shared" ref="V418:V427" si="204">SUM(Q418-(Q418*T418))*S418+(Q418-(Q418*T418))</f>
        <v>139.99700000000001</v>
      </c>
      <c r="W418" s="1" t="s">
        <v>8561</v>
      </c>
      <c r="X418" s="5" t="s">
        <v>11545</v>
      </c>
      <c r="Y418" s="2">
        <v>37780</v>
      </c>
      <c r="Z418" s="2">
        <v>45648</v>
      </c>
      <c r="AA418" s="377" t="s">
        <v>11767</v>
      </c>
      <c r="AB418" s="2">
        <v>45714</v>
      </c>
      <c r="AC418" s="80" t="s">
        <v>1339</v>
      </c>
      <c r="AE418" s="3"/>
      <c r="AF418" t="s">
        <v>3198</v>
      </c>
      <c r="AI418" s="3" t="s">
        <v>11456</v>
      </c>
      <c r="AJ418" s="2">
        <v>45671</v>
      </c>
      <c r="AM418" s="3">
        <v>45673</v>
      </c>
    </row>
    <row r="419" spans="1:46">
      <c r="A419" s="1">
        <v>420</v>
      </c>
      <c r="B419" t="s">
        <v>4715</v>
      </c>
      <c r="C419" s="2">
        <v>45588</v>
      </c>
      <c r="D419" s="2"/>
      <c r="E419" s="1" t="s">
        <v>4716</v>
      </c>
      <c r="F419" t="s">
        <v>5191</v>
      </c>
      <c r="G419" s="61" t="s">
        <v>5192</v>
      </c>
      <c r="H419" s="6" t="s">
        <v>236</v>
      </c>
      <c r="I419" s="1" t="s">
        <v>34</v>
      </c>
      <c r="J419" s="8"/>
      <c r="K419" s="8" t="s">
        <v>7002</v>
      </c>
      <c r="L419" t="s">
        <v>4716</v>
      </c>
      <c r="M419" s="2">
        <v>45657</v>
      </c>
      <c r="N419" s="1" t="s">
        <v>35</v>
      </c>
      <c r="O419" s="61" t="s">
        <v>9218</v>
      </c>
      <c r="P419" s="14" t="s">
        <v>11457</v>
      </c>
      <c r="Q419" s="187">
        <v>69.42</v>
      </c>
      <c r="R419" s="1">
        <v>1</v>
      </c>
      <c r="S419" s="128">
        <v>0.21</v>
      </c>
      <c r="T419" s="128">
        <v>0</v>
      </c>
      <c r="U419" s="95" t="s">
        <v>10854</v>
      </c>
      <c r="V419" s="126">
        <f t="shared" si="204"/>
        <v>83.998199999999997</v>
      </c>
      <c r="W419" s="342" t="s">
        <v>5209</v>
      </c>
      <c r="Y419" s="210">
        <v>31754</v>
      </c>
      <c r="Z419" s="2">
        <v>45588</v>
      </c>
      <c r="AA419" s="377"/>
      <c r="AB419" s="3"/>
      <c r="AC419" s="80"/>
      <c r="AF419" t="s">
        <v>3198</v>
      </c>
      <c r="AI419" s="1"/>
      <c r="AJ419" s="1"/>
      <c r="AM419" s="8"/>
      <c r="AT419" s="1"/>
    </row>
    <row r="420" spans="1:46">
      <c r="A420" s="1">
        <v>421</v>
      </c>
      <c r="B420" t="s">
        <v>4715</v>
      </c>
      <c r="C420" s="2">
        <v>45588</v>
      </c>
      <c r="D420" s="2"/>
      <c r="E420" s="1" t="s">
        <v>4716</v>
      </c>
      <c r="F420" t="s">
        <v>5191</v>
      </c>
      <c r="G420" s="61" t="s">
        <v>5192</v>
      </c>
      <c r="H420" s="6" t="s">
        <v>236</v>
      </c>
      <c r="I420" s="1" t="s">
        <v>34</v>
      </c>
      <c r="J420" s="8"/>
      <c r="K420" s="8" t="s">
        <v>7002</v>
      </c>
      <c r="L420" t="s">
        <v>4716</v>
      </c>
      <c r="M420" s="2">
        <v>45657</v>
      </c>
      <c r="N420" s="1" t="s">
        <v>35</v>
      </c>
      <c r="O420" s="61" t="s">
        <v>9218</v>
      </c>
      <c r="P420" s="14" t="s">
        <v>11458</v>
      </c>
      <c r="Q420" s="187">
        <v>69.42</v>
      </c>
      <c r="R420" s="1">
        <v>1</v>
      </c>
      <c r="S420" s="128">
        <v>0.21</v>
      </c>
      <c r="T420" s="128">
        <v>0</v>
      </c>
      <c r="U420" s="95" t="s">
        <v>10854</v>
      </c>
      <c r="V420" s="126">
        <f t="shared" si="204"/>
        <v>83.998199999999997</v>
      </c>
      <c r="W420" s="343" t="s">
        <v>5210</v>
      </c>
      <c r="Y420" s="210">
        <v>28240</v>
      </c>
      <c r="Z420" s="2">
        <v>45588</v>
      </c>
      <c r="AA420" s="377"/>
      <c r="AB420" s="3"/>
      <c r="AC420" s="80"/>
      <c r="AF420" t="s">
        <v>3198</v>
      </c>
      <c r="AI420" s="1"/>
      <c r="AJ420" s="1"/>
      <c r="AM420" s="8"/>
      <c r="AT420" s="1"/>
    </row>
    <row r="421" spans="1:46">
      <c r="A421" s="1">
        <v>422</v>
      </c>
      <c r="B421" t="s">
        <v>4715</v>
      </c>
      <c r="C421" s="2">
        <v>45588</v>
      </c>
      <c r="D421" s="2"/>
      <c r="E421" s="1" t="s">
        <v>4716</v>
      </c>
      <c r="F421" t="s">
        <v>5191</v>
      </c>
      <c r="G421" s="61" t="s">
        <v>5192</v>
      </c>
      <c r="H421" s="6" t="s">
        <v>236</v>
      </c>
      <c r="I421" s="1" t="s">
        <v>34</v>
      </c>
      <c r="J421" s="8"/>
      <c r="K421" s="8" t="s">
        <v>7002</v>
      </c>
      <c r="L421" t="s">
        <v>4716</v>
      </c>
      <c r="M421" s="2">
        <v>45657</v>
      </c>
      <c r="N421" s="1" t="s">
        <v>35</v>
      </c>
      <c r="O421" s="61" t="s">
        <v>9218</v>
      </c>
      <c r="P421" s="14" t="s">
        <v>11459</v>
      </c>
      <c r="Q421" s="187">
        <v>69.42</v>
      </c>
      <c r="R421" s="1">
        <v>1</v>
      </c>
      <c r="S421" s="128">
        <v>0.21</v>
      </c>
      <c r="T421" s="128">
        <v>0</v>
      </c>
      <c r="U421" s="95" t="s">
        <v>10854</v>
      </c>
      <c r="V421" s="126">
        <f t="shared" si="204"/>
        <v>83.998199999999997</v>
      </c>
      <c r="W421" s="343" t="s">
        <v>5203</v>
      </c>
      <c r="Y421" s="210">
        <v>27001</v>
      </c>
      <c r="Z421" s="2">
        <v>45588</v>
      </c>
      <c r="AA421" s="377"/>
      <c r="AB421" s="3"/>
      <c r="AC421" s="80"/>
      <c r="AF421" t="s">
        <v>3198</v>
      </c>
      <c r="AI421" s="1"/>
      <c r="AJ421" s="1"/>
      <c r="AM421" s="8"/>
      <c r="AT421" s="1"/>
    </row>
    <row r="422" spans="1:46">
      <c r="A422" s="1">
        <v>423</v>
      </c>
      <c r="B422" t="s">
        <v>4715</v>
      </c>
      <c r="C422" s="2">
        <v>45588</v>
      </c>
      <c r="D422" s="2"/>
      <c r="E422" s="1" t="s">
        <v>4716</v>
      </c>
      <c r="F422" t="s">
        <v>5191</v>
      </c>
      <c r="G422" s="61" t="s">
        <v>5192</v>
      </c>
      <c r="H422" s="6" t="s">
        <v>236</v>
      </c>
      <c r="I422" s="1" t="s">
        <v>34</v>
      </c>
      <c r="J422" s="8"/>
      <c r="K422" s="8" t="s">
        <v>7002</v>
      </c>
      <c r="L422" t="s">
        <v>4716</v>
      </c>
      <c r="M422" s="2">
        <v>45657</v>
      </c>
      <c r="N422" s="1" t="s">
        <v>35</v>
      </c>
      <c r="O422" s="61" t="s">
        <v>9218</v>
      </c>
      <c r="P422" s="14" t="s">
        <v>11460</v>
      </c>
      <c r="Q422" s="187">
        <v>69.42</v>
      </c>
      <c r="R422" s="1">
        <v>1</v>
      </c>
      <c r="S422" s="128">
        <v>0.21</v>
      </c>
      <c r="T422" s="128">
        <v>0</v>
      </c>
      <c r="U422" s="95" t="s">
        <v>10854</v>
      </c>
      <c r="V422" s="126">
        <f t="shared" si="204"/>
        <v>83.998199999999997</v>
      </c>
      <c r="W422" s="343" t="s">
        <v>5204</v>
      </c>
      <c r="Y422" s="211">
        <v>27030</v>
      </c>
      <c r="Z422" s="2">
        <v>45588</v>
      </c>
      <c r="AA422" s="377"/>
      <c r="AB422" s="3"/>
      <c r="AC422" s="80"/>
      <c r="AF422" t="s">
        <v>3198</v>
      </c>
      <c r="AI422" s="1"/>
      <c r="AJ422" s="1"/>
      <c r="AM422" s="8"/>
      <c r="AT422" s="1"/>
    </row>
    <row r="423" spans="1:46">
      <c r="A423" s="1">
        <v>424</v>
      </c>
      <c r="B423" t="s">
        <v>4715</v>
      </c>
      <c r="C423" s="2">
        <v>45588</v>
      </c>
      <c r="D423" s="2"/>
      <c r="E423" s="1" t="s">
        <v>4716</v>
      </c>
      <c r="F423" t="s">
        <v>5191</v>
      </c>
      <c r="G423" s="61" t="s">
        <v>5192</v>
      </c>
      <c r="H423" s="6" t="s">
        <v>236</v>
      </c>
      <c r="I423" s="1" t="s">
        <v>34</v>
      </c>
      <c r="J423" s="8"/>
      <c r="K423" s="8" t="s">
        <v>7002</v>
      </c>
      <c r="L423" t="s">
        <v>4716</v>
      </c>
      <c r="M423" s="2">
        <v>45657</v>
      </c>
      <c r="N423" s="1" t="s">
        <v>35</v>
      </c>
      <c r="O423" s="61" t="s">
        <v>9218</v>
      </c>
      <c r="P423" s="14" t="s">
        <v>11461</v>
      </c>
      <c r="Q423" s="187">
        <v>69.42</v>
      </c>
      <c r="R423" s="1">
        <v>1</v>
      </c>
      <c r="S423" s="128">
        <v>0.21</v>
      </c>
      <c r="T423" s="128">
        <v>0</v>
      </c>
      <c r="U423" s="95" t="s">
        <v>10854</v>
      </c>
      <c r="V423" s="126">
        <f t="shared" si="204"/>
        <v>83.998199999999997</v>
      </c>
      <c r="W423" s="343" t="s">
        <v>5208</v>
      </c>
      <c r="Y423" s="211">
        <v>31140</v>
      </c>
      <c r="Z423" s="2">
        <v>45588</v>
      </c>
      <c r="AA423" s="284"/>
      <c r="AB423" s="3"/>
      <c r="AC423" s="80"/>
      <c r="AF423" t="s">
        <v>3198</v>
      </c>
      <c r="AI423" s="1"/>
      <c r="AJ423" s="1"/>
      <c r="AM423" s="8"/>
      <c r="AT423" s="1"/>
    </row>
    <row r="424" spans="1:46" s="96" customFormat="1">
      <c r="A424" s="1">
        <v>425</v>
      </c>
      <c r="B424" s="96" t="s">
        <v>4189</v>
      </c>
      <c r="C424" s="97">
        <v>45621</v>
      </c>
      <c r="D424" s="97"/>
      <c r="E424" s="99" t="s">
        <v>4948</v>
      </c>
      <c r="F424" s="104" t="s">
        <v>4189</v>
      </c>
      <c r="G424" s="310" t="s">
        <v>188</v>
      </c>
      <c r="H424" s="311" t="s">
        <v>220</v>
      </c>
      <c r="I424" s="312" t="s">
        <v>92</v>
      </c>
      <c r="J424" s="310"/>
      <c r="K424" t="s">
        <v>8724</v>
      </c>
      <c r="L424" s="99" t="s">
        <v>4948</v>
      </c>
      <c r="M424" s="2">
        <v>45657</v>
      </c>
      <c r="N424" s="99" t="s">
        <v>35</v>
      </c>
      <c r="O424" s="61" t="s">
        <v>8060</v>
      </c>
      <c r="P424" s="98" t="s">
        <v>2534</v>
      </c>
      <c r="Q424" s="92">
        <v>115.7</v>
      </c>
      <c r="R424" s="1">
        <v>1</v>
      </c>
      <c r="S424" s="128">
        <v>0.21</v>
      </c>
      <c r="T424" s="128">
        <v>0</v>
      </c>
      <c r="U424" s="95" t="s">
        <v>10854</v>
      </c>
      <c r="V424" s="126">
        <f t="shared" si="204"/>
        <v>139.99700000000001</v>
      </c>
      <c r="W424" t="s">
        <v>189</v>
      </c>
      <c r="X424" s="5" t="s">
        <v>11304</v>
      </c>
      <c r="Y424" s="3">
        <v>29652</v>
      </c>
      <c r="Z424" s="97">
        <v>45621</v>
      </c>
      <c r="AA424" s="11" t="s">
        <v>11524</v>
      </c>
      <c r="AB424" s="2">
        <v>45665</v>
      </c>
      <c r="AC424" s="80" t="s">
        <v>1339</v>
      </c>
      <c r="AD424" s="61"/>
      <c r="AE424" s="61"/>
      <c r="AF424"/>
      <c r="AG424"/>
      <c r="AH424"/>
      <c r="AI424" s="61" t="s">
        <v>3470</v>
      </c>
      <c r="AJ424" s="2">
        <v>45627</v>
      </c>
      <c r="AK424"/>
      <c r="AL424"/>
      <c r="AM424" s="2">
        <v>45644</v>
      </c>
      <c r="AN424"/>
      <c r="AO424"/>
      <c r="AP424"/>
      <c r="AS424" t="s">
        <v>7931</v>
      </c>
      <c r="AT424" s="99"/>
    </row>
    <row r="425" spans="1:46" s="96" customFormat="1">
      <c r="A425" s="1">
        <v>426</v>
      </c>
      <c r="B425" s="96" t="s">
        <v>4189</v>
      </c>
      <c r="C425" s="97">
        <v>45621</v>
      </c>
      <c r="D425" s="97"/>
      <c r="E425" s="99" t="s">
        <v>4948</v>
      </c>
      <c r="F425" s="104" t="s">
        <v>4189</v>
      </c>
      <c r="G425" s="310" t="s">
        <v>188</v>
      </c>
      <c r="H425" s="311" t="s">
        <v>220</v>
      </c>
      <c r="I425" s="312" t="s">
        <v>92</v>
      </c>
      <c r="J425" s="310"/>
      <c r="K425" t="s">
        <v>8724</v>
      </c>
      <c r="L425" s="99" t="s">
        <v>4948</v>
      </c>
      <c r="M425" s="2">
        <v>45657</v>
      </c>
      <c r="N425" s="99" t="s">
        <v>35</v>
      </c>
      <c r="O425" s="61" t="s">
        <v>8060</v>
      </c>
      <c r="P425" s="96" t="s">
        <v>2524</v>
      </c>
      <c r="Q425" s="92">
        <v>115.7</v>
      </c>
      <c r="R425" s="1">
        <v>1</v>
      </c>
      <c r="S425" s="128">
        <v>0.21</v>
      </c>
      <c r="T425" s="128">
        <v>0</v>
      </c>
      <c r="U425" s="95" t="s">
        <v>10854</v>
      </c>
      <c r="V425" s="126">
        <f t="shared" si="204"/>
        <v>139.99700000000001</v>
      </c>
      <c r="W425" t="s">
        <v>195</v>
      </c>
      <c r="X425" s="6" t="s">
        <v>11305</v>
      </c>
      <c r="Y425" s="3">
        <v>29235</v>
      </c>
      <c r="Z425" s="97">
        <v>45621</v>
      </c>
      <c r="AA425" s="11" t="s">
        <v>11524</v>
      </c>
      <c r="AB425" s="2">
        <v>45665</v>
      </c>
      <c r="AC425" s="80" t="s">
        <v>1339</v>
      </c>
      <c r="AD425" s="61"/>
      <c r="AE425" s="61"/>
      <c r="AF425"/>
      <c r="AG425"/>
      <c r="AH425"/>
      <c r="AI425" s="61" t="s">
        <v>3470</v>
      </c>
      <c r="AJ425" s="2">
        <v>45627</v>
      </c>
      <c r="AK425"/>
      <c r="AL425"/>
      <c r="AM425" s="2">
        <v>45644</v>
      </c>
      <c r="AN425"/>
      <c r="AO425"/>
      <c r="AP425"/>
      <c r="AS425" t="s">
        <v>10536</v>
      </c>
      <c r="AT425" s="99"/>
    </row>
    <row r="426" spans="1:46" s="96" customFormat="1">
      <c r="A426" s="1">
        <v>427</v>
      </c>
      <c r="B426" s="96" t="s">
        <v>4189</v>
      </c>
      <c r="C426" s="97">
        <v>45621</v>
      </c>
      <c r="D426" s="97"/>
      <c r="E426" s="99" t="s">
        <v>4948</v>
      </c>
      <c r="F426" s="104" t="s">
        <v>4189</v>
      </c>
      <c r="G426" s="310" t="s">
        <v>188</v>
      </c>
      <c r="H426" s="311" t="s">
        <v>220</v>
      </c>
      <c r="I426" s="312" t="s">
        <v>92</v>
      </c>
      <c r="J426" s="310"/>
      <c r="K426" t="s">
        <v>8724</v>
      </c>
      <c r="L426" s="99" t="s">
        <v>4948</v>
      </c>
      <c r="M426" s="2">
        <v>45657</v>
      </c>
      <c r="N426" s="99" t="s">
        <v>35</v>
      </c>
      <c r="O426" s="61" t="s">
        <v>8060</v>
      </c>
      <c r="P426" s="96" t="s">
        <v>2567</v>
      </c>
      <c r="Q426" s="92">
        <v>115.7</v>
      </c>
      <c r="R426" s="1">
        <v>1</v>
      </c>
      <c r="S426" s="128">
        <v>0.21</v>
      </c>
      <c r="T426" s="128">
        <v>0</v>
      </c>
      <c r="U426" s="95" t="s">
        <v>10854</v>
      </c>
      <c r="V426" s="126">
        <f t="shared" si="204"/>
        <v>139.99700000000001</v>
      </c>
      <c r="W426" s="3" t="s">
        <v>93</v>
      </c>
      <c r="X426" s="5" t="s">
        <v>11306</v>
      </c>
      <c r="Y426" s="3" t="s">
        <v>11309</v>
      </c>
      <c r="Z426" s="97">
        <v>45621</v>
      </c>
      <c r="AA426" s="11" t="s">
        <v>11524</v>
      </c>
      <c r="AB426" s="2">
        <v>45665</v>
      </c>
      <c r="AC426" s="80" t="s">
        <v>1339</v>
      </c>
      <c r="AD426" s="61"/>
      <c r="AE426" s="61"/>
      <c r="AF426"/>
      <c r="AG426"/>
      <c r="AH426"/>
      <c r="AI426" s="61" t="s">
        <v>3470</v>
      </c>
      <c r="AJ426" s="2">
        <v>45627</v>
      </c>
      <c r="AK426"/>
      <c r="AL426"/>
      <c r="AM426" s="2">
        <v>45644</v>
      </c>
      <c r="AN426"/>
      <c r="AO426"/>
      <c r="AP426"/>
      <c r="AS426" t="s">
        <v>7933</v>
      </c>
      <c r="AT426" s="99"/>
    </row>
    <row r="427" spans="1:46" s="96" customFormat="1">
      <c r="A427" s="1">
        <v>428</v>
      </c>
      <c r="B427" s="96" t="s">
        <v>4189</v>
      </c>
      <c r="C427" s="97">
        <v>45621</v>
      </c>
      <c r="D427" s="97"/>
      <c r="E427" s="99" t="s">
        <v>4948</v>
      </c>
      <c r="F427" s="104" t="s">
        <v>4189</v>
      </c>
      <c r="G427" s="310" t="s">
        <v>188</v>
      </c>
      <c r="H427" s="311" t="s">
        <v>220</v>
      </c>
      <c r="I427" s="312" t="s">
        <v>92</v>
      </c>
      <c r="J427" s="310"/>
      <c r="K427" t="s">
        <v>8724</v>
      </c>
      <c r="L427" s="99" t="s">
        <v>4948</v>
      </c>
      <c r="M427" s="2">
        <v>45657</v>
      </c>
      <c r="N427" s="99" t="s">
        <v>35</v>
      </c>
      <c r="O427" s="61" t="s">
        <v>8060</v>
      </c>
      <c r="P427" s="96" t="s">
        <v>11303</v>
      </c>
      <c r="Q427" s="92">
        <v>115.7</v>
      </c>
      <c r="R427" s="1">
        <v>1</v>
      </c>
      <c r="S427" s="128">
        <v>0.21</v>
      </c>
      <c r="T427" s="128">
        <v>0</v>
      </c>
      <c r="U427" s="95" t="s">
        <v>10854</v>
      </c>
      <c r="V427" s="126">
        <f t="shared" si="204"/>
        <v>139.99700000000001</v>
      </c>
      <c r="W427" t="s">
        <v>11308</v>
      </c>
      <c r="X427" s="6" t="s">
        <v>11307</v>
      </c>
      <c r="Y427" s="3">
        <v>29509</v>
      </c>
      <c r="Z427" s="97">
        <v>45621</v>
      </c>
      <c r="AA427" s="11" t="s">
        <v>11524</v>
      </c>
      <c r="AB427" s="2">
        <v>45665</v>
      </c>
      <c r="AC427" s="80" t="s">
        <v>1339</v>
      </c>
      <c r="AD427" s="61"/>
      <c r="AE427" s="61"/>
      <c r="AF427"/>
      <c r="AG427"/>
      <c r="AH427"/>
      <c r="AI427" s="61" t="s">
        <v>3470</v>
      </c>
      <c r="AJ427" s="2">
        <v>45627</v>
      </c>
      <c r="AK427"/>
      <c r="AL427"/>
      <c r="AM427" s="2">
        <v>45644</v>
      </c>
      <c r="AN427"/>
      <c r="AO427"/>
      <c r="AP427"/>
      <c r="AS427" t="s">
        <v>11188</v>
      </c>
      <c r="AT427" s="99"/>
    </row>
    <row r="428" spans="1:46">
      <c r="A428" s="1"/>
      <c r="C428" s="2"/>
      <c r="D428" s="2"/>
      <c r="E428" s="1"/>
      <c r="F428" s="61"/>
      <c r="H428" s="6"/>
      <c r="I428" s="1"/>
      <c r="J428" s="8"/>
      <c r="K428" s="1"/>
      <c r="L428" s="1"/>
      <c r="M428" s="2"/>
      <c r="N428" s="1"/>
      <c r="O428" s="61"/>
      <c r="P428" s="14"/>
      <c r="Q428" s="187"/>
      <c r="R428" s="1"/>
      <c r="S428" s="128"/>
      <c r="T428" s="128"/>
      <c r="U428" s="363">
        <f t="shared" ref="U428" si="205">SUM(P428-(P428*S428))*R428+(P428-(P428*S428))</f>
        <v>0</v>
      </c>
      <c r="V428" s="126">
        <f t="shared" si="173"/>
        <v>0</v>
      </c>
      <c r="X428" s="5"/>
      <c r="Y428" s="3"/>
      <c r="Z428" s="2"/>
      <c r="AA428" s="61"/>
      <c r="AB428" s="2"/>
      <c r="AC428" s="80"/>
      <c r="AJ428" s="3"/>
      <c r="AM428" s="3"/>
    </row>
    <row r="429" spans="1:46">
      <c r="A429" s="1"/>
      <c r="B429" s="61"/>
      <c r="C429" s="2"/>
      <c r="D429" s="2"/>
      <c r="E429" s="1"/>
      <c r="F429" s="61"/>
      <c r="G429" s="61"/>
      <c r="H429" s="6"/>
      <c r="I429" s="1"/>
      <c r="J429" s="1"/>
      <c r="K429" s="8"/>
      <c r="L429" s="1"/>
      <c r="M429" s="2"/>
      <c r="N429" s="1"/>
      <c r="O429" s="61"/>
      <c r="P429" s="14"/>
      <c r="Q429" s="187"/>
      <c r="R429" s="1"/>
      <c r="S429" s="128"/>
      <c r="T429" s="128"/>
      <c r="U429" s="363"/>
      <c r="V429" s="126">
        <f>SUM(Q429-(Q429*T429))*S429+(Q429-(Q429*T429))</f>
        <v>0</v>
      </c>
      <c r="X429" s="5"/>
      <c r="Y429" s="2"/>
      <c r="Z429" s="2"/>
      <c r="AB429" s="2"/>
      <c r="AC429" s="133"/>
      <c r="AE429" s="3"/>
      <c r="AJ429" s="2"/>
      <c r="AM429" s="74"/>
      <c r="AS429" s="1"/>
      <c r="AT429" s="1"/>
    </row>
    <row r="430" spans="1:46" s="366" customFormat="1" ht="14.25" customHeight="1">
      <c r="A430" s="365"/>
      <c r="B430" s="338" t="s">
        <v>18</v>
      </c>
      <c r="C430" s="365"/>
      <c r="D430" s="365"/>
      <c r="E430" s="365"/>
      <c r="H430" s="365"/>
      <c r="I430" s="365"/>
      <c r="J430" s="365"/>
      <c r="L430" s="365"/>
      <c r="M430" s="365"/>
      <c r="O430" s="369"/>
      <c r="V430" s="367">
        <f>SUBTOTAL(109,Tabla26[Total])</f>
        <v>50211.470800000257</v>
      </c>
      <c r="Z430" s="365"/>
      <c r="AO430" s="366">
        <f>SUBTOTAL(103,Tabla26[Caducidad del permiso])</f>
        <v>0</v>
      </c>
    </row>
    <row r="432" spans="1:46">
      <c r="J432" t="s">
        <v>4957</v>
      </c>
    </row>
  </sheetData>
  <dataValidations count="3">
    <dataValidation type="list" allowBlank="1" showInputMessage="1" showErrorMessage="1" sqref="O2:O42 P62 O44:O350 O352:O367 O372:O374 O424:O428 O378:O382 O394 O400:O401 O406:O408 O410 O412:O415" xr:uid="{88EF0EDD-F3F7-4F44-A7C1-7B8766E47B73}">
      <formula1>$AS$4:$AS$23</formula1>
    </dataValidation>
    <dataValidation type="list" allowBlank="1" showInputMessage="1" showErrorMessage="1" sqref="O43" xr:uid="{B181E1F3-545C-4B08-82B1-88F0D765D184}">
      <formula1>$AS$4:$AS$15</formula1>
    </dataValidation>
    <dataValidation type="list" allowBlank="1" showInputMessage="1" showErrorMessage="1" sqref="O351 O368:O371 O375:O377 O383:O393 O395:O399 O402:O405 O409 O411 O416:O427" xr:uid="{19898FE5-8906-42E7-B3C1-FEB7B41D2F35}">
      <formula1>$AS$4:$AS$22</formula1>
    </dataValidation>
  </dataValidations>
  <hyperlinks>
    <hyperlink ref="K3" r:id="rId1" display="mailto:ruben_mc95@hotmail.com" xr:uid="{62EEDBDF-02E1-42C3-B45A-E8FFDB4975C2}"/>
    <hyperlink ref="K9" r:id="rId2" xr:uid="{579EAEFE-9C25-48C7-B7CC-C38C60FE1095}"/>
    <hyperlink ref="K13" r:id="rId3" xr:uid="{12A59FD9-04F6-4C98-B187-A87847E81BDF}"/>
    <hyperlink ref="K18" r:id="rId4" display="mailto:juanmegane87@gmail.com" xr:uid="{3306F5C7-C6C6-4A2A-A76E-52E59356E623}"/>
    <hyperlink ref="K24" r:id="rId5" xr:uid="{0CF1E4B8-E7ED-4997-BDF6-F150C271F77B}"/>
    <hyperlink ref="K67" r:id="rId6" xr:uid="{85DD3D32-CB43-45C0-9827-6618694E6A7D}"/>
    <hyperlink ref="K70" r:id="rId7" xr:uid="{B1589CBC-182A-4E10-BCCE-9662ACDFD7F6}"/>
    <hyperlink ref="K89" r:id="rId8" xr:uid="{1EC1E8B7-C631-4375-8623-D849EDFA406B}"/>
    <hyperlink ref="K92" r:id="rId9" xr:uid="{EA530788-CA18-45C3-90BF-925C7466EF12}"/>
    <hyperlink ref="K103" r:id="rId10" display="mailto:juagrisa@gmail.com" xr:uid="{B9C38981-3D75-458C-85EF-F54FB040A201}"/>
    <hyperlink ref="K114" r:id="rId11" xr:uid="{B2F2DDE1-ECF5-40D2-9330-2A4F189A4737}"/>
    <hyperlink ref="K115" r:id="rId12" xr:uid="{8C68C9F8-ED46-4AC7-B480-6E0296BD3454}"/>
    <hyperlink ref="K116" r:id="rId13" xr:uid="{9B6BAFC2-3DE6-47B0-B376-E2C7502CD250}"/>
    <hyperlink ref="K128" r:id="rId14" xr:uid="{F395F190-0C60-40DF-AE1C-E84BBEA92C57}"/>
    <hyperlink ref="K152" r:id="rId15" xr:uid="{2437768A-324C-4BF8-B98A-61DA8D984453}"/>
    <hyperlink ref="K134" r:id="rId16" xr:uid="{A1452F40-3E95-4BD0-B1DD-E20F2E516F56}"/>
    <hyperlink ref="K30" r:id="rId17" xr:uid="{A55CFB06-B76A-442A-8431-88F7F11C2BB6}"/>
    <hyperlink ref="K154" r:id="rId18" xr:uid="{F1BFBA53-977B-4362-A70F-58E5B8941738}"/>
    <hyperlink ref="K156" r:id="rId19" xr:uid="{0193DDB4-68A6-4044-83C4-510EE6CAF781}"/>
    <hyperlink ref="K170" r:id="rId20" xr:uid="{773067E8-25A2-4ED9-9E37-546C182B622E}"/>
    <hyperlink ref="K181" r:id="rId21" xr:uid="{59CDB4D9-4D5D-4384-B96A-4F12209BA4AD}"/>
    <hyperlink ref="K191" r:id="rId22" xr:uid="{BB1A6F86-958E-4FD7-A9FA-E527C7030B65}"/>
    <hyperlink ref="K205" r:id="rId23" xr:uid="{18C84E3F-B09F-41B6-9793-BDC809C9FDA3}"/>
    <hyperlink ref="K209" r:id="rId24" xr:uid="{69056585-F6D3-46E9-B5CF-86613A09D4FB}"/>
    <hyperlink ref="K216" r:id="rId25" xr:uid="{0FDFE0C6-3F22-4D2D-88B5-6D57CB4CD79B}"/>
    <hyperlink ref="K222" r:id="rId26" xr:uid="{7F5325C8-F5EC-401C-BA9D-4368D03015B9}"/>
    <hyperlink ref="K230" r:id="rId27" xr:uid="{2E16DF31-065B-489D-A760-0506CC4A511B}"/>
    <hyperlink ref="K235" r:id="rId28" xr:uid="{47D0BBF8-578C-4CA1-9BE8-854D3B9BE468}"/>
    <hyperlink ref="K237" r:id="rId29" xr:uid="{F735C2F1-FD1B-4730-9F12-A58281151D16}"/>
    <hyperlink ref="K251" r:id="rId30" xr:uid="{8A641EEA-F1FC-4493-8534-4CFED8725129}"/>
    <hyperlink ref="K262" r:id="rId31" xr:uid="{56C01E11-1135-4F9C-B541-4C2F692B4A48}"/>
    <hyperlink ref="K263" r:id="rId32" xr:uid="{8DFE460E-7699-49F0-89A0-B00CF9A67D4D}"/>
    <hyperlink ref="K264" r:id="rId33" xr:uid="{0ED12CDA-623F-48F6-9AE1-B4715C7BC4E3}"/>
    <hyperlink ref="K291" r:id="rId34" xr:uid="{B7061885-6E49-4069-B378-E7BA4B55D3EF}"/>
    <hyperlink ref="K292" r:id="rId35" xr:uid="{6971599B-32E0-4996-971A-04113A1A49B1}"/>
    <hyperlink ref="K304" r:id="rId36" xr:uid="{EC05EC12-D6F0-4889-80AF-ED857C4AD726}"/>
    <hyperlink ref="K313" r:id="rId37" xr:uid="{1B1BE574-836A-4E51-B423-678DAF4B9A29}"/>
    <hyperlink ref="K314" r:id="rId38" xr:uid="{5C76AA02-8FEE-4A24-8FF0-4B039F2938CF}"/>
    <hyperlink ref="K323" r:id="rId39" xr:uid="{5086D3CE-43B3-435B-9232-AB1AC376354E}"/>
    <hyperlink ref="K324" r:id="rId40" xr:uid="{8A555ED6-DD05-46AF-9DA9-AEFA96161AEC}"/>
    <hyperlink ref="K326" r:id="rId41" xr:uid="{11F74E08-9873-440F-9443-6BC707D16C75}"/>
    <hyperlink ref="K327" r:id="rId42" xr:uid="{C2531B30-F815-498F-90F7-ED191D3B8112}"/>
    <hyperlink ref="K334" r:id="rId43" xr:uid="{9EAA4089-DE69-4860-9378-C6E01F6FC291}"/>
    <hyperlink ref="K348" r:id="rId44" xr:uid="{DE9EEDDB-2497-408D-8B0C-310EF853807E}"/>
    <hyperlink ref="K353" r:id="rId45" xr:uid="{AC842DB7-C012-4AF1-840C-1E56F7B547EF}"/>
    <hyperlink ref="K363" r:id="rId46" xr:uid="{F04695E9-AE89-42CB-BF75-53EDFE0589A7}"/>
    <hyperlink ref="K370" r:id="rId47" xr:uid="{B1DF2511-E3FB-4590-9FA6-8ADD6EE82BCF}"/>
    <hyperlink ref="K374" r:id="rId48" xr:uid="{FBF1CBB4-791D-4C5F-8A69-D6FBE514B42C}"/>
    <hyperlink ref="K378" r:id="rId49" xr:uid="{2C06FCE9-69CC-4719-A1D2-AF5A9969A7B9}"/>
    <hyperlink ref="K382" r:id="rId50" xr:uid="{1EE7572D-6389-40C4-B4E4-ACAEEF6F57D6}"/>
    <hyperlink ref="K396" r:id="rId51" xr:uid="{DABC3978-D806-4493-8ED4-5F1F0F520A23}"/>
    <hyperlink ref="K409" r:id="rId52" xr:uid="{3BA011C7-3ACD-4E57-900D-C4AAEF9F4BC4}"/>
    <hyperlink ref="K411" r:id="rId53" xr:uid="{F988BD17-F956-40D6-9979-A6F2A6B3B8B8}"/>
    <hyperlink ref="K26" r:id="rId54" xr:uid="{CAD78194-1244-4232-BF30-A853DE713E48}"/>
    <hyperlink ref="K4" r:id="rId55" display="mailto:administracion@cohorsan.com" xr:uid="{4AAC2753-9270-48F1-8859-B039F77D29DD}"/>
    <hyperlink ref="K16" r:id="rId56" display="mailto:administracion@cohorsan.com" xr:uid="{F0B6EB84-DC58-4848-A646-ADA4ABB05A7A}"/>
    <hyperlink ref="K28" r:id="rId57" display="mailto:administracion@cohorsan.com" xr:uid="{61F75784-2212-47B7-83B6-27B8871DD9F4}"/>
    <hyperlink ref="K29" r:id="rId58" display="mailto:administracion@cohorsan.com" xr:uid="{DDB904C8-FF50-4251-9E83-6A04BCED8234}"/>
    <hyperlink ref="K31" r:id="rId59" display="mailto:administracion@cohorsan.com" xr:uid="{EAA64136-B209-40DB-8F61-624E4BC01C31}"/>
    <hyperlink ref="K32" r:id="rId60" display="mailto:administracion@cohorsan.com" xr:uid="{6E7B2C13-1238-419A-AF75-BC1934A2A5D5}"/>
    <hyperlink ref="K36" r:id="rId61" display="mailto:administracion@cohorsan.com" xr:uid="{B2B97C14-9E62-4146-834D-FDC50E49B635}"/>
    <hyperlink ref="K37" r:id="rId62" display="mailto:administracion@cohorsan.com" xr:uid="{D31A6936-9083-4F4F-B591-2A61A82310F0}"/>
    <hyperlink ref="K38" r:id="rId63" display="mailto:administracion@cohorsan.com" xr:uid="{CFE50340-4E70-4647-8007-DE1C31E1975C}"/>
    <hyperlink ref="K43" r:id="rId64" display="mailto:administracion@cohorsan.com" xr:uid="{6CA1D66F-96C7-448A-96C3-D7EF9899592C}"/>
    <hyperlink ref="K44" r:id="rId65" display="mailto:administracion@cohorsan.com" xr:uid="{65FF9AA9-DD01-4353-A29B-56B937A55082}"/>
    <hyperlink ref="K49" r:id="rId66" display="mailto:administracion@cohorsan.com" xr:uid="{791FA6AB-0E72-4357-8963-BE856F7EC76D}"/>
    <hyperlink ref="K51" r:id="rId67" display="mailto:administracion@cohorsan.com" xr:uid="{BB28EE68-FAF6-4950-9644-A8B6D469B4D8}"/>
    <hyperlink ref="K52" r:id="rId68" display="mailto:administracion@cohorsan.com" xr:uid="{469BAB6D-206F-4920-81B4-FE1598E8F9BD}"/>
    <hyperlink ref="K53" r:id="rId69" display="mailto:administracion@cohorsan.com" xr:uid="{9A7DCEC2-C210-4EEB-8BE4-6D9C9684477E}"/>
    <hyperlink ref="K63" r:id="rId70" display="mailto:administracion@cohorsan.com" xr:uid="{B17CD541-2765-4B4D-86DE-CF5224B08A8B}"/>
    <hyperlink ref="K65" r:id="rId71" display="mailto:administracion@cohorsan.com" xr:uid="{25E81A5E-F5CC-4D07-920B-808912AB1138}"/>
    <hyperlink ref="K83" r:id="rId72" display="mailto:administracion@cohorsan.com" xr:uid="{20141374-2525-43AC-A27A-EDFCF71365F0}"/>
    <hyperlink ref="K87" r:id="rId73" display="mailto:administracion@cohorsan.com" xr:uid="{2767985C-83A6-4064-8EFE-90366B0A5575}"/>
    <hyperlink ref="K94" r:id="rId74" display="mailto:administracion@cohorsan.com" xr:uid="{7649CFC7-5C18-407C-A0D5-408C40F8471F}"/>
    <hyperlink ref="K104" r:id="rId75" display="mailto:administracion@cohorsan.com" xr:uid="{3A12D1E5-3951-407F-9C73-1417274A822F}"/>
    <hyperlink ref="K105" r:id="rId76" display="mailto:administracion@cohorsan.com" xr:uid="{8EB601C8-86CB-4AB4-A94B-ADC2EFF83656}"/>
    <hyperlink ref="K122" r:id="rId77" display="mailto:administracion@cohorsan.com" xr:uid="{E1676779-EC39-458A-9FE7-7AB50C7DF3F0}"/>
    <hyperlink ref="K126" r:id="rId78" display="mailto:administracion@cohorsan.com" xr:uid="{57838FC8-14B3-4BB4-960D-53E18419E7A8}"/>
    <hyperlink ref="K130" r:id="rId79" display="mailto:administracion@cohorsan.com" xr:uid="{C82F56F2-F617-408A-BF1E-B7BC8069F2D3}"/>
    <hyperlink ref="K135" r:id="rId80" display="mailto:administracion@cohorsan.com" xr:uid="{DD90BC10-8FF1-403B-8ABD-8B9A3D9EC05C}"/>
    <hyperlink ref="K139" r:id="rId81" display="mailto:administracion@cohorsan.com" xr:uid="{79A4826E-3CBB-4385-BACE-4BA6908B120A}"/>
    <hyperlink ref="K144" r:id="rId82" display="mailto:administracion@cohorsan.com" xr:uid="{AFC1E114-3A09-497C-99F9-2A9F7512BF7F}"/>
    <hyperlink ref="K145" r:id="rId83" display="mailto:administracion@cohorsan.com" xr:uid="{42A189AC-9321-4053-A0C0-AD09620D0B87}"/>
    <hyperlink ref="K146" r:id="rId84" display="mailto:administracion@cohorsan.com" xr:uid="{2D888C8F-38D9-491B-ADCE-44EF5A7FFA16}"/>
    <hyperlink ref="K149" r:id="rId85" display="mailto:administracion@cohorsan.com" xr:uid="{4841A903-3AA2-4E4B-9F7B-3F09AA10DBBE}"/>
    <hyperlink ref="K160" r:id="rId86" display="mailto:administracion@cohorsan.com" xr:uid="{4B09B81E-88CD-4670-BE9E-FA0728AD9081}"/>
    <hyperlink ref="K163" r:id="rId87" display="mailto:administracion@cohorsan.com" xr:uid="{CC571E79-F70C-47C5-A206-5BEA692BE20C}"/>
    <hyperlink ref="K178" r:id="rId88" display="mailto:administracion@cohorsan.com" xr:uid="{B0F935CC-51F9-436B-818C-E9C0270D5CBC}"/>
    <hyperlink ref="K182" r:id="rId89" display="mailto:administracion@cohorsan.com" xr:uid="{A2DE988C-9811-470A-B893-AED42E7CE378}"/>
    <hyperlink ref="K186" r:id="rId90" display="mailto:administracion@cohorsan.com" xr:uid="{36B9D023-251A-4CC4-A5EC-84E126AEF143}"/>
    <hyperlink ref="K203" r:id="rId91" display="mailto:administracion@cohorsan.com" xr:uid="{9BF14905-90D8-49B2-905E-735D64EAA295}"/>
    <hyperlink ref="K204" r:id="rId92" display="mailto:administracion@cohorsan.com" xr:uid="{D4A34D54-914F-4EA6-8910-339454E30D5E}"/>
    <hyperlink ref="K225" r:id="rId93" display="mailto:administracion@cohorsan.com" xr:uid="{8E861658-2511-4FB9-A05C-8C3CFD5DDD8D}"/>
    <hyperlink ref="K233" r:id="rId94" display="mailto:administracion@cohorsan.com" xr:uid="{AE7759F0-AD14-444D-AFFE-8E58919BD09E}"/>
    <hyperlink ref="K236" r:id="rId95" display="mailto:administracion@cohorsan.com" xr:uid="{EF76A26A-9C3E-4FE7-A1BC-609A4D8740DC}"/>
    <hyperlink ref="K242" r:id="rId96" display="mailto:administracion@cohorsan.com" xr:uid="{5985F75A-DC76-471A-BD8B-46DF2C559A30}"/>
    <hyperlink ref="K243" r:id="rId97" display="mailto:administracion@cohorsan.com" xr:uid="{E3DF0A8D-2565-4523-9A35-DC77D7D92510}"/>
    <hyperlink ref="K254" r:id="rId98" display="mailto:administracion@cohorsan.com" xr:uid="{BF8A1210-21A1-43B5-ACBF-EE9CD7D128B2}"/>
    <hyperlink ref="K255" r:id="rId99" display="mailto:administracion@cohorsan.com" xr:uid="{10366F64-3459-47DA-BFE3-DBD3C54279F9}"/>
    <hyperlink ref="K256" r:id="rId100" display="mailto:administracion@cohorsan.com" xr:uid="{D50C3DA0-18C9-4C62-8C39-D77B086A3CAA}"/>
    <hyperlink ref="K257" r:id="rId101" display="mailto:administracion@cohorsan.com" xr:uid="{26F592C2-D29C-4FC0-B282-C57F0C14ABAF}"/>
    <hyperlink ref="K261" r:id="rId102" display="mailto:administracion@cohorsan.com" xr:uid="{4432DFBC-FFBC-4535-AF8C-078832358DD4}"/>
    <hyperlink ref="K268" r:id="rId103" display="mailto:administracion@cohorsan.com" xr:uid="{9B46E833-BE8C-4F47-A6E1-95A0A8912BD9}"/>
    <hyperlink ref="K269" r:id="rId104" display="mailto:administracion@cohorsan.com" xr:uid="{E2CE0003-C8E1-463B-977C-CD37203F9399}"/>
    <hyperlink ref="K272" r:id="rId105" display="mailto:administracion@cohorsan.com" xr:uid="{D3F2AD07-DEF6-47B9-BC6A-6E287D2A8486}"/>
    <hyperlink ref="K273" r:id="rId106" display="mailto:administracion@cohorsan.com" xr:uid="{8386E874-E271-42D8-9C5B-9B4705E4D53D}"/>
    <hyperlink ref="K276" r:id="rId107" display="mailto:administracion@cohorsan.com" xr:uid="{B82D2B7F-EC84-4442-8719-8BAEE9BFE9E4}"/>
    <hyperlink ref="K278" r:id="rId108" display="mailto:administracion@cohorsan.com" xr:uid="{BE71D22C-935A-4EA3-B52A-99591BEE8DD0}"/>
    <hyperlink ref="K280" r:id="rId109" display="mailto:administracion@cohorsan.com" xr:uid="{2542F97A-AFD8-416D-A097-216274236726}"/>
    <hyperlink ref="K281" r:id="rId110" display="mailto:administracion@cohorsan.com" xr:uid="{15D76689-0EB5-44DC-95F2-E5D12B59CF89}"/>
    <hyperlink ref="K283" r:id="rId111" display="mailto:administracion@cohorsan.com" xr:uid="{DC024452-277E-4653-8BE2-AEAFB87CD4E1}"/>
    <hyperlink ref="K286" r:id="rId112" display="mailto:administracion@cohorsan.com" xr:uid="{0F8A8482-02E6-4AAB-8537-C35D8F574B82}"/>
    <hyperlink ref="K289" r:id="rId113" display="mailto:administracion@cohorsan.com" xr:uid="{C09B7F51-88AD-4C25-98DA-4802DBBA0EDE}"/>
    <hyperlink ref="K294" r:id="rId114" display="mailto:administracion@cohorsan.com" xr:uid="{94DAF3C1-D255-4723-A07E-E599FDDDC3BB}"/>
    <hyperlink ref="K302" r:id="rId115" display="mailto:administracion@cohorsan.com" xr:uid="{26AE6CC0-7B7D-4244-BC4A-911CD13175B3}"/>
    <hyperlink ref="K303" r:id="rId116" display="mailto:administracion@cohorsan.com" xr:uid="{E9A5C6F6-CA40-4E68-8A2C-9994BC9CABD3}"/>
    <hyperlink ref="K305" r:id="rId117" display="mailto:administracion@cohorsan.com" xr:uid="{C723DDB6-9907-49AE-B5A3-C5FF9947DB41}"/>
    <hyperlink ref="K306" r:id="rId118" display="mailto:administracion@cohorsan.com" xr:uid="{F7C47465-1AF0-49E5-9A58-5A564AEF76B8}"/>
    <hyperlink ref="K307" r:id="rId119" display="mailto:administracion@cohorsan.com" xr:uid="{ED5C95A6-93A5-4A4D-8E99-ACF6FE77FED7}"/>
    <hyperlink ref="K310" r:id="rId120" display="mailto:administracion@cohorsan.com" xr:uid="{49520E18-5187-4FCB-8236-F95F3BB2C859}"/>
    <hyperlink ref="K315" r:id="rId121" display="mailto:administracion@cohorsan.com" xr:uid="{FCC6677D-F12A-4975-9C47-337C6FADA087}"/>
    <hyperlink ref="K320" r:id="rId122" display="mailto:administracion@cohorsan.com" xr:uid="{F15E0FE9-694F-4887-9DEF-FEAAFD450F3B}"/>
    <hyperlink ref="K321" r:id="rId123" display="mailto:administracion@cohorsan.com" xr:uid="{5554B46B-BEAB-43F5-B45F-4FAB75D8677B}"/>
    <hyperlink ref="K328" r:id="rId124" display="mailto:administracion@cohorsan.com" xr:uid="{6CD8FFF0-3BF3-4633-9FF8-9B4EB380A242}"/>
    <hyperlink ref="K332" r:id="rId125" display="mailto:administracion@cohorsan.com" xr:uid="{713F192F-E61E-4F81-8741-C90E8342191C}"/>
    <hyperlink ref="K349" r:id="rId126" display="mailto:administracion@cohorsan.com" xr:uid="{A13C592B-B62B-46D0-98E0-5A698182FAC9}"/>
    <hyperlink ref="K357" r:id="rId127" display="mailto:administracion@cohorsan.com" xr:uid="{9644A4ED-0E9A-4B52-B0FA-AA9161368BBC}"/>
    <hyperlink ref="K361" r:id="rId128" display="mailto:administracion@cohorsan.com" xr:uid="{9267E1D5-82CD-43B5-A9F6-A8E4E08B19D4}"/>
    <hyperlink ref="K375" r:id="rId129" display="mailto:administracion@cohorsan.com" xr:uid="{8D2A77D0-D60C-4FC6-83EC-F60075626425}"/>
    <hyperlink ref="K383" r:id="rId130" display="mailto:administracion@cohorsan.com" xr:uid="{E4381855-0F7D-420B-B5C3-46CEF2A9DCE9}"/>
    <hyperlink ref="K391" r:id="rId131" display="mailto:administracion@cohorsan.com" xr:uid="{EF0E8C12-B266-4EA2-B017-00911155700F}"/>
    <hyperlink ref="K394" r:id="rId132" display="mailto:administracion@cohorsan.com" xr:uid="{F22972FF-2E4E-45CC-B17E-0C8229290EA2}"/>
    <hyperlink ref="K395" r:id="rId133" display="mailto:administracion@cohorsan.com" xr:uid="{872755A1-B807-469F-B1E8-997CC115A8DA}"/>
    <hyperlink ref="K408" r:id="rId134" display="mailto:administracion@cohorsan.com" xr:uid="{EE69D1FD-FCB7-481F-BE03-DE2FCD97C5D5}"/>
    <hyperlink ref="K413" r:id="rId135" display="mailto:administracion@cohorsan.com" xr:uid="{25791100-3F16-4313-9EB9-53A57E6175DC}"/>
    <hyperlink ref="K414" r:id="rId136" display="mailto:administracion@cohorsan.com" xr:uid="{EA7397B1-5112-46E2-B6CB-B2807F04D8FE}"/>
    <hyperlink ref="K415" r:id="rId137" display="mailto:administracion@cohorsan.com" xr:uid="{064FA091-D4ED-4FEE-BF84-084F93BF7838}"/>
    <hyperlink ref="K417" r:id="rId138" display="mailto:administracion@cohorsan.com" xr:uid="{CB017D19-0777-410C-B15E-FD2AD7C3AF86}"/>
  </hyperlinks>
  <pageMargins left="0.7" right="0.7" top="0.75" bottom="0.75" header="0.3" footer="0.3"/>
  <drawing r:id="rId139"/>
  <tableParts count="2">
    <tablePart r:id="rId140"/>
    <tablePart r:id="rId141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4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31D9-8565-4B9F-BED9-3F762D0CE939}">
  <sheetPr codeName="Hoja9">
    <pageSetUpPr fitToPage="1"/>
  </sheetPr>
  <dimension ref="A1:EI519"/>
  <sheetViews>
    <sheetView tabSelected="1" topLeftCell="A474" zoomScale="85" zoomScaleNormal="85" workbookViewId="0">
      <selection activeCell="F510" sqref="F510"/>
    </sheetView>
  </sheetViews>
  <sheetFormatPr baseColWidth="10" defaultRowHeight="15"/>
  <cols>
    <col min="1" max="1" width="4.42578125" customWidth="1"/>
    <col min="2" max="2" width="29.42578125" customWidth="1"/>
    <col min="3" max="3" width="16.7109375" bestFit="1" customWidth="1"/>
    <col min="4" max="4" width="7.28515625" customWidth="1"/>
    <col min="5" max="5" width="12.42578125" bestFit="1" customWidth="1"/>
    <col min="6" max="6" width="42.140625" bestFit="1" customWidth="1"/>
    <col min="7" max="7" width="41.85546875" customWidth="1"/>
    <col min="8" max="8" width="15.42578125" customWidth="1"/>
    <col min="9" max="9" width="24.85546875" customWidth="1"/>
    <col min="10" max="10" width="13.5703125" customWidth="1"/>
    <col min="11" max="11" width="37.85546875" customWidth="1"/>
    <col min="12" max="12" width="12.42578125" customWidth="1"/>
    <col min="13" max="13" width="12.7109375" customWidth="1"/>
    <col min="14" max="14" width="32.5703125" customWidth="1"/>
    <col min="15" max="15" width="22.28515625" bestFit="1" customWidth="1"/>
    <col min="16" max="16" width="89.42578125" bestFit="1" customWidth="1"/>
    <col min="17" max="17" width="11.5703125" bestFit="1" customWidth="1"/>
    <col min="18" max="18" width="13.42578125" bestFit="1" customWidth="1"/>
    <col min="19" max="19" width="8.7109375" bestFit="1" customWidth="1"/>
    <col min="20" max="20" width="15" bestFit="1" customWidth="1"/>
    <col min="21" max="21" width="15.5703125" bestFit="1" customWidth="1"/>
    <col min="22" max="22" width="12.28515625" customWidth="1"/>
    <col min="23" max="23" width="12.28515625" bestFit="1" customWidth="1"/>
    <col min="24" max="24" width="19" bestFit="1" customWidth="1"/>
    <col min="25" max="25" width="14.85546875" customWidth="1"/>
    <col min="26" max="26" width="15.7109375" bestFit="1" customWidth="1"/>
    <col min="27" max="27" width="21.85546875" bestFit="1" customWidth="1"/>
    <col min="28" max="28" width="15.140625" bestFit="1" customWidth="1"/>
    <col min="29" max="29" width="7.140625" customWidth="1"/>
    <col min="30" max="30" width="60.85546875" bestFit="1" customWidth="1"/>
    <col min="31" max="31" width="13.85546875" bestFit="1" customWidth="1"/>
    <col min="32" max="32" width="15.7109375" bestFit="1" customWidth="1"/>
    <col min="33" max="33" width="14.85546875" bestFit="1" customWidth="1"/>
    <col min="34" max="34" width="13.28515625" bestFit="1" customWidth="1"/>
    <col min="35" max="36" width="16" bestFit="1" customWidth="1"/>
    <col min="37" max="37" width="11.85546875" bestFit="1" customWidth="1"/>
    <col min="38" max="38" width="15.5703125" bestFit="1" customWidth="1"/>
    <col min="39" max="39" width="15.42578125" bestFit="1" customWidth="1"/>
    <col min="40" max="40" width="15.7109375" bestFit="1" customWidth="1"/>
    <col min="41" max="41" width="14.7109375" bestFit="1" customWidth="1"/>
    <col min="45" max="45" width="22.42578125" bestFit="1" customWidth="1"/>
  </cols>
  <sheetData>
    <row r="1" spans="1:46" s="14" customFormat="1" ht="47.25" customHeight="1">
      <c r="A1" s="348"/>
      <c r="B1" s="348" t="s">
        <v>244</v>
      </c>
      <c r="C1" s="349" t="s">
        <v>1</v>
      </c>
      <c r="D1" s="349" t="s">
        <v>9870</v>
      </c>
      <c r="E1" s="326" t="s">
        <v>2</v>
      </c>
      <c r="F1" s="350" t="s">
        <v>3</v>
      </c>
      <c r="G1" s="350" t="s">
        <v>4</v>
      </c>
      <c r="H1" s="351" t="s">
        <v>5</v>
      </c>
      <c r="I1" s="326" t="s">
        <v>6</v>
      </c>
      <c r="J1" s="326" t="s">
        <v>7</v>
      </c>
      <c r="K1" s="326" t="s">
        <v>8</v>
      </c>
      <c r="L1" s="326" t="s">
        <v>9</v>
      </c>
      <c r="M1" s="352" t="s">
        <v>10</v>
      </c>
      <c r="N1" s="326" t="s">
        <v>11</v>
      </c>
      <c r="O1" s="350" t="s">
        <v>7927</v>
      </c>
      <c r="P1" s="326" t="s">
        <v>13393</v>
      </c>
      <c r="Q1" s="353" t="s">
        <v>13</v>
      </c>
      <c r="R1" s="326" t="s">
        <v>14</v>
      </c>
      <c r="S1" s="328" t="s">
        <v>15</v>
      </c>
      <c r="T1" s="329" t="s">
        <v>16</v>
      </c>
      <c r="U1" s="326" t="s">
        <v>7923</v>
      </c>
      <c r="V1" s="354" t="s">
        <v>18</v>
      </c>
      <c r="W1" s="355" t="s">
        <v>19</v>
      </c>
      <c r="X1" s="356" t="s">
        <v>20</v>
      </c>
      <c r="Y1" s="357" t="s">
        <v>21</v>
      </c>
      <c r="Z1" s="349" t="s">
        <v>7773</v>
      </c>
      <c r="AA1" s="358" t="s">
        <v>22</v>
      </c>
      <c r="AB1" s="359" t="s">
        <v>1338</v>
      </c>
      <c r="AC1" s="355" t="s">
        <v>7889</v>
      </c>
      <c r="AD1" s="359" t="s">
        <v>1490</v>
      </c>
      <c r="AE1" s="355" t="s">
        <v>153</v>
      </c>
      <c r="AF1" s="355" t="s">
        <v>218</v>
      </c>
      <c r="AG1" s="360" t="s">
        <v>3382</v>
      </c>
      <c r="AH1" s="355" t="s">
        <v>1359</v>
      </c>
      <c r="AI1" s="355" t="s">
        <v>25</v>
      </c>
      <c r="AJ1" s="357" t="s">
        <v>26</v>
      </c>
      <c r="AK1" s="357" t="s">
        <v>27</v>
      </c>
      <c r="AL1" s="357" t="s">
        <v>28</v>
      </c>
      <c r="AM1" s="357" t="s">
        <v>29</v>
      </c>
      <c r="AN1" s="361" t="s">
        <v>31</v>
      </c>
      <c r="AO1" s="362" t="s">
        <v>32</v>
      </c>
    </row>
    <row r="2" spans="1:46">
      <c r="A2" s="1">
        <v>1</v>
      </c>
      <c r="B2" t="s">
        <v>33</v>
      </c>
      <c r="C2" s="2">
        <v>45660</v>
      </c>
      <c r="E2" s="1" t="s">
        <v>8064</v>
      </c>
      <c r="F2" s="61" t="s">
        <v>8065</v>
      </c>
      <c r="G2" t="s">
        <v>8066</v>
      </c>
      <c r="H2" s="6" t="s">
        <v>219</v>
      </c>
      <c r="I2" s="1" t="s">
        <v>4334</v>
      </c>
      <c r="J2" s="1"/>
      <c r="K2" s="114" t="s">
        <v>11744</v>
      </c>
      <c r="L2" t="s">
        <v>237</v>
      </c>
      <c r="M2" s="2">
        <v>45688</v>
      </c>
      <c r="N2" t="s">
        <v>35</v>
      </c>
      <c r="O2" s="61" t="s">
        <v>7934</v>
      </c>
      <c r="P2" s="14" t="s">
        <v>11490</v>
      </c>
      <c r="Q2" s="92">
        <v>115.7</v>
      </c>
      <c r="R2" s="1">
        <v>1</v>
      </c>
      <c r="S2" s="128">
        <v>0.21</v>
      </c>
      <c r="T2" s="128">
        <v>0</v>
      </c>
      <c r="U2" s="95"/>
      <c r="V2" s="126">
        <f t="shared" ref="V2:V516" si="0">SUM(Q2-(Q2*T2))*S2+(Q2-(Q2*T2))</f>
        <v>139.99700000000001</v>
      </c>
      <c r="W2" t="s">
        <v>11491</v>
      </c>
      <c r="X2" s="5" t="s">
        <v>11525</v>
      </c>
      <c r="Y2" s="3">
        <v>27311</v>
      </c>
      <c r="Z2" s="2">
        <v>45660</v>
      </c>
      <c r="AA2" s="11" t="s">
        <v>11733</v>
      </c>
      <c r="AB2" s="2">
        <v>45705</v>
      </c>
      <c r="AC2" s="80" t="s">
        <v>1339</v>
      </c>
      <c r="AF2" t="s">
        <v>3198</v>
      </c>
      <c r="AJ2" s="3"/>
      <c r="AM2" s="3"/>
      <c r="AS2" t="s">
        <v>7772</v>
      </c>
    </row>
    <row r="3" spans="1:46">
      <c r="A3" s="1">
        <v>2</v>
      </c>
      <c r="B3" s="61" t="s">
        <v>37</v>
      </c>
      <c r="C3" s="2">
        <v>45664</v>
      </c>
      <c r="D3" s="2"/>
      <c r="E3" s="1" t="s">
        <v>11492</v>
      </c>
      <c r="F3" s="61" t="s">
        <v>11493</v>
      </c>
      <c r="G3" s="61" t="s">
        <v>11494</v>
      </c>
      <c r="H3" s="6" t="s">
        <v>7966</v>
      </c>
      <c r="I3" s="1" t="s">
        <v>7965</v>
      </c>
      <c r="J3" s="1">
        <v>613146165</v>
      </c>
      <c r="K3" s="245"/>
      <c r="L3" s="1" t="s">
        <v>11492</v>
      </c>
      <c r="M3" s="2">
        <v>45688</v>
      </c>
      <c r="N3" t="s">
        <v>35</v>
      </c>
      <c r="O3" s="61" t="s">
        <v>7925</v>
      </c>
      <c r="P3" s="14" t="s">
        <v>11495</v>
      </c>
      <c r="Q3" s="187">
        <v>0</v>
      </c>
      <c r="R3" s="1">
        <v>0</v>
      </c>
      <c r="S3" s="128">
        <v>0</v>
      </c>
      <c r="T3" s="128">
        <v>0</v>
      </c>
      <c r="U3" s="363"/>
      <c r="V3" s="126">
        <f t="shared" si="0"/>
        <v>0</v>
      </c>
      <c r="W3" s="1" t="s">
        <v>11492</v>
      </c>
      <c r="X3" s="5" t="s">
        <v>11575</v>
      </c>
      <c r="Y3" s="2">
        <v>30108</v>
      </c>
      <c r="Z3" s="2">
        <v>45664</v>
      </c>
      <c r="AA3" s="11" t="s">
        <v>11866</v>
      </c>
      <c r="AB3" s="2">
        <v>45723</v>
      </c>
      <c r="AC3" s="80" t="s">
        <v>1339</v>
      </c>
      <c r="AF3" t="s">
        <v>3198</v>
      </c>
      <c r="AI3" s="61" t="s">
        <v>3392</v>
      </c>
      <c r="AJ3" s="2">
        <v>45677</v>
      </c>
      <c r="AM3" s="3">
        <v>45677</v>
      </c>
      <c r="AS3" s="1" t="s">
        <v>7928</v>
      </c>
    </row>
    <row r="4" spans="1:46">
      <c r="A4" s="1">
        <v>3</v>
      </c>
      <c r="B4" s="61" t="s">
        <v>5635</v>
      </c>
      <c r="C4" s="2">
        <v>45660</v>
      </c>
      <c r="D4" s="2"/>
      <c r="E4" s="1" t="s">
        <v>11496</v>
      </c>
      <c r="F4" s="61" t="s">
        <v>11497</v>
      </c>
      <c r="G4" s="61" t="s">
        <v>11498</v>
      </c>
      <c r="H4" s="6" t="s">
        <v>2273</v>
      </c>
      <c r="I4" s="1" t="s">
        <v>2274</v>
      </c>
      <c r="J4" s="1"/>
      <c r="K4" s="302" t="s">
        <v>10609</v>
      </c>
      <c r="L4" s="1" t="s">
        <v>11496</v>
      </c>
      <c r="M4" s="2">
        <v>45688</v>
      </c>
      <c r="N4" t="s">
        <v>35</v>
      </c>
      <c r="O4" s="61" t="s">
        <v>7934</v>
      </c>
      <c r="P4" s="14" t="s">
        <v>11499</v>
      </c>
      <c r="Q4" s="187">
        <v>115.7</v>
      </c>
      <c r="R4" s="1">
        <v>1</v>
      </c>
      <c r="S4" s="128">
        <v>0.21</v>
      </c>
      <c r="T4" s="128">
        <v>0</v>
      </c>
      <c r="U4" s="363"/>
      <c r="V4" s="126">
        <f t="shared" si="0"/>
        <v>139.99700000000001</v>
      </c>
      <c r="W4" t="s">
        <v>11500</v>
      </c>
      <c r="X4" s="5" t="s">
        <v>11533</v>
      </c>
      <c r="Y4" s="2">
        <v>36699</v>
      </c>
      <c r="Z4" s="2">
        <v>45660</v>
      </c>
      <c r="AA4" s="11" t="s">
        <v>11733</v>
      </c>
      <c r="AB4" s="2">
        <v>45705</v>
      </c>
      <c r="AC4" s="80" t="s">
        <v>1339</v>
      </c>
      <c r="AE4" s="3"/>
      <c r="AF4" t="s">
        <v>3198</v>
      </c>
      <c r="AI4" t="s">
        <v>25</v>
      </c>
      <c r="AJ4" s="2">
        <v>45670</v>
      </c>
      <c r="AM4" s="3">
        <v>45673</v>
      </c>
      <c r="AS4" s="1" t="s">
        <v>12352</v>
      </c>
    </row>
    <row r="5" spans="1:46">
      <c r="A5" s="1">
        <v>4</v>
      </c>
      <c r="B5" s="61" t="s">
        <v>1414</v>
      </c>
      <c r="C5" s="2">
        <v>45664</v>
      </c>
      <c r="D5" s="2"/>
      <c r="E5" s="454" t="s">
        <v>2776</v>
      </c>
      <c r="F5" s="61" t="s">
        <v>4338</v>
      </c>
      <c r="G5" s="61" t="s">
        <v>4339</v>
      </c>
      <c r="H5" s="6" t="s">
        <v>221</v>
      </c>
      <c r="I5" s="1" t="s">
        <v>34</v>
      </c>
      <c r="J5" s="8">
        <v>653915166</v>
      </c>
      <c r="K5" s="8" t="s">
        <v>6525</v>
      </c>
      <c r="L5" s="454" t="s">
        <v>2776</v>
      </c>
      <c r="M5" s="2">
        <v>45688</v>
      </c>
      <c r="N5" s="1" t="s">
        <v>35</v>
      </c>
      <c r="O5" s="61" t="s">
        <v>9758</v>
      </c>
      <c r="P5" s="14" t="s">
        <v>11501</v>
      </c>
      <c r="Q5" s="163">
        <v>115.7</v>
      </c>
      <c r="R5" s="1">
        <v>1</v>
      </c>
      <c r="S5" s="128">
        <v>0.21</v>
      </c>
      <c r="T5" s="128">
        <v>0</v>
      </c>
      <c r="V5" s="95">
        <f t="shared" si="0"/>
        <v>139.99700000000001</v>
      </c>
      <c r="W5" t="s">
        <v>6632</v>
      </c>
      <c r="X5" s="6" t="s">
        <v>11546</v>
      </c>
      <c r="Y5" s="2">
        <v>33627</v>
      </c>
      <c r="Z5" s="2">
        <v>45664</v>
      </c>
      <c r="AA5" s="11" t="s">
        <v>11864</v>
      </c>
      <c r="AB5" s="3">
        <v>45729</v>
      </c>
      <c r="AC5" s="80" t="s">
        <v>1339</v>
      </c>
      <c r="AD5" s="471" t="s">
        <v>11902</v>
      </c>
      <c r="AF5" t="s">
        <v>3198</v>
      </c>
      <c r="AI5" t="s">
        <v>3470</v>
      </c>
      <c r="AJ5" s="2">
        <v>45671</v>
      </c>
      <c r="AM5" s="74">
        <v>45679</v>
      </c>
      <c r="AS5" s="1" t="s">
        <v>7929</v>
      </c>
      <c r="AT5" s="1"/>
    </row>
    <row r="6" spans="1:46">
      <c r="A6" s="1">
        <v>5</v>
      </c>
      <c r="B6" t="s">
        <v>37</v>
      </c>
      <c r="C6" s="2">
        <v>45664</v>
      </c>
      <c r="D6" s="2"/>
      <c r="E6" s="1" t="s">
        <v>11502</v>
      </c>
      <c r="F6" s="61" t="s">
        <v>11503</v>
      </c>
      <c r="G6" s="61" t="s">
        <v>11504</v>
      </c>
      <c r="H6" s="6" t="s">
        <v>9569</v>
      </c>
      <c r="I6" s="1" t="s">
        <v>9570</v>
      </c>
      <c r="J6" s="8">
        <v>669744743</v>
      </c>
      <c r="K6" s="44"/>
      <c r="L6" s="1" t="s">
        <v>11502</v>
      </c>
      <c r="M6" s="2">
        <v>45688</v>
      </c>
      <c r="N6" s="1" t="s">
        <v>35</v>
      </c>
      <c r="O6" s="61" t="s">
        <v>7929</v>
      </c>
      <c r="P6" s="14" t="s">
        <v>11505</v>
      </c>
      <c r="Q6" s="92">
        <v>165.29</v>
      </c>
      <c r="R6" s="1">
        <v>1</v>
      </c>
      <c r="S6" s="128">
        <v>0.21</v>
      </c>
      <c r="T6" s="128">
        <v>0</v>
      </c>
      <c r="U6" s="95"/>
      <c r="V6" s="126">
        <f t="shared" si="0"/>
        <v>200.0009</v>
      </c>
      <c r="W6" s="455" t="s">
        <v>11662</v>
      </c>
      <c r="X6" s="5" t="s">
        <v>11656</v>
      </c>
      <c r="Y6" s="2">
        <v>35872</v>
      </c>
      <c r="Z6" s="2">
        <v>45664</v>
      </c>
      <c r="AA6" s="11" t="s">
        <v>11864</v>
      </c>
      <c r="AB6" s="64">
        <v>45723</v>
      </c>
      <c r="AC6" s="80" t="s">
        <v>1339</v>
      </c>
      <c r="AF6" t="s">
        <v>3198</v>
      </c>
      <c r="AI6" s="61" t="s">
        <v>11506</v>
      </c>
      <c r="AJ6" s="2">
        <v>45714</v>
      </c>
      <c r="AM6" s="74">
        <v>45719</v>
      </c>
      <c r="AS6" t="s">
        <v>9758</v>
      </c>
      <c r="AT6" s="1"/>
    </row>
    <row r="7" spans="1:46">
      <c r="A7" s="1">
        <v>6</v>
      </c>
      <c r="B7" t="s">
        <v>37</v>
      </c>
      <c r="C7" s="2">
        <v>45664</v>
      </c>
      <c r="D7" s="2"/>
      <c r="E7" s="1" t="s">
        <v>11568</v>
      </c>
      <c r="F7" s="61" t="s">
        <v>11507</v>
      </c>
      <c r="G7" t="s">
        <v>11508</v>
      </c>
      <c r="H7" s="6" t="s">
        <v>7966</v>
      </c>
      <c r="I7" t="s">
        <v>7965</v>
      </c>
      <c r="J7" s="8">
        <v>617671191</v>
      </c>
      <c r="K7" s="8"/>
      <c r="L7" s="1" t="s">
        <v>11568</v>
      </c>
      <c r="M7" s="2">
        <v>45688</v>
      </c>
      <c r="N7" s="1" t="s">
        <v>35</v>
      </c>
      <c r="O7" s="61" t="s">
        <v>7925</v>
      </c>
      <c r="P7" s="14" t="s">
        <v>11509</v>
      </c>
      <c r="Q7" s="92">
        <v>165.29</v>
      </c>
      <c r="R7" s="1">
        <v>1</v>
      </c>
      <c r="S7" s="128">
        <v>0.21</v>
      </c>
      <c r="T7" s="128">
        <v>0</v>
      </c>
      <c r="U7" s="363"/>
      <c r="V7" s="126">
        <f t="shared" si="0"/>
        <v>200.0009</v>
      </c>
      <c r="W7" t="s">
        <v>11568</v>
      </c>
      <c r="X7" s="5" t="s">
        <v>11569</v>
      </c>
      <c r="Y7" s="2">
        <v>31846</v>
      </c>
      <c r="Z7" s="2">
        <v>45664</v>
      </c>
      <c r="AA7" s="11" t="s">
        <v>11867</v>
      </c>
      <c r="AB7" s="64">
        <v>45723</v>
      </c>
      <c r="AC7" s="80" t="s">
        <v>1339</v>
      </c>
      <c r="AE7" s="3"/>
      <c r="AF7" t="s">
        <v>3198</v>
      </c>
      <c r="AI7" s="61" t="s">
        <v>3392</v>
      </c>
      <c r="AJ7" s="2">
        <v>45677</v>
      </c>
      <c r="AM7" s="74">
        <v>45678</v>
      </c>
      <c r="AS7" s="1" t="s">
        <v>7934</v>
      </c>
      <c r="AT7" s="1"/>
    </row>
    <row r="8" spans="1:46">
      <c r="A8" s="1">
        <v>7</v>
      </c>
      <c r="B8" t="s">
        <v>143</v>
      </c>
      <c r="C8" s="2">
        <v>45664</v>
      </c>
      <c r="D8" s="2"/>
      <c r="E8" s="1" t="s">
        <v>11570</v>
      </c>
      <c r="F8" s="61" t="s">
        <v>11510</v>
      </c>
      <c r="G8" t="s">
        <v>11511</v>
      </c>
      <c r="H8" s="6" t="s">
        <v>219</v>
      </c>
      <c r="I8" s="1" t="s">
        <v>4334</v>
      </c>
      <c r="J8" s="1"/>
      <c r="K8" s="451"/>
      <c r="L8" s="1" t="s">
        <v>11570</v>
      </c>
      <c r="M8" s="2">
        <v>45688</v>
      </c>
      <c r="N8" s="1" t="s">
        <v>35</v>
      </c>
      <c r="O8" s="61" t="s">
        <v>7925</v>
      </c>
      <c r="P8" s="14" t="s">
        <v>11512</v>
      </c>
      <c r="Q8" s="187">
        <v>165.29</v>
      </c>
      <c r="R8" s="1">
        <v>1</v>
      </c>
      <c r="S8" s="128">
        <v>0.21</v>
      </c>
      <c r="T8" s="128">
        <v>0</v>
      </c>
      <c r="U8" s="363"/>
      <c r="V8" s="126">
        <f t="shared" si="0"/>
        <v>200.0009</v>
      </c>
      <c r="W8" s="1" t="s">
        <v>11570</v>
      </c>
      <c r="X8" s="5" t="s">
        <v>11571</v>
      </c>
      <c r="Y8" s="3">
        <v>30472</v>
      </c>
      <c r="Z8" s="2">
        <v>45664</v>
      </c>
      <c r="AA8" s="11" t="s">
        <v>11867</v>
      </c>
      <c r="AB8" s="64">
        <v>45723</v>
      </c>
      <c r="AC8" s="80" t="s">
        <v>1339</v>
      </c>
      <c r="AF8" t="s">
        <v>3198</v>
      </c>
      <c r="AI8" s="61" t="s">
        <v>3392</v>
      </c>
      <c r="AJ8" s="2">
        <v>45677</v>
      </c>
      <c r="AM8" s="3">
        <v>45679</v>
      </c>
      <c r="AS8" s="1" t="s">
        <v>7935</v>
      </c>
    </row>
    <row r="9" spans="1:46">
      <c r="A9" s="1">
        <v>8</v>
      </c>
      <c r="B9" t="s">
        <v>33</v>
      </c>
      <c r="C9" s="2">
        <v>45664</v>
      </c>
      <c r="D9" s="2"/>
      <c r="E9" s="1" t="s">
        <v>2629</v>
      </c>
      <c r="F9" s="61" t="s">
        <v>2630</v>
      </c>
      <c r="G9" s="61" t="s">
        <v>9447</v>
      </c>
      <c r="H9" s="6" t="s">
        <v>219</v>
      </c>
      <c r="I9" s="1" t="s">
        <v>38</v>
      </c>
      <c r="J9" s="8"/>
      <c r="K9" s="114" t="s">
        <v>11744</v>
      </c>
      <c r="L9" s="1" t="s">
        <v>237</v>
      </c>
      <c r="M9" s="2">
        <v>45688</v>
      </c>
      <c r="N9" s="1" t="s">
        <v>35</v>
      </c>
      <c r="O9" s="375" t="s">
        <v>7934</v>
      </c>
      <c r="P9" s="14" t="s">
        <v>11513</v>
      </c>
      <c r="Q9" s="144">
        <v>69.42</v>
      </c>
      <c r="R9" s="1">
        <v>1</v>
      </c>
      <c r="S9" s="90">
        <v>0.21</v>
      </c>
      <c r="T9" s="90">
        <v>0</v>
      </c>
      <c r="U9" s="379"/>
      <c r="V9" s="95">
        <f t="shared" si="0"/>
        <v>83.998199999999997</v>
      </c>
      <c r="W9" t="s">
        <v>9493</v>
      </c>
      <c r="X9" s="5" t="s">
        <v>11514</v>
      </c>
      <c r="Y9" s="2">
        <v>34335</v>
      </c>
      <c r="Z9" s="2">
        <v>45664</v>
      </c>
      <c r="AA9" s="11" t="s">
        <v>11844</v>
      </c>
      <c r="AB9" s="2">
        <v>45735</v>
      </c>
      <c r="AC9" s="80" t="s">
        <v>1339</v>
      </c>
      <c r="AE9" s="3"/>
      <c r="AF9" t="s">
        <v>3198</v>
      </c>
      <c r="AI9" s="14"/>
      <c r="AJ9" s="2"/>
      <c r="AK9" s="1"/>
      <c r="AM9" s="74"/>
      <c r="AS9" s="1" t="s">
        <v>7930</v>
      </c>
      <c r="AT9" s="1"/>
    </row>
    <row r="10" spans="1:46">
      <c r="A10" s="1">
        <v>9</v>
      </c>
      <c r="B10" t="s">
        <v>33</v>
      </c>
      <c r="C10" s="2">
        <v>45664</v>
      </c>
      <c r="D10" s="2"/>
      <c r="E10" s="1" t="s">
        <v>9213</v>
      </c>
      <c r="F10" s="61" t="s">
        <v>9214</v>
      </c>
      <c r="G10" t="s">
        <v>11515</v>
      </c>
      <c r="H10" s="6" t="s">
        <v>219</v>
      </c>
      <c r="I10" s="1" t="s">
        <v>4334</v>
      </c>
      <c r="J10" s="1"/>
      <c r="K10" s="114" t="s">
        <v>11744</v>
      </c>
      <c r="L10" s="1" t="s">
        <v>237</v>
      </c>
      <c r="M10" s="2">
        <v>45688</v>
      </c>
      <c r="N10" s="1" t="s">
        <v>35</v>
      </c>
      <c r="O10" s="375" t="s">
        <v>7934</v>
      </c>
      <c r="P10" s="14" t="s">
        <v>11516</v>
      </c>
      <c r="Q10" s="144">
        <v>69.42</v>
      </c>
      <c r="R10" s="1">
        <v>1</v>
      </c>
      <c r="S10" s="90">
        <v>0.21</v>
      </c>
      <c r="T10" s="90">
        <v>0</v>
      </c>
      <c r="U10" s="453" t="s">
        <v>11518</v>
      </c>
      <c r="V10" s="95">
        <f t="shared" si="0"/>
        <v>83.998199999999997</v>
      </c>
      <c r="W10" s="1" t="s">
        <v>9252</v>
      </c>
      <c r="X10" s="5" t="s">
        <v>11517</v>
      </c>
      <c r="Y10" s="3">
        <v>36588</v>
      </c>
      <c r="Z10" s="2">
        <v>45664</v>
      </c>
      <c r="AA10" s="11" t="s">
        <v>11844</v>
      </c>
      <c r="AB10" s="2">
        <v>45735</v>
      </c>
      <c r="AC10" s="80" t="s">
        <v>1339</v>
      </c>
      <c r="AE10" s="3"/>
      <c r="AF10" t="s">
        <v>3198</v>
      </c>
      <c r="AJ10" s="3"/>
      <c r="AM10" s="3"/>
      <c r="AS10" s="1" t="s">
        <v>7937</v>
      </c>
    </row>
    <row r="11" spans="1:46">
      <c r="A11" s="1">
        <v>10</v>
      </c>
      <c r="B11" s="61" t="s">
        <v>33</v>
      </c>
      <c r="C11" s="2">
        <v>45665</v>
      </c>
      <c r="D11" s="2"/>
      <c r="E11" s="1" t="s">
        <v>3247</v>
      </c>
      <c r="F11" t="s">
        <v>9109</v>
      </c>
      <c r="G11" t="s">
        <v>3242</v>
      </c>
      <c r="H11" s="6" t="s">
        <v>304</v>
      </c>
      <c r="I11" t="s">
        <v>38</v>
      </c>
      <c r="J11" s="8">
        <v>646181264</v>
      </c>
      <c r="K11" s="114" t="s">
        <v>11744</v>
      </c>
      <c r="L11" s="1" t="s">
        <v>237</v>
      </c>
      <c r="M11" s="2">
        <v>45688</v>
      </c>
      <c r="N11" s="1" t="s">
        <v>35</v>
      </c>
      <c r="O11" s="14" t="s">
        <v>7934</v>
      </c>
      <c r="P11" s="14" t="s">
        <v>11519</v>
      </c>
      <c r="Q11" s="187">
        <v>69.42</v>
      </c>
      <c r="R11" s="1">
        <v>1</v>
      </c>
      <c r="S11" s="90">
        <v>0.21</v>
      </c>
      <c r="T11" s="90">
        <v>0</v>
      </c>
      <c r="V11" s="95">
        <f t="shared" si="0"/>
        <v>83.998199999999997</v>
      </c>
      <c r="W11" t="s">
        <v>9462</v>
      </c>
      <c r="X11" s="5" t="s">
        <v>11520</v>
      </c>
      <c r="Y11" s="2">
        <v>31100</v>
      </c>
      <c r="Z11" s="2">
        <v>45665</v>
      </c>
      <c r="AA11" s="11" t="s">
        <v>11922</v>
      </c>
      <c r="AB11" s="2">
        <v>45733</v>
      </c>
      <c r="AC11" s="80" t="s">
        <v>1339</v>
      </c>
      <c r="AE11" s="3"/>
      <c r="AF11" t="s">
        <v>3198</v>
      </c>
      <c r="AJ11" s="2"/>
      <c r="AM11" s="2"/>
      <c r="AS11" s="1" t="s">
        <v>7936</v>
      </c>
      <c r="AT11" s="1"/>
    </row>
    <row r="12" spans="1:46">
      <c r="A12" s="1">
        <v>11</v>
      </c>
      <c r="B12" s="61" t="s">
        <v>33</v>
      </c>
      <c r="C12" s="2">
        <v>45667</v>
      </c>
      <c r="D12" s="2"/>
      <c r="E12" s="1" t="s">
        <v>9480</v>
      </c>
      <c r="F12" t="s">
        <v>9481</v>
      </c>
      <c r="G12" s="61" t="s">
        <v>6907</v>
      </c>
      <c r="H12" s="6" t="s">
        <v>304</v>
      </c>
      <c r="I12" s="1" t="s">
        <v>3851</v>
      </c>
      <c r="J12" s="44"/>
      <c r="K12" s="114" t="s">
        <v>11744</v>
      </c>
      <c r="L12" t="s">
        <v>237</v>
      </c>
      <c r="M12" s="2">
        <v>45688</v>
      </c>
      <c r="N12" s="1" t="s">
        <v>35</v>
      </c>
      <c r="O12" s="61" t="s">
        <v>7934</v>
      </c>
      <c r="P12" s="14" t="s">
        <v>11528</v>
      </c>
      <c r="Q12" s="92">
        <v>86.78</v>
      </c>
      <c r="R12" s="1">
        <v>1</v>
      </c>
      <c r="S12" s="128">
        <v>0.21</v>
      </c>
      <c r="T12" s="128">
        <v>0</v>
      </c>
      <c r="U12" s="1"/>
      <c r="V12" s="95">
        <f t="shared" si="0"/>
        <v>105.0038</v>
      </c>
      <c r="W12" t="s">
        <v>9620</v>
      </c>
      <c r="X12" s="5" t="s">
        <v>11529</v>
      </c>
      <c r="Y12" s="2">
        <v>34101</v>
      </c>
      <c r="Z12" s="2">
        <v>45667</v>
      </c>
      <c r="AA12" s="11" t="s">
        <v>11923</v>
      </c>
      <c r="AB12" s="2">
        <v>45733</v>
      </c>
      <c r="AC12" s="80" t="s">
        <v>1339</v>
      </c>
      <c r="AF12" t="s">
        <v>3198</v>
      </c>
      <c r="AJ12" s="2"/>
      <c r="AK12" s="2"/>
      <c r="AM12" s="2"/>
      <c r="AS12" s="1" t="s">
        <v>7968</v>
      </c>
      <c r="AT12" s="1"/>
    </row>
    <row r="13" spans="1:46">
      <c r="A13" s="1">
        <v>12</v>
      </c>
      <c r="B13" t="s">
        <v>33</v>
      </c>
      <c r="C13" s="2">
        <v>45667</v>
      </c>
      <c r="D13" s="2"/>
      <c r="E13" s="1" t="s">
        <v>5021</v>
      </c>
      <c r="F13" t="s">
        <v>5014</v>
      </c>
      <c r="G13" t="s">
        <v>5020</v>
      </c>
      <c r="H13" s="6" t="s">
        <v>219</v>
      </c>
      <c r="I13" s="1" t="s">
        <v>38</v>
      </c>
      <c r="J13" s="1"/>
      <c r="K13" s="114" t="s">
        <v>11744</v>
      </c>
      <c r="L13" s="1" t="s">
        <v>237</v>
      </c>
      <c r="M13" s="2">
        <v>45688</v>
      </c>
      <c r="N13" s="1" t="s">
        <v>35</v>
      </c>
      <c r="O13" s="61" t="s">
        <v>7934</v>
      </c>
      <c r="P13" s="14" t="s">
        <v>11531</v>
      </c>
      <c r="Q13" s="92">
        <v>86.78</v>
      </c>
      <c r="R13" s="1">
        <v>1</v>
      </c>
      <c r="S13" s="128">
        <v>0.21</v>
      </c>
      <c r="T13" s="128">
        <v>0</v>
      </c>
      <c r="U13" s="363"/>
      <c r="V13" s="95">
        <f t="shared" si="0"/>
        <v>105.0038</v>
      </c>
      <c r="W13" t="s">
        <v>9563</v>
      </c>
      <c r="X13" s="5" t="s">
        <v>11532</v>
      </c>
      <c r="Y13" s="2">
        <v>31943</v>
      </c>
      <c r="Z13" s="2">
        <v>45667</v>
      </c>
      <c r="AA13" s="11" t="s">
        <v>11923</v>
      </c>
      <c r="AB13" s="2">
        <v>45733</v>
      </c>
      <c r="AC13" s="80" t="s">
        <v>1339</v>
      </c>
      <c r="AD13" s="61"/>
      <c r="AF13" t="s">
        <v>3198</v>
      </c>
      <c r="AJ13" s="2"/>
      <c r="AM13" s="74"/>
      <c r="AS13" s="1" t="s">
        <v>7977</v>
      </c>
      <c r="AT13" s="1"/>
    </row>
    <row r="14" spans="1:46">
      <c r="A14" s="1">
        <v>13</v>
      </c>
      <c r="B14" t="s">
        <v>37</v>
      </c>
      <c r="C14" s="2">
        <v>45670</v>
      </c>
      <c r="D14" s="2"/>
      <c r="E14" s="1" t="s">
        <v>9652</v>
      </c>
      <c r="F14" t="s">
        <v>9595</v>
      </c>
      <c r="G14" t="s">
        <v>9596</v>
      </c>
      <c r="H14" s="6" t="s">
        <v>7966</v>
      </c>
      <c r="I14" s="1" t="s">
        <v>7965</v>
      </c>
      <c r="J14" s="1">
        <v>632114560</v>
      </c>
      <c r="K14" s="1"/>
      <c r="L14" t="s">
        <v>9652</v>
      </c>
      <c r="M14" s="2">
        <v>45688</v>
      </c>
      <c r="N14" s="1" t="s">
        <v>35</v>
      </c>
      <c r="O14" s="61" t="s">
        <v>7934</v>
      </c>
      <c r="P14" s="14" t="s">
        <v>11537</v>
      </c>
      <c r="Q14" s="92">
        <v>69.42</v>
      </c>
      <c r="R14" s="1">
        <v>1</v>
      </c>
      <c r="S14" s="128">
        <v>0.21</v>
      </c>
      <c r="T14" s="128">
        <v>0</v>
      </c>
      <c r="U14" s="363"/>
      <c r="V14" s="95">
        <f t="shared" si="0"/>
        <v>83.998199999999997</v>
      </c>
      <c r="W14" t="s">
        <v>9652</v>
      </c>
      <c r="X14" s="5" t="s">
        <v>11535</v>
      </c>
      <c r="Y14" s="2">
        <v>33761</v>
      </c>
      <c r="Z14" s="2">
        <v>45670</v>
      </c>
      <c r="AB14" s="2"/>
      <c r="AC14" s="80"/>
      <c r="AD14" s="61"/>
      <c r="AE14" s="61"/>
      <c r="AF14" t="s">
        <v>3198</v>
      </c>
      <c r="AJ14" s="2"/>
      <c r="AM14" s="3"/>
      <c r="AS14" s="1" t="s">
        <v>8060</v>
      </c>
      <c r="AT14" s="1"/>
    </row>
    <row r="15" spans="1:46">
      <c r="A15" s="1">
        <v>14</v>
      </c>
      <c r="B15" t="s">
        <v>37</v>
      </c>
      <c r="C15" s="2">
        <v>45670</v>
      </c>
      <c r="D15" s="2"/>
      <c r="E15" s="1" t="s">
        <v>7355</v>
      </c>
      <c r="F15" t="s">
        <v>7356</v>
      </c>
      <c r="G15" t="s">
        <v>7357</v>
      </c>
      <c r="H15" s="6" t="s">
        <v>7358</v>
      </c>
      <c r="I15" s="1" t="s">
        <v>7359</v>
      </c>
      <c r="J15" s="8">
        <v>602174812</v>
      </c>
      <c r="K15" s="8"/>
      <c r="L15" t="s">
        <v>7355</v>
      </c>
      <c r="M15" s="2">
        <v>45688</v>
      </c>
      <c r="N15" s="1" t="s">
        <v>35</v>
      </c>
      <c r="O15" s="61" t="s">
        <v>7935</v>
      </c>
      <c r="P15" s="14" t="s">
        <v>11536</v>
      </c>
      <c r="Q15" s="92">
        <v>86.78</v>
      </c>
      <c r="R15" s="1">
        <v>1</v>
      </c>
      <c r="S15" s="128">
        <v>0.21</v>
      </c>
      <c r="T15" s="128">
        <v>0</v>
      </c>
      <c r="V15" s="95">
        <f t="shared" si="0"/>
        <v>105.0038</v>
      </c>
      <c r="W15" t="s">
        <v>7355</v>
      </c>
      <c r="X15" s="6" t="s">
        <v>11588</v>
      </c>
      <c r="Y15" s="2">
        <v>36918</v>
      </c>
      <c r="Z15" s="2">
        <v>45670</v>
      </c>
      <c r="AA15" s="11" t="s">
        <v>11921</v>
      </c>
      <c r="AB15" s="3">
        <v>45733</v>
      </c>
      <c r="AC15" s="80" t="s">
        <v>1339</v>
      </c>
      <c r="AE15" s="162">
        <v>45702</v>
      </c>
      <c r="AF15" t="s">
        <v>3198</v>
      </c>
      <c r="AM15" s="74"/>
      <c r="AS15" s="1" t="s">
        <v>8174</v>
      </c>
      <c r="AT15" s="1"/>
    </row>
    <row r="16" spans="1:46">
      <c r="A16" s="1">
        <v>15</v>
      </c>
      <c r="B16" t="s">
        <v>33</v>
      </c>
      <c r="C16" s="2">
        <v>45670</v>
      </c>
      <c r="D16" s="2"/>
      <c r="E16" s="1" t="s">
        <v>8931</v>
      </c>
      <c r="F16" t="s">
        <v>8932</v>
      </c>
      <c r="G16" t="s">
        <v>8933</v>
      </c>
      <c r="H16" s="6" t="s">
        <v>219</v>
      </c>
      <c r="I16" s="1" t="s">
        <v>38</v>
      </c>
      <c r="J16" s="295">
        <v>631835353</v>
      </c>
      <c r="K16" s="114" t="s">
        <v>11744</v>
      </c>
      <c r="L16" t="s">
        <v>237</v>
      </c>
      <c r="M16" s="2">
        <v>45688</v>
      </c>
      <c r="N16" s="1" t="s">
        <v>35</v>
      </c>
      <c r="O16" s="61" t="s">
        <v>7934</v>
      </c>
      <c r="P16" s="14" t="s">
        <v>11538</v>
      </c>
      <c r="Q16" s="187">
        <v>69.42</v>
      </c>
      <c r="R16" s="1">
        <v>1</v>
      </c>
      <c r="S16" s="128">
        <v>0.21</v>
      </c>
      <c r="T16" s="128">
        <v>0</v>
      </c>
      <c r="U16" s="363"/>
      <c r="V16" s="95">
        <f t="shared" si="0"/>
        <v>83.998199999999997</v>
      </c>
      <c r="W16" s="1" t="s">
        <v>8999</v>
      </c>
      <c r="X16" s="5" t="s">
        <v>11539</v>
      </c>
      <c r="Y16" s="2">
        <v>36918</v>
      </c>
      <c r="Z16" s="2">
        <v>45670</v>
      </c>
      <c r="AA16" s="11" t="s">
        <v>11789</v>
      </c>
      <c r="AB16" s="2">
        <v>45714</v>
      </c>
      <c r="AC16" s="80" t="s">
        <v>1339</v>
      </c>
      <c r="AF16" t="s">
        <v>3198</v>
      </c>
      <c r="AJ16" s="2"/>
      <c r="AM16" s="74"/>
      <c r="AS16" s="1" t="s">
        <v>9218</v>
      </c>
      <c r="AT16" s="1"/>
    </row>
    <row r="17" spans="1:139">
      <c r="A17" s="1">
        <v>16</v>
      </c>
      <c r="B17" t="s">
        <v>1414</v>
      </c>
      <c r="C17" s="2">
        <v>45670</v>
      </c>
      <c r="D17" s="2"/>
      <c r="E17" s="1" t="s">
        <v>8548</v>
      </c>
      <c r="F17" t="s">
        <v>8549</v>
      </c>
      <c r="G17" t="s">
        <v>2115</v>
      </c>
      <c r="H17" s="6" t="s">
        <v>230</v>
      </c>
      <c r="I17" s="1" t="s">
        <v>8550</v>
      </c>
      <c r="J17" s="8"/>
      <c r="K17" s="396" t="s">
        <v>8355</v>
      </c>
      <c r="L17" s="1" t="s">
        <v>8548</v>
      </c>
      <c r="M17" s="2">
        <v>45688</v>
      </c>
      <c r="N17" s="1" t="s">
        <v>35</v>
      </c>
      <c r="O17" s="14" t="s">
        <v>9758</v>
      </c>
      <c r="P17" s="14" t="s">
        <v>11576</v>
      </c>
      <c r="Q17" s="187">
        <v>115.7</v>
      </c>
      <c r="R17" s="1">
        <v>1</v>
      </c>
      <c r="S17" s="128">
        <v>0.21</v>
      </c>
      <c r="T17" s="128">
        <v>0</v>
      </c>
      <c r="V17" s="95">
        <f t="shared" si="0"/>
        <v>139.99700000000001</v>
      </c>
      <c r="W17" t="s">
        <v>9317</v>
      </c>
      <c r="X17" s="5" t="s">
        <v>11732</v>
      </c>
      <c r="Y17" s="2">
        <v>33587</v>
      </c>
      <c r="Z17" s="2">
        <v>45670</v>
      </c>
      <c r="AA17" s="11" t="s">
        <v>11864</v>
      </c>
      <c r="AB17" s="2">
        <v>45729</v>
      </c>
      <c r="AC17" s="80" t="s">
        <v>1339</v>
      </c>
      <c r="AE17" s="3"/>
      <c r="AF17" t="s">
        <v>3198</v>
      </c>
      <c r="AI17" t="s">
        <v>3470</v>
      </c>
      <c r="AJ17" s="2">
        <v>45677</v>
      </c>
      <c r="AM17" s="74">
        <v>45684</v>
      </c>
      <c r="AS17" t="s">
        <v>9511</v>
      </c>
      <c r="AT17" s="1"/>
    </row>
    <row r="18" spans="1:139" s="96" customFormat="1">
      <c r="A18" s="1">
        <v>17</v>
      </c>
      <c r="B18" t="s">
        <v>11547</v>
      </c>
      <c r="C18" s="2">
        <v>45672</v>
      </c>
      <c r="D18" s="2"/>
      <c r="E18" s="1" t="s">
        <v>11548</v>
      </c>
      <c r="F18" s="61" t="s">
        <v>11549</v>
      </c>
      <c r="G18" t="s">
        <v>11550</v>
      </c>
      <c r="H18" s="6" t="s">
        <v>239</v>
      </c>
      <c r="I18" s="1" t="s">
        <v>86</v>
      </c>
      <c r="J18" s="31"/>
      <c r="K18"/>
      <c r="L18" s="1" t="s">
        <v>11548</v>
      </c>
      <c r="M18" s="2">
        <v>45688</v>
      </c>
      <c r="N18" s="1" t="s">
        <v>35</v>
      </c>
      <c r="O18" s="14" t="s">
        <v>9758</v>
      </c>
      <c r="P18" s="14" t="s">
        <v>11551</v>
      </c>
      <c r="Q18" s="187">
        <v>115.7</v>
      </c>
      <c r="R18" s="1">
        <v>1</v>
      </c>
      <c r="S18" s="128">
        <v>0.21</v>
      </c>
      <c r="T18" s="128">
        <v>0</v>
      </c>
      <c r="U18"/>
      <c r="V18" s="95">
        <f t="shared" si="0"/>
        <v>139.99700000000001</v>
      </c>
      <c r="W18" t="s">
        <v>11578</v>
      </c>
      <c r="X18" s="5" t="s">
        <v>11579</v>
      </c>
      <c r="Y18" s="3">
        <v>36680</v>
      </c>
      <c r="Z18" s="2">
        <v>45672</v>
      </c>
      <c r="AA18" s="11" t="s">
        <v>12181</v>
      </c>
      <c r="AB18" s="2">
        <v>45792</v>
      </c>
      <c r="AC18" s="80" t="s">
        <v>1339</v>
      </c>
      <c r="AD18" s="61"/>
      <c r="AE18" s="405">
        <v>45758</v>
      </c>
      <c r="AF18" t="s">
        <v>3198</v>
      </c>
      <c r="AG18"/>
      <c r="AH18"/>
      <c r="AI18" t="s">
        <v>3470</v>
      </c>
      <c r="AJ18" s="2">
        <v>45677</v>
      </c>
      <c r="AK18"/>
      <c r="AL18"/>
      <c r="AM18" s="2">
        <v>45686</v>
      </c>
      <c r="AN18"/>
      <c r="AO18"/>
      <c r="AP18"/>
      <c r="AS18" t="s">
        <v>7931</v>
      </c>
      <c r="AT18" s="99"/>
    </row>
    <row r="19" spans="1:139" s="96" customFormat="1">
      <c r="A19" s="1">
        <v>18</v>
      </c>
      <c r="B19" t="s">
        <v>37</v>
      </c>
      <c r="C19" s="2">
        <v>45673</v>
      </c>
      <c r="D19" s="2"/>
      <c r="E19" s="1" t="s">
        <v>11552</v>
      </c>
      <c r="F19" s="61" t="s">
        <v>11553</v>
      </c>
      <c r="G19" t="s">
        <v>11554</v>
      </c>
      <c r="H19" s="6" t="s">
        <v>304</v>
      </c>
      <c r="I19" s="1" t="s">
        <v>68</v>
      </c>
      <c r="J19" s="31" t="s">
        <v>11555</v>
      </c>
      <c r="K19"/>
      <c r="L19" s="1" t="s">
        <v>11552</v>
      </c>
      <c r="M19" s="2">
        <v>45688</v>
      </c>
      <c r="N19" s="1" t="s">
        <v>35</v>
      </c>
      <c r="O19" s="14" t="s">
        <v>10536</v>
      </c>
      <c r="P19" t="s">
        <v>11556</v>
      </c>
      <c r="Q19" s="92">
        <v>100</v>
      </c>
      <c r="R19" s="1">
        <v>1</v>
      </c>
      <c r="S19" s="128">
        <v>0.21</v>
      </c>
      <c r="T19" s="128">
        <v>0</v>
      </c>
      <c r="U19" s="95"/>
      <c r="V19" s="126">
        <f t="shared" si="0"/>
        <v>121</v>
      </c>
      <c r="W19"/>
      <c r="X19" s="6"/>
      <c r="Y19" s="3"/>
      <c r="Z19" s="2"/>
      <c r="AA19" s="11"/>
      <c r="AB19" s="2"/>
      <c r="AC19" s="133"/>
      <c r="AD19" s="61"/>
      <c r="AE19" s="61"/>
      <c r="AF19"/>
      <c r="AG19"/>
      <c r="AH19"/>
      <c r="AI19" s="61"/>
      <c r="AJ19" s="2"/>
      <c r="AK19"/>
      <c r="AL19"/>
      <c r="AM19" s="2"/>
      <c r="AN19"/>
      <c r="AO19"/>
      <c r="AP19"/>
      <c r="AS19" t="s">
        <v>10536</v>
      </c>
      <c r="AT19" s="99"/>
    </row>
    <row r="20" spans="1:139">
      <c r="A20" s="1">
        <v>19</v>
      </c>
      <c r="B20" s="61" t="s">
        <v>4321</v>
      </c>
      <c r="C20" s="2">
        <v>45673</v>
      </c>
      <c r="D20" s="2"/>
      <c r="E20" s="1" t="s">
        <v>5988</v>
      </c>
      <c r="F20" t="s">
        <v>5989</v>
      </c>
      <c r="G20" s="61" t="s">
        <v>5990</v>
      </c>
      <c r="H20" s="6" t="s">
        <v>242</v>
      </c>
      <c r="I20" s="1" t="s">
        <v>5083</v>
      </c>
      <c r="J20" s="8"/>
      <c r="K20" s="8" t="s">
        <v>5991</v>
      </c>
      <c r="L20" t="s">
        <v>5988</v>
      </c>
      <c r="M20" s="2"/>
      <c r="N20" s="1" t="s">
        <v>35</v>
      </c>
      <c r="O20" s="61" t="s">
        <v>7926</v>
      </c>
      <c r="P20" s="14" t="s">
        <v>10621</v>
      </c>
      <c r="Q20" s="187">
        <v>0</v>
      </c>
      <c r="R20" s="1">
        <v>1</v>
      </c>
      <c r="S20" s="90">
        <v>0.21</v>
      </c>
      <c r="T20" s="90">
        <v>0</v>
      </c>
      <c r="V20" s="95">
        <f t="shared" si="0"/>
        <v>0</v>
      </c>
      <c r="W20" t="s">
        <v>10660</v>
      </c>
      <c r="X20" s="5" t="s">
        <v>11580</v>
      </c>
      <c r="Y20" s="2">
        <v>32509</v>
      </c>
      <c r="Z20" s="2">
        <v>45673</v>
      </c>
      <c r="AA20" s="11" t="s">
        <v>11921</v>
      </c>
      <c r="AB20" s="2">
        <v>45733</v>
      </c>
      <c r="AC20" s="80" t="s">
        <v>1339</v>
      </c>
      <c r="AF20" t="s">
        <v>3198</v>
      </c>
      <c r="AI20" t="s">
        <v>3470</v>
      </c>
      <c r="AJ20" s="3">
        <v>45677</v>
      </c>
      <c r="AK20" s="61"/>
      <c r="AL20" s="3"/>
      <c r="AM20" s="74">
        <v>45686</v>
      </c>
      <c r="AS20" t="s">
        <v>7933</v>
      </c>
      <c r="AT20" s="1"/>
    </row>
    <row r="21" spans="1:139">
      <c r="A21" s="1">
        <v>20</v>
      </c>
      <c r="B21" s="61" t="s">
        <v>4321</v>
      </c>
      <c r="C21" s="2">
        <v>45673</v>
      </c>
      <c r="D21" s="2"/>
      <c r="E21" s="1" t="s">
        <v>5988</v>
      </c>
      <c r="F21" t="s">
        <v>5989</v>
      </c>
      <c r="G21" s="61" t="s">
        <v>5990</v>
      </c>
      <c r="H21" s="6" t="s">
        <v>242</v>
      </c>
      <c r="I21" s="1" t="s">
        <v>5083</v>
      </c>
      <c r="J21" s="8"/>
      <c r="K21" s="8" t="s">
        <v>5991</v>
      </c>
      <c r="L21" t="s">
        <v>5988</v>
      </c>
      <c r="M21" s="2"/>
      <c r="N21" s="1" t="s">
        <v>35</v>
      </c>
      <c r="O21" s="61" t="s">
        <v>7926</v>
      </c>
      <c r="P21" s="14" t="s">
        <v>10656</v>
      </c>
      <c r="Q21" s="187">
        <v>0</v>
      </c>
      <c r="R21" s="1">
        <v>1</v>
      </c>
      <c r="S21" s="90">
        <v>0.21</v>
      </c>
      <c r="T21" s="90">
        <v>0</v>
      </c>
      <c r="V21" s="95">
        <f t="shared" si="0"/>
        <v>0</v>
      </c>
      <c r="W21" t="s">
        <v>10657</v>
      </c>
      <c r="X21" s="5" t="s">
        <v>11581</v>
      </c>
      <c r="Y21" s="2">
        <v>35067</v>
      </c>
      <c r="Z21" s="2">
        <v>45673</v>
      </c>
      <c r="AA21" s="11" t="s">
        <v>11921</v>
      </c>
      <c r="AB21" s="2">
        <v>45733</v>
      </c>
      <c r="AC21" s="80" t="s">
        <v>1339</v>
      </c>
      <c r="AF21" t="s">
        <v>3198</v>
      </c>
      <c r="AI21" t="s">
        <v>3470</v>
      </c>
      <c r="AJ21" s="2">
        <v>45677</v>
      </c>
      <c r="AK21" s="61"/>
      <c r="AL21" s="3"/>
      <c r="AM21" s="74">
        <v>45686</v>
      </c>
      <c r="AS21" t="s">
        <v>11188</v>
      </c>
      <c r="AT21" s="1"/>
    </row>
    <row r="22" spans="1:139">
      <c r="A22" s="1">
        <v>21</v>
      </c>
      <c r="B22" t="s">
        <v>40</v>
      </c>
      <c r="C22" s="2">
        <v>45673</v>
      </c>
      <c r="D22" s="2"/>
      <c r="E22" s="1" t="s">
        <v>11557</v>
      </c>
      <c r="F22" s="61" t="s">
        <v>11558</v>
      </c>
      <c r="G22" t="s">
        <v>11559</v>
      </c>
      <c r="H22" s="6" t="s">
        <v>250</v>
      </c>
      <c r="I22" t="s">
        <v>2585</v>
      </c>
      <c r="J22" s="8"/>
      <c r="K22" s="396" t="s">
        <v>8357</v>
      </c>
      <c r="L22" s="1" t="s">
        <v>11557</v>
      </c>
      <c r="M22" s="2">
        <v>45688</v>
      </c>
      <c r="N22" s="1" t="s">
        <v>35</v>
      </c>
      <c r="O22" s="61" t="s">
        <v>7925</v>
      </c>
      <c r="P22" s="14" t="s">
        <v>11560</v>
      </c>
      <c r="Q22" s="187">
        <v>115.7</v>
      </c>
      <c r="R22" s="1">
        <v>1</v>
      </c>
      <c r="S22" s="90">
        <v>0.21</v>
      </c>
      <c r="T22" s="90">
        <v>0</v>
      </c>
      <c r="V22" s="95">
        <f t="shared" si="0"/>
        <v>139.99700000000001</v>
      </c>
      <c r="W22" t="s">
        <v>11625</v>
      </c>
      <c r="X22" s="5" t="s">
        <v>11626</v>
      </c>
      <c r="Y22" s="2">
        <v>28775</v>
      </c>
      <c r="Z22" s="2">
        <v>45673</v>
      </c>
      <c r="AA22" s="76" t="s">
        <v>11946</v>
      </c>
      <c r="AB22" s="2">
        <v>45737</v>
      </c>
      <c r="AC22" s="80" t="s">
        <v>1339</v>
      </c>
      <c r="AE22" s="3"/>
      <c r="AF22" t="s">
        <v>3198</v>
      </c>
      <c r="AI22" s="287" t="s">
        <v>11561</v>
      </c>
      <c r="AJ22" s="2">
        <v>45685</v>
      </c>
      <c r="AM22" s="74"/>
      <c r="AS22" t="s">
        <v>12354</v>
      </c>
      <c r="AT22" s="1"/>
    </row>
    <row r="23" spans="1:139">
      <c r="A23" s="1">
        <v>22</v>
      </c>
      <c r="B23" t="s">
        <v>33</v>
      </c>
      <c r="C23" s="2">
        <v>45673</v>
      </c>
      <c r="D23" s="2"/>
      <c r="E23" s="1" t="s">
        <v>2417</v>
      </c>
      <c r="F23" s="61" t="s">
        <v>9867</v>
      </c>
      <c r="G23" s="61" t="s">
        <v>7706</v>
      </c>
      <c r="H23" s="6" t="s">
        <v>219</v>
      </c>
      <c r="I23" s="1" t="s">
        <v>38</v>
      </c>
      <c r="J23" s="1"/>
      <c r="K23" s="114" t="s">
        <v>11744</v>
      </c>
      <c r="L23" s="30" t="s">
        <v>237</v>
      </c>
      <c r="M23" s="2">
        <v>45688</v>
      </c>
      <c r="N23" s="1" t="s">
        <v>35</v>
      </c>
      <c r="O23" s="61" t="s">
        <v>7925</v>
      </c>
      <c r="P23" s="14" t="s">
        <v>11562</v>
      </c>
      <c r="Q23" s="187">
        <v>115.7</v>
      </c>
      <c r="R23" s="1">
        <v>1</v>
      </c>
      <c r="S23" s="90">
        <v>0.21</v>
      </c>
      <c r="T23" s="90">
        <v>0</v>
      </c>
      <c r="U23" s="363"/>
      <c r="V23" s="126">
        <f t="shared" si="0"/>
        <v>139.99700000000001</v>
      </c>
      <c r="W23" t="s">
        <v>11627</v>
      </c>
      <c r="X23" s="5" t="s">
        <v>11628</v>
      </c>
      <c r="Y23" s="2">
        <v>32742</v>
      </c>
      <c r="Z23" s="2">
        <v>45673</v>
      </c>
      <c r="AA23" s="11" t="s">
        <v>11923</v>
      </c>
      <c r="AB23" s="2">
        <v>45733</v>
      </c>
      <c r="AC23" s="80" t="s">
        <v>1339</v>
      </c>
      <c r="AF23" t="s">
        <v>3198</v>
      </c>
      <c r="AI23" s="61" t="s">
        <v>3392</v>
      </c>
      <c r="AJ23" s="2">
        <v>45685</v>
      </c>
      <c r="AM23" s="3">
        <v>45687</v>
      </c>
      <c r="AT23" s="1"/>
    </row>
    <row r="24" spans="1:139">
      <c r="A24" s="1">
        <v>23</v>
      </c>
      <c r="B24" t="s">
        <v>33</v>
      </c>
      <c r="C24" s="2">
        <v>45677</v>
      </c>
      <c r="D24" s="2"/>
      <c r="E24" s="1" t="s">
        <v>9105</v>
      </c>
      <c r="F24" t="s">
        <v>9106</v>
      </c>
      <c r="G24" t="s">
        <v>9111</v>
      </c>
      <c r="H24" s="6" t="s">
        <v>219</v>
      </c>
      <c r="I24" s="1" t="s">
        <v>38</v>
      </c>
      <c r="J24" s="30"/>
      <c r="K24" s="114" t="s">
        <v>11744</v>
      </c>
      <c r="L24" s="1" t="s">
        <v>237</v>
      </c>
      <c r="M24" s="2">
        <v>45688</v>
      </c>
      <c r="N24" s="1" t="s">
        <v>35</v>
      </c>
      <c r="O24" s="61" t="s">
        <v>7934</v>
      </c>
      <c r="P24" s="14" t="s">
        <v>11563</v>
      </c>
      <c r="Q24" s="187">
        <v>115.7</v>
      </c>
      <c r="R24" s="1">
        <v>1</v>
      </c>
      <c r="S24" s="90">
        <v>0.21</v>
      </c>
      <c r="T24" s="90">
        <v>0</v>
      </c>
      <c r="U24" s="363"/>
      <c r="V24" s="95">
        <f t="shared" si="0"/>
        <v>139.99700000000001</v>
      </c>
      <c r="W24" t="s">
        <v>9113</v>
      </c>
      <c r="X24" s="5" t="s">
        <v>11564</v>
      </c>
      <c r="Y24" s="2">
        <v>29905</v>
      </c>
      <c r="Z24" s="2">
        <v>45674</v>
      </c>
      <c r="AA24" s="11" t="s">
        <v>11844</v>
      </c>
      <c r="AB24" s="3">
        <v>45720</v>
      </c>
      <c r="AC24" s="80" t="s">
        <v>1339</v>
      </c>
      <c r="AF24" t="s">
        <v>3198</v>
      </c>
      <c r="AJ24" s="2"/>
      <c r="AM24" s="3"/>
    </row>
    <row r="25" spans="1:139" s="196" customFormat="1">
      <c r="A25" s="1">
        <v>24</v>
      </c>
      <c r="B25" t="s">
        <v>1414</v>
      </c>
      <c r="C25" s="2">
        <v>45300</v>
      </c>
      <c r="D25" s="2"/>
      <c r="E25" s="1" t="s">
        <v>1407</v>
      </c>
      <c r="F25" t="s">
        <v>1408</v>
      </c>
      <c r="G25" s="61" t="s">
        <v>1409</v>
      </c>
      <c r="H25" s="6" t="s">
        <v>227</v>
      </c>
      <c r="I25" s="1" t="s">
        <v>203</v>
      </c>
      <c r="J25" s="8"/>
      <c r="K25" s="301" t="s">
        <v>8355</v>
      </c>
      <c r="L25" t="s">
        <v>1407</v>
      </c>
      <c r="M25" s="2">
        <v>45688</v>
      </c>
      <c r="N25" s="1" t="s">
        <v>35</v>
      </c>
      <c r="O25" s="61" t="s">
        <v>7925</v>
      </c>
      <c r="P25" s="14" t="s">
        <v>11572</v>
      </c>
      <c r="Q25" s="187">
        <v>115.7</v>
      </c>
      <c r="R25" s="1">
        <v>1</v>
      </c>
      <c r="S25" s="128">
        <v>0.21</v>
      </c>
      <c r="T25" s="128">
        <v>0</v>
      </c>
      <c r="U25"/>
      <c r="V25" s="95">
        <f>SUM(Q25-(Q25*T25))*S25+(Q25-(Q25*T25))</f>
        <v>139.99700000000001</v>
      </c>
      <c r="W25" t="s">
        <v>11573</v>
      </c>
      <c r="X25" s="6" t="s">
        <v>11574</v>
      </c>
      <c r="Y25" s="2">
        <v>33188</v>
      </c>
      <c r="Z25" s="2">
        <v>45666</v>
      </c>
      <c r="AA25" s="11" t="s">
        <v>11945</v>
      </c>
      <c r="AB25" s="2">
        <v>45737</v>
      </c>
      <c r="AC25" s="80" t="s">
        <v>1339</v>
      </c>
      <c r="AD25"/>
      <c r="AE25"/>
      <c r="AF25" t="s">
        <v>3198</v>
      </c>
      <c r="AG25"/>
      <c r="AH25"/>
      <c r="AI25" s="61" t="s">
        <v>3392</v>
      </c>
      <c r="AJ25" s="2">
        <v>45677</v>
      </c>
      <c r="AK25"/>
      <c r="AL25"/>
      <c r="AM25" s="74">
        <v>45678</v>
      </c>
      <c r="AN25"/>
      <c r="AO25"/>
      <c r="AP25"/>
      <c r="AQ25"/>
      <c r="AR25"/>
      <c r="AS25"/>
      <c r="AT25" s="1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</row>
    <row r="26" spans="1:139">
      <c r="A26" s="1">
        <v>25</v>
      </c>
      <c r="B26" t="s">
        <v>4321</v>
      </c>
      <c r="C26" s="2">
        <v>45677</v>
      </c>
      <c r="D26" s="2"/>
      <c r="E26" s="1" t="s">
        <v>11582</v>
      </c>
      <c r="F26" t="s">
        <v>11583</v>
      </c>
      <c r="G26" t="s">
        <v>11584</v>
      </c>
      <c r="H26" s="6" t="s">
        <v>242</v>
      </c>
      <c r="I26" s="1" t="s">
        <v>86</v>
      </c>
      <c r="J26" s="30"/>
      <c r="K26" s="8" t="s">
        <v>5991</v>
      </c>
      <c r="L26" s="1" t="s">
        <v>11582</v>
      </c>
      <c r="M26" s="2">
        <v>45688</v>
      </c>
      <c r="N26" s="1" t="s">
        <v>35</v>
      </c>
      <c r="O26" s="61" t="s">
        <v>7934</v>
      </c>
      <c r="P26" s="14" t="s">
        <v>11585</v>
      </c>
      <c r="Q26" s="187">
        <v>69.42</v>
      </c>
      <c r="R26" s="1">
        <v>1</v>
      </c>
      <c r="S26" s="90">
        <v>0.21</v>
      </c>
      <c r="T26" s="90">
        <v>0</v>
      </c>
      <c r="U26" s="363"/>
      <c r="V26" s="95">
        <f t="shared" ref="V26" si="1">SUM(Q26-(Q26*T26))*S26+(Q26-(Q26*T26))</f>
        <v>83.998199999999997</v>
      </c>
      <c r="W26" s="1" t="s">
        <v>11586</v>
      </c>
      <c r="X26" s="5" t="s">
        <v>11587</v>
      </c>
      <c r="Y26" s="2">
        <v>35319</v>
      </c>
      <c r="Z26" s="2">
        <v>45677</v>
      </c>
      <c r="AA26" s="11" t="s">
        <v>11944</v>
      </c>
      <c r="AB26" s="2">
        <v>45735</v>
      </c>
      <c r="AC26" s="80" t="s">
        <v>1339</v>
      </c>
      <c r="AF26" t="s">
        <v>3198</v>
      </c>
      <c r="AI26" s="61"/>
      <c r="AJ26" s="2"/>
      <c r="AM26" s="3"/>
    </row>
    <row r="27" spans="1:139">
      <c r="A27" s="1">
        <v>26</v>
      </c>
      <c r="B27" t="s">
        <v>1242</v>
      </c>
      <c r="C27" s="2">
        <v>45678</v>
      </c>
      <c r="D27" s="2"/>
      <c r="E27" s="1" t="s">
        <v>8115</v>
      </c>
      <c r="F27" t="s">
        <v>8116</v>
      </c>
      <c r="G27" t="s">
        <v>8117</v>
      </c>
      <c r="H27" s="6" t="s">
        <v>221</v>
      </c>
      <c r="I27" s="1" t="s">
        <v>34</v>
      </c>
      <c r="J27" s="1"/>
      <c r="K27" s="8" t="s">
        <v>5905</v>
      </c>
      <c r="L27" s="31" t="s">
        <v>1250</v>
      </c>
      <c r="M27" s="2">
        <v>45688</v>
      </c>
      <c r="N27" s="1" t="s">
        <v>35</v>
      </c>
      <c r="O27" s="61" t="s">
        <v>7926</v>
      </c>
      <c r="P27" s="14" t="s">
        <v>11589</v>
      </c>
      <c r="Q27" s="92">
        <v>115.7</v>
      </c>
      <c r="R27" s="1">
        <v>1</v>
      </c>
      <c r="S27" s="128">
        <v>0.21</v>
      </c>
      <c r="T27" s="128">
        <v>0</v>
      </c>
      <c r="U27" s="363"/>
      <c r="V27" s="95">
        <f t="shared" ref="V27" si="2">SUM(Q27-(Q27*T27))*S27+(Q27-(Q27*T27))</f>
        <v>139.99700000000001</v>
      </c>
      <c r="W27" t="s">
        <v>11629</v>
      </c>
      <c r="X27" s="5" t="s">
        <v>11630</v>
      </c>
      <c r="Y27" s="3">
        <v>38126</v>
      </c>
      <c r="Z27" s="2">
        <v>45678</v>
      </c>
      <c r="AA27" s="76" t="s">
        <v>11300</v>
      </c>
      <c r="AB27" s="2"/>
      <c r="AC27" s="133"/>
      <c r="AF27" t="s">
        <v>3198</v>
      </c>
      <c r="AI27" t="s">
        <v>3470</v>
      </c>
      <c r="AJ27" s="3">
        <v>45685</v>
      </c>
      <c r="AM27" s="74">
        <v>45687</v>
      </c>
    </row>
    <row r="28" spans="1:139">
      <c r="A28" s="1">
        <v>27</v>
      </c>
      <c r="B28" t="s">
        <v>33</v>
      </c>
      <c r="C28" s="2">
        <v>45678</v>
      </c>
      <c r="D28" s="2"/>
      <c r="E28" s="1" t="s">
        <v>5560</v>
      </c>
      <c r="F28" t="s">
        <v>5561</v>
      </c>
      <c r="G28" t="s">
        <v>5562</v>
      </c>
      <c r="H28" s="6" t="s">
        <v>236</v>
      </c>
      <c r="I28" s="1" t="s">
        <v>34</v>
      </c>
      <c r="J28" s="8"/>
      <c r="K28" s="114" t="s">
        <v>11744</v>
      </c>
      <c r="L28" t="s">
        <v>237</v>
      </c>
      <c r="M28" s="2">
        <v>45688</v>
      </c>
      <c r="N28" s="1" t="s">
        <v>35</v>
      </c>
      <c r="O28" s="61" t="s">
        <v>7926</v>
      </c>
      <c r="P28" s="14" t="s">
        <v>11590</v>
      </c>
      <c r="Q28" s="92">
        <v>115.7</v>
      </c>
      <c r="R28" s="1">
        <v>0</v>
      </c>
      <c r="S28" s="128">
        <v>0.21</v>
      </c>
      <c r="T28" s="128">
        <v>0</v>
      </c>
      <c r="V28" s="95">
        <f t="shared" ref="V28:V31" si="3">SUM(Q28-(Q28*T28))*S28+(Q28-(Q28*T28))</f>
        <v>139.99700000000001</v>
      </c>
      <c r="W28" t="s">
        <v>11631</v>
      </c>
      <c r="X28" s="5" t="s">
        <v>11632</v>
      </c>
      <c r="Y28" s="2">
        <v>34335</v>
      </c>
      <c r="Z28" s="2">
        <v>45678</v>
      </c>
      <c r="AA28" s="11" t="s">
        <v>11922</v>
      </c>
      <c r="AB28" s="2">
        <v>45733</v>
      </c>
      <c r="AC28" s="80" t="s">
        <v>1339</v>
      </c>
      <c r="AF28" t="s">
        <v>3198</v>
      </c>
      <c r="AI28" t="s">
        <v>3470</v>
      </c>
      <c r="AJ28" s="3">
        <v>45685</v>
      </c>
      <c r="AM28" s="74">
        <v>45687</v>
      </c>
      <c r="AT28" s="1"/>
    </row>
    <row r="29" spans="1:139">
      <c r="A29" s="1">
        <v>28</v>
      </c>
      <c r="B29" t="s">
        <v>33</v>
      </c>
      <c r="C29" s="2">
        <v>45678</v>
      </c>
      <c r="D29" s="2"/>
      <c r="E29" s="1" t="s">
        <v>2669</v>
      </c>
      <c r="F29" s="61" t="s">
        <v>10755</v>
      </c>
      <c r="G29" s="61" t="s">
        <v>3850</v>
      </c>
      <c r="H29" s="6" t="s">
        <v>304</v>
      </c>
      <c r="I29" s="1" t="s">
        <v>3851</v>
      </c>
      <c r="J29" s="8" t="s">
        <v>5048</v>
      </c>
      <c r="K29" s="114" t="s">
        <v>11744</v>
      </c>
      <c r="L29" s="31" t="s">
        <v>237</v>
      </c>
      <c r="M29" s="2">
        <v>45688</v>
      </c>
      <c r="N29" s="1" t="s">
        <v>35</v>
      </c>
      <c r="O29" s="61" t="s">
        <v>7925</v>
      </c>
      <c r="P29" s="14" t="s">
        <v>11591</v>
      </c>
      <c r="Q29" s="92">
        <v>115.7</v>
      </c>
      <c r="R29" s="1">
        <v>1</v>
      </c>
      <c r="S29" s="128">
        <v>0.21</v>
      </c>
      <c r="T29" s="128">
        <v>0</v>
      </c>
      <c r="V29" s="95">
        <f t="shared" si="3"/>
        <v>139.99700000000001</v>
      </c>
      <c r="W29" t="s">
        <v>11634</v>
      </c>
      <c r="X29" s="5" t="s">
        <v>11635</v>
      </c>
      <c r="Y29" s="2">
        <v>35827</v>
      </c>
      <c r="Z29" s="2">
        <v>45678</v>
      </c>
      <c r="AA29" s="11" t="s">
        <v>11926</v>
      </c>
      <c r="AB29" s="2">
        <v>45733</v>
      </c>
      <c r="AC29" s="80" t="s">
        <v>1339</v>
      </c>
      <c r="AF29" t="s">
        <v>3198</v>
      </c>
      <c r="AI29" s="61" t="s">
        <v>3392</v>
      </c>
      <c r="AJ29" s="3">
        <v>45685</v>
      </c>
      <c r="AM29" s="74">
        <v>45687</v>
      </c>
      <c r="AT29" s="1"/>
    </row>
    <row r="30" spans="1:139">
      <c r="A30" s="1">
        <v>29</v>
      </c>
      <c r="B30" s="61" t="s">
        <v>52</v>
      </c>
      <c r="C30" s="2">
        <v>45678</v>
      </c>
      <c r="D30" s="2"/>
      <c r="E30" s="1" t="s">
        <v>11592</v>
      </c>
      <c r="F30" s="61" t="s">
        <v>11593</v>
      </c>
      <c r="G30" s="61" t="s">
        <v>11594</v>
      </c>
      <c r="H30" s="6" t="s">
        <v>219</v>
      </c>
      <c r="I30" s="1" t="s">
        <v>38</v>
      </c>
      <c r="J30" s="8" t="s">
        <v>11595</v>
      </c>
      <c r="K30" s="8"/>
      <c r="L30" s="1" t="s">
        <v>11592</v>
      </c>
      <c r="M30" s="2">
        <v>45688</v>
      </c>
      <c r="N30" s="1" t="s">
        <v>35</v>
      </c>
      <c r="O30" s="61" t="s">
        <v>7977</v>
      </c>
      <c r="P30" s="14" t="s">
        <v>7978</v>
      </c>
      <c r="Q30" s="92">
        <v>86.78</v>
      </c>
      <c r="R30" s="1">
        <v>1</v>
      </c>
      <c r="S30" s="90">
        <v>0.21</v>
      </c>
      <c r="T30" s="90">
        <v>0</v>
      </c>
      <c r="V30" s="95">
        <f t="shared" si="3"/>
        <v>105.0038</v>
      </c>
      <c r="X30" s="161"/>
      <c r="Y30" s="2"/>
      <c r="Z30" s="2"/>
      <c r="AA30" s="284"/>
      <c r="AB30" s="3"/>
      <c r="AC30" s="80"/>
      <c r="AI30" s="1"/>
      <c r="AJ30" s="2"/>
      <c r="AK30" s="1"/>
      <c r="AM30" s="74"/>
      <c r="AT30" s="1"/>
    </row>
    <row r="31" spans="1:139">
      <c r="A31" s="1">
        <v>30</v>
      </c>
      <c r="B31" t="s">
        <v>33</v>
      </c>
      <c r="C31" s="2">
        <v>45678</v>
      </c>
      <c r="D31" s="2"/>
      <c r="E31" s="1" t="s">
        <v>8801</v>
      </c>
      <c r="F31" t="s">
        <v>8802</v>
      </c>
      <c r="G31" t="s">
        <v>8803</v>
      </c>
      <c r="H31" s="6" t="s">
        <v>219</v>
      </c>
      <c r="I31" s="1" t="s">
        <v>4334</v>
      </c>
      <c r="J31" s="295"/>
      <c r="K31" s="114" t="s">
        <v>11744</v>
      </c>
      <c r="L31" t="s">
        <v>237</v>
      </c>
      <c r="M31" s="2">
        <v>45688</v>
      </c>
      <c r="N31" s="1" t="s">
        <v>35</v>
      </c>
      <c r="O31" s="61" t="s">
        <v>7934</v>
      </c>
      <c r="P31" s="14" t="s">
        <v>11596</v>
      </c>
      <c r="Q31" s="92">
        <v>115.7</v>
      </c>
      <c r="R31" s="1">
        <v>1</v>
      </c>
      <c r="S31" s="90">
        <v>0.21</v>
      </c>
      <c r="T31" s="90">
        <v>0</v>
      </c>
      <c r="U31" s="363"/>
      <c r="V31" s="95">
        <f t="shared" si="3"/>
        <v>139.99700000000001</v>
      </c>
      <c r="W31" t="s">
        <v>8879</v>
      </c>
      <c r="X31" s="5" t="s">
        <v>11597</v>
      </c>
      <c r="Y31" s="2">
        <v>35917</v>
      </c>
      <c r="Z31" s="2">
        <v>45678</v>
      </c>
      <c r="AA31" s="11" t="s">
        <v>11676</v>
      </c>
      <c r="AB31" s="2">
        <v>45694</v>
      </c>
      <c r="AC31" s="80" t="s">
        <v>1339</v>
      </c>
      <c r="AF31" t="s">
        <v>3198</v>
      </c>
      <c r="AJ31" s="2"/>
      <c r="AK31" s="74"/>
      <c r="AL31" s="74"/>
      <c r="AM31" s="74"/>
      <c r="AT31" s="1"/>
    </row>
    <row r="32" spans="1:139">
      <c r="A32" s="1">
        <v>31</v>
      </c>
      <c r="B32" t="s">
        <v>3526</v>
      </c>
      <c r="C32" s="2">
        <v>45678</v>
      </c>
      <c r="D32" s="2"/>
      <c r="E32" s="1" t="s">
        <v>169</v>
      </c>
      <c r="F32" t="s">
        <v>9068</v>
      </c>
      <c r="G32" t="s">
        <v>9069</v>
      </c>
      <c r="H32" s="6" t="s">
        <v>259</v>
      </c>
      <c r="I32" s="1" t="s">
        <v>1959</v>
      </c>
      <c r="J32" s="1"/>
      <c r="K32" s="1" t="s">
        <v>7759</v>
      </c>
      <c r="L32" s="1" t="s">
        <v>169</v>
      </c>
      <c r="M32" s="2">
        <v>45688</v>
      </c>
      <c r="N32" s="1" t="s">
        <v>35</v>
      </c>
      <c r="O32" s="61" t="s">
        <v>7934</v>
      </c>
      <c r="P32" s="14" t="s">
        <v>11598</v>
      </c>
      <c r="Q32" s="92">
        <v>115.7</v>
      </c>
      <c r="R32" s="1">
        <v>1</v>
      </c>
      <c r="S32" s="128">
        <v>0.21</v>
      </c>
      <c r="T32" s="90">
        <v>0</v>
      </c>
      <c r="U32" s="363"/>
      <c r="V32" s="95">
        <f t="shared" ref="V32" si="4">SUM(Q32-(Q32*T32))*S32+(Q32-(Q32*T32))</f>
        <v>139.99700000000001</v>
      </c>
      <c r="W32" t="s">
        <v>9122</v>
      </c>
      <c r="X32" s="5" t="s">
        <v>11599</v>
      </c>
      <c r="Y32" s="2">
        <v>32223</v>
      </c>
      <c r="Z32" s="2">
        <v>45678</v>
      </c>
      <c r="AA32" s="11" t="s">
        <v>11945</v>
      </c>
      <c r="AB32" s="2">
        <v>45735</v>
      </c>
      <c r="AC32" s="80" t="s">
        <v>1339</v>
      </c>
      <c r="AD32" s="61"/>
      <c r="AF32" t="s">
        <v>3198</v>
      </c>
      <c r="AJ32" s="2"/>
      <c r="AM32" s="3"/>
      <c r="AT32" s="1"/>
    </row>
    <row r="33" spans="1:46">
      <c r="A33" s="1">
        <v>32</v>
      </c>
      <c r="B33" t="s">
        <v>143</v>
      </c>
      <c r="C33" s="2">
        <v>45679</v>
      </c>
      <c r="D33" s="2"/>
      <c r="E33" s="1" t="s">
        <v>9739</v>
      </c>
      <c r="F33" s="61" t="s">
        <v>9853</v>
      </c>
      <c r="G33" t="s">
        <v>9740</v>
      </c>
      <c r="H33" s="6" t="s">
        <v>219</v>
      </c>
      <c r="I33" s="1" t="s">
        <v>4334</v>
      </c>
      <c r="J33" s="1"/>
      <c r="K33" s="1"/>
      <c r="L33" s="1" t="s">
        <v>9739</v>
      </c>
      <c r="M33" s="2">
        <v>45688</v>
      </c>
      <c r="N33" s="1" t="s">
        <v>35</v>
      </c>
      <c r="O33" s="61" t="s">
        <v>7934</v>
      </c>
      <c r="P33" s="14" t="s">
        <v>11600</v>
      </c>
      <c r="Q33" s="187">
        <v>86.78</v>
      </c>
      <c r="R33" s="1">
        <v>1</v>
      </c>
      <c r="S33" s="128">
        <v>0.21</v>
      </c>
      <c r="T33" s="128">
        <v>0</v>
      </c>
      <c r="U33" s="363"/>
      <c r="V33" s="126">
        <f t="shared" ref="V33" si="5">SUM(Q33-(Q33*T33))*S33+(Q33-(Q33*T33))</f>
        <v>105.0038</v>
      </c>
      <c r="W33" s="1" t="s">
        <v>9739</v>
      </c>
      <c r="X33" s="5" t="s">
        <v>11601</v>
      </c>
      <c r="Y33" s="3">
        <v>32822</v>
      </c>
      <c r="Z33" s="2">
        <v>45679</v>
      </c>
      <c r="AA33" s="11" t="s">
        <v>11944</v>
      </c>
      <c r="AB33" s="2">
        <v>45735</v>
      </c>
      <c r="AC33" s="80" t="s">
        <v>1339</v>
      </c>
      <c r="AE33" s="3"/>
      <c r="AF33" t="s">
        <v>3198</v>
      </c>
      <c r="AJ33" s="3"/>
      <c r="AM33" s="3"/>
      <c r="AS33" s="1" t="s">
        <v>7937</v>
      </c>
    </row>
    <row r="34" spans="1:46">
      <c r="A34" s="1">
        <v>33</v>
      </c>
      <c r="B34" t="s">
        <v>143</v>
      </c>
      <c r="C34" s="2">
        <v>45679</v>
      </c>
      <c r="D34" s="2"/>
      <c r="E34" s="1" t="s">
        <v>9743</v>
      </c>
      <c r="F34" t="s">
        <v>9670</v>
      </c>
      <c r="G34" s="61" t="s">
        <v>9645</v>
      </c>
      <c r="H34" s="6" t="s">
        <v>219</v>
      </c>
      <c r="I34" s="1" t="s">
        <v>38</v>
      </c>
      <c r="J34" s="1">
        <v>632610848</v>
      </c>
      <c r="K34" s="1"/>
      <c r="L34" t="s">
        <v>9743</v>
      </c>
      <c r="M34" s="2">
        <v>45688</v>
      </c>
      <c r="N34" s="1" t="s">
        <v>35</v>
      </c>
      <c r="O34" s="61" t="s">
        <v>7934</v>
      </c>
      <c r="P34" s="14" t="s">
        <v>11602</v>
      </c>
      <c r="Q34" s="187">
        <v>86.78</v>
      </c>
      <c r="R34" s="1">
        <v>1</v>
      </c>
      <c r="S34" s="90">
        <v>0.21</v>
      </c>
      <c r="T34" s="90">
        <v>0</v>
      </c>
      <c r="U34" s="363"/>
      <c r="V34" s="95">
        <f t="shared" ref="V34" si="6">SUM(Q34-(Q34*T34))*S34+(Q34-(Q34*T34))</f>
        <v>105.0038</v>
      </c>
      <c r="W34" t="s">
        <v>9743</v>
      </c>
      <c r="X34" s="5" t="s">
        <v>11603</v>
      </c>
      <c r="Y34" s="2">
        <v>31422</v>
      </c>
      <c r="Z34" s="2">
        <v>45679</v>
      </c>
      <c r="AA34" s="11" t="s">
        <v>11944</v>
      </c>
      <c r="AB34" s="2">
        <v>45735</v>
      </c>
      <c r="AC34" s="80" t="s">
        <v>1339</v>
      </c>
      <c r="AD34" s="61"/>
      <c r="AF34" t="s">
        <v>3198</v>
      </c>
      <c r="AJ34" s="2"/>
      <c r="AM34" s="3"/>
      <c r="AT34" s="1"/>
    </row>
    <row r="35" spans="1:46">
      <c r="A35" s="1">
        <v>34</v>
      </c>
      <c r="B35" t="s">
        <v>37</v>
      </c>
      <c r="C35" s="2">
        <v>45679</v>
      </c>
      <c r="D35" s="2"/>
      <c r="E35" s="1" t="s">
        <v>7980</v>
      </c>
      <c r="F35" t="s">
        <v>5796</v>
      </c>
      <c r="G35" s="61" t="s">
        <v>7979</v>
      </c>
      <c r="H35" s="6" t="s">
        <v>1402</v>
      </c>
      <c r="I35" s="1" t="s">
        <v>3681</v>
      </c>
      <c r="J35">
        <v>643587766</v>
      </c>
      <c r="K35" s="1"/>
      <c r="L35" t="s">
        <v>7980</v>
      </c>
      <c r="M35" s="2">
        <v>45688</v>
      </c>
      <c r="N35" s="1" t="s">
        <v>35</v>
      </c>
      <c r="O35" s="61" t="s">
        <v>7934</v>
      </c>
      <c r="P35" s="187" t="s">
        <v>7981</v>
      </c>
      <c r="Q35" s="187">
        <v>86.78</v>
      </c>
      <c r="R35" s="1">
        <v>1</v>
      </c>
      <c r="S35" s="90">
        <v>0.21</v>
      </c>
      <c r="T35" s="128">
        <v>0</v>
      </c>
      <c r="U35" s="95"/>
      <c r="V35" s="186">
        <f t="shared" ref="V35" si="7">SUM(Q35-(Q35*T35))*S35+(Q35-(Q35*T35))</f>
        <v>105.0038</v>
      </c>
      <c r="W35" t="s">
        <v>7980</v>
      </c>
      <c r="X35" s="5" t="s">
        <v>11604</v>
      </c>
      <c r="Y35" s="2">
        <v>35292</v>
      </c>
      <c r="Z35" s="2">
        <v>45679</v>
      </c>
      <c r="AA35" s="11" t="s">
        <v>11922</v>
      </c>
      <c r="AB35" s="2">
        <v>45733</v>
      </c>
      <c r="AC35" s="80" t="s">
        <v>1339</v>
      </c>
      <c r="AF35" t="s">
        <v>3198</v>
      </c>
      <c r="AI35" s="2"/>
      <c r="AL35" s="3"/>
    </row>
    <row r="36" spans="1:46">
      <c r="A36" s="1">
        <v>35</v>
      </c>
      <c r="B36" s="61" t="s">
        <v>33</v>
      </c>
      <c r="C36" s="2">
        <v>45680</v>
      </c>
      <c r="D36" s="2"/>
      <c r="E36" s="1" t="s">
        <v>4477</v>
      </c>
      <c r="F36" s="61" t="s">
        <v>4478</v>
      </c>
      <c r="G36" s="61" t="s">
        <v>4479</v>
      </c>
      <c r="H36" s="6" t="s">
        <v>304</v>
      </c>
      <c r="I36" t="s">
        <v>4480</v>
      </c>
      <c r="J36" s="8"/>
      <c r="K36" s="114" t="s">
        <v>11744</v>
      </c>
      <c r="L36" t="s">
        <v>237</v>
      </c>
      <c r="M36" s="2">
        <v>45688</v>
      </c>
      <c r="N36" s="1" t="s">
        <v>35</v>
      </c>
      <c r="O36" s="61" t="s">
        <v>7934</v>
      </c>
      <c r="P36" s="14" t="s">
        <v>11605</v>
      </c>
      <c r="Q36" s="163">
        <v>69.42</v>
      </c>
      <c r="R36" s="1">
        <v>1</v>
      </c>
      <c r="S36" s="90">
        <v>0.21</v>
      </c>
      <c r="T36" s="90">
        <v>0</v>
      </c>
      <c r="V36" s="95">
        <f t="shared" ref="V36:V38" si="8">SUM(Q36-(Q36*T36))*S36+(Q36-(Q36*T36))</f>
        <v>83.998199999999997</v>
      </c>
      <c r="W36" t="s">
        <v>9764</v>
      </c>
      <c r="X36" s="5" t="s">
        <v>11606</v>
      </c>
      <c r="Y36" s="2" t="s">
        <v>9651</v>
      </c>
      <c r="Z36" s="2">
        <v>45680</v>
      </c>
      <c r="AA36" s="11" t="s">
        <v>11989</v>
      </c>
      <c r="AB36" s="3">
        <v>45747</v>
      </c>
      <c r="AC36" s="80" t="s">
        <v>1339</v>
      </c>
      <c r="AF36" t="s">
        <v>3198</v>
      </c>
      <c r="AJ36" s="2"/>
      <c r="AK36" s="1"/>
      <c r="AM36" s="74"/>
      <c r="AT36" s="1"/>
    </row>
    <row r="37" spans="1:46" ht="15.75" customHeight="1">
      <c r="A37" s="1">
        <v>36</v>
      </c>
      <c r="B37" s="61" t="s">
        <v>11607</v>
      </c>
      <c r="C37" s="2">
        <v>45683</v>
      </c>
      <c r="D37" s="2"/>
      <c r="E37" s="30" t="s">
        <v>458</v>
      </c>
      <c r="F37" t="s">
        <v>84</v>
      </c>
      <c r="G37" s="103" t="s">
        <v>138</v>
      </c>
      <c r="H37" s="30" t="s">
        <v>227</v>
      </c>
      <c r="I37" s="31" t="s">
        <v>203</v>
      </c>
      <c r="J37" s="44"/>
      <c r="K37" s="396" t="s">
        <v>12858</v>
      </c>
      <c r="L37" t="s">
        <v>4432</v>
      </c>
      <c r="M37" s="2">
        <v>45688</v>
      </c>
      <c r="N37" s="1" t="s">
        <v>35</v>
      </c>
      <c r="O37" s="61" t="s">
        <v>7934</v>
      </c>
      <c r="P37" s="14" t="s">
        <v>11608</v>
      </c>
      <c r="Q37" s="187">
        <v>69.42</v>
      </c>
      <c r="R37" s="1">
        <v>1</v>
      </c>
      <c r="S37" s="90">
        <v>0.21</v>
      </c>
      <c r="T37" s="90">
        <v>0</v>
      </c>
      <c r="V37" s="95">
        <f t="shared" si="8"/>
        <v>83.998199999999997</v>
      </c>
      <c r="W37" t="s">
        <v>8881</v>
      </c>
      <c r="X37" s="5" t="s">
        <v>11609</v>
      </c>
      <c r="Y37" s="2">
        <v>31020</v>
      </c>
      <c r="Z37" s="2">
        <v>45683</v>
      </c>
      <c r="AA37" s="11" t="s">
        <v>11927</v>
      </c>
      <c r="AB37" s="2">
        <v>45735</v>
      </c>
      <c r="AC37" s="80" t="s">
        <v>1339</v>
      </c>
      <c r="AD37" s="61"/>
      <c r="AF37" t="s">
        <v>3198</v>
      </c>
      <c r="AJ37" s="2"/>
      <c r="AM37" s="74"/>
      <c r="AT37" s="1"/>
    </row>
    <row r="38" spans="1:46">
      <c r="A38" s="1">
        <v>37</v>
      </c>
      <c r="B38" s="61" t="s">
        <v>6684</v>
      </c>
      <c r="C38" s="2">
        <v>45683</v>
      </c>
      <c r="D38" s="2"/>
      <c r="E38" s="1" t="s">
        <v>6685</v>
      </c>
      <c r="F38" t="s">
        <v>6686</v>
      </c>
      <c r="G38" t="s">
        <v>6687</v>
      </c>
      <c r="H38" s="6" t="s">
        <v>2579</v>
      </c>
      <c r="I38" t="s">
        <v>2580</v>
      </c>
      <c r="J38" s="8"/>
      <c r="K38" s="1" t="s">
        <v>7339</v>
      </c>
      <c r="L38" t="s">
        <v>6685</v>
      </c>
      <c r="M38" s="2">
        <v>45688</v>
      </c>
      <c r="N38" s="1" t="s">
        <v>35</v>
      </c>
      <c r="O38" s="61" t="s">
        <v>7934</v>
      </c>
      <c r="P38" s="14" t="s">
        <v>11611</v>
      </c>
      <c r="Q38" s="187">
        <v>69.42</v>
      </c>
      <c r="R38" s="1">
        <v>1</v>
      </c>
      <c r="S38" s="90">
        <v>0.21</v>
      </c>
      <c r="T38" s="90">
        <v>0</v>
      </c>
      <c r="V38" s="95">
        <f t="shared" si="8"/>
        <v>83.998199999999997</v>
      </c>
      <c r="W38" t="s">
        <v>8708</v>
      </c>
      <c r="X38" s="5" t="s">
        <v>11610</v>
      </c>
      <c r="Y38" s="2">
        <v>35065</v>
      </c>
      <c r="Z38" s="2">
        <v>45683</v>
      </c>
      <c r="AA38" s="11" t="s">
        <v>11927</v>
      </c>
      <c r="AB38" s="2">
        <v>45735</v>
      </c>
      <c r="AC38" s="80" t="s">
        <v>1339</v>
      </c>
      <c r="AF38" t="s">
        <v>3198</v>
      </c>
      <c r="AJ38" s="2"/>
      <c r="AM38" s="3"/>
      <c r="AT38" s="1"/>
    </row>
    <row r="39" spans="1:46">
      <c r="A39" s="1">
        <v>38</v>
      </c>
      <c r="B39" t="s">
        <v>6684</v>
      </c>
      <c r="C39" s="2">
        <v>45683</v>
      </c>
      <c r="D39" s="2"/>
      <c r="E39" s="1" t="s">
        <v>6685</v>
      </c>
      <c r="F39" t="s">
        <v>6686</v>
      </c>
      <c r="G39" t="s">
        <v>6687</v>
      </c>
      <c r="H39" s="6" t="s">
        <v>2579</v>
      </c>
      <c r="I39" t="s">
        <v>2580</v>
      </c>
      <c r="J39" s="8"/>
      <c r="K39" s="1" t="s">
        <v>7339</v>
      </c>
      <c r="L39" t="s">
        <v>6685</v>
      </c>
      <c r="M39" s="2">
        <v>45688</v>
      </c>
      <c r="N39" s="1" t="s">
        <v>35</v>
      </c>
      <c r="O39" s="61" t="s">
        <v>7934</v>
      </c>
      <c r="P39" s="14" t="s">
        <v>11612</v>
      </c>
      <c r="Q39" s="187">
        <v>69.42</v>
      </c>
      <c r="R39" s="1">
        <v>1</v>
      </c>
      <c r="S39" s="128">
        <v>0.21</v>
      </c>
      <c r="T39" s="128">
        <v>0</v>
      </c>
      <c r="V39" s="95">
        <f t="shared" ref="V39" si="9">SUM(Q39-(Q39*T39))*S39+(Q39-(Q39*T39))</f>
        <v>83.998199999999997</v>
      </c>
      <c r="W39" t="s">
        <v>8907</v>
      </c>
      <c r="X39" s="5" t="s">
        <v>11613</v>
      </c>
      <c r="Y39" s="3">
        <v>33238</v>
      </c>
      <c r="Z39" s="2">
        <v>45683</v>
      </c>
      <c r="AA39" s="11" t="s">
        <v>11927</v>
      </c>
      <c r="AB39" s="2">
        <v>45735</v>
      </c>
      <c r="AC39" s="80" t="s">
        <v>1339</v>
      </c>
      <c r="AF39" t="s">
        <v>3198</v>
      </c>
      <c r="AJ39" s="3"/>
      <c r="AM39" s="3"/>
      <c r="AS39" t="s">
        <v>7968</v>
      </c>
    </row>
    <row r="40" spans="1:46">
      <c r="A40" s="1">
        <v>39</v>
      </c>
      <c r="B40" t="s">
        <v>1511</v>
      </c>
      <c r="C40" s="2">
        <v>45683</v>
      </c>
      <c r="D40" s="2" t="s">
        <v>9900</v>
      </c>
      <c r="E40" s="1" t="s">
        <v>11664</v>
      </c>
      <c r="F40" s="61" t="s">
        <v>11614</v>
      </c>
      <c r="G40" t="s">
        <v>11615</v>
      </c>
      <c r="H40" s="6" t="s">
        <v>219</v>
      </c>
      <c r="I40" s="1" t="s">
        <v>4334</v>
      </c>
      <c r="J40" s="8">
        <v>632006964</v>
      </c>
      <c r="K40" s="8"/>
      <c r="L40" t="s">
        <v>11664</v>
      </c>
      <c r="M40" s="2">
        <v>45688</v>
      </c>
      <c r="N40" s="1" t="s">
        <v>35</v>
      </c>
      <c r="O40" s="61" t="s">
        <v>7925</v>
      </c>
      <c r="P40" s="14" t="s">
        <v>10150</v>
      </c>
      <c r="Q40" s="187">
        <v>115.7</v>
      </c>
      <c r="R40" s="1">
        <v>1</v>
      </c>
      <c r="S40" s="128">
        <v>0.21</v>
      </c>
      <c r="T40" s="128">
        <v>0</v>
      </c>
      <c r="U40" s="363"/>
      <c r="V40" s="126">
        <f t="shared" si="0"/>
        <v>139.99700000000001</v>
      </c>
      <c r="W40" t="s">
        <v>11664</v>
      </c>
      <c r="X40" s="5" t="s">
        <v>11665</v>
      </c>
      <c r="Y40" s="2" t="s">
        <v>11616</v>
      </c>
      <c r="Z40" s="2">
        <v>45683</v>
      </c>
      <c r="AA40" s="11" t="s">
        <v>11989</v>
      </c>
      <c r="AB40" s="3">
        <v>45747</v>
      </c>
      <c r="AC40" s="80" t="s">
        <v>1339</v>
      </c>
      <c r="AE40" s="3"/>
      <c r="AF40" t="s">
        <v>3198</v>
      </c>
      <c r="AI40" s="61" t="s">
        <v>3392</v>
      </c>
      <c r="AJ40" s="2">
        <v>45691</v>
      </c>
      <c r="AM40" s="74">
        <v>45693</v>
      </c>
      <c r="AT40" s="1"/>
    </row>
    <row r="41" spans="1:46">
      <c r="A41" s="1">
        <v>40</v>
      </c>
      <c r="B41" t="s">
        <v>33</v>
      </c>
      <c r="C41" s="2">
        <v>45684</v>
      </c>
      <c r="D41" s="2"/>
      <c r="E41" s="1" t="s">
        <v>8131</v>
      </c>
      <c r="F41" t="s">
        <v>8132</v>
      </c>
      <c r="G41" t="s">
        <v>8133</v>
      </c>
      <c r="H41" s="6" t="s">
        <v>219</v>
      </c>
      <c r="I41" s="1" t="s">
        <v>4334</v>
      </c>
      <c r="J41" s="1"/>
      <c r="K41" s="114" t="s">
        <v>11744</v>
      </c>
      <c r="L41" s="1" t="s">
        <v>237</v>
      </c>
      <c r="M41" s="2">
        <v>45688</v>
      </c>
      <c r="N41" s="1" t="s">
        <v>35</v>
      </c>
      <c r="O41" s="61" t="s">
        <v>7934</v>
      </c>
      <c r="P41" s="14" t="s">
        <v>11617</v>
      </c>
      <c r="Q41" s="92">
        <v>69.42</v>
      </c>
      <c r="R41" s="1">
        <v>1</v>
      </c>
      <c r="S41" s="128">
        <v>0.21</v>
      </c>
      <c r="T41" s="128">
        <v>0</v>
      </c>
      <c r="U41" s="1"/>
      <c r="V41" s="95">
        <f t="shared" ref="V41:V45" si="10">SUM(Q41-(Q41*T41))*S41+(Q41-(Q41*T41))</f>
        <v>83.998199999999997</v>
      </c>
      <c r="W41" t="s">
        <v>8834</v>
      </c>
      <c r="X41" s="5" t="s">
        <v>11618</v>
      </c>
      <c r="Y41" s="3">
        <v>36806</v>
      </c>
      <c r="Z41" s="2">
        <v>45684</v>
      </c>
      <c r="AA41" s="11" t="s">
        <v>11864</v>
      </c>
      <c r="AB41" s="64">
        <v>45723</v>
      </c>
      <c r="AC41" s="80" t="s">
        <v>1339</v>
      </c>
      <c r="AF41" t="s">
        <v>3198</v>
      </c>
      <c r="AJ41" s="3"/>
      <c r="AM41" s="3"/>
    </row>
    <row r="42" spans="1:46">
      <c r="A42" s="1">
        <v>41</v>
      </c>
      <c r="B42" t="s">
        <v>3526</v>
      </c>
      <c r="C42" s="2">
        <v>45684</v>
      </c>
      <c r="D42" s="2"/>
      <c r="E42" s="1" t="s">
        <v>9412</v>
      </c>
      <c r="F42" s="61" t="s">
        <v>9413</v>
      </c>
      <c r="G42" s="61" t="s">
        <v>9414</v>
      </c>
      <c r="H42" s="6" t="s">
        <v>2654</v>
      </c>
      <c r="I42" s="1" t="s">
        <v>2359</v>
      </c>
      <c r="J42" s="8">
        <v>640910020</v>
      </c>
      <c r="K42" t="s">
        <v>10336</v>
      </c>
      <c r="L42" s="1" t="s">
        <v>9412</v>
      </c>
      <c r="M42" s="2">
        <v>45688</v>
      </c>
      <c r="N42" s="1" t="s">
        <v>35</v>
      </c>
      <c r="O42" s="14" t="s">
        <v>7925</v>
      </c>
      <c r="P42" s="14" t="s">
        <v>11619</v>
      </c>
      <c r="Q42" s="163">
        <v>115.7</v>
      </c>
      <c r="R42" s="1">
        <v>1</v>
      </c>
      <c r="S42" s="90">
        <v>0.21</v>
      </c>
      <c r="T42" s="90">
        <v>0</v>
      </c>
      <c r="U42" s="379"/>
      <c r="V42" s="95">
        <f t="shared" si="10"/>
        <v>139.99700000000001</v>
      </c>
      <c r="W42" t="s">
        <v>11620</v>
      </c>
      <c r="X42" s="5" t="s">
        <v>11668</v>
      </c>
      <c r="Y42" s="2">
        <v>35065</v>
      </c>
      <c r="Z42" s="2">
        <v>45684</v>
      </c>
      <c r="AA42" s="11"/>
      <c r="AB42" s="2"/>
      <c r="AC42" s="80"/>
      <c r="AE42" s="3"/>
      <c r="AF42" t="s">
        <v>3198</v>
      </c>
      <c r="AI42" s="287" t="s">
        <v>11621</v>
      </c>
      <c r="AJ42" s="2">
        <v>45691</v>
      </c>
      <c r="AK42" s="1"/>
      <c r="AM42" s="74"/>
      <c r="AT42" s="1"/>
    </row>
    <row r="43" spans="1:46">
      <c r="A43" s="1">
        <v>42</v>
      </c>
      <c r="B43" t="s">
        <v>9170</v>
      </c>
      <c r="C43" s="2">
        <v>45684</v>
      </c>
      <c r="D43" s="2"/>
      <c r="E43" s="1" t="s">
        <v>256</v>
      </c>
      <c r="F43" s="31" t="s">
        <v>155</v>
      </c>
      <c r="G43" s="31" t="s">
        <v>138</v>
      </c>
      <c r="H43" s="33" t="s">
        <v>227</v>
      </c>
      <c r="I43" s="30" t="s">
        <v>203</v>
      </c>
      <c r="J43" s="30">
        <v>631130911</v>
      </c>
      <c r="K43" s="44" t="s">
        <v>5906</v>
      </c>
      <c r="L43" s="1" t="s">
        <v>4432</v>
      </c>
      <c r="M43" s="2">
        <v>45688</v>
      </c>
      <c r="N43" s="1" t="s">
        <v>35</v>
      </c>
      <c r="O43" s="61" t="s">
        <v>9758</v>
      </c>
      <c r="P43" s="14" t="s">
        <v>11623</v>
      </c>
      <c r="Q43" s="163">
        <v>115.7</v>
      </c>
      <c r="R43" s="1">
        <v>1</v>
      </c>
      <c r="S43" s="90">
        <v>0.21</v>
      </c>
      <c r="T43" s="90">
        <v>0</v>
      </c>
      <c r="U43" s="95"/>
      <c r="V43" s="95">
        <f t="shared" si="10"/>
        <v>139.99700000000001</v>
      </c>
      <c r="W43" t="s">
        <v>11666</v>
      </c>
      <c r="X43" s="5" t="s">
        <v>11667</v>
      </c>
      <c r="Y43" s="2">
        <v>39036</v>
      </c>
      <c r="Z43" s="2">
        <v>45684</v>
      </c>
      <c r="AA43" s="11" t="s">
        <v>11926</v>
      </c>
      <c r="AB43" s="2">
        <v>45737</v>
      </c>
      <c r="AC43" s="80" t="s">
        <v>1339</v>
      </c>
      <c r="AE43" s="3"/>
      <c r="AF43" t="s">
        <v>3198</v>
      </c>
      <c r="AI43" t="s">
        <v>11624</v>
      </c>
      <c r="AJ43" s="2">
        <v>45691</v>
      </c>
      <c r="AM43" s="3">
        <v>45701</v>
      </c>
      <c r="AS43" t="s">
        <v>7968</v>
      </c>
    </row>
    <row r="44" spans="1:46">
      <c r="A44" s="1">
        <v>43</v>
      </c>
      <c r="B44" s="61" t="s">
        <v>119</v>
      </c>
      <c r="C44" s="2">
        <v>45686</v>
      </c>
      <c r="D44" s="2"/>
      <c r="E44" s="1" t="s">
        <v>10429</v>
      </c>
      <c r="F44" s="61" t="s">
        <v>10430</v>
      </c>
      <c r="G44" s="61" t="s">
        <v>10431</v>
      </c>
      <c r="H44" s="6" t="s">
        <v>239</v>
      </c>
      <c r="I44" s="1" t="s">
        <v>2585</v>
      </c>
      <c r="J44" s="1"/>
      <c r="K44" s="451" t="s">
        <v>10432</v>
      </c>
      <c r="L44" s="1" t="s">
        <v>10429</v>
      </c>
      <c r="M44" s="2">
        <v>45688</v>
      </c>
      <c r="N44" s="1" t="s">
        <v>35</v>
      </c>
      <c r="O44" s="61" t="s">
        <v>7934</v>
      </c>
      <c r="P44" s="14" t="s">
        <v>11641</v>
      </c>
      <c r="Q44" s="163">
        <v>115.7</v>
      </c>
      <c r="R44" s="1">
        <v>1</v>
      </c>
      <c r="S44" s="128">
        <v>0.21</v>
      </c>
      <c r="T44" s="128">
        <v>0</v>
      </c>
      <c r="U44" s="363"/>
      <c r="V44" s="126">
        <f t="shared" si="10"/>
        <v>139.99700000000001</v>
      </c>
      <c r="W44" t="s">
        <v>11642</v>
      </c>
      <c r="X44" s="5" t="s">
        <v>11990</v>
      </c>
      <c r="Y44" s="2">
        <v>37409</v>
      </c>
      <c r="Z44" s="2">
        <v>45686</v>
      </c>
      <c r="AA44" s="11" t="s">
        <v>11991</v>
      </c>
      <c r="AB44" s="2">
        <v>45747</v>
      </c>
      <c r="AC44" s="80" t="s">
        <v>1339</v>
      </c>
      <c r="AF44" t="s">
        <v>3198</v>
      </c>
      <c r="AJ44" s="2"/>
      <c r="AM44" s="74"/>
      <c r="AT44" s="1"/>
    </row>
    <row r="45" spans="1:46">
      <c r="A45" s="1">
        <v>44</v>
      </c>
      <c r="B45" s="61" t="s">
        <v>33</v>
      </c>
      <c r="C45" s="2">
        <v>45688</v>
      </c>
      <c r="D45" s="2"/>
      <c r="E45" s="1" t="s">
        <v>4330</v>
      </c>
      <c r="F45" s="61" t="s">
        <v>4331</v>
      </c>
      <c r="G45" s="61" t="s">
        <v>4333</v>
      </c>
      <c r="H45" s="6" t="s">
        <v>219</v>
      </c>
      <c r="I45" s="1" t="s">
        <v>4334</v>
      </c>
      <c r="J45" s="1"/>
      <c r="K45" s="114" t="s">
        <v>11744</v>
      </c>
      <c r="L45" s="1" t="s">
        <v>237</v>
      </c>
      <c r="M45" s="2">
        <v>45688</v>
      </c>
      <c r="N45" s="1" t="s">
        <v>35</v>
      </c>
      <c r="O45" s="61" t="s">
        <v>7934</v>
      </c>
      <c r="P45" s="14" t="s">
        <v>11643</v>
      </c>
      <c r="Q45" s="187">
        <v>69.42</v>
      </c>
      <c r="R45" s="1">
        <v>1</v>
      </c>
      <c r="S45" s="128">
        <v>0.21</v>
      </c>
      <c r="T45" s="128">
        <v>0</v>
      </c>
      <c r="U45" s="363"/>
      <c r="V45" s="95">
        <f t="shared" si="10"/>
        <v>83.998199999999997</v>
      </c>
      <c r="W45" t="s">
        <v>9772</v>
      </c>
      <c r="X45" s="5" t="s">
        <v>11644</v>
      </c>
      <c r="Y45" s="2">
        <v>32161</v>
      </c>
      <c r="Z45" s="2">
        <v>45688</v>
      </c>
      <c r="AA45" s="11" t="s">
        <v>11991</v>
      </c>
      <c r="AB45" s="2">
        <v>45747</v>
      </c>
      <c r="AC45" s="80" t="s">
        <v>1339</v>
      </c>
      <c r="AD45" s="61"/>
      <c r="AF45" t="s">
        <v>3198</v>
      </c>
      <c r="AJ45" s="2"/>
      <c r="AM45" s="3"/>
    </row>
    <row r="46" spans="1:46">
      <c r="A46" s="1">
        <v>45</v>
      </c>
      <c r="B46" t="s">
        <v>37</v>
      </c>
      <c r="C46" s="2">
        <v>45688</v>
      </c>
      <c r="D46" s="2"/>
      <c r="E46" s="1" t="s">
        <v>5724</v>
      </c>
      <c r="F46" t="s">
        <v>5579</v>
      </c>
      <c r="G46" s="61" t="s">
        <v>5580</v>
      </c>
      <c r="H46" s="6" t="s">
        <v>245</v>
      </c>
      <c r="I46" s="1" t="s">
        <v>54</v>
      </c>
      <c r="J46" s="1">
        <v>642059736</v>
      </c>
      <c r="K46" s="1"/>
      <c r="L46" s="1" t="s">
        <v>5724</v>
      </c>
      <c r="M46" s="2">
        <v>45688</v>
      </c>
      <c r="N46" t="s">
        <v>35</v>
      </c>
      <c r="O46" s="61" t="s">
        <v>7934</v>
      </c>
      <c r="P46" s="14" t="s">
        <v>7922</v>
      </c>
      <c r="Q46" s="187">
        <v>69.42</v>
      </c>
      <c r="R46" s="1">
        <v>1</v>
      </c>
      <c r="S46" s="90">
        <v>0.21</v>
      </c>
      <c r="T46" s="90">
        <v>0</v>
      </c>
      <c r="U46" s="363"/>
      <c r="V46" s="95">
        <f t="shared" ref="V46" si="11">SUM(Q46-(Q46*T46))*S46+(Q46-(Q46*T46))</f>
        <v>83.998199999999997</v>
      </c>
      <c r="W46" t="s">
        <v>5724</v>
      </c>
      <c r="X46" s="5" t="s">
        <v>11645</v>
      </c>
      <c r="Y46" s="2">
        <v>31777</v>
      </c>
      <c r="Z46" s="2">
        <v>45688</v>
      </c>
      <c r="AA46" s="2"/>
      <c r="AB46" s="2"/>
      <c r="AC46" s="345"/>
      <c r="AF46" t="s">
        <v>3198</v>
      </c>
      <c r="AI46" s="2"/>
      <c r="AL46" s="3"/>
      <c r="AS46" s="1" t="s">
        <v>7933</v>
      </c>
    </row>
    <row r="47" spans="1:46">
      <c r="A47" s="1">
        <v>46</v>
      </c>
      <c r="B47" t="s">
        <v>11646</v>
      </c>
      <c r="C47" s="2">
        <v>45688</v>
      </c>
      <c r="D47" s="2"/>
      <c r="E47" s="1" t="s">
        <v>11687</v>
      </c>
      <c r="F47" s="61" t="s">
        <v>11647</v>
      </c>
      <c r="G47" t="s">
        <v>11648</v>
      </c>
      <c r="H47" s="6" t="s">
        <v>219</v>
      </c>
      <c r="I47" s="1" t="s">
        <v>4334</v>
      </c>
      <c r="J47" s="1" t="s">
        <v>11689</v>
      </c>
      <c r="K47" s="1"/>
      <c r="L47" s="1" t="s">
        <v>11687</v>
      </c>
      <c r="M47" s="2">
        <v>45688</v>
      </c>
      <c r="N47" t="s">
        <v>35</v>
      </c>
      <c r="O47" s="61" t="s">
        <v>7925</v>
      </c>
      <c r="P47" s="14" t="s">
        <v>11649</v>
      </c>
      <c r="Q47" s="92">
        <v>115.7</v>
      </c>
      <c r="R47" s="1">
        <v>1</v>
      </c>
      <c r="S47" s="128">
        <v>0.21</v>
      </c>
      <c r="T47" s="128">
        <v>0</v>
      </c>
      <c r="U47" s="95"/>
      <c r="V47" s="126">
        <f t="shared" ref="V47:V55" si="12">SUM(Q47-(Q47*T47))*S47+(Q47-(Q47*T47))</f>
        <v>139.99700000000001</v>
      </c>
      <c r="W47" t="s">
        <v>11687</v>
      </c>
      <c r="X47" s="5" t="s">
        <v>11688</v>
      </c>
      <c r="Y47" s="3">
        <v>27859</v>
      </c>
      <c r="Z47" s="2">
        <v>45688</v>
      </c>
      <c r="AA47" s="11" t="s">
        <v>11991</v>
      </c>
      <c r="AB47" s="2">
        <v>45747</v>
      </c>
      <c r="AC47" s="80" t="s">
        <v>1339</v>
      </c>
      <c r="AF47" t="s">
        <v>3198</v>
      </c>
      <c r="AI47" s="61" t="s">
        <v>3392</v>
      </c>
      <c r="AJ47" s="3">
        <v>45695</v>
      </c>
      <c r="AM47" s="3">
        <v>45698</v>
      </c>
    </row>
    <row r="48" spans="1:46">
      <c r="A48" s="1">
        <v>47</v>
      </c>
      <c r="B48" t="s">
        <v>40</v>
      </c>
      <c r="C48" s="2">
        <v>45688</v>
      </c>
      <c r="D48" s="2" t="s">
        <v>9900</v>
      </c>
      <c r="E48" s="1" t="s">
        <v>1940</v>
      </c>
      <c r="F48" s="61" t="s">
        <v>11650</v>
      </c>
      <c r="G48" t="s">
        <v>11651</v>
      </c>
      <c r="H48" s="6" t="s">
        <v>236</v>
      </c>
      <c r="I48" s="1" t="s">
        <v>110</v>
      </c>
      <c r="J48" s="1"/>
      <c r="K48" s="451" t="s">
        <v>8357</v>
      </c>
      <c r="L48" s="1" t="s">
        <v>1940</v>
      </c>
      <c r="M48" s="2">
        <v>45688</v>
      </c>
      <c r="N48" t="s">
        <v>35</v>
      </c>
      <c r="O48" s="61" t="s">
        <v>9758</v>
      </c>
      <c r="P48" s="14" t="s">
        <v>11652</v>
      </c>
      <c r="Q48" s="92">
        <v>115.7</v>
      </c>
      <c r="R48" s="1">
        <v>1</v>
      </c>
      <c r="S48" s="128">
        <v>0.21</v>
      </c>
      <c r="T48" s="128">
        <v>0</v>
      </c>
      <c r="U48" s="95"/>
      <c r="V48" s="126">
        <f t="shared" ref="V48" si="13">SUM(Q48-(Q48*T48))*S48+(Q48-(Q48*T48))</f>
        <v>139.99700000000001</v>
      </c>
      <c r="W48" t="s">
        <v>11680</v>
      </c>
      <c r="X48" s="5" t="s">
        <v>11681</v>
      </c>
      <c r="Y48" s="3">
        <v>25993</v>
      </c>
      <c r="Z48" s="2">
        <v>45688</v>
      </c>
      <c r="AA48" s="76" t="s">
        <v>11300</v>
      </c>
      <c r="AB48" s="2"/>
      <c r="AC48" s="133"/>
      <c r="AF48" t="s">
        <v>3198</v>
      </c>
      <c r="AI48" t="s">
        <v>3470</v>
      </c>
      <c r="AJ48" s="3">
        <v>45694</v>
      </c>
      <c r="AM48" s="3">
        <v>45705</v>
      </c>
    </row>
    <row r="49" spans="1:139" s="197" customFormat="1">
      <c r="A49" s="1">
        <v>48</v>
      </c>
      <c r="B49" s="61" t="s">
        <v>4321</v>
      </c>
      <c r="C49" s="2">
        <v>45691</v>
      </c>
      <c r="D49" s="2"/>
      <c r="E49" s="1" t="s">
        <v>3427</v>
      </c>
      <c r="F49" s="61" t="s">
        <v>3428</v>
      </c>
      <c r="G49" s="61" t="s">
        <v>3433</v>
      </c>
      <c r="H49" s="6" t="s">
        <v>3429</v>
      </c>
      <c r="I49" s="1" t="s">
        <v>86</v>
      </c>
      <c r="J49" s="1">
        <v>650379091</v>
      </c>
      <c r="K49" s="8" t="s">
        <v>5991</v>
      </c>
      <c r="L49" s="1" t="s">
        <v>3427</v>
      </c>
      <c r="M49" s="2">
        <v>45716</v>
      </c>
      <c r="N49" t="s">
        <v>35</v>
      </c>
      <c r="O49" s="61" t="s">
        <v>7934</v>
      </c>
      <c r="P49" s="14" t="s">
        <v>11696</v>
      </c>
      <c r="Q49" s="187">
        <v>115.7</v>
      </c>
      <c r="R49" s="1">
        <v>1</v>
      </c>
      <c r="S49" s="128">
        <v>0.21</v>
      </c>
      <c r="T49" s="128">
        <v>0</v>
      </c>
      <c r="U49" s="363"/>
      <c r="V49" s="126">
        <f t="shared" ref="V49:V50" si="14">SUM(Q49-(Q49*T49))*S49+(Q49-(Q49*T49))</f>
        <v>139.99700000000001</v>
      </c>
      <c r="W49" t="s">
        <v>11653</v>
      </c>
      <c r="X49" s="401" t="s">
        <v>11697</v>
      </c>
      <c r="Y49" s="2">
        <v>34888</v>
      </c>
      <c r="Z49" s="2">
        <v>45691</v>
      </c>
      <c r="AA49" s="11" t="s">
        <v>12011</v>
      </c>
      <c r="AB49" s="64">
        <v>45751</v>
      </c>
      <c r="AC49" s="80" t="s">
        <v>1339</v>
      </c>
      <c r="AD49"/>
      <c r="AE49"/>
      <c r="AF49" t="s">
        <v>3198</v>
      </c>
      <c r="AG49"/>
      <c r="AH49"/>
      <c r="AI49" s="3"/>
      <c r="AJ49" s="2"/>
      <c r="AK49"/>
      <c r="AL49"/>
      <c r="AM49" s="2"/>
      <c r="AN49"/>
      <c r="AO49"/>
      <c r="AP49"/>
      <c r="AQ49"/>
      <c r="AR49"/>
      <c r="AS49"/>
      <c r="AT49" s="1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</row>
    <row r="50" spans="1:139">
      <c r="A50" s="1">
        <v>49</v>
      </c>
      <c r="B50" s="61" t="s">
        <v>33</v>
      </c>
      <c r="C50" s="2">
        <v>45691</v>
      </c>
      <c r="D50" s="2"/>
      <c r="E50" s="1" t="s">
        <v>3030</v>
      </c>
      <c r="F50" s="61" t="s">
        <v>9862</v>
      </c>
      <c r="G50" t="s">
        <v>6907</v>
      </c>
      <c r="H50" s="6" t="s">
        <v>304</v>
      </c>
      <c r="I50" s="1" t="s">
        <v>34</v>
      </c>
      <c r="J50" s="8"/>
      <c r="K50" s="114" t="s">
        <v>11744</v>
      </c>
      <c r="L50" t="s">
        <v>237</v>
      </c>
      <c r="M50" s="2">
        <v>45716</v>
      </c>
      <c r="N50" s="1" t="s">
        <v>35</v>
      </c>
      <c r="O50" s="61" t="s">
        <v>7934</v>
      </c>
      <c r="P50" s="14" t="s">
        <v>11654</v>
      </c>
      <c r="Q50" s="187">
        <v>115.7</v>
      </c>
      <c r="R50" s="1">
        <v>1</v>
      </c>
      <c r="S50" s="128">
        <v>0.21</v>
      </c>
      <c r="T50" s="128">
        <v>0</v>
      </c>
      <c r="U50" s="363"/>
      <c r="V50" s="126">
        <f t="shared" si="14"/>
        <v>139.99700000000001</v>
      </c>
      <c r="W50" t="s">
        <v>9871</v>
      </c>
      <c r="X50" s="6" t="s">
        <v>11655</v>
      </c>
      <c r="Y50" s="2">
        <v>33920</v>
      </c>
      <c r="Z50" s="2">
        <v>45691</v>
      </c>
      <c r="AA50" s="11" t="s">
        <v>11992</v>
      </c>
      <c r="AB50" s="2">
        <v>45747</v>
      </c>
      <c r="AC50" s="80" t="s">
        <v>1339</v>
      </c>
      <c r="AF50" t="s">
        <v>3198</v>
      </c>
      <c r="AJ50" s="2"/>
      <c r="AM50" s="74"/>
      <c r="AT50" s="1"/>
    </row>
    <row r="51" spans="1:139">
      <c r="A51" s="1">
        <v>50</v>
      </c>
      <c r="B51" t="s">
        <v>4715</v>
      </c>
      <c r="C51" s="2">
        <v>45691</v>
      </c>
      <c r="D51" s="403" t="s">
        <v>9900</v>
      </c>
      <c r="E51" s="1" t="s">
        <v>11657</v>
      </c>
      <c r="F51" t="s">
        <v>11658</v>
      </c>
      <c r="G51" s="61" t="s">
        <v>11659</v>
      </c>
      <c r="H51" s="6" t="s">
        <v>220</v>
      </c>
      <c r="I51" s="1" t="s">
        <v>10088</v>
      </c>
      <c r="J51" s="8">
        <v>661870156</v>
      </c>
      <c r="K51" s="8" t="s">
        <v>7002</v>
      </c>
      <c r="L51" s="1" t="s">
        <v>11657</v>
      </c>
      <c r="M51" s="2">
        <v>45716</v>
      </c>
      <c r="N51" s="1" t="s">
        <v>35</v>
      </c>
      <c r="O51" s="61" t="s">
        <v>9758</v>
      </c>
      <c r="P51" s="14" t="s">
        <v>11660</v>
      </c>
      <c r="Q51" s="442">
        <v>0</v>
      </c>
      <c r="R51" s="1">
        <v>1</v>
      </c>
      <c r="S51" s="128">
        <v>0.21</v>
      </c>
      <c r="T51" s="128">
        <v>0</v>
      </c>
      <c r="U51" s="209"/>
      <c r="V51" s="95">
        <f t="shared" ref="V51" si="15">SUM(Q51-(Q51*T51))*S51+(Q51-(Q51*T51))+U51</f>
        <v>0</v>
      </c>
      <c r="W51" s="343" t="s">
        <v>7013</v>
      </c>
      <c r="X51" s="406" t="s">
        <v>11734</v>
      </c>
      <c r="Y51" s="210">
        <v>29888</v>
      </c>
      <c r="Z51" s="2">
        <v>45691</v>
      </c>
      <c r="AA51" s="182" t="s">
        <v>11756</v>
      </c>
      <c r="AB51" s="3">
        <v>45708</v>
      </c>
      <c r="AC51" s="80" t="s">
        <v>1339</v>
      </c>
      <c r="AF51" t="s">
        <v>3198</v>
      </c>
      <c r="AI51" s="76" t="s">
        <v>11661</v>
      </c>
      <c r="AJ51" s="1"/>
      <c r="AM51" s="8"/>
      <c r="AT51" s="1"/>
    </row>
    <row r="52" spans="1:139">
      <c r="A52" s="1">
        <v>51</v>
      </c>
      <c r="B52" t="s">
        <v>33</v>
      </c>
      <c r="C52" s="2">
        <v>45692</v>
      </c>
      <c r="D52" s="2"/>
      <c r="E52" s="1" t="s">
        <v>6424</v>
      </c>
      <c r="F52" s="61" t="s">
        <v>6425</v>
      </c>
      <c r="G52" s="61" t="s">
        <v>6426</v>
      </c>
      <c r="H52" s="6" t="s">
        <v>227</v>
      </c>
      <c r="I52" s="1" t="s">
        <v>203</v>
      </c>
      <c r="J52" s="1"/>
      <c r="K52" s="114" t="s">
        <v>11744</v>
      </c>
      <c r="L52" t="s">
        <v>237</v>
      </c>
      <c r="M52" s="2">
        <v>45716</v>
      </c>
      <c r="N52" s="1" t="s">
        <v>35</v>
      </c>
      <c r="O52" s="61" t="s">
        <v>7934</v>
      </c>
      <c r="P52" s="14" t="s">
        <v>11670</v>
      </c>
      <c r="Q52" s="92">
        <v>69.42</v>
      </c>
      <c r="R52" s="1">
        <v>1</v>
      </c>
      <c r="S52" s="128">
        <v>0.21</v>
      </c>
      <c r="T52" s="128">
        <v>0</v>
      </c>
      <c r="U52" s="95"/>
      <c r="V52" s="126">
        <f t="shared" si="12"/>
        <v>83.998199999999997</v>
      </c>
      <c r="W52" t="s">
        <v>11671</v>
      </c>
      <c r="X52" s="5" t="s">
        <v>11672</v>
      </c>
      <c r="Y52" s="3">
        <v>28770</v>
      </c>
      <c r="Z52" s="2">
        <v>45692</v>
      </c>
      <c r="AA52" s="11" t="s">
        <v>11994</v>
      </c>
      <c r="AB52" s="2">
        <v>45747</v>
      </c>
      <c r="AC52" s="80" t="s">
        <v>1339</v>
      </c>
      <c r="AF52" t="s">
        <v>3198</v>
      </c>
      <c r="AJ52" s="3"/>
      <c r="AM52" s="3"/>
    </row>
    <row r="53" spans="1:139">
      <c r="A53" s="1">
        <v>52</v>
      </c>
      <c r="B53" t="s">
        <v>8482</v>
      </c>
      <c r="C53" s="2">
        <v>45692</v>
      </c>
      <c r="D53" s="2"/>
      <c r="E53" s="1" t="s">
        <v>8483</v>
      </c>
      <c r="F53" t="s">
        <v>8484</v>
      </c>
      <c r="G53" t="s">
        <v>8485</v>
      </c>
      <c r="H53" s="6" t="s">
        <v>294</v>
      </c>
      <c r="I53" s="1" t="s">
        <v>103</v>
      </c>
      <c r="J53" s="5">
        <v>667740137</v>
      </c>
      <c r="K53" s="1" t="s">
        <v>8488</v>
      </c>
      <c r="L53" s="1" t="s">
        <v>8483</v>
      </c>
      <c r="M53" s="2">
        <v>45716</v>
      </c>
      <c r="N53" s="1" t="s">
        <v>35</v>
      </c>
      <c r="O53" s="61" t="s">
        <v>7934</v>
      </c>
      <c r="P53" s="14" t="s">
        <v>11674</v>
      </c>
      <c r="Q53" s="187">
        <v>115.7</v>
      </c>
      <c r="R53" s="1">
        <v>1</v>
      </c>
      <c r="S53" s="90">
        <v>0.21</v>
      </c>
      <c r="T53" s="90">
        <v>0</v>
      </c>
      <c r="V53" s="95">
        <f t="shared" ref="V53:V54" si="16">SUM(Q53-(Q53*T53))*S53+(Q53-(Q53*T53))</f>
        <v>139.99700000000001</v>
      </c>
      <c r="W53" t="s">
        <v>11865</v>
      </c>
      <c r="X53" s="406" t="s">
        <v>11675</v>
      </c>
      <c r="Y53" s="2">
        <v>28347</v>
      </c>
      <c r="Z53" s="2">
        <v>45692</v>
      </c>
      <c r="AA53" s="11" t="s">
        <v>12042</v>
      </c>
      <c r="AB53" s="2">
        <v>45757</v>
      </c>
      <c r="AC53" s="80" t="s">
        <v>1339</v>
      </c>
      <c r="AF53" t="s">
        <v>3198</v>
      </c>
      <c r="AI53" s="287" t="s">
        <v>3392</v>
      </c>
      <c r="AJ53" s="2"/>
      <c r="AL53" s="3"/>
      <c r="AM53" s="74"/>
      <c r="AT53" s="1"/>
    </row>
    <row r="54" spans="1:139">
      <c r="A54" s="1">
        <v>53</v>
      </c>
      <c r="B54" t="s">
        <v>3526</v>
      </c>
      <c r="C54" s="2">
        <v>45695</v>
      </c>
      <c r="D54" s="2"/>
      <c r="E54" s="1" t="s">
        <v>7468</v>
      </c>
      <c r="F54" t="s">
        <v>7469</v>
      </c>
      <c r="G54" s="61" t="s">
        <v>7470</v>
      </c>
      <c r="H54" s="6" t="s">
        <v>294</v>
      </c>
      <c r="I54" s="1" t="s">
        <v>103</v>
      </c>
      <c r="J54" s="8">
        <v>649440769</v>
      </c>
      <c r="K54" s="1" t="s">
        <v>7472</v>
      </c>
      <c r="L54" t="s">
        <v>7468</v>
      </c>
      <c r="M54" s="2">
        <v>45716</v>
      </c>
      <c r="N54" s="1" t="s">
        <v>35</v>
      </c>
      <c r="O54" s="61" t="s">
        <v>7934</v>
      </c>
      <c r="P54" s="14" t="s">
        <v>11685</v>
      </c>
      <c r="Q54" s="187">
        <v>69.42</v>
      </c>
      <c r="R54" s="1">
        <v>1</v>
      </c>
      <c r="S54" s="90">
        <v>0.21</v>
      </c>
      <c r="T54" s="90">
        <v>0</v>
      </c>
      <c r="V54" s="95">
        <f t="shared" si="16"/>
        <v>83.998199999999997</v>
      </c>
      <c r="W54" t="s">
        <v>9278</v>
      </c>
      <c r="X54" s="5" t="s">
        <v>11686</v>
      </c>
      <c r="Y54" s="2">
        <v>30036</v>
      </c>
      <c r="Z54" s="2">
        <v>45695</v>
      </c>
      <c r="AA54" s="11" t="s">
        <v>11927</v>
      </c>
      <c r="AB54" s="3">
        <v>45734</v>
      </c>
      <c r="AC54" s="80" t="s">
        <v>1339</v>
      </c>
      <c r="AF54" t="s">
        <v>3198</v>
      </c>
      <c r="AJ54" s="2"/>
      <c r="AM54" s="3"/>
      <c r="AT54" s="1"/>
    </row>
    <row r="55" spans="1:139">
      <c r="A55" s="1">
        <v>54</v>
      </c>
      <c r="B55" t="s">
        <v>83</v>
      </c>
      <c r="C55" s="2">
        <v>45695</v>
      </c>
      <c r="D55" s="403" t="s">
        <v>9900</v>
      </c>
      <c r="E55" s="1" t="s">
        <v>11690</v>
      </c>
      <c r="F55" s="61" t="s">
        <v>11691</v>
      </c>
      <c r="G55" t="s">
        <v>11692</v>
      </c>
      <c r="H55" s="6" t="s">
        <v>236</v>
      </c>
      <c r="I55" s="1" t="s">
        <v>110</v>
      </c>
      <c r="J55" s="1"/>
      <c r="K55" s="396" t="s">
        <v>10487</v>
      </c>
      <c r="L55" s="1" t="s">
        <v>11690</v>
      </c>
      <c r="M55" s="2">
        <v>45716</v>
      </c>
      <c r="N55" s="1" t="s">
        <v>35</v>
      </c>
      <c r="O55" s="61" t="s">
        <v>7925</v>
      </c>
      <c r="P55" s="14" t="s">
        <v>11693</v>
      </c>
      <c r="Q55" s="92">
        <v>115.7</v>
      </c>
      <c r="R55" s="1">
        <v>1</v>
      </c>
      <c r="S55" s="128">
        <v>0.21</v>
      </c>
      <c r="T55" s="128">
        <v>0</v>
      </c>
      <c r="U55" s="95"/>
      <c r="V55" s="126">
        <f t="shared" si="12"/>
        <v>139.99700000000001</v>
      </c>
      <c r="W55" t="s">
        <v>11703</v>
      </c>
      <c r="X55" s="5" t="s">
        <v>11704</v>
      </c>
      <c r="Y55" s="3">
        <v>37703</v>
      </c>
      <c r="Z55" s="2">
        <v>45695</v>
      </c>
      <c r="AA55" s="11" t="s">
        <v>12190</v>
      </c>
      <c r="AB55" s="2">
        <v>45796</v>
      </c>
      <c r="AC55" s="80" t="s">
        <v>1339</v>
      </c>
      <c r="AE55" s="162">
        <v>45763</v>
      </c>
      <c r="AF55" t="s">
        <v>3198</v>
      </c>
      <c r="AI55" t="s">
        <v>3470</v>
      </c>
      <c r="AJ55" s="3">
        <v>45698</v>
      </c>
      <c r="AM55" s="3">
        <v>45722</v>
      </c>
    </row>
    <row r="56" spans="1:139">
      <c r="A56" s="1">
        <v>55</v>
      </c>
      <c r="B56" t="s">
        <v>7245</v>
      </c>
      <c r="C56" s="2">
        <v>45695</v>
      </c>
      <c r="D56" s="2"/>
      <c r="E56" s="1" t="s">
        <v>1522</v>
      </c>
      <c r="F56" s="61" t="s">
        <v>3233</v>
      </c>
      <c r="G56" t="s">
        <v>3241</v>
      </c>
      <c r="H56" s="6" t="s">
        <v>3234</v>
      </c>
      <c r="I56" t="s">
        <v>3235</v>
      </c>
      <c r="J56" s="8">
        <v>680761760</v>
      </c>
      <c r="K56" s="8" t="s">
        <v>6232</v>
      </c>
      <c r="L56" t="s">
        <v>1522</v>
      </c>
      <c r="M56" s="2">
        <v>45716</v>
      </c>
      <c r="N56" s="1" t="s">
        <v>35</v>
      </c>
      <c r="O56" s="14" t="s">
        <v>7926</v>
      </c>
      <c r="P56" s="14" t="s">
        <v>11694</v>
      </c>
      <c r="Q56" s="187">
        <v>115.7</v>
      </c>
      <c r="R56" s="1">
        <v>1</v>
      </c>
      <c r="S56" s="128">
        <v>0.21</v>
      </c>
      <c r="T56" s="128">
        <v>0</v>
      </c>
      <c r="U56" s="363"/>
      <c r="V56" s="126">
        <f t="shared" ref="V56" si="17">SUM(Q56-(Q56*T56))*S56+(Q56-(Q56*T56))</f>
        <v>139.99700000000001</v>
      </c>
      <c r="W56" t="s">
        <v>11706</v>
      </c>
      <c r="X56" s="5" t="s">
        <v>11707</v>
      </c>
      <c r="Y56" s="2">
        <v>37476</v>
      </c>
      <c r="Z56" s="2">
        <v>45695</v>
      </c>
      <c r="AA56" s="11" t="s">
        <v>11995</v>
      </c>
      <c r="AB56" s="2">
        <v>45747</v>
      </c>
      <c r="AC56" s="80" t="s">
        <v>1339</v>
      </c>
      <c r="AF56" t="s">
        <v>3198</v>
      </c>
      <c r="AI56" t="s">
        <v>3470</v>
      </c>
      <c r="AJ56" s="3">
        <v>45698</v>
      </c>
      <c r="AM56" s="74">
        <v>45705</v>
      </c>
      <c r="AS56" s="1" t="s">
        <v>7934</v>
      </c>
      <c r="AT56" s="1"/>
    </row>
    <row r="57" spans="1:139">
      <c r="A57" s="1">
        <v>56</v>
      </c>
      <c r="B57" t="s">
        <v>45</v>
      </c>
      <c r="C57" s="2">
        <v>45695</v>
      </c>
      <c r="D57" s="2"/>
      <c r="E57" s="1" t="s">
        <v>6673</v>
      </c>
      <c r="F57" s="61" t="s">
        <v>9859</v>
      </c>
      <c r="G57" s="61" t="s">
        <v>6675</v>
      </c>
      <c r="H57" s="6" t="s">
        <v>221</v>
      </c>
      <c r="I57" s="1" t="s">
        <v>34</v>
      </c>
      <c r="J57" s="8">
        <v>695563127</v>
      </c>
      <c r="K57" s="304" t="s">
        <v>6681</v>
      </c>
      <c r="L57" t="s">
        <v>6673</v>
      </c>
      <c r="M57" s="2">
        <v>45716</v>
      </c>
      <c r="N57" s="1" t="s">
        <v>35</v>
      </c>
      <c r="O57" s="61" t="s">
        <v>7925</v>
      </c>
      <c r="P57" s="14" t="s">
        <v>11383</v>
      </c>
      <c r="Q57" s="187">
        <v>69.42</v>
      </c>
      <c r="R57" s="1">
        <v>1</v>
      </c>
      <c r="S57" s="128">
        <v>0.21</v>
      </c>
      <c r="T57" s="128">
        <v>0</v>
      </c>
      <c r="U57" s="95"/>
      <c r="V57" s="126">
        <f t="shared" ref="V57" si="18">SUM(Q57-(Q57*T57))*S57+(Q57-(Q57*T57))</f>
        <v>83.998199999999997</v>
      </c>
      <c r="W57" t="s">
        <v>9840</v>
      </c>
      <c r="X57" s="5" t="s">
        <v>11695</v>
      </c>
      <c r="Y57" s="2">
        <v>34482</v>
      </c>
      <c r="Z57" s="2">
        <v>45695</v>
      </c>
      <c r="AA57" s="284" t="s">
        <v>12011</v>
      </c>
      <c r="AB57" s="2">
        <v>45755</v>
      </c>
      <c r="AC57" s="80" t="s">
        <v>1339</v>
      </c>
      <c r="AD57" s="61"/>
      <c r="AF57" t="s">
        <v>3198</v>
      </c>
      <c r="AJ57" s="2"/>
      <c r="AM57" s="74"/>
      <c r="AS57" t="s">
        <v>9511</v>
      </c>
      <c r="AT57" s="1"/>
    </row>
    <row r="58" spans="1:139">
      <c r="A58" s="1">
        <v>57</v>
      </c>
      <c r="B58" t="s">
        <v>3526</v>
      </c>
      <c r="C58" s="2">
        <v>45695</v>
      </c>
      <c r="D58" s="403" t="s">
        <v>9900</v>
      </c>
      <c r="E58" s="1" t="s">
        <v>2286</v>
      </c>
      <c r="F58" s="61" t="s">
        <v>11698</v>
      </c>
      <c r="G58" t="s">
        <v>11699</v>
      </c>
      <c r="H58" s="6" t="s">
        <v>294</v>
      </c>
      <c r="I58" s="1" t="s">
        <v>103</v>
      </c>
      <c r="J58" s="1"/>
      <c r="K58" s="1"/>
      <c r="L58" s="1" t="s">
        <v>2286</v>
      </c>
      <c r="M58" s="2">
        <v>45716</v>
      </c>
      <c r="N58" s="1" t="s">
        <v>35</v>
      </c>
      <c r="O58" s="61" t="s">
        <v>7934</v>
      </c>
      <c r="P58" s="14" t="s">
        <v>11700</v>
      </c>
      <c r="Q58" s="92">
        <v>115.7</v>
      </c>
      <c r="R58" s="1">
        <v>1</v>
      </c>
      <c r="S58" s="128">
        <v>0.21</v>
      </c>
      <c r="T58" s="128">
        <v>0</v>
      </c>
      <c r="U58" s="95"/>
      <c r="V58" s="126">
        <f t="shared" ref="V58:V60" si="19">SUM(Q58-(Q58*T58))*S58+(Q58-(Q58*T58))</f>
        <v>139.99700000000001</v>
      </c>
      <c r="W58" t="s">
        <v>11701</v>
      </c>
      <c r="X58" s="5" t="s">
        <v>12012</v>
      </c>
      <c r="Y58" s="3">
        <v>34700</v>
      </c>
      <c r="Z58" s="2">
        <v>45695</v>
      </c>
      <c r="AA58" s="284" t="s">
        <v>12021</v>
      </c>
      <c r="AB58" s="2">
        <v>45756</v>
      </c>
      <c r="AC58" s="80" t="s">
        <v>1339</v>
      </c>
      <c r="AF58" t="s">
        <v>3198</v>
      </c>
      <c r="AJ58" s="3"/>
      <c r="AM58" s="3"/>
    </row>
    <row r="59" spans="1:139">
      <c r="A59" s="1">
        <v>58</v>
      </c>
      <c r="B59" t="s">
        <v>33</v>
      </c>
      <c r="C59" s="2">
        <v>45695</v>
      </c>
      <c r="D59" s="2"/>
      <c r="E59" s="1" t="s">
        <v>5309</v>
      </c>
      <c r="F59" t="s">
        <v>5310</v>
      </c>
      <c r="G59" t="s">
        <v>7842</v>
      </c>
      <c r="H59" s="6" t="s">
        <v>219</v>
      </c>
      <c r="I59" s="1" t="s">
        <v>34</v>
      </c>
      <c r="J59" s="1"/>
      <c r="K59" s="114" t="s">
        <v>11744</v>
      </c>
      <c r="L59" s="1" t="s">
        <v>237</v>
      </c>
      <c r="M59" s="2">
        <v>45716</v>
      </c>
      <c r="N59" s="1" t="s">
        <v>35</v>
      </c>
      <c r="O59" s="61" t="s">
        <v>9758</v>
      </c>
      <c r="P59" s="14" t="s">
        <v>11702</v>
      </c>
      <c r="Q59" s="92">
        <v>115.7</v>
      </c>
      <c r="R59" s="1">
        <v>1</v>
      </c>
      <c r="S59" s="90">
        <v>0.21</v>
      </c>
      <c r="T59" s="90">
        <v>0</v>
      </c>
      <c r="V59" s="95">
        <f t="shared" ref="V59" si="20">SUM(Q59-(Q59*T59))*S59+(Q59-(Q59*T59))</f>
        <v>139.99700000000001</v>
      </c>
      <c r="W59" t="s">
        <v>11718</v>
      </c>
      <c r="X59" s="5" t="s">
        <v>11719</v>
      </c>
      <c r="Y59" s="2">
        <v>39082</v>
      </c>
      <c r="Z59" s="2">
        <v>45695</v>
      </c>
      <c r="AA59" s="11" t="s">
        <v>11995</v>
      </c>
      <c r="AB59" s="2">
        <v>45747</v>
      </c>
      <c r="AC59" s="80" t="s">
        <v>1339</v>
      </c>
      <c r="AF59" t="s">
        <v>3198</v>
      </c>
      <c r="AI59" t="s">
        <v>3470</v>
      </c>
      <c r="AJ59" s="2">
        <v>45699</v>
      </c>
      <c r="AM59" s="3">
        <v>45705</v>
      </c>
      <c r="AT59" s="1"/>
    </row>
    <row r="60" spans="1:139">
      <c r="A60" s="1">
        <v>59</v>
      </c>
      <c r="B60" t="s">
        <v>143</v>
      </c>
      <c r="C60" s="2">
        <v>45699</v>
      </c>
      <c r="D60" s="403" t="s">
        <v>9900</v>
      </c>
      <c r="E60" s="1" t="s">
        <v>11709</v>
      </c>
      <c r="F60" s="61" t="s">
        <v>11710</v>
      </c>
      <c r="G60" t="s">
        <v>11711</v>
      </c>
      <c r="H60" s="6" t="s">
        <v>1257</v>
      </c>
      <c r="I60" s="1" t="s">
        <v>1266</v>
      </c>
      <c r="J60" s="1"/>
      <c r="K60" s="1"/>
      <c r="L60" s="1" t="s">
        <v>11709</v>
      </c>
      <c r="M60" s="2">
        <v>45716</v>
      </c>
      <c r="N60" s="1" t="s">
        <v>35</v>
      </c>
      <c r="O60" s="61" t="s">
        <v>7934</v>
      </c>
      <c r="P60" s="14" t="s">
        <v>11712</v>
      </c>
      <c r="Q60" s="92">
        <v>165.29</v>
      </c>
      <c r="R60" s="1">
        <v>1</v>
      </c>
      <c r="S60" s="90">
        <v>0.21</v>
      </c>
      <c r="T60" s="90">
        <v>0</v>
      </c>
      <c r="U60" s="95"/>
      <c r="V60" s="126">
        <f t="shared" si="19"/>
        <v>200.0009</v>
      </c>
      <c r="W60" s="1" t="s">
        <v>11709</v>
      </c>
      <c r="X60" s="406" t="s">
        <v>11713</v>
      </c>
      <c r="Y60" s="3">
        <v>30317</v>
      </c>
      <c r="Z60" s="2">
        <v>45699</v>
      </c>
      <c r="AA60" s="284" t="s">
        <v>12020</v>
      </c>
      <c r="AB60" s="2">
        <v>45756</v>
      </c>
      <c r="AC60" s="80" t="s">
        <v>1339</v>
      </c>
      <c r="AJ60" s="3"/>
      <c r="AM60" s="3"/>
    </row>
    <row r="61" spans="1:139">
      <c r="A61" s="1">
        <v>60</v>
      </c>
      <c r="B61" t="s">
        <v>33</v>
      </c>
      <c r="C61" s="2">
        <v>45699</v>
      </c>
      <c r="D61" s="403" t="s">
        <v>9900</v>
      </c>
      <c r="E61" s="1" t="s">
        <v>11714</v>
      </c>
      <c r="F61" t="s">
        <v>11715</v>
      </c>
      <c r="G61" t="s">
        <v>11716</v>
      </c>
      <c r="H61" s="6" t="s">
        <v>219</v>
      </c>
      <c r="I61" s="1" t="s">
        <v>4334</v>
      </c>
      <c r="J61" s="1"/>
      <c r="K61" s="114" t="s">
        <v>11744</v>
      </c>
      <c r="L61" s="1" t="s">
        <v>237</v>
      </c>
      <c r="M61" s="2">
        <v>45716</v>
      </c>
      <c r="N61" s="1" t="s">
        <v>35</v>
      </c>
      <c r="O61" s="61" t="s">
        <v>7925</v>
      </c>
      <c r="P61" s="14" t="s">
        <v>11717</v>
      </c>
      <c r="Q61" s="92">
        <v>115.7</v>
      </c>
      <c r="R61" s="1">
        <v>1</v>
      </c>
      <c r="S61" s="90">
        <v>0.21</v>
      </c>
      <c r="T61" s="90">
        <v>0</v>
      </c>
      <c r="V61" s="95">
        <f t="shared" ref="V61" si="21">SUM(Q61-(Q61*T61))*S61+(Q61-(Q61*T61))</f>
        <v>139.99700000000001</v>
      </c>
      <c r="W61" t="s">
        <v>11773</v>
      </c>
      <c r="X61" s="5" t="s">
        <v>11774</v>
      </c>
      <c r="Y61" s="2">
        <v>29911</v>
      </c>
      <c r="Z61" s="2">
        <v>45699</v>
      </c>
      <c r="AA61" s="284" t="s">
        <v>12192</v>
      </c>
      <c r="AB61" s="2">
        <v>45792</v>
      </c>
      <c r="AC61" s="80" t="s">
        <v>1339</v>
      </c>
      <c r="AE61" s="162">
        <v>45768</v>
      </c>
      <c r="AF61" t="s">
        <v>3198</v>
      </c>
      <c r="AI61" s="61" t="s">
        <v>3392</v>
      </c>
      <c r="AJ61" s="2">
        <v>45712</v>
      </c>
      <c r="AM61" s="3">
        <v>45724</v>
      </c>
      <c r="AT61" s="1"/>
    </row>
    <row r="62" spans="1:139">
      <c r="A62" s="1">
        <v>61</v>
      </c>
      <c r="B62" t="s">
        <v>1242</v>
      </c>
      <c r="C62" s="2">
        <v>45699</v>
      </c>
      <c r="D62" s="403" t="s">
        <v>9900</v>
      </c>
      <c r="E62" s="1" t="s">
        <v>11720</v>
      </c>
      <c r="F62" s="61" t="s">
        <v>11721</v>
      </c>
      <c r="G62" t="s">
        <v>11722</v>
      </c>
      <c r="H62" s="6" t="s">
        <v>221</v>
      </c>
      <c r="I62" s="1" t="s">
        <v>34</v>
      </c>
      <c r="J62" s="1"/>
      <c r="K62" s="8" t="s">
        <v>5905</v>
      </c>
      <c r="L62" s="31" t="s">
        <v>1250</v>
      </c>
      <c r="M62" s="2">
        <v>45716</v>
      </c>
      <c r="N62" s="1" t="s">
        <v>35</v>
      </c>
      <c r="O62" s="61" t="s">
        <v>9758</v>
      </c>
      <c r="P62" s="14" t="s">
        <v>11723</v>
      </c>
      <c r="Q62" s="92">
        <v>115.7</v>
      </c>
      <c r="R62" s="1">
        <v>1</v>
      </c>
      <c r="S62" s="90">
        <v>0.21</v>
      </c>
      <c r="T62" s="90">
        <v>0</v>
      </c>
      <c r="V62" s="95">
        <f t="shared" ref="V62" si="22">SUM(Q62-(Q62*T62))*S62+(Q62-(Q62*T62))</f>
        <v>139.99700000000001</v>
      </c>
      <c r="W62" t="s">
        <v>11775</v>
      </c>
      <c r="X62" s="5" t="s">
        <v>11776</v>
      </c>
      <c r="Y62" s="3">
        <v>36570</v>
      </c>
      <c r="Z62" s="2">
        <v>45699</v>
      </c>
      <c r="AA62" s="11" t="s">
        <v>12190</v>
      </c>
      <c r="AB62" s="2">
        <v>45796</v>
      </c>
      <c r="AC62" s="80" t="s">
        <v>1339</v>
      </c>
      <c r="AE62" s="162">
        <v>45763</v>
      </c>
      <c r="AF62" t="s">
        <v>3198</v>
      </c>
      <c r="AI62" s="76" t="s">
        <v>11724</v>
      </c>
      <c r="AJ62" s="2">
        <v>45712</v>
      </c>
      <c r="AM62" s="3">
        <v>45724</v>
      </c>
    </row>
    <row r="63" spans="1:139">
      <c r="A63" s="1">
        <v>62</v>
      </c>
      <c r="B63" t="s">
        <v>3526</v>
      </c>
      <c r="C63" s="2">
        <v>45699</v>
      </c>
      <c r="D63" s="2"/>
      <c r="E63" s="1" t="s">
        <v>5327</v>
      </c>
      <c r="F63" t="s">
        <v>5328</v>
      </c>
      <c r="G63" s="61" t="s">
        <v>5329</v>
      </c>
      <c r="H63" s="6" t="s">
        <v>294</v>
      </c>
      <c r="I63" s="1" t="s">
        <v>5330</v>
      </c>
      <c r="J63" s="1">
        <v>660570576</v>
      </c>
      <c r="K63" s="396" t="s">
        <v>7759</v>
      </c>
      <c r="L63" s="1" t="s">
        <v>5327</v>
      </c>
      <c r="M63" s="2">
        <v>45716</v>
      </c>
      <c r="N63" s="1" t="s">
        <v>35</v>
      </c>
      <c r="O63" s="61" t="s">
        <v>9758</v>
      </c>
      <c r="P63" s="14" t="s">
        <v>11725</v>
      </c>
      <c r="Q63" s="92">
        <v>115.7</v>
      </c>
      <c r="R63" s="1">
        <v>1</v>
      </c>
      <c r="S63" s="90">
        <v>0.21</v>
      </c>
      <c r="T63" s="90">
        <v>0</v>
      </c>
      <c r="V63" s="95">
        <f t="shared" ref="V63:V66" si="23">SUM(Q63-(Q63*T63))*S63+(Q63-(Q63*T63))</f>
        <v>139.99700000000001</v>
      </c>
      <c r="W63" t="s">
        <v>11777</v>
      </c>
      <c r="X63" s="5" t="s">
        <v>11778</v>
      </c>
      <c r="Y63" s="3">
        <v>24108</v>
      </c>
      <c r="Z63" s="2">
        <v>45699</v>
      </c>
      <c r="AA63" s="11" t="s">
        <v>11993</v>
      </c>
      <c r="AB63" s="2">
        <v>45747</v>
      </c>
      <c r="AC63" s="80" t="s">
        <v>1339</v>
      </c>
      <c r="AF63" t="s">
        <v>3198</v>
      </c>
      <c r="AI63" t="s">
        <v>3470</v>
      </c>
      <c r="AJ63" s="2">
        <v>45712</v>
      </c>
      <c r="AM63" s="3">
        <v>45724</v>
      </c>
    </row>
    <row r="64" spans="1:139">
      <c r="A64" s="1">
        <v>63</v>
      </c>
      <c r="B64" t="s">
        <v>7245</v>
      </c>
      <c r="C64" s="2">
        <v>45700</v>
      </c>
      <c r="D64" s="2"/>
      <c r="E64" s="1" t="s">
        <v>1522</v>
      </c>
      <c r="F64" s="61" t="s">
        <v>3233</v>
      </c>
      <c r="G64" t="s">
        <v>3241</v>
      </c>
      <c r="H64" s="6" t="s">
        <v>3234</v>
      </c>
      <c r="I64" t="s">
        <v>3235</v>
      </c>
      <c r="J64" s="8">
        <v>680761760</v>
      </c>
      <c r="K64" s="8" t="s">
        <v>6232</v>
      </c>
      <c r="L64" t="s">
        <v>1522</v>
      </c>
      <c r="M64" s="2">
        <v>45716</v>
      </c>
      <c r="N64" s="1" t="s">
        <v>35</v>
      </c>
      <c r="O64" s="14" t="s">
        <v>7926</v>
      </c>
      <c r="P64" s="14" t="s">
        <v>11726</v>
      </c>
      <c r="Q64" s="187">
        <v>115.7</v>
      </c>
      <c r="R64" s="1">
        <v>1</v>
      </c>
      <c r="S64" s="128">
        <v>0.21</v>
      </c>
      <c r="T64" s="128">
        <v>0</v>
      </c>
      <c r="U64" s="363"/>
      <c r="V64" s="126">
        <f t="shared" si="23"/>
        <v>139.99700000000001</v>
      </c>
      <c r="W64" t="s">
        <v>11771</v>
      </c>
      <c r="X64" s="5" t="s">
        <v>11772</v>
      </c>
      <c r="Y64" s="2">
        <v>37476</v>
      </c>
      <c r="Z64" s="2">
        <v>45700</v>
      </c>
      <c r="AA64" s="11" t="s">
        <v>11995</v>
      </c>
      <c r="AB64" s="2">
        <v>45747</v>
      </c>
      <c r="AC64" s="80" t="s">
        <v>1339</v>
      </c>
      <c r="AF64" t="s">
        <v>3198</v>
      </c>
      <c r="AI64" s="76" t="s">
        <v>3470</v>
      </c>
      <c r="AJ64" s="2">
        <v>45712</v>
      </c>
      <c r="AM64" s="74"/>
      <c r="AS64" s="1" t="s">
        <v>7934</v>
      </c>
      <c r="AT64" s="1"/>
    </row>
    <row r="65" spans="1:46">
      <c r="A65" s="1">
        <v>64</v>
      </c>
      <c r="B65" t="s">
        <v>33</v>
      </c>
      <c r="C65" s="2">
        <v>45700</v>
      </c>
      <c r="D65" s="2"/>
      <c r="E65" s="1" t="s">
        <v>10182</v>
      </c>
      <c r="F65" s="61" t="s">
        <v>10183</v>
      </c>
      <c r="G65" t="s">
        <v>10184</v>
      </c>
      <c r="H65" s="6" t="s">
        <v>227</v>
      </c>
      <c r="I65" s="1" t="s">
        <v>68</v>
      </c>
      <c r="J65" s="295"/>
      <c r="K65" s="114" t="s">
        <v>11744</v>
      </c>
      <c r="L65" s="1" t="s">
        <v>237</v>
      </c>
      <c r="M65" s="2">
        <v>45716</v>
      </c>
      <c r="N65" s="1" t="s">
        <v>35</v>
      </c>
      <c r="O65" s="61" t="s">
        <v>9758</v>
      </c>
      <c r="P65" s="14" t="s">
        <v>11728</v>
      </c>
      <c r="Q65" s="186">
        <v>115.7</v>
      </c>
      <c r="R65" s="1">
        <v>1</v>
      </c>
      <c r="S65" s="90">
        <v>0.21</v>
      </c>
      <c r="T65" s="90">
        <v>0</v>
      </c>
      <c r="U65" s="363"/>
      <c r="V65" s="126">
        <f t="shared" si="23"/>
        <v>139.99700000000001</v>
      </c>
      <c r="W65" t="s">
        <v>11769</v>
      </c>
      <c r="X65" s="5" t="s">
        <v>11770</v>
      </c>
      <c r="Y65" s="2">
        <v>35543</v>
      </c>
      <c r="Z65" s="2">
        <v>45700</v>
      </c>
      <c r="AA65" s="11" t="s">
        <v>11993</v>
      </c>
      <c r="AB65" s="2">
        <v>45747</v>
      </c>
      <c r="AC65" s="80" t="s">
        <v>1339</v>
      </c>
      <c r="AF65" t="s">
        <v>3198</v>
      </c>
      <c r="AI65" t="s">
        <v>3470</v>
      </c>
      <c r="AJ65" s="2">
        <v>45712</v>
      </c>
      <c r="AM65" s="74">
        <v>45724</v>
      </c>
      <c r="AT65" s="1"/>
    </row>
    <row r="66" spans="1:46">
      <c r="A66" s="1">
        <v>65</v>
      </c>
      <c r="B66" t="s">
        <v>37</v>
      </c>
      <c r="C66" s="2">
        <v>45700</v>
      </c>
      <c r="D66" s="2"/>
      <c r="E66" s="1" t="s">
        <v>9784</v>
      </c>
      <c r="F66" s="61" t="s">
        <v>9860</v>
      </c>
      <c r="G66" t="s">
        <v>9785</v>
      </c>
      <c r="H66" s="6" t="s">
        <v>1062</v>
      </c>
      <c r="I66" s="1" t="s">
        <v>1063</v>
      </c>
      <c r="J66" s="1">
        <v>632407260</v>
      </c>
      <c r="K66" s="1"/>
      <c r="L66" s="1" t="s">
        <v>9784</v>
      </c>
      <c r="M66" s="2">
        <v>45716</v>
      </c>
      <c r="N66" s="1" t="s">
        <v>35</v>
      </c>
      <c r="O66" s="14" t="s">
        <v>7934</v>
      </c>
      <c r="P66" s="14" t="s">
        <v>11729</v>
      </c>
      <c r="Q66" s="187">
        <v>86.78</v>
      </c>
      <c r="R66" s="1">
        <v>1</v>
      </c>
      <c r="S66" s="128">
        <v>0.21</v>
      </c>
      <c r="T66" s="128">
        <v>0</v>
      </c>
      <c r="U66" s="95"/>
      <c r="V66" s="126">
        <f t="shared" si="23"/>
        <v>105.0038</v>
      </c>
      <c r="W66" s="1" t="s">
        <v>9784</v>
      </c>
      <c r="X66" s="5" t="s">
        <v>11730</v>
      </c>
      <c r="Y66" s="2">
        <v>34614</v>
      </c>
      <c r="Z66" s="2">
        <v>45700</v>
      </c>
      <c r="AA66" s="284" t="s">
        <v>12010</v>
      </c>
      <c r="AB66" s="2">
        <v>45751</v>
      </c>
      <c r="AC66" s="80" t="s">
        <v>1339</v>
      </c>
      <c r="AF66" t="s">
        <v>3198</v>
      </c>
      <c r="AJ66" s="3"/>
      <c r="AM66" s="3"/>
    </row>
    <row r="67" spans="1:46">
      <c r="A67" s="1">
        <v>66</v>
      </c>
      <c r="B67" t="s">
        <v>3526</v>
      </c>
      <c r="C67" s="2">
        <v>45700</v>
      </c>
      <c r="D67" s="2"/>
      <c r="E67" s="1" t="s">
        <v>6138</v>
      </c>
      <c r="F67" t="s">
        <v>8016</v>
      </c>
      <c r="G67" s="61" t="s">
        <v>8017</v>
      </c>
      <c r="H67" s="6" t="s">
        <v>2451</v>
      </c>
      <c r="I67" s="1" t="s">
        <v>3681</v>
      </c>
      <c r="J67" s="1" t="s">
        <v>8018</v>
      </c>
      <c r="K67" s="1"/>
      <c r="L67" s="1" t="s">
        <v>6138</v>
      </c>
      <c r="M67" s="2">
        <v>45716</v>
      </c>
      <c r="N67" s="1" t="s">
        <v>35</v>
      </c>
      <c r="O67" s="61" t="s">
        <v>7934</v>
      </c>
      <c r="P67" s="14" t="s">
        <v>8019</v>
      </c>
      <c r="Q67" s="187">
        <v>69.42</v>
      </c>
      <c r="R67" s="1">
        <v>1</v>
      </c>
      <c r="S67" s="90">
        <v>0.21</v>
      </c>
      <c r="T67" s="90">
        <v>0</v>
      </c>
      <c r="U67" s="363"/>
      <c r="V67" s="95">
        <f t="shared" ref="V67" si="24">SUM(Q67-(Q67*T67))*S67+(Q67-(Q67*T67))</f>
        <v>83.998199999999997</v>
      </c>
      <c r="W67" s="1" t="s">
        <v>6138</v>
      </c>
      <c r="X67" s="5" t="s">
        <v>11731</v>
      </c>
      <c r="Y67" s="2">
        <v>28887</v>
      </c>
      <c r="Z67" s="2">
        <v>45700</v>
      </c>
      <c r="AA67" s="284" t="s">
        <v>11989</v>
      </c>
      <c r="AB67" s="2">
        <v>45747</v>
      </c>
      <c r="AC67" s="80" t="s">
        <v>1339</v>
      </c>
      <c r="AF67" t="s">
        <v>3198</v>
      </c>
      <c r="AI67" s="2"/>
      <c r="AL67" s="3"/>
      <c r="AS67" s="1" t="s">
        <v>7936</v>
      </c>
    </row>
    <row r="68" spans="1:46">
      <c r="A68" s="1">
        <v>67</v>
      </c>
      <c r="B68" t="s">
        <v>45</v>
      </c>
      <c r="C68" s="2">
        <v>45705</v>
      </c>
      <c r="D68" s="2"/>
      <c r="E68" s="1" t="s">
        <v>6084</v>
      </c>
      <c r="F68" t="s">
        <v>6085</v>
      </c>
      <c r="G68" t="s">
        <v>6086</v>
      </c>
      <c r="H68" s="6" t="s">
        <v>220</v>
      </c>
      <c r="I68" s="1" t="s">
        <v>39</v>
      </c>
      <c r="J68">
        <v>699523346</v>
      </c>
      <c r="K68" s="1" t="s">
        <v>6094</v>
      </c>
      <c r="L68" s="1" t="s">
        <v>6084</v>
      </c>
      <c r="M68" s="2">
        <v>45716</v>
      </c>
      <c r="N68" s="1" t="s">
        <v>35</v>
      </c>
      <c r="O68" s="61" t="s">
        <v>7934</v>
      </c>
      <c r="P68" s="14" t="s">
        <v>8002</v>
      </c>
      <c r="Q68" s="187">
        <v>69.42</v>
      </c>
      <c r="R68" s="1">
        <v>1</v>
      </c>
      <c r="S68" s="90">
        <v>0.21</v>
      </c>
      <c r="T68" s="90">
        <v>0</v>
      </c>
      <c r="V68" s="95">
        <f t="shared" ref="V68" si="25">SUM(Q68-(Q68*T68))*S68+(Q68-(Q68*T68))</f>
        <v>83.998199999999997</v>
      </c>
      <c r="W68" t="s">
        <v>6134</v>
      </c>
      <c r="X68" s="5" t="s">
        <v>11736</v>
      </c>
      <c r="Y68" s="2">
        <v>29678</v>
      </c>
      <c r="Z68" s="2">
        <v>45705</v>
      </c>
      <c r="AA68" s="284" t="s">
        <v>11993</v>
      </c>
      <c r="AB68" s="2">
        <v>45747</v>
      </c>
      <c r="AC68" s="80" t="s">
        <v>1339</v>
      </c>
      <c r="AF68" t="s">
        <v>3198</v>
      </c>
      <c r="AJ68" s="2"/>
    </row>
    <row r="69" spans="1:46">
      <c r="A69" s="1">
        <v>68</v>
      </c>
      <c r="B69" t="s">
        <v>3526</v>
      </c>
      <c r="C69" s="2">
        <v>45705</v>
      </c>
      <c r="D69" s="403" t="s">
        <v>9900</v>
      </c>
      <c r="E69" s="1" t="s">
        <v>11737</v>
      </c>
      <c r="F69" s="61" t="s">
        <v>11738</v>
      </c>
      <c r="G69" t="s">
        <v>11739</v>
      </c>
      <c r="H69" s="6" t="s">
        <v>6434</v>
      </c>
      <c r="I69" s="1" t="s">
        <v>6435</v>
      </c>
      <c r="J69" s="1"/>
      <c r="K69" s="396" t="s">
        <v>7759</v>
      </c>
      <c r="L69" s="1" t="s">
        <v>11737</v>
      </c>
      <c r="M69" s="2">
        <v>45716</v>
      </c>
      <c r="N69" s="1" t="s">
        <v>35</v>
      </c>
      <c r="O69" s="61" t="s">
        <v>7937</v>
      </c>
      <c r="P69" t="s">
        <v>11740</v>
      </c>
      <c r="Q69" s="187">
        <v>115.7</v>
      </c>
      <c r="R69" s="1">
        <v>1</v>
      </c>
      <c r="S69" s="90">
        <v>0.21</v>
      </c>
      <c r="T69" s="90">
        <v>0</v>
      </c>
      <c r="U69" s="363"/>
      <c r="V69" s="126">
        <f t="shared" ref="V69" si="26">SUM(Q69-(Q69*T69))*S69+(Q69-(Q69*T69))</f>
        <v>139.99700000000001</v>
      </c>
      <c r="W69" t="s">
        <v>11781</v>
      </c>
      <c r="X69" s="5" t="s">
        <v>11782</v>
      </c>
      <c r="Y69" s="2">
        <v>45629</v>
      </c>
      <c r="Z69" s="2">
        <v>45705</v>
      </c>
      <c r="AA69" s="276" t="s">
        <v>11987</v>
      </c>
      <c r="AB69" s="2">
        <v>45747</v>
      </c>
      <c r="AC69" s="133" t="s">
        <v>11988</v>
      </c>
      <c r="AF69" t="s">
        <v>3198</v>
      </c>
      <c r="AI69" s="61" t="s">
        <v>11741</v>
      </c>
      <c r="AJ69" s="2">
        <v>45714</v>
      </c>
      <c r="AM69" s="74">
        <v>45722</v>
      </c>
    </row>
    <row r="70" spans="1:46">
      <c r="A70" s="1">
        <v>69</v>
      </c>
      <c r="B70" t="s">
        <v>7245</v>
      </c>
      <c r="C70" s="2">
        <v>45706</v>
      </c>
      <c r="D70" s="2"/>
      <c r="E70" s="1" t="s">
        <v>1522</v>
      </c>
      <c r="F70" t="s">
        <v>3233</v>
      </c>
      <c r="G70" t="s">
        <v>3241</v>
      </c>
      <c r="H70" s="6" t="s">
        <v>3234</v>
      </c>
      <c r="I70" t="s">
        <v>3235</v>
      </c>
      <c r="J70" s="8">
        <v>680761760</v>
      </c>
      <c r="K70" s="8" t="s">
        <v>6232</v>
      </c>
      <c r="L70" t="s">
        <v>1522</v>
      </c>
      <c r="M70" s="2">
        <v>45716</v>
      </c>
      <c r="N70" s="1" t="s">
        <v>35</v>
      </c>
      <c r="O70" s="14" t="s">
        <v>7934</v>
      </c>
      <c r="P70" s="14" t="s">
        <v>11742</v>
      </c>
      <c r="Q70" s="187">
        <v>69.42</v>
      </c>
      <c r="R70" s="1">
        <v>1</v>
      </c>
      <c r="S70" s="128">
        <v>0.21</v>
      </c>
      <c r="T70" s="128">
        <v>0</v>
      </c>
      <c r="V70" s="95">
        <f t="shared" ref="V70" si="27">SUM(Q70-(Q70*T70))*S70+(Q70-(Q70*T70))</f>
        <v>83.998199999999997</v>
      </c>
      <c r="W70" t="s">
        <v>9127</v>
      </c>
      <c r="X70" s="5" t="s">
        <v>11743</v>
      </c>
      <c r="Y70" s="2">
        <v>34851</v>
      </c>
      <c r="Z70" s="2">
        <v>45706</v>
      </c>
      <c r="AA70" s="284" t="s">
        <v>11993</v>
      </c>
      <c r="AB70" s="2">
        <v>45747</v>
      </c>
      <c r="AC70" s="80" t="s">
        <v>1339</v>
      </c>
      <c r="AE70" s="3"/>
      <c r="AF70" t="s">
        <v>3198</v>
      </c>
      <c r="AI70" s="61"/>
      <c r="AJ70" s="2"/>
      <c r="AM70" s="74"/>
      <c r="AT70" s="1"/>
    </row>
    <row r="71" spans="1:46">
      <c r="A71" s="1">
        <v>70</v>
      </c>
      <c r="B71" t="s">
        <v>143</v>
      </c>
      <c r="C71" s="2">
        <v>45706</v>
      </c>
      <c r="D71" s="2"/>
      <c r="E71" s="1" t="s">
        <v>9725</v>
      </c>
      <c r="F71" t="s">
        <v>9644</v>
      </c>
      <c r="G71" s="61" t="s">
        <v>9645</v>
      </c>
      <c r="H71" s="6" t="s">
        <v>219</v>
      </c>
      <c r="I71" s="1" t="s">
        <v>38</v>
      </c>
      <c r="J71" s="1">
        <v>641315949</v>
      </c>
      <c r="K71" s="1"/>
      <c r="L71" t="s">
        <v>9725</v>
      </c>
      <c r="M71" s="2">
        <v>45716</v>
      </c>
      <c r="N71" s="1" t="s">
        <v>35</v>
      </c>
      <c r="O71" s="375" t="s">
        <v>7934</v>
      </c>
      <c r="P71" s="14" t="s">
        <v>11745</v>
      </c>
      <c r="Q71" s="187">
        <v>69.42</v>
      </c>
      <c r="R71" s="1">
        <v>1</v>
      </c>
      <c r="S71" s="90">
        <v>0.21</v>
      </c>
      <c r="T71" s="90">
        <v>0</v>
      </c>
      <c r="U71" s="363"/>
      <c r="V71" s="95">
        <f t="shared" ref="V71:V73" si="28">SUM(Q71-(Q71*T71))*S71+(Q71-(Q71*T71))</f>
        <v>83.998199999999997</v>
      </c>
      <c r="W71" t="s">
        <v>9725</v>
      </c>
      <c r="X71" s="5" t="s">
        <v>11746</v>
      </c>
      <c r="Y71" s="2">
        <v>34402</v>
      </c>
      <c r="Z71" s="2">
        <v>45706</v>
      </c>
      <c r="AA71" s="284" t="s">
        <v>12010</v>
      </c>
      <c r="AB71" s="2">
        <v>45751</v>
      </c>
      <c r="AC71" s="80" t="s">
        <v>1339</v>
      </c>
      <c r="AD71" s="61"/>
      <c r="AF71" t="s">
        <v>3198</v>
      </c>
      <c r="AI71" s="61"/>
      <c r="AJ71" s="2"/>
      <c r="AT71" s="1"/>
    </row>
    <row r="72" spans="1:46" ht="14.25" customHeight="1">
      <c r="A72" s="1">
        <v>71</v>
      </c>
      <c r="B72" t="s">
        <v>143</v>
      </c>
      <c r="C72" s="2">
        <v>45706</v>
      </c>
      <c r="D72" s="2"/>
      <c r="E72" s="1" t="s">
        <v>9950</v>
      </c>
      <c r="F72" s="61" t="s">
        <v>9905</v>
      </c>
      <c r="G72" t="s">
        <v>9906</v>
      </c>
      <c r="H72" s="6" t="s">
        <v>236</v>
      </c>
      <c r="I72" s="1" t="s">
        <v>110</v>
      </c>
      <c r="J72" s="1">
        <v>632749903</v>
      </c>
      <c r="K72" s="1"/>
      <c r="L72" s="1" t="s">
        <v>9950</v>
      </c>
      <c r="M72" s="2">
        <v>45716</v>
      </c>
      <c r="N72" s="1" t="s">
        <v>35</v>
      </c>
      <c r="O72" s="61" t="s">
        <v>7934</v>
      </c>
      <c r="P72" s="14" t="s">
        <v>11747</v>
      </c>
      <c r="Q72" s="187">
        <v>69.42</v>
      </c>
      <c r="R72" s="1">
        <v>1</v>
      </c>
      <c r="S72" s="128">
        <v>0.21</v>
      </c>
      <c r="T72" s="128">
        <v>0</v>
      </c>
      <c r="U72" s="363"/>
      <c r="V72" s="126">
        <f t="shared" si="28"/>
        <v>83.998199999999997</v>
      </c>
      <c r="W72" s="1" t="s">
        <v>9950</v>
      </c>
      <c r="X72" s="5" t="s">
        <v>11748</v>
      </c>
      <c r="Y72" s="3">
        <v>33788</v>
      </c>
      <c r="Z72" s="2">
        <v>45706</v>
      </c>
      <c r="AA72" s="284" t="s">
        <v>12010</v>
      </c>
      <c r="AB72" s="2">
        <v>45755</v>
      </c>
      <c r="AC72" s="80" t="s">
        <v>1339</v>
      </c>
      <c r="AF72" t="s">
        <v>3198</v>
      </c>
      <c r="AJ72" s="3"/>
      <c r="AM72" s="3"/>
      <c r="AS72" s="1"/>
    </row>
    <row r="73" spans="1:46">
      <c r="A73" s="1">
        <v>72</v>
      </c>
      <c r="B73" t="s">
        <v>52</v>
      </c>
      <c r="C73" s="2">
        <v>45706</v>
      </c>
      <c r="D73" s="2"/>
      <c r="E73" s="1" t="s">
        <v>62</v>
      </c>
      <c r="F73" s="61" t="s">
        <v>63</v>
      </c>
      <c r="G73" s="61" t="s">
        <v>214</v>
      </c>
      <c r="H73" s="6" t="s">
        <v>219</v>
      </c>
      <c r="I73" s="1" t="s">
        <v>38</v>
      </c>
      <c r="J73" s="8">
        <v>607281764</v>
      </c>
      <c r="K73" t="s">
        <v>5906</v>
      </c>
      <c r="L73" t="s">
        <v>4432</v>
      </c>
      <c r="M73" s="2">
        <v>45716</v>
      </c>
      <c r="N73" t="s">
        <v>35</v>
      </c>
      <c r="O73" s="61" t="s">
        <v>9758</v>
      </c>
      <c r="P73" s="14" t="s">
        <v>11785</v>
      </c>
      <c r="Q73" s="92">
        <v>115.7</v>
      </c>
      <c r="R73" s="1">
        <v>1</v>
      </c>
      <c r="S73" s="128">
        <v>0.21</v>
      </c>
      <c r="T73" s="128">
        <v>0</v>
      </c>
      <c r="U73" s="1"/>
      <c r="V73" s="95">
        <f t="shared" si="28"/>
        <v>139.99700000000001</v>
      </c>
      <c r="W73" t="s">
        <v>11786</v>
      </c>
      <c r="X73" s="5" t="s">
        <v>11787</v>
      </c>
      <c r="Y73" s="2">
        <v>37621</v>
      </c>
      <c r="Z73" s="2">
        <v>45706</v>
      </c>
      <c r="AA73" s="284" t="s">
        <v>12020</v>
      </c>
      <c r="AB73" s="2">
        <v>45755</v>
      </c>
      <c r="AC73" s="80" t="s">
        <v>1339</v>
      </c>
      <c r="AF73" t="s">
        <v>3198</v>
      </c>
      <c r="AI73" s="76" t="s">
        <v>11749</v>
      </c>
      <c r="AJ73" s="3">
        <v>45714</v>
      </c>
      <c r="AM73" s="74">
        <v>45722</v>
      </c>
      <c r="AS73" s="96"/>
      <c r="AT73" s="1"/>
    </row>
    <row r="74" spans="1:46">
      <c r="A74" s="1">
        <v>73</v>
      </c>
      <c r="B74" t="s">
        <v>143</v>
      </c>
      <c r="C74" s="2">
        <v>45706</v>
      </c>
      <c r="D74" s="403" t="s">
        <v>9900</v>
      </c>
      <c r="E74" s="1" t="s">
        <v>11783</v>
      </c>
      <c r="F74" s="61" t="s">
        <v>11750</v>
      </c>
      <c r="G74" t="s">
        <v>11751</v>
      </c>
      <c r="H74" s="6" t="s">
        <v>11752</v>
      </c>
      <c r="I74" s="1" t="s">
        <v>11753</v>
      </c>
      <c r="J74" s="1"/>
      <c r="K74" s="1"/>
      <c r="L74" s="1" t="s">
        <v>11783</v>
      </c>
      <c r="M74" s="2">
        <v>45716</v>
      </c>
      <c r="N74" t="s">
        <v>35</v>
      </c>
      <c r="O74" s="61" t="s">
        <v>7925</v>
      </c>
      <c r="P74" s="14" t="s">
        <v>11754</v>
      </c>
      <c r="Q74" s="92">
        <v>165.29</v>
      </c>
      <c r="R74" s="1">
        <v>1</v>
      </c>
      <c r="S74" s="128">
        <v>0.21</v>
      </c>
      <c r="T74" s="128">
        <v>0</v>
      </c>
      <c r="U74" s="95"/>
      <c r="V74" s="126">
        <f t="shared" ref="V74" si="29">SUM(Q74-(Q74*T74))*S74+(Q74-(Q74*T74))</f>
        <v>200.0009</v>
      </c>
      <c r="W74" t="s">
        <v>11783</v>
      </c>
      <c r="X74" s="5" t="s">
        <v>11784</v>
      </c>
      <c r="Y74" s="3">
        <v>28586</v>
      </c>
      <c r="Z74" s="2">
        <v>45706</v>
      </c>
      <c r="AA74" s="182" t="s">
        <v>12064</v>
      </c>
      <c r="AB74" s="2">
        <v>45768</v>
      </c>
      <c r="AC74" s="80" t="s">
        <v>1339</v>
      </c>
      <c r="AF74" t="s">
        <v>3198</v>
      </c>
      <c r="AI74" s="61" t="s">
        <v>11755</v>
      </c>
      <c r="AJ74" s="3">
        <v>45714</v>
      </c>
      <c r="AM74" s="3">
        <v>45722</v>
      </c>
    </row>
    <row r="75" spans="1:46">
      <c r="A75" s="1">
        <v>74</v>
      </c>
      <c r="B75" t="s">
        <v>37</v>
      </c>
      <c r="C75" s="2">
        <v>45709</v>
      </c>
      <c r="D75" s="403" t="s">
        <v>9900</v>
      </c>
      <c r="E75" s="1" t="s">
        <v>11757</v>
      </c>
      <c r="F75" s="61" t="s">
        <v>11758</v>
      </c>
      <c r="G75" t="s">
        <v>11759</v>
      </c>
      <c r="H75" s="6" t="s">
        <v>238</v>
      </c>
      <c r="I75" s="1" t="s">
        <v>48</v>
      </c>
      <c r="J75" s="1">
        <v>643203821</v>
      </c>
      <c r="K75" s="1"/>
      <c r="L75" s="1" t="s">
        <v>11757</v>
      </c>
      <c r="M75" s="2">
        <v>45716</v>
      </c>
      <c r="N75" t="s">
        <v>35</v>
      </c>
      <c r="O75" s="61" t="s">
        <v>7968</v>
      </c>
      <c r="P75" s="14" t="s">
        <v>11760</v>
      </c>
      <c r="Q75" s="92">
        <v>165.29</v>
      </c>
      <c r="R75" s="1">
        <v>1</v>
      </c>
      <c r="S75" s="128">
        <v>0.21</v>
      </c>
      <c r="T75" s="128">
        <v>0</v>
      </c>
      <c r="U75" s="95"/>
      <c r="V75" s="126">
        <f t="shared" ref="V75:V76" si="30">SUM(Q75-(Q75*T75))*S75+(Q75-(Q75*T75))</f>
        <v>200.0009</v>
      </c>
      <c r="W75" t="s">
        <v>11868</v>
      </c>
      <c r="X75" s="5" t="s">
        <v>11869</v>
      </c>
      <c r="Y75" s="3">
        <v>37736</v>
      </c>
      <c r="Z75" s="2">
        <v>45709</v>
      </c>
      <c r="AA75" s="3" t="s">
        <v>12022</v>
      </c>
      <c r="AB75" s="2">
        <v>45768</v>
      </c>
      <c r="AC75" s="80" t="s">
        <v>1339</v>
      </c>
      <c r="AE75" s="182">
        <v>45798</v>
      </c>
      <c r="AF75" t="s">
        <v>3198</v>
      </c>
      <c r="AI75" s="287" t="s">
        <v>3392</v>
      </c>
      <c r="AJ75" s="3">
        <v>45724</v>
      </c>
      <c r="AM75" s="3"/>
    </row>
    <row r="76" spans="1:46">
      <c r="A76" s="1">
        <v>75</v>
      </c>
      <c r="B76" t="s">
        <v>7036</v>
      </c>
      <c r="C76" s="2">
        <v>45709</v>
      </c>
      <c r="D76" s="2"/>
      <c r="E76" s="1" t="s">
        <v>6375</v>
      </c>
      <c r="F76" t="s">
        <v>6376</v>
      </c>
      <c r="G76" s="61" t="s">
        <v>6377</v>
      </c>
      <c r="H76" s="6" t="s">
        <v>294</v>
      </c>
      <c r="I76" s="1" t="s">
        <v>103</v>
      </c>
      <c r="J76" s="8">
        <v>660744167</v>
      </c>
      <c r="K76" s="8" t="s">
        <v>6332</v>
      </c>
      <c r="L76" s="1" t="s">
        <v>6375</v>
      </c>
      <c r="M76" s="2">
        <v>45716</v>
      </c>
      <c r="N76" s="1" t="s">
        <v>35</v>
      </c>
      <c r="O76" s="61" t="s">
        <v>9758</v>
      </c>
      <c r="P76" s="14" t="s">
        <v>11761</v>
      </c>
      <c r="Q76" s="187">
        <v>115.7</v>
      </c>
      <c r="R76" s="1">
        <v>1</v>
      </c>
      <c r="S76" s="90">
        <v>0.21</v>
      </c>
      <c r="T76" s="90">
        <v>0</v>
      </c>
      <c r="U76" s="363"/>
      <c r="V76" s="95">
        <f t="shared" si="30"/>
        <v>139.99700000000001</v>
      </c>
      <c r="W76" t="s">
        <v>11847</v>
      </c>
      <c r="X76" s="5" t="s">
        <v>11848</v>
      </c>
      <c r="Y76" s="2">
        <v>36642</v>
      </c>
      <c r="Z76" s="2">
        <v>45709</v>
      </c>
      <c r="AA76" s="182" t="s">
        <v>12061</v>
      </c>
      <c r="AB76" s="3">
        <v>45768</v>
      </c>
      <c r="AC76" s="80" t="s">
        <v>1339</v>
      </c>
      <c r="AF76" t="s">
        <v>3198</v>
      </c>
      <c r="AI76" t="s">
        <v>11762</v>
      </c>
      <c r="AJ76" s="2">
        <v>45720</v>
      </c>
      <c r="AM76" s="3">
        <v>45728</v>
      </c>
    </row>
    <row r="77" spans="1:46">
      <c r="A77" s="1">
        <v>76</v>
      </c>
      <c r="B77" t="s">
        <v>4321</v>
      </c>
      <c r="C77" s="2">
        <v>45709</v>
      </c>
      <c r="D77" s="2"/>
      <c r="E77" s="1" t="s">
        <v>8077</v>
      </c>
      <c r="F77" t="s">
        <v>8078</v>
      </c>
      <c r="G77" t="s">
        <v>8079</v>
      </c>
      <c r="H77" s="6" t="s">
        <v>238</v>
      </c>
      <c r="I77" s="1" t="s">
        <v>48</v>
      </c>
      <c r="J77" s="1"/>
      <c r="K77" s="8" t="s">
        <v>5991</v>
      </c>
      <c r="L77" s="1" t="s">
        <v>8077</v>
      </c>
      <c r="M77" s="2">
        <v>45716</v>
      </c>
      <c r="N77" s="1" t="s">
        <v>35</v>
      </c>
      <c r="O77" s="61" t="s">
        <v>7934</v>
      </c>
      <c r="P77" s="14" t="s">
        <v>8128</v>
      </c>
      <c r="Q77" s="92">
        <v>69.42</v>
      </c>
      <c r="R77" s="1">
        <v>1</v>
      </c>
      <c r="S77" s="128">
        <v>0.21</v>
      </c>
      <c r="T77" s="128">
        <v>0</v>
      </c>
      <c r="U77" s="1"/>
      <c r="V77" s="95">
        <f t="shared" ref="V77:V78" si="31">SUM(Q77-(Q77*T77))*S77+(Q77-(Q77*T77))</f>
        <v>83.998199999999997</v>
      </c>
      <c r="W77" t="s">
        <v>8129</v>
      </c>
      <c r="X77" s="5" t="s">
        <v>11763</v>
      </c>
      <c r="Y77" s="3">
        <v>32818</v>
      </c>
      <c r="Z77" s="2">
        <v>45709</v>
      </c>
      <c r="AA77" s="284" t="s">
        <v>12020</v>
      </c>
      <c r="AB77" s="2">
        <v>45755</v>
      </c>
      <c r="AC77" s="80" t="s">
        <v>1339</v>
      </c>
      <c r="AF77" t="s">
        <v>3198</v>
      </c>
    </row>
    <row r="78" spans="1:46">
      <c r="A78" s="1">
        <v>77</v>
      </c>
      <c r="B78" t="s">
        <v>4321</v>
      </c>
      <c r="C78" s="2">
        <v>45709</v>
      </c>
      <c r="D78" s="2"/>
      <c r="E78" s="1" t="s">
        <v>8077</v>
      </c>
      <c r="F78" t="s">
        <v>8078</v>
      </c>
      <c r="G78" t="s">
        <v>8079</v>
      </c>
      <c r="H78" s="6" t="s">
        <v>238</v>
      </c>
      <c r="I78" s="1" t="s">
        <v>48</v>
      </c>
      <c r="J78" s="1"/>
      <c r="K78" s="8" t="s">
        <v>5991</v>
      </c>
      <c r="L78" s="1" t="s">
        <v>8077</v>
      </c>
      <c r="M78" s="2">
        <v>45716</v>
      </c>
      <c r="N78" s="1" t="s">
        <v>35</v>
      </c>
      <c r="O78" s="61" t="s">
        <v>7934</v>
      </c>
      <c r="P78" s="14" t="s">
        <v>8080</v>
      </c>
      <c r="Q78" s="92">
        <v>69.42</v>
      </c>
      <c r="R78" s="1">
        <v>1</v>
      </c>
      <c r="S78" s="128">
        <v>0.21</v>
      </c>
      <c r="T78" s="128">
        <v>0</v>
      </c>
      <c r="U78" s="1"/>
      <c r="V78" s="95">
        <f t="shared" si="31"/>
        <v>83.998199999999997</v>
      </c>
      <c r="W78" t="s">
        <v>8081</v>
      </c>
      <c r="X78" s="5" t="s">
        <v>11764</v>
      </c>
      <c r="Y78" s="3">
        <v>33406</v>
      </c>
      <c r="Z78" s="2">
        <v>45709</v>
      </c>
      <c r="AA78" s="284" t="s">
        <v>12020</v>
      </c>
      <c r="AB78" s="2">
        <v>45755</v>
      </c>
      <c r="AC78" s="80" t="s">
        <v>1339</v>
      </c>
      <c r="AF78" t="s">
        <v>3198</v>
      </c>
    </row>
    <row r="79" spans="1:46">
      <c r="A79" s="1">
        <v>78</v>
      </c>
      <c r="B79" t="s">
        <v>33</v>
      </c>
      <c r="C79" s="2">
        <v>45709</v>
      </c>
      <c r="D79" s="2"/>
      <c r="E79" s="1" t="s">
        <v>9404</v>
      </c>
      <c r="F79" t="s">
        <v>9405</v>
      </c>
      <c r="G79" t="s">
        <v>9406</v>
      </c>
      <c r="H79" s="6" t="s">
        <v>1229</v>
      </c>
      <c r="I79" s="1" t="s">
        <v>3454</v>
      </c>
      <c r="J79" s="8"/>
      <c r="K79" s="114" t="s">
        <v>11744</v>
      </c>
      <c r="L79" s="1" t="s">
        <v>237</v>
      </c>
      <c r="M79" s="2">
        <v>45716</v>
      </c>
      <c r="N79" s="1" t="s">
        <v>35</v>
      </c>
      <c r="O79" s="14" t="s">
        <v>9758</v>
      </c>
      <c r="P79" s="14" t="s">
        <v>11765</v>
      </c>
      <c r="Q79" s="187">
        <v>115.7</v>
      </c>
      <c r="R79" s="1">
        <v>1</v>
      </c>
      <c r="S79" s="90">
        <v>0.21</v>
      </c>
      <c r="T79" s="90">
        <v>0</v>
      </c>
      <c r="V79" s="95">
        <f t="shared" ref="V79" si="32">SUM(Q79-(Q79*T79))*S79+(Q79-(Q79*T79))</f>
        <v>139.99700000000001</v>
      </c>
      <c r="W79" t="s">
        <v>11845</v>
      </c>
      <c r="X79" s="5" t="s">
        <v>11846</v>
      </c>
      <c r="Y79" s="2">
        <v>33889</v>
      </c>
      <c r="Z79" s="2">
        <v>45709</v>
      </c>
      <c r="AA79" s="3"/>
      <c r="AB79" s="2"/>
      <c r="AC79" s="80"/>
      <c r="AF79" t="s">
        <v>3198</v>
      </c>
      <c r="AI79" s="287" t="s">
        <v>3392</v>
      </c>
      <c r="AJ79" s="2">
        <v>45720</v>
      </c>
      <c r="AL79" s="3"/>
      <c r="AM79" s="74"/>
      <c r="AT79" s="1"/>
    </row>
    <row r="80" spans="1:46">
      <c r="A80" s="1">
        <v>79</v>
      </c>
      <c r="B80" t="s">
        <v>33</v>
      </c>
      <c r="C80" s="2">
        <v>45709</v>
      </c>
      <c r="D80" s="2"/>
      <c r="E80" s="1" t="s">
        <v>5021</v>
      </c>
      <c r="F80" t="s">
        <v>5014</v>
      </c>
      <c r="G80" t="s">
        <v>5020</v>
      </c>
      <c r="H80" s="6" t="s">
        <v>219</v>
      </c>
      <c r="I80" s="1" t="s">
        <v>38</v>
      </c>
      <c r="J80" s="1"/>
      <c r="K80" s="114" t="s">
        <v>11744</v>
      </c>
      <c r="L80" s="1" t="s">
        <v>237</v>
      </c>
      <c r="M80" s="2">
        <v>45716</v>
      </c>
      <c r="N80" s="1" t="s">
        <v>35</v>
      </c>
      <c r="O80" s="61" t="s">
        <v>7925</v>
      </c>
      <c r="P80" s="14" t="s">
        <v>11766</v>
      </c>
      <c r="Q80" s="187">
        <v>115.7</v>
      </c>
      <c r="R80" s="1">
        <v>1</v>
      </c>
      <c r="S80" s="128">
        <v>0.21</v>
      </c>
      <c r="T80" s="128">
        <v>0</v>
      </c>
      <c r="U80" s="363"/>
      <c r="V80" s="95">
        <f t="shared" ref="V80" si="33">SUM(Q80-(Q80*T80))*S80+(Q80-(Q80*T80))</f>
        <v>139.99700000000001</v>
      </c>
      <c r="W80" t="s">
        <v>11936</v>
      </c>
      <c r="X80" s="5" t="s">
        <v>11790</v>
      </c>
      <c r="Y80" s="2">
        <v>36121</v>
      </c>
      <c r="Z80" s="2">
        <v>45709</v>
      </c>
      <c r="AA80" s="284" t="s">
        <v>12086</v>
      </c>
      <c r="AB80" s="2">
        <v>45782</v>
      </c>
      <c r="AC80" s="80" t="s">
        <v>1339</v>
      </c>
      <c r="AD80" s="61"/>
      <c r="AF80" t="s">
        <v>3198</v>
      </c>
      <c r="AI80" s="61" t="s">
        <v>3392</v>
      </c>
      <c r="AJ80" s="2">
        <v>45714</v>
      </c>
      <c r="AM80" s="74">
        <v>45723</v>
      </c>
      <c r="AS80" s="1" t="s">
        <v>7977</v>
      </c>
      <c r="AT80" s="1"/>
    </row>
    <row r="81" spans="1:138">
      <c r="A81" s="1">
        <v>80</v>
      </c>
      <c r="B81" s="61" t="s">
        <v>33</v>
      </c>
      <c r="C81" s="2">
        <v>45709</v>
      </c>
      <c r="D81" s="2"/>
      <c r="E81" s="1" t="s">
        <v>11791</v>
      </c>
      <c r="F81" s="61" t="s">
        <v>10396</v>
      </c>
      <c r="G81" t="s">
        <v>10397</v>
      </c>
      <c r="H81" s="6" t="s">
        <v>236</v>
      </c>
      <c r="I81" s="1" t="s">
        <v>34</v>
      </c>
      <c r="J81" s="8">
        <v>684061208</v>
      </c>
      <c r="K81" s="114" t="s">
        <v>11744</v>
      </c>
      <c r="L81" t="s">
        <v>237</v>
      </c>
      <c r="M81" s="2">
        <v>45716</v>
      </c>
      <c r="N81" s="1" t="s">
        <v>35</v>
      </c>
      <c r="O81" s="61" t="s">
        <v>7925</v>
      </c>
      <c r="P81" s="14" t="s">
        <v>10398</v>
      </c>
      <c r="Q81" s="187">
        <v>0</v>
      </c>
      <c r="R81" s="1">
        <v>1</v>
      </c>
      <c r="S81" s="128">
        <v>0.21</v>
      </c>
      <c r="T81" s="128">
        <v>0</v>
      </c>
      <c r="U81" s="363"/>
      <c r="V81" s="126">
        <f t="shared" ref="V81:V84" si="34">SUM(Q81-(Q81*T81))*S81+(Q81-(Q81*T81))</f>
        <v>0</v>
      </c>
      <c r="W81" s="1" t="s">
        <v>10420</v>
      </c>
      <c r="X81" s="5" t="s">
        <v>11792</v>
      </c>
      <c r="Y81" s="2">
        <v>35231</v>
      </c>
      <c r="Z81" s="2">
        <v>45709</v>
      </c>
      <c r="AA81" s="284" t="s">
        <v>12086</v>
      </c>
      <c r="AB81" s="2">
        <v>45782</v>
      </c>
      <c r="AC81" s="80" t="s">
        <v>1339</v>
      </c>
      <c r="AJ81" s="2"/>
      <c r="AM81" s="74"/>
      <c r="AT81" s="1"/>
    </row>
    <row r="82" spans="1:138">
      <c r="A82" s="1">
        <v>81</v>
      </c>
      <c r="B82" t="s">
        <v>143</v>
      </c>
      <c r="C82" s="2">
        <v>45715</v>
      </c>
      <c r="D82" s="2"/>
      <c r="E82" s="1" t="s">
        <v>9944</v>
      </c>
      <c r="F82" s="61" t="s">
        <v>9902</v>
      </c>
      <c r="G82" t="s">
        <v>9903</v>
      </c>
      <c r="H82" s="6" t="s">
        <v>219</v>
      </c>
      <c r="I82" s="1" t="s">
        <v>4334</v>
      </c>
      <c r="J82" s="1">
        <v>612515984</v>
      </c>
      <c r="K82" s="1"/>
      <c r="L82" s="1" t="s">
        <v>9944</v>
      </c>
      <c r="M82" s="2">
        <v>45716</v>
      </c>
      <c r="N82" s="1" t="s">
        <v>35</v>
      </c>
      <c r="O82" s="61" t="s">
        <v>7934</v>
      </c>
      <c r="P82" s="14" t="s">
        <v>11794</v>
      </c>
      <c r="Q82" s="187">
        <v>86.78</v>
      </c>
      <c r="R82" s="1">
        <v>1</v>
      </c>
      <c r="S82" s="128">
        <v>0.21</v>
      </c>
      <c r="T82" s="128">
        <v>0</v>
      </c>
      <c r="U82" s="363"/>
      <c r="V82" s="126">
        <f t="shared" si="34"/>
        <v>105.0038</v>
      </c>
      <c r="W82" t="s">
        <v>9944</v>
      </c>
      <c r="X82" s="5" t="s">
        <v>11795</v>
      </c>
      <c r="Y82" s="3">
        <v>33950</v>
      </c>
      <c r="Z82" s="2">
        <v>45715</v>
      </c>
      <c r="AA82" s="284" t="s">
        <v>12030</v>
      </c>
      <c r="AB82" s="2">
        <v>45756</v>
      </c>
      <c r="AC82" s="80" t="s">
        <v>1339</v>
      </c>
      <c r="AF82" t="s">
        <v>3198</v>
      </c>
      <c r="AJ82" s="3"/>
      <c r="AM82" s="3"/>
      <c r="AS82" s="1"/>
    </row>
    <row r="83" spans="1:138">
      <c r="A83" s="1">
        <v>82</v>
      </c>
      <c r="B83" s="61" t="s">
        <v>33</v>
      </c>
      <c r="C83" s="2">
        <v>45715</v>
      </c>
      <c r="D83" s="2"/>
      <c r="E83" s="1" t="s">
        <v>4330</v>
      </c>
      <c r="F83" s="61" t="s">
        <v>4331</v>
      </c>
      <c r="G83" s="61" t="s">
        <v>4333</v>
      </c>
      <c r="H83" s="6" t="s">
        <v>219</v>
      </c>
      <c r="I83" s="1" t="s">
        <v>4334</v>
      </c>
      <c r="J83" s="1"/>
      <c r="K83" s="114" t="s">
        <v>11744</v>
      </c>
      <c r="L83" s="1" t="s">
        <v>237</v>
      </c>
      <c r="M83" s="2">
        <v>45716</v>
      </c>
      <c r="N83" s="1" t="s">
        <v>35</v>
      </c>
      <c r="O83" s="61" t="s">
        <v>7925</v>
      </c>
      <c r="P83" s="14" t="s">
        <v>11796</v>
      </c>
      <c r="Q83" s="187">
        <v>115.7</v>
      </c>
      <c r="R83" s="1">
        <v>1</v>
      </c>
      <c r="S83" s="128">
        <v>0.21</v>
      </c>
      <c r="T83" s="128">
        <v>0</v>
      </c>
      <c r="U83" s="363"/>
      <c r="V83" s="95">
        <f t="shared" si="34"/>
        <v>139.99700000000001</v>
      </c>
      <c r="W83" t="s">
        <v>11882</v>
      </c>
      <c r="X83" s="5" t="s">
        <v>11881</v>
      </c>
      <c r="Y83" s="2">
        <v>35159</v>
      </c>
      <c r="Z83" s="2">
        <v>45715</v>
      </c>
      <c r="AA83" s="284" t="s">
        <v>12400</v>
      </c>
      <c r="AB83" s="3">
        <v>45839</v>
      </c>
      <c r="AC83" s="80" t="s">
        <v>1339</v>
      </c>
      <c r="AD83" s="61"/>
      <c r="AF83" t="s">
        <v>3198</v>
      </c>
      <c r="AI83" s="61" t="s">
        <v>3392</v>
      </c>
      <c r="AJ83" s="3">
        <v>45724</v>
      </c>
      <c r="AM83" s="3">
        <v>45736</v>
      </c>
    </row>
    <row r="84" spans="1:138">
      <c r="A84" s="1">
        <v>83</v>
      </c>
      <c r="B84" t="s">
        <v>1242</v>
      </c>
      <c r="C84" s="2">
        <v>45715</v>
      </c>
      <c r="D84" s="2"/>
      <c r="E84" s="8" t="s">
        <v>7208</v>
      </c>
      <c r="F84" t="s">
        <v>11799</v>
      </c>
      <c r="G84" t="s">
        <v>7173</v>
      </c>
      <c r="H84" s="6" t="s">
        <v>227</v>
      </c>
      <c r="I84" s="1" t="s">
        <v>34</v>
      </c>
      <c r="J84" s="8"/>
      <c r="K84" s="8" t="s">
        <v>5905</v>
      </c>
      <c r="L84" s="31" t="s">
        <v>1250</v>
      </c>
      <c r="M84" s="2">
        <v>45716</v>
      </c>
      <c r="N84" s="1" t="s">
        <v>35</v>
      </c>
      <c r="O84" s="61" t="s">
        <v>7925</v>
      </c>
      <c r="P84" s="14" t="s">
        <v>11797</v>
      </c>
      <c r="Q84" s="187">
        <v>115.7</v>
      </c>
      <c r="R84" s="1">
        <v>1</v>
      </c>
      <c r="S84" s="128">
        <v>0.21</v>
      </c>
      <c r="T84" s="128">
        <v>0</v>
      </c>
      <c r="V84" s="95">
        <f t="shared" si="34"/>
        <v>139.99700000000001</v>
      </c>
      <c r="W84" t="s">
        <v>11872</v>
      </c>
      <c r="X84" s="5" t="s">
        <v>11873</v>
      </c>
      <c r="Y84" s="2">
        <v>32170</v>
      </c>
      <c r="Z84" s="2">
        <v>45715</v>
      </c>
      <c r="AA84" s="284" t="s">
        <v>12607</v>
      </c>
      <c r="AB84" s="64">
        <v>45874</v>
      </c>
      <c r="AC84" s="80" t="s">
        <v>1339</v>
      </c>
      <c r="AE84" s="162">
        <v>45824</v>
      </c>
      <c r="AF84" t="s">
        <v>3198</v>
      </c>
      <c r="AI84" s="61" t="s">
        <v>3392</v>
      </c>
      <c r="AJ84" s="3">
        <v>45724</v>
      </c>
      <c r="AM84" s="74">
        <v>45729</v>
      </c>
      <c r="AT84" s="1"/>
    </row>
    <row r="85" spans="1:138">
      <c r="A85" s="1">
        <v>84</v>
      </c>
      <c r="B85" t="s">
        <v>1242</v>
      </c>
      <c r="C85" s="2">
        <v>45715</v>
      </c>
      <c r="D85" s="403" t="s">
        <v>9900</v>
      </c>
      <c r="E85" s="8" t="s">
        <v>11798</v>
      </c>
      <c r="F85" t="s">
        <v>11800</v>
      </c>
      <c r="G85" t="s">
        <v>6389</v>
      </c>
      <c r="H85" s="6" t="s">
        <v>1229</v>
      </c>
      <c r="I85" s="1" t="s">
        <v>3454</v>
      </c>
      <c r="J85" s="8"/>
      <c r="K85" s="8" t="s">
        <v>5905</v>
      </c>
      <c r="L85" s="31" t="s">
        <v>1250</v>
      </c>
      <c r="M85" s="2">
        <v>45716</v>
      </c>
      <c r="N85" s="1" t="s">
        <v>35</v>
      </c>
      <c r="O85" s="61" t="s">
        <v>7925</v>
      </c>
      <c r="P85" s="14" t="s">
        <v>11801</v>
      </c>
      <c r="Q85" s="187">
        <v>115.7</v>
      </c>
      <c r="R85" s="1">
        <v>1</v>
      </c>
      <c r="S85" s="128">
        <v>0.21</v>
      </c>
      <c r="T85" s="128">
        <v>0</v>
      </c>
      <c r="V85" s="95">
        <f t="shared" ref="V85:V86" si="35">SUM(Q85-(Q85*T85))*S85+(Q85-(Q85*T85))</f>
        <v>139.99700000000001</v>
      </c>
      <c r="W85" t="s">
        <v>6387</v>
      </c>
      <c r="X85" s="5" t="s">
        <v>11876</v>
      </c>
      <c r="Y85" s="2">
        <v>31270</v>
      </c>
      <c r="Z85" s="2">
        <v>45715</v>
      </c>
      <c r="AA85" s="276" t="s">
        <v>12606</v>
      </c>
      <c r="AB85" s="64">
        <v>45874</v>
      </c>
      <c r="AC85" s="80" t="s">
        <v>1339</v>
      </c>
      <c r="AE85" s="292">
        <v>45821</v>
      </c>
      <c r="AF85" t="s">
        <v>3198</v>
      </c>
      <c r="AI85" s="61" t="s">
        <v>3392</v>
      </c>
      <c r="AJ85" s="3">
        <v>45724</v>
      </c>
      <c r="AM85" s="74">
        <v>45821</v>
      </c>
      <c r="AT85" s="1"/>
    </row>
    <row r="86" spans="1:138">
      <c r="A86" s="1">
        <v>85</v>
      </c>
      <c r="B86" t="s">
        <v>33</v>
      </c>
      <c r="C86" s="2">
        <v>45715</v>
      </c>
      <c r="D86" s="2"/>
      <c r="E86" s="1" t="s">
        <v>8796</v>
      </c>
      <c r="F86" t="s">
        <v>13069</v>
      </c>
      <c r="G86" t="s">
        <v>8798</v>
      </c>
      <c r="H86" s="6" t="s">
        <v>236</v>
      </c>
      <c r="I86" s="1" t="s">
        <v>3851</v>
      </c>
      <c r="J86" s="295"/>
      <c r="K86" s="114" t="s">
        <v>11744</v>
      </c>
      <c r="L86" t="s">
        <v>237</v>
      </c>
      <c r="M86" s="2">
        <v>45716</v>
      </c>
      <c r="N86" s="1" t="s">
        <v>35</v>
      </c>
      <c r="O86" s="61" t="s">
        <v>7934</v>
      </c>
      <c r="P86" s="14" t="s">
        <v>11802</v>
      </c>
      <c r="Q86" s="187">
        <v>86.78</v>
      </c>
      <c r="R86" s="1">
        <v>1</v>
      </c>
      <c r="S86" s="90">
        <v>0.21</v>
      </c>
      <c r="T86" s="90">
        <v>0</v>
      </c>
      <c r="U86" s="363"/>
      <c r="V86" s="95">
        <f t="shared" si="35"/>
        <v>105.0038</v>
      </c>
      <c r="W86" t="s">
        <v>11803</v>
      </c>
      <c r="X86" s="5" t="s">
        <v>11804</v>
      </c>
      <c r="Y86" s="2">
        <v>36161</v>
      </c>
      <c r="Z86" s="2">
        <v>45715</v>
      </c>
      <c r="AA86" s="284" t="s">
        <v>12025</v>
      </c>
      <c r="AB86" s="2">
        <v>45756</v>
      </c>
      <c r="AC86" s="80" t="s">
        <v>1339</v>
      </c>
      <c r="AF86" t="s">
        <v>3198</v>
      </c>
      <c r="AI86" s="3"/>
      <c r="AJ86" s="2"/>
      <c r="AK86" s="74"/>
      <c r="AL86" s="74"/>
      <c r="AM86" s="74"/>
      <c r="AT86" s="1"/>
    </row>
    <row r="87" spans="1:138">
      <c r="A87" s="1">
        <v>86</v>
      </c>
      <c r="B87" t="s">
        <v>33</v>
      </c>
      <c r="C87" s="2">
        <v>45715</v>
      </c>
      <c r="D87" s="403" t="s">
        <v>9900</v>
      </c>
      <c r="E87" s="1" t="s">
        <v>3777</v>
      </c>
      <c r="F87" s="61" t="s">
        <v>11805</v>
      </c>
      <c r="G87" t="s">
        <v>11806</v>
      </c>
      <c r="H87" s="6" t="s">
        <v>11807</v>
      </c>
      <c r="I87" s="1" t="s">
        <v>11808</v>
      </c>
      <c r="J87" s="1"/>
      <c r="K87" s="114" t="s">
        <v>11744</v>
      </c>
      <c r="L87" t="s">
        <v>237</v>
      </c>
      <c r="M87" s="2">
        <v>45716</v>
      </c>
      <c r="N87" s="1" t="s">
        <v>35</v>
      </c>
      <c r="O87" s="61" t="s">
        <v>7934</v>
      </c>
      <c r="P87" s="14" t="s">
        <v>11809</v>
      </c>
      <c r="Q87" s="92">
        <v>115.7</v>
      </c>
      <c r="R87" s="1">
        <v>1</v>
      </c>
      <c r="S87" s="128">
        <v>0.21</v>
      </c>
      <c r="T87" s="128">
        <v>0</v>
      </c>
      <c r="U87" s="95"/>
      <c r="V87" s="126">
        <f t="shared" ref="V87" si="36">SUM(Q87-(Q87*T87))*S87+(Q87-(Q87*T87))</f>
        <v>139.99700000000001</v>
      </c>
      <c r="W87" t="s">
        <v>11810</v>
      </c>
      <c r="X87" s="406" t="s">
        <v>11853</v>
      </c>
      <c r="Y87" s="3">
        <v>32143</v>
      </c>
      <c r="Z87" s="2">
        <v>45715</v>
      </c>
      <c r="AA87" s="3" t="s">
        <v>12148</v>
      </c>
      <c r="AB87" s="2">
        <v>45782</v>
      </c>
      <c r="AC87" s="80" t="s">
        <v>1339</v>
      </c>
      <c r="AF87" t="s">
        <v>3198</v>
      </c>
      <c r="AI87" s="61" t="s">
        <v>3392</v>
      </c>
      <c r="AJ87" s="3">
        <v>45721</v>
      </c>
      <c r="AM87" s="3">
        <v>45721</v>
      </c>
    </row>
    <row r="88" spans="1:138" ht="14.25" customHeight="1">
      <c r="A88" s="1">
        <v>87</v>
      </c>
      <c r="B88" t="s">
        <v>9170</v>
      </c>
      <c r="C88" s="2">
        <v>45715</v>
      </c>
      <c r="D88" s="2"/>
      <c r="E88" s="1" t="s">
        <v>256</v>
      </c>
      <c r="F88" s="103" t="s">
        <v>155</v>
      </c>
      <c r="G88" s="31" t="s">
        <v>138</v>
      </c>
      <c r="H88" s="33" t="s">
        <v>227</v>
      </c>
      <c r="I88" s="30" t="s">
        <v>203</v>
      </c>
      <c r="J88" s="30">
        <v>659409676</v>
      </c>
      <c r="K88" s="396" t="s">
        <v>9171</v>
      </c>
      <c r="L88" s="1" t="s">
        <v>256</v>
      </c>
      <c r="M88" s="2">
        <v>45716</v>
      </c>
      <c r="N88" s="1" t="s">
        <v>35</v>
      </c>
      <c r="O88" s="61" t="s">
        <v>7934</v>
      </c>
      <c r="P88" s="14" t="s">
        <v>11811</v>
      </c>
      <c r="Q88" s="187">
        <v>69.42</v>
      </c>
      <c r="R88" s="1">
        <v>1</v>
      </c>
      <c r="S88" s="128">
        <v>0.21</v>
      </c>
      <c r="T88" s="128">
        <v>0</v>
      </c>
      <c r="U88" s="363"/>
      <c r="V88" s="126">
        <f t="shared" ref="V88:V91" si="37">SUM(Q88-(Q88*T88))*S88+(Q88-(Q88*T88))</f>
        <v>83.998199999999997</v>
      </c>
      <c r="W88" t="s">
        <v>9876</v>
      </c>
      <c r="X88" s="5" t="s">
        <v>11812</v>
      </c>
      <c r="Y88" s="211">
        <v>35613</v>
      </c>
      <c r="Z88" s="2">
        <v>45715</v>
      </c>
      <c r="AA88" s="284" t="s">
        <v>12030</v>
      </c>
      <c r="AB88" s="2">
        <v>45756</v>
      </c>
      <c r="AC88" s="80" t="s">
        <v>1339</v>
      </c>
      <c r="AF88" t="s">
        <v>3198</v>
      </c>
      <c r="AJ88" s="3"/>
      <c r="AM88" s="74"/>
      <c r="AS88" s="1"/>
    </row>
    <row r="89" spans="1:138">
      <c r="A89" s="1">
        <v>88</v>
      </c>
      <c r="B89" t="s">
        <v>7245</v>
      </c>
      <c r="C89" s="2">
        <v>45715</v>
      </c>
      <c r="D89" s="2"/>
      <c r="E89" s="1" t="s">
        <v>1522</v>
      </c>
      <c r="F89" t="s">
        <v>3233</v>
      </c>
      <c r="G89" t="s">
        <v>3241</v>
      </c>
      <c r="H89" s="6" t="s">
        <v>3234</v>
      </c>
      <c r="I89" t="s">
        <v>3235</v>
      </c>
      <c r="J89" s="8">
        <v>680761760</v>
      </c>
      <c r="K89" s="8" t="s">
        <v>6232</v>
      </c>
      <c r="L89" t="s">
        <v>1522</v>
      </c>
      <c r="M89" s="2">
        <v>45716</v>
      </c>
      <c r="N89" s="1" t="s">
        <v>35</v>
      </c>
      <c r="O89" s="14" t="s">
        <v>9758</v>
      </c>
      <c r="P89" s="14" t="s">
        <v>11813</v>
      </c>
      <c r="Q89" s="187">
        <v>115.7</v>
      </c>
      <c r="R89" s="1">
        <v>1</v>
      </c>
      <c r="S89" s="128">
        <v>0.21</v>
      </c>
      <c r="T89" s="128">
        <v>0</v>
      </c>
      <c r="V89" s="95">
        <f t="shared" si="37"/>
        <v>139.99700000000001</v>
      </c>
      <c r="W89" t="s">
        <v>11877</v>
      </c>
      <c r="X89" s="5" t="s">
        <v>11878</v>
      </c>
      <c r="Y89" s="2">
        <v>30441</v>
      </c>
      <c r="Z89" s="2">
        <v>45715</v>
      </c>
      <c r="AA89" s="287" t="s">
        <v>11300</v>
      </c>
      <c r="AB89" s="1"/>
      <c r="AC89" s="61"/>
      <c r="AE89" s="3"/>
      <c r="AF89" t="s">
        <v>3198</v>
      </c>
      <c r="AI89" t="s">
        <v>11814</v>
      </c>
      <c r="AJ89" s="2">
        <v>45724</v>
      </c>
      <c r="AM89" s="74">
        <v>45730</v>
      </c>
      <c r="AT89" s="1"/>
    </row>
    <row r="90" spans="1:138">
      <c r="A90" s="1">
        <v>89</v>
      </c>
      <c r="B90" t="s">
        <v>40</v>
      </c>
      <c r="C90" s="2">
        <v>45715</v>
      </c>
      <c r="D90" s="2"/>
      <c r="E90" s="1" t="s">
        <v>2611</v>
      </c>
      <c r="F90" s="61" t="s">
        <v>2612</v>
      </c>
      <c r="G90" s="61" t="s">
        <v>4022</v>
      </c>
      <c r="H90" s="6" t="s">
        <v>221</v>
      </c>
      <c r="I90" s="1" t="s">
        <v>34</v>
      </c>
      <c r="J90" s="8">
        <v>697501300</v>
      </c>
      <c r="K90" t="s">
        <v>8357</v>
      </c>
      <c r="L90" s="1" t="s">
        <v>2611</v>
      </c>
      <c r="M90" s="2">
        <v>45716</v>
      </c>
      <c r="N90" s="1" t="s">
        <v>35</v>
      </c>
      <c r="O90" s="61" t="s">
        <v>9758</v>
      </c>
      <c r="P90" s="14" t="s">
        <v>11815</v>
      </c>
      <c r="Q90" s="187">
        <v>115.7</v>
      </c>
      <c r="R90" s="1">
        <v>1</v>
      </c>
      <c r="S90" s="128">
        <v>0.21</v>
      </c>
      <c r="T90" s="128">
        <v>0</v>
      </c>
      <c r="U90" s="363"/>
      <c r="V90" s="126">
        <f t="shared" si="37"/>
        <v>139.99700000000001</v>
      </c>
      <c r="W90" t="s">
        <v>11879</v>
      </c>
      <c r="X90" s="5" t="s">
        <v>11880</v>
      </c>
      <c r="Y90" s="3">
        <v>32309</v>
      </c>
      <c r="Z90" s="2">
        <v>45715</v>
      </c>
      <c r="AA90" s="284" t="s">
        <v>12062</v>
      </c>
      <c r="AB90" s="2">
        <v>45768</v>
      </c>
      <c r="AC90" s="80" t="s">
        <v>1339</v>
      </c>
      <c r="AF90" t="s">
        <v>3198</v>
      </c>
      <c r="AI90" t="s">
        <v>3470</v>
      </c>
      <c r="AJ90" s="2">
        <v>45724</v>
      </c>
      <c r="AM90" s="3">
        <v>45736</v>
      </c>
    </row>
    <row r="91" spans="1:138" s="197" customFormat="1">
      <c r="A91" s="1">
        <v>90</v>
      </c>
      <c r="B91" s="61" t="s">
        <v>1414</v>
      </c>
      <c r="C91" s="2">
        <v>45715</v>
      </c>
      <c r="D91" s="1"/>
      <c r="E91" s="1" t="s">
        <v>1079</v>
      </c>
      <c r="F91" s="61" t="s">
        <v>41</v>
      </c>
      <c r="G91" s="61" t="s">
        <v>4957</v>
      </c>
      <c r="H91" s="1" t="s">
        <v>230</v>
      </c>
      <c r="I91" t="s">
        <v>1262</v>
      </c>
      <c r="J91" s="8">
        <v>631212115</v>
      </c>
      <c r="K91" s="8" t="s">
        <v>6306</v>
      </c>
      <c r="L91" t="s">
        <v>1079</v>
      </c>
      <c r="M91" s="2">
        <v>45716</v>
      </c>
      <c r="N91" s="1" t="s">
        <v>35</v>
      </c>
      <c r="O91" s="61" t="s">
        <v>9758</v>
      </c>
      <c r="P91" s="14" t="s">
        <v>11816</v>
      </c>
      <c r="Q91" s="187">
        <v>115.7</v>
      </c>
      <c r="R91" s="1">
        <v>1</v>
      </c>
      <c r="S91" s="128">
        <v>0.21</v>
      </c>
      <c r="T91" s="128">
        <v>0</v>
      </c>
      <c r="U91" s="363"/>
      <c r="V91" s="126">
        <f t="shared" si="37"/>
        <v>139.99700000000001</v>
      </c>
      <c r="W91" t="s">
        <v>11870</v>
      </c>
      <c r="X91" s="5" t="s">
        <v>11871</v>
      </c>
      <c r="Y91" s="2">
        <v>38487</v>
      </c>
      <c r="Z91" s="2">
        <v>45715</v>
      </c>
      <c r="AA91" s="284" t="s">
        <v>12086</v>
      </c>
      <c r="AB91" s="64">
        <v>45777</v>
      </c>
      <c r="AC91" s="80" t="s">
        <v>1339</v>
      </c>
      <c r="AD91"/>
      <c r="AE91"/>
      <c r="AF91" t="s">
        <v>3198</v>
      </c>
      <c r="AG91"/>
      <c r="AH91"/>
      <c r="AI91" t="s">
        <v>3470</v>
      </c>
      <c r="AJ91" s="3">
        <v>45724</v>
      </c>
      <c r="AK91"/>
      <c r="AL91" s="2"/>
      <c r="AM91" s="3">
        <v>45736</v>
      </c>
      <c r="AN91"/>
      <c r="AO91"/>
      <c r="AP91"/>
      <c r="AQ91"/>
      <c r="AR91"/>
      <c r="AS91" s="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</row>
    <row r="92" spans="1:138" s="197" customFormat="1">
      <c r="A92" s="1">
        <v>91</v>
      </c>
      <c r="B92" s="61" t="s">
        <v>37</v>
      </c>
      <c r="C92" s="2">
        <v>45715</v>
      </c>
      <c r="D92" s="403" t="s">
        <v>9900</v>
      </c>
      <c r="E92" s="1" t="s">
        <v>11817</v>
      </c>
      <c r="F92" s="61" t="s">
        <v>11818</v>
      </c>
      <c r="G92" s="61" t="s">
        <v>11819</v>
      </c>
      <c r="H92" s="6" t="s">
        <v>11825</v>
      </c>
      <c r="I92" s="1" t="s">
        <v>49</v>
      </c>
      <c r="J92" s="8" t="s">
        <v>11820</v>
      </c>
      <c r="K92" s="8"/>
      <c r="L92" s="1" t="s">
        <v>11817</v>
      </c>
      <c r="M92" s="2">
        <v>45716</v>
      </c>
      <c r="N92" s="1" t="s">
        <v>35</v>
      </c>
      <c r="O92" s="61" t="s">
        <v>7934</v>
      </c>
      <c r="P92" s="14" t="s">
        <v>11821</v>
      </c>
      <c r="Q92" s="187">
        <v>86.78</v>
      </c>
      <c r="R92" s="1">
        <v>1</v>
      </c>
      <c r="S92" s="128">
        <v>0.21</v>
      </c>
      <c r="T92" s="128">
        <v>0</v>
      </c>
      <c r="U92" s="363"/>
      <c r="V92" s="126">
        <f t="shared" ref="V92:V96" si="38">SUM(Q92-(Q92*T92))*S92+(Q92-(Q92*T92))</f>
        <v>105.0038</v>
      </c>
      <c r="W92" t="s">
        <v>11817</v>
      </c>
      <c r="X92" s="5" t="s">
        <v>11822</v>
      </c>
      <c r="Y92" s="2">
        <v>38227</v>
      </c>
      <c r="Z92" s="2">
        <v>45715</v>
      </c>
      <c r="AA92" s="284" t="s">
        <v>11989</v>
      </c>
      <c r="AB92" s="2">
        <v>45747</v>
      </c>
      <c r="AC92" s="80" t="s">
        <v>1339</v>
      </c>
      <c r="AD92"/>
      <c r="AE92"/>
      <c r="AF92" t="s">
        <v>3198</v>
      </c>
      <c r="AG92"/>
      <c r="AH92"/>
      <c r="AI92"/>
      <c r="AJ92" s="3"/>
      <c r="AK92"/>
      <c r="AL92" s="2"/>
      <c r="AM92" s="3"/>
      <c r="AN92"/>
      <c r="AO92"/>
      <c r="AP92"/>
      <c r="AQ92"/>
      <c r="AR92"/>
      <c r="AS92" s="1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</row>
    <row r="93" spans="1:138">
      <c r="A93" s="1">
        <v>92</v>
      </c>
      <c r="B93" s="61" t="s">
        <v>37</v>
      </c>
      <c r="C93" s="2">
        <v>45715</v>
      </c>
      <c r="D93" s="2" t="s">
        <v>9900</v>
      </c>
      <c r="E93" s="1" t="s">
        <v>11890</v>
      </c>
      <c r="F93" s="61" t="s">
        <v>11823</v>
      </c>
      <c r="G93" s="61" t="s">
        <v>11824</v>
      </c>
      <c r="H93" s="1">
        <v>4740</v>
      </c>
      <c r="I93" s="1" t="s">
        <v>4334</v>
      </c>
      <c r="J93" s="8" t="s">
        <v>11826</v>
      </c>
      <c r="K93" s="8"/>
      <c r="L93" s="1" t="s">
        <v>11890</v>
      </c>
      <c r="M93" s="2">
        <v>45716</v>
      </c>
      <c r="N93" s="1" t="s">
        <v>35</v>
      </c>
      <c r="O93" s="61" t="s">
        <v>7925</v>
      </c>
      <c r="P93" s="14" t="s">
        <v>11827</v>
      </c>
      <c r="Q93" s="187">
        <v>165.29</v>
      </c>
      <c r="R93" s="1">
        <v>1</v>
      </c>
      <c r="S93" s="128">
        <v>0.21</v>
      </c>
      <c r="T93" s="128">
        <v>0</v>
      </c>
      <c r="U93" s="363"/>
      <c r="V93" s="126">
        <f>SUM(Q93-(Q93*T93))*S93+(Q93-(Q93*T93))</f>
        <v>200.0009</v>
      </c>
      <c r="W93" s="363" t="s">
        <v>11890</v>
      </c>
      <c r="X93" s="406" t="s">
        <v>11889</v>
      </c>
      <c r="Y93" s="2">
        <v>35084</v>
      </c>
      <c r="Z93" s="2">
        <v>45715</v>
      </c>
      <c r="AA93" s="284" t="s">
        <v>12239</v>
      </c>
      <c r="AB93" s="2">
        <v>45796</v>
      </c>
      <c r="AC93" s="80" t="s">
        <v>1339</v>
      </c>
      <c r="AF93" t="s">
        <v>3198</v>
      </c>
      <c r="AI93" s="61" t="s">
        <v>3392</v>
      </c>
      <c r="AJ93" s="3">
        <v>45725</v>
      </c>
      <c r="AL93" s="2"/>
      <c r="AM93" s="3">
        <v>45725</v>
      </c>
      <c r="AS93" s="1"/>
    </row>
    <row r="94" spans="1:138" ht="14.25" customHeight="1">
      <c r="A94" s="1">
        <v>93</v>
      </c>
      <c r="B94" t="s">
        <v>33</v>
      </c>
      <c r="C94" s="2">
        <v>45670</v>
      </c>
      <c r="D94" s="2"/>
      <c r="E94" s="1" t="s">
        <v>3327</v>
      </c>
      <c r="F94" s="61" t="s">
        <v>9869</v>
      </c>
      <c r="G94" t="s">
        <v>3329</v>
      </c>
      <c r="H94" s="6" t="s">
        <v>304</v>
      </c>
      <c r="I94" s="1" t="s">
        <v>68</v>
      </c>
      <c r="J94" s="8"/>
      <c r="K94" s="114" t="s">
        <v>11744</v>
      </c>
      <c r="L94" s="30" t="s">
        <v>237</v>
      </c>
      <c r="M94" s="2">
        <v>45747</v>
      </c>
      <c r="N94" s="1" t="s">
        <v>35</v>
      </c>
      <c r="O94" s="61" t="s">
        <v>7925</v>
      </c>
      <c r="P94" s="14" t="s">
        <v>5653</v>
      </c>
      <c r="Q94" s="187">
        <v>115.7</v>
      </c>
      <c r="R94" s="1">
        <v>1</v>
      </c>
      <c r="S94" s="128">
        <v>0.21</v>
      </c>
      <c r="T94" s="128">
        <v>0</v>
      </c>
      <c r="U94" s="363"/>
      <c r="V94" s="126">
        <f>SUM(Q94-(Q94*T94))*S94+(Q94-(Q94*T94))</f>
        <v>139.99700000000001</v>
      </c>
      <c r="W94" t="s">
        <v>11829</v>
      </c>
      <c r="X94" s="5" t="s">
        <v>11828</v>
      </c>
      <c r="Y94" s="2">
        <v>28525</v>
      </c>
      <c r="Z94" s="2">
        <v>45670</v>
      </c>
      <c r="AA94" s="182" t="s">
        <v>13363</v>
      </c>
      <c r="AB94" s="2">
        <v>45959</v>
      </c>
      <c r="AC94" s="80" t="s">
        <v>1339</v>
      </c>
      <c r="AF94" t="s">
        <v>3198</v>
      </c>
      <c r="AI94" s="61" t="s">
        <v>3392</v>
      </c>
      <c r="AJ94" s="3">
        <v>45719</v>
      </c>
      <c r="AM94" s="3">
        <v>45722</v>
      </c>
      <c r="AS94" s="1"/>
    </row>
    <row r="95" spans="1:138" s="197" customFormat="1">
      <c r="A95" s="1">
        <v>94</v>
      </c>
      <c r="B95" s="61" t="s">
        <v>1414</v>
      </c>
      <c r="C95" s="2">
        <v>45719</v>
      </c>
      <c r="D95" s="403" t="s">
        <v>9900</v>
      </c>
      <c r="E95" s="1" t="s">
        <v>11830</v>
      </c>
      <c r="F95" s="61" t="s">
        <v>11831</v>
      </c>
      <c r="G95" s="61" t="s">
        <v>11832</v>
      </c>
      <c r="H95" s="1">
        <v>4700</v>
      </c>
      <c r="I95" s="1" t="s">
        <v>34</v>
      </c>
      <c r="J95" s="8"/>
      <c r="K95" s="301" t="s">
        <v>11833</v>
      </c>
      <c r="L95" s="1" t="s">
        <v>11830</v>
      </c>
      <c r="M95" s="2">
        <v>45747</v>
      </c>
      <c r="N95" s="1" t="s">
        <v>35</v>
      </c>
      <c r="O95" s="61" t="s">
        <v>9758</v>
      </c>
      <c r="P95" s="14" t="s">
        <v>11834</v>
      </c>
      <c r="Q95" s="187">
        <v>115.7</v>
      </c>
      <c r="R95" s="1">
        <v>1</v>
      </c>
      <c r="S95" s="128">
        <v>0.21</v>
      </c>
      <c r="T95" s="128">
        <v>0</v>
      </c>
      <c r="U95" s="363"/>
      <c r="V95" s="126">
        <f>SUM(Q95-(Q95*T95))*S95+(Q95-(Q95*T95))</f>
        <v>139.99700000000001</v>
      </c>
      <c r="W95" t="s">
        <v>11874</v>
      </c>
      <c r="X95" s="5" t="s">
        <v>11875</v>
      </c>
      <c r="Y95" s="2">
        <v>33604</v>
      </c>
      <c r="Z95" s="2">
        <v>45719</v>
      </c>
      <c r="AA95" s="284" t="s">
        <v>12119</v>
      </c>
      <c r="AB95" s="2">
        <v>45777</v>
      </c>
      <c r="AC95" s="80" t="s">
        <v>1339</v>
      </c>
      <c r="AD95"/>
      <c r="AE95"/>
      <c r="AF95" t="s">
        <v>3198</v>
      </c>
      <c r="AG95"/>
      <c r="AH95"/>
      <c r="AI95" t="s">
        <v>3470</v>
      </c>
      <c r="AJ95" s="3">
        <v>45724</v>
      </c>
      <c r="AK95"/>
      <c r="AL95" s="2"/>
      <c r="AM95" s="3">
        <v>45734</v>
      </c>
      <c r="AN95"/>
      <c r="AO95"/>
      <c r="AP95"/>
      <c r="AQ95"/>
      <c r="AR95"/>
      <c r="AS95" s="1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</row>
    <row r="96" spans="1:138" s="197" customFormat="1">
      <c r="A96" s="1">
        <v>95</v>
      </c>
      <c r="B96" s="61" t="s">
        <v>37</v>
      </c>
      <c r="C96" s="2">
        <v>45719</v>
      </c>
      <c r="D96" s="403" t="s">
        <v>9900</v>
      </c>
      <c r="E96" s="1" t="s">
        <v>6169</v>
      </c>
      <c r="F96" s="61" t="s">
        <v>11835</v>
      </c>
      <c r="G96" s="61" t="s">
        <v>11836</v>
      </c>
      <c r="H96" s="1">
        <v>4859</v>
      </c>
      <c r="I96" s="1" t="s">
        <v>6105</v>
      </c>
      <c r="J96" s="8">
        <v>643736160</v>
      </c>
      <c r="K96" s="8"/>
      <c r="L96" s="1" t="s">
        <v>6169</v>
      </c>
      <c r="M96" s="2">
        <v>45747</v>
      </c>
      <c r="N96" s="1" t="s">
        <v>35</v>
      </c>
      <c r="O96" s="61" t="s">
        <v>7934</v>
      </c>
      <c r="P96" s="14" t="s">
        <v>8037</v>
      </c>
      <c r="Q96" s="187">
        <v>86.78</v>
      </c>
      <c r="R96" s="1">
        <v>1</v>
      </c>
      <c r="S96" s="128">
        <v>0.21</v>
      </c>
      <c r="T96" s="128">
        <v>0</v>
      </c>
      <c r="U96" s="363"/>
      <c r="V96" s="126">
        <f t="shared" si="38"/>
        <v>105.0038</v>
      </c>
      <c r="W96" s="1" t="s">
        <v>6169</v>
      </c>
      <c r="X96" s="5" t="s">
        <v>11837</v>
      </c>
      <c r="Y96" s="2">
        <v>32186</v>
      </c>
      <c r="Z96" s="2">
        <v>45719</v>
      </c>
      <c r="AA96" s="284" t="s">
        <v>12063</v>
      </c>
      <c r="AB96" s="2">
        <v>45768</v>
      </c>
      <c r="AC96" s="80" t="s">
        <v>1339</v>
      </c>
      <c r="AD96" s="287" t="s">
        <v>11838</v>
      </c>
      <c r="AE96"/>
      <c r="AF96" t="s">
        <v>3198</v>
      </c>
      <c r="AG96"/>
      <c r="AH96"/>
      <c r="AI96"/>
      <c r="AJ96" s="3"/>
      <c r="AK96"/>
      <c r="AL96" s="2"/>
      <c r="AM96" s="3"/>
      <c r="AN96"/>
      <c r="AO96"/>
      <c r="AP96"/>
      <c r="AQ96"/>
      <c r="AR96"/>
      <c r="AS96" s="1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</row>
    <row r="97" spans="1:46">
      <c r="A97" s="1">
        <v>96</v>
      </c>
      <c r="B97" s="61" t="s">
        <v>33</v>
      </c>
      <c r="C97" s="2">
        <v>45719</v>
      </c>
      <c r="D97" s="2"/>
      <c r="E97" s="1" t="s">
        <v>4330</v>
      </c>
      <c r="F97" s="61" t="s">
        <v>9865</v>
      </c>
      <c r="G97" s="61" t="s">
        <v>4333</v>
      </c>
      <c r="H97" s="6" t="s">
        <v>219</v>
      </c>
      <c r="I97" s="1" t="s">
        <v>4334</v>
      </c>
      <c r="J97" s="1"/>
      <c r="K97" s="114" t="s">
        <v>11744</v>
      </c>
      <c r="L97" s="1" t="s">
        <v>237</v>
      </c>
      <c r="M97" s="2">
        <v>45747</v>
      </c>
      <c r="N97" s="1" t="s">
        <v>35</v>
      </c>
      <c r="O97" s="61" t="s">
        <v>7934</v>
      </c>
      <c r="P97" s="14" t="s">
        <v>11839</v>
      </c>
      <c r="Q97" s="187">
        <v>69.42</v>
      </c>
      <c r="R97" s="1">
        <v>1</v>
      </c>
      <c r="S97" s="128">
        <v>0.21</v>
      </c>
      <c r="T97" s="128">
        <v>0</v>
      </c>
      <c r="U97" s="363"/>
      <c r="V97" s="126">
        <f t="shared" ref="V97" si="39">SUM(Q97-(Q97*T97))*S97+(Q97-(Q97*T97))</f>
        <v>83.998199999999997</v>
      </c>
      <c r="W97" t="s">
        <v>9943</v>
      </c>
      <c r="X97" s="5" t="s">
        <v>11840</v>
      </c>
      <c r="Y97" s="2">
        <v>31552</v>
      </c>
      <c r="Z97" s="2">
        <v>45719</v>
      </c>
      <c r="AA97" s="284" t="s">
        <v>12030</v>
      </c>
      <c r="AB97" s="2">
        <v>45756</v>
      </c>
      <c r="AC97" s="80" t="s">
        <v>1339</v>
      </c>
      <c r="AD97" s="61"/>
      <c r="AF97" t="s">
        <v>3198</v>
      </c>
      <c r="AJ97" s="2"/>
      <c r="AM97" s="3"/>
    </row>
    <row r="98" spans="1:46">
      <c r="A98" s="1">
        <v>97</v>
      </c>
      <c r="B98" s="61" t="s">
        <v>33</v>
      </c>
      <c r="C98" s="2">
        <v>45719</v>
      </c>
      <c r="D98" s="2"/>
      <c r="E98" s="1" t="s">
        <v>3247</v>
      </c>
      <c r="F98" t="s">
        <v>9109</v>
      </c>
      <c r="G98" t="s">
        <v>3242</v>
      </c>
      <c r="H98" s="6" t="s">
        <v>304</v>
      </c>
      <c r="I98" t="s">
        <v>38</v>
      </c>
      <c r="J98" s="8">
        <v>646181264</v>
      </c>
      <c r="K98" s="114" t="s">
        <v>11744</v>
      </c>
      <c r="L98" s="1" t="s">
        <v>237</v>
      </c>
      <c r="M98" s="2">
        <v>45747</v>
      </c>
      <c r="N98" s="1" t="s">
        <v>35</v>
      </c>
      <c r="O98" s="14" t="s">
        <v>9758</v>
      </c>
      <c r="P98" s="14" t="s">
        <v>11841</v>
      </c>
      <c r="Q98" s="187">
        <v>115.7</v>
      </c>
      <c r="R98" s="1">
        <v>1</v>
      </c>
      <c r="S98" s="90">
        <v>0.21</v>
      </c>
      <c r="T98" s="90">
        <v>0</v>
      </c>
      <c r="V98" s="95">
        <f t="shared" ref="V98" si="40">SUM(Q98-(Q98*T98))*S98+(Q98-(Q98*T98))</f>
        <v>139.99700000000001</v>
      </c>
      <c r="W98" t="s">
        <v>11885</v>
      </c>
      <c r="X98" s="5" t="s">
        <v>11886</v>
      </c>
      <c r="Y98" s="2">
        <v>35643</v>
      </c>
      <c r="Z98" s="2">
        <v>45719</v>
      </c>
      <c r="AA98" s="284" t="s">
        <v>12119</v>
      </c>
      <c r="AB98" s="2">
        <v>45777</v>
      </c>
      <c r="AC98" s="80" t="s">
        <v>1339</v>
      </c>
      <c r="AF98" t="s">
        <v>3198</v>
      </c>
      <c r="AI98" t="s">
        <v>3470</v>
      </c>
      <c r="AJ98" s="3">
        <v>45724</v>
      </c>
      <c r="AM98" s="2">
        <v>45729</v>
      </c>
      <c r="AS98" s="1" t="s">
        <v>7936</v>
      </c>
      <c r="AT98" s="1"/>
    </row>
    <row r="99" spans="1:46" s="457" customFormat="1" ht="15" customHeight="1" thickBot="1">
      <c r="A99" s="1">
        <v>98</v>
      </c>
      <c r="B99" s="457" t="s">
        <v>33</v>
      </c>
      <c r="C99" s="458">
        <v>45719</v>
      </c>
      <c r="D99" s="458"/>
      <c r="E99" s="456" t="s">
        <v>5440</v>
      </c>
      <c r="F99" s="459" t="s">
        <v>5441</v>
      </c>
      <c r="G99" s="459" t="s">
        <v>5442</v>
      </c>
      <c r="H99" s="460" t="s">
        <v>236</v>
      </c>
      <c r="I99" s="456" t="s">
        <v>34</v>
      </c>
      <c r="J99" s="461"/>
      <c r="K99" s="462" t="s">
        <v>11744</v>
      </c>
      <c r="L99" s="457" t="s">
        <v>237</v>
      </c>
      <c r="M99" s="458">
        <v>45747</v>
      </c>
      <c r="N99" s="456" t="s">
        <v>35</v>
      </c>
      <c r="O99" s="459" t="s">
        <v>9758</v>
      </c>
      <c r="P99" s="463" t="s">
        <v>11842</v>
      </c>
      <c r="Q99" s="464">
        <v>115.7</v>
      </c>
      <c r="R99" s="456">
        <v>1</v>
      </c>
      <c r="S99" s="465">
        <v>0.21</v>
      </c>
      <c r="T99" s="465">
        <v>0</v>
      </c>
      <c r="U99" s="466"/>
      <c r="V99" s="467">
        <f t="shared" ref="V99" si="41">SUM(Q99-(Q99*T99))*S99+(Q99-(Q99*T99))</f>
        <v>139.99700000000001</v>
      </c>
      <c r="W99" s="457" t="s">
        <v>11883</v>
      </c>
      <c r="X99" s="468" t="s">
        <v>11884</v>
      </c>
      <c r="Y99" s="458">
        <v>37863</v>
      </c>
      <c r="Z99" s="458">
        <v>45719</v>
      </c>
      <c r="AA99" s="479" t="s">
        <v>12333</v>
      </c>
      <c r="AB99" s="458">
        <v>45819</v>
      </c>
      <c r="AC99" s="469" t="s">
        <v>1339</v>
      </c>
      <c r="AE99" s="470"/>
      <c r="AF99" s="457" t="s">
        <v>3198</v>
      </c>
      <c r="AI99" s="459" t="s">
        <v>3392</v>
      </c>
      <c r="AJ99" s="458">
        <v>45724</v>
      </c>
      <c r="AM99" s="470">
        <v>45737</v>
      </c>
    </row>
    <row r="100" spans="1:46" ht="15.75" thickTop="1">
      <c r="A100" s="1">
        <v>99</v>
      </c>
      <c r="B100" t="s">
        <v>1414</v>
      </c>
      <c r="C100" s="2">
        <v>45720</v>
      </c>
      <c r="D100" s="403" t="s">
        <v>9900</v>
      </c>
      <c r="E100" s="410" t="s">
        <v>11887</v>
      </c>
      <c r="F100" s="61" t="s">
        <v>11849</v>
      </c>
      <c r="G100" s="61" t="s">
        <v>11850</v>
      </c>
      <c r="H100" s="6" t="s">
        <v>241</v>
      </c>
      <c r="I100" s="1" t="s">
        <v>11851</v>
      </c>
      <c r="J100" s="8">
        <v>659511453</v>
      </c>
      <c r="K100" s="396"/>
      <c r="L100" s="410" t="s">
        <v>11887</v>
      </c>
      <c r="M100" s="2">
        <v>45747</v>
      </c>
      <c r="N100" s="1" t="s">
        <v>35</v>
      </c>
      <c r="O100" s="61" t="s">
        <v>7925</v>
      </c>
      <c r="P100" s="14" t="s">
        <v>11852</v>
      </c>
      <c r="Q100" s="187">
        <v>115.7</v>
      </c>
      <c r="R100" s="1">
        <v>1</v>
      </c>
      <c r="S100" s="90">
        <v>0.21</v>
      </c>
      <c r="T100" s="90">
        <v>0</v>
      </c>
      <c r="U100" s="363"/>
      <c r="V100" s="126">
        <f t="shared" ref="V100:V101" si="42">SUM(Q100-(Q100*T100))*S100+(Q100-(Q100*T100))</f>
        <v>139.99700000000001</v>
      </c>
      <c r="W100" t="s">
        <v>11887</v>
      </c>
      <c r="X100" s="5" t="s">
        <v>11888</v>
      </c>
      <c r="Y100" s="2">
        <v>24268</v>
      </c>
      <c r="Z100" s="2">
        <v>45720</v>
      </c>
      <c r="AA100" s="284" t="s">
        <v>12190</v>
      </c>
      <c r="AB100" s="2">
        <v>45792</v>
      </c>
      <c r="AC100" s="80" t="s">
        <v>1339</v>
      </c>
      <c r="AD100" t="s">
        <v>12120</v>
      </c>
      <c r="AE100" s="162"/>
      <c r="AF100" t="s">
        <v>3198</v>
      </c>
      <c r="AI100" s="61" t="s">
        <v>3392</v>
      </c>
      <c r="AJ100" s="3">
        <v>45724</v>
      </c>
      <c r="AM100" s="3">
        <v>45734</v>
      </c>
    </row>
    <row r="101" spans="1:46">
      <c r="A101" s="1">
        <v>100</v>
      </c>
      <c r="B101" t="s">
        <v>33</v>
      </c>
      <c r="C101" s="2">
        <v>45722</v>
      </c>
      <c r="D101" s="2"/>
      <c r="E101" s="1" t="s">
        <v>5440</v>
      </c>
      <c r="F101" s="61" t="s">
        <v>11901</v>
      </c>
      <c r="G101" s="61" t="s">
        <v>5442</v>
      </c>
      <c r="H101" s="6" t="s">
        <v>236</v>
      </c>
      <c r="I101" s="1" t="s">
        <v>34</v>
      </c>
      <c r="J101" s="8"/>
      <c r="K101" s="114" t="s">
        <v>11744</v>
      </c>
      <c r="L101" t="s">
        <v>237</v>
      </c>
      <c r="M101" s="2">
        <v>45747</v>
      </c>
      <c r="N101" s="1" t="s">
        <v>35</v>
      </c>
      <c r="O101" s="61" t="s">
        <v>9758</v>
      </c>
      <c r="P101" s="14" t="s">
        <v>11854</v>
      </c>
      <c r="Q101" s="187">
        <v>115.7</v>
      </c>
      <c r="R101" s="1">
        <v>1</v>
      </c>
      <c r="S101" s="90">
        <v>0.21</v>
      </c>
      <c r="T101" s="90">
        <v>0</v>
      </c>
      <c r="U101" s="363"/>
      <c r="V101" s="126">
        <f t="shared" si="42"/>
        <v>139.99700000000001</v>
      </c>
      <c r="W101" t="s">
        <v>11903</v>
      </c>
      <c r="X101" s="5" t="s">
        <v>11904</v>
      </c>
      <c r="Y101" s="2">
        <v>36040</v>
      </c>
      <c r="Z101" s="2">
        <v>45722</v>
      </c>
      <c r="AA101" s="284" t="s">
        <v>12334</v>
      </c>
      <c r="AB101" s="2">
        <v>45819</v>
      </c>
      <c r="AC101" s="80" t="s">
        <v>1339</v>
      </c>
      <c r="AD101" t="s">
        <v>12120</v>
      </c>
      <c r="AE101" s="3"/>
      <c r="AF101" t="s">
        <v>3198</v>
      </c>
      <c r="AI101" t="s">
        <v>3470</v>
      </c>
      <c r="AJ101" s="2">
        <v>45729</v>
      </c>
      <c r="AM101" s="3">
        <v>45737</v>
      </c>
    </row>
    <row r="102" spans="1:46">
      <c r="A102" s="1">
        <v>101</v>
      </c>
      <c r="B102" t="s">
        <v>33</v>
      </c>
      <c r="C102" s="2">
        <v>45722</v>
      </c>
      <c r="D102" s="403" t="s">
        <v>9900</v>
      </c>
      <c r="E102" s="1" t="s">
        <v>11855</v>
      </c>
      <c r="F102" s="61" t="s">
        <v>11856</v>
      </c>
      <c r="G102" s="61" t="s">
        <v>11858</v>
      </c>
      <c r="H102" s="6" t="s">
        <v>304</v>
      </c>
      <c r="I102" s="1" t="s">
        <v>110</v>
      </c>
      <c r="J102" s="8"/>
      <c r="K102" s="114" t="s">
        <v>11744</v>
      </c>
      <c r="L102" t="s">
        <v>237</v>
      </c>
      <c r="M102" s="2">
        <v>45747</v>
      </c>
      <c r="N102" s="1" t="s">
        <v>35</v>
      </c>
      <c r="O102" s="61" t="s">
        <v>9758</v>
      </c>
      <c r="P102" s="14" t="s">
        <v>11857</v>
      </c>
      <c r="Q102" s="187">
        <v>115.7</v>
      </c>
      <c r="R102" s="1">
        <v>1</v>
      </c>
      <c r="S102" s="90">
        <v>0.21</v>
      </c>
      <c r="T102" s="90">
        <v>0</v>
      </c>
      <c r="U102" s="363"/>
      <c r="V102" s="126">
        <f t="shared" ref="V102" si="43">SUM(Q102-(Q102*T102))*S102+(Q102-(Q102*T102))</f>
        <v>139.99700000000001</v>
      </c>
      <c r="W102" t="s">
        <v>11905</v>
      </c>
      <c r="X102" s="5" t="s">
        <v>11906</v>
      </c>
      <c r="Y102" s="2">
        <v>39035</v>
      </c>
      <c r="Z102" s="2">
        <v>45722</v>
      </c>
      <c r="AA102" s="284" t="s">
        <v>12115</v>
      </c>
      <c r="AB102" s="2">
        <v>45775</v>
      </c>
      <c r="AC102" s="80" t="s">
        <v>1339</v>
      </c>
      <c r="AE102" s="3"/>
      <c r="AF102" t="s">
        <v>3198</v>
      </c>
      <c r="AI102" s="76" t="s">
        <v>3470</v>
      </c>
      <c r="AJ102" s="2">
        <v>45729</v>
      </c>
      <c r="AM102" s="3"/>
    </row>
    <row r="103" spans="1:46">
      <c r="A103" s="1">
        <v>102</v>
      </c>
      <c r="B103" t="s">
        <v>4321</v>
      </c>
      <c r="C103" s="2">
        <v>45722</v>
      </c>
      <c r="D103" s="2"/>
      <c r="E103" s="1" t="s">
        <v>1204</v>
      </c>
      <c r="F103" t="s">
        <v>1205</v>
      </c>
      <c r="G103" t="s">
        <v>3222</v>
      </c>
      <c r="H103" s="6" t="s">
        <v>239</v>
      </c>
      <c r="I103" t="s">
        <v>3204</v>
      </c>
      <c r="J103">
        <v>632063544</v>
      </c>
      <c r="K103" s="8" t="s">
        <v>5991</v>
      </c>
      <c r="L103" t="s">
        <v>1204</v>
      </c>
      <c r="M103" s="2">
        <v>45747</v>
      </c>
      <c r="N103" s="1" t="s">
        <v>35</v>
      </c>
      <c r="O103" s="61" t="s">
        <v>9758</v>
      </c>
      <c r="P103" s="14" t="s">
        <v>11859</v>
      </c>
      <c r="Q103" s="187">
        <v>115.7</v>
      </c>
      <c r="R103" s="1">
        <v>1</v>
      </c>
      <c r="S103" s="90">
        <v>0.21</v>
      </c>
      <c r="T103" s="90">
        <v>0</v>
      </c>
      <c r="U103" s="363"/>
      <c r="V103" s="126">
        <f t="shared" ref="V103" si="44">SUM(Q103-(Q103*T103))*S103+(Q103-(Q103*T103))</f>
        <v>139.99700000000001</v>
      </c>
      <c r="W103" t="s">
        <v>11907</v>
      </c>
      <c r="X103" s="5" t="s">
        <v>11908</v>
      </c>
      <c r="Y103" s="2">
        <v>35796</v>
      </c>
      <c r="Z103" s="2">
        <v>45722</v>
      </c>
      <c r="AA103" s="287" t="s">
        <v>11300</v>
      </c>
      <c r="AB103" s="2"/>
      <c r="AC103" s="80"/>
      <c r="AE103" s="3"/>
      <c r="AF103" t="s">
        <v>3198</v>
      </c>
      <c r="AI103" t="s">
        <v>3470</v>
      </c>
      <c r="AJ103" s="2">
        <v>45729</v>
      </c>
      <c r="AM103" s="3">
        <v>45742</v>
      </c>
    </row>
    <row r="104" spans="1:46">
      <c r="A104" s="1">
        <v>103</v>
      </c>
      <c r="B104" t="s">
        <v>4321</v>
      </c>
      <c r="C104" s="2">
        <v>45722</v>
      </c>
      <c r="D104" s="403" t="s">
        <v>9900</v>
      </c>
      <c r="E104" s="1" t="s">
        <v>11208</v>
      </c>
      <c r="F104" s="61" t="s">
        <v>11209</v>
      </c>
      <c r="G104" t="s">
        <v>11210</v>
      </c>
      <c r="H104" s="6" t="s">
        <v>242</v>
      </c>
      <c r="I104" s="1" t="s">
        <v>86</v>
      </c>
      <c r="J104" s="430"/>
      <c r="K104" s="8" t="s">
        <v>5991</v>
      </c>
      <c r="L104" s="1" t="s">
        <v>11208</v>
      </c>
      <c r="M104" s="2">
        <v>45747</v>
      </c>
      <c r="N104" s="1" t="s">
        <v>35</v>
      </c>
      <c r="O104" s="61" t="s">
        <v>7934</v>
      </c>
      <c r="P104" s="14" t="s">
        <v>11860</v>
      </c>
      <c r="Q104" s="187">
        <v>69.42</v>
      </c>
      <c r="R104" s="1">
        <v>1</v>
      </c>
      <c r="S104" s="90">
        <v>0.21</v>
      </c>
      <c r="T104" s="90">
        <v>0</v>
      </c>
      <c r="U104" s="363"/>
      <c r="V104" s="126">
        <f t="shared" ref="V104:V105" si="45">SUM(Q104-(Q104*T104))*S104+(Q104-(Q104*T104))</f>
        <v>83.998199999999997</v>
      </c>
      <c r="W104" t="s">
        <v>11861</v>
      </c>
      <c r="X104" s="5" t="s">
        <v>11862</v>
      </c>
      <c r="Y104" s="2">
        <v>35570</v>
      </c>
      <c r="Z104" s="2">
        <v>45722</v>
      </c>
      <c r="AA104" s="284" t="s">
        <v>12062</v>
      </c>
      <c r="AB104" s="2">
        <v>45768</v>
      </c>
      <c r="AC104" s="80" t="s">
        <v>1339</v>
      </c>
      <c r="AE104" s="3"/>
      <c r="AF104" t="s">
        <v>3198</v>
      </c>
      <c r="AJ104" s="2"/>
      <c r="AM104" s="3"/>
    </row>
    <row r="105" spans="1:46">
      <c r="A105" s="1">
        <v>104</v>
      </c>
      <c r="B105" t="s">
        <v>5635</v>
      </c>
      <c r="C105" s="2">
        <v>45726</v>
      </c>
      <c r="D105" s="403" t="s">
        <v>9900</v>
      </c>
      <c r="E105" s="1" t="s">
        <v>11891</v>
      </c>
      <c r="F105" s="61" t="s">
        <v>11892</v>
      </c>
      <c r="G105" s="61" t="s">
        <v>11893</v>
      </c>
      <c r="H105" s="6" t="s">
        <v>230</v>
      </c>
      <c r="I105" s="1" t="s">
        <v>8550</v>
      </c>
      <c r="J105" s="8"/>
      <c r="K105" s="451" t="s">
        <v>10609</v>
      </c>
      <c r="L105" s="1" t="s">
        <v>11891</v>
      </c>
      <c r="M105" s="2">
        <v>45747</v>
      </c>
      <c r="N105" s="1" t="s">
        <v>35</v>
      </c>
      <c r="O105" s="61" t="s">
        <v>9758</v>
      </c>
      <c r="P105" s="14" t="s">
        <v>11894</v>
      </c>
      <c r="Q105" s="187">
        <v>115.7</v>
      </c>
      <c r="R105" s="1">
        <v>1</v>
      </c>
      <c r="S105" s="90">
        <v>0.21</v>
      </c>
      <c r="T105" s="90">
        <v>0</v>
      </c>
      <c r="U105" s="363"/>
      <c r="V105" s="126">
        <f t="shared" si="45"/>
        <v>139.99700000000001</v>
      </c>
      <c r="W105" t="s">
        <v>11924</v>
      </c>
      <c r="X105" s="5" t="s">
        <v>11925</v>
      </c>
      <c r="Y105" s="2">
        <v>37832</v>
      </c>
      <c r="Z105" s="2">
        <v>45726</v>
      </c>
      <c r="AA105" s="284" t="s">
        <v>12115</v>
      </c>
      <c r="AB105" s="2">
        <v>45775</v>
      </c>
      <c r="AC105" s="80" t="s">
        <v>1339</v>
      </c>
      <c r="AE105" s="3"/>
      <c r="AF105" t="s">
        <v>3198</v>
      </c>
      <c r="AI105" s="76" t="s">
        <v>3470</v>
      </c>
      <c r="AJ105" s="2">
        <v>45733</v>
      </c>
      <c r="AM105" s="3"/>
    </row>
    <row r="106" spans="1:46">
      <c r="A106" s="1">
        <v>105</v>
      </c>
      <c r="B106" t="s">
        <v>45</v>
      </c>
      <c r="C106" s="2">
        <v>45726</v>
      </c>
      <c r="D106" s="2"/>
      <c r="E106" s="1" t="s">
        <v>3287</v>
      </c>
      <c r="F106" t="s">
        <v>3288</v>
      </c>
      <c r="G106" t="s">
        <v>6159</v>
      </c>
      <c r="H106" s="6" t="s">
        <v>221</v>
      </c>
      <c r="I106" s="1" t="s">
        <v>34</v>
      </c>
      <c r="J106" s="1">
        <v>615165042</v>
      </c>
      <c r="K106" s="396" t="s">
        <v>8356</v>
      </c>
      <c r="L106" s="1" t="s">
        <v>3287</v>
      </c>
      <c r="M106" s="2">
        <v>45747</v>
      </c>
      <c r="N106" s="1" t="s">
        <v>35</v>
      </c>
      <c r="O106" s="61" t="s">
        <v>7934</v>
      </c>
      <c r="P106" s="14" t="s">
        <v>11895</v>
      </c>
      <c r="Q106" s="92">
        <v>69.42</v>
      </c>
      <c r="R106" s="1">
        <v>1</v>
      </c>
      <c r="S106" s="90">
        <v>0.21</v>
      </c>
      <c r="T106" s="90">
        <v>0</v>
      </c>
      <c r="U106" s="372" t="s">
        <v>6163</v>
      </c>
      <c r="V106" s="95">
        <f t="shared" ref="V106:V108" si="46">SUM(Q106-(Q106*T106))*S106+(Q106-(Q106*T106))</f>
        <v>83.998199999999997</v>
      </c>
      <c r="W106" t="s">
        <v>3290</v>
      </c>
      <c r="X106" s="5" t="s">
        <v>11896</v>
      </c>
      <c r="Y106" s="2">
        <v>35925</v>
      </c>
      <c r="Z106" s="2">
        <v>45726</v>
      </c>
      <c r="AA106" s="284" t="s">
        <v>12086</v>
      </c>
      <c r="AB106" s="3">
        <v>45771</v>
      </c>
      <c r="AC106" s="80" t="s">
        <v>1339</v>
      </c>
      <c r="AF106" t="s">
        <v>3198</v>
      </c>
      <c r="AJ106" s="2"/>
      <c r="AM106" s="3"/>
    </row>
    <row r="107" spans="1:46">
      <c r="A107" s="1">
        <v>106</v>
      </c>
      <c r="B107" t="s">
        <v>45</v>
      </c>
      <c r="C107" s="2">
        <v>45726</v>
      </c>
      <c r="D107" s="2"/>
      <c r="E107" s="1" t="s">
        <v>3287</v>
      </c>
      <c r="F107" s="61" t="s">
        <v>795</v>
      </c>
      <c r="G107" t="s">
        <v>6159</v>
      </c>
      <c r="H107" s="6" t="s">
        <v>221</v>
      </c>
      <c r="I107" s="1" t="s">
        <v>34</v>
      </c>
      <c r="J107" s="1">
        <v>615165042</v>
      </c>
      <c r="K107" s="114" t="s">
        <v>11899</v>
      </c>
      <c r="L107" s="1" t="s">
        <v>3287</v>
      </c>
      <c r="M107" s="2">
        <v>45747</v>
      </c>
      <c r="N107" s="1" t="s">
        <v>35</v>
      </c>
      <c r="O107" s="61" t="s">
        <v>7934</v>
      </c>
      <c r="P107" s="14" t="s">
        <v>8254</v>
      </c>
      <c r="Q107" s="92">
        <v>69.42</v>
      </c>
      <c r="R107" s="1">
        <v>1</v>
      </c>
      <c r="S107" s="90">
        <v>0.21</v>
      </c>
      <c r="T107" s="90">
        <v>0</v>
      </c>
      <c r="U107" s="363"/>
      <c r="V107" s="95">
        <f t="shared" si="46"/>
        <v>83.998199999999997</v>
      </c>
      <c r="W107" t="s">
        <v>3290</v>
      </c>
      <c r="X107" s="5" t="s">
        <v>11898</v>
      </c>
      <c r="Y107" s="2">
        <v>32402</v>
      </c>
      <c r="Z107" s="2">
        <v>45726</v>
      </c>
      <c r="AA107" s="284" t="s">
        <v>12086</v>
      </c>
      <c r="AB107" s="3">
        <v>45771</v>
      </c>
      <c r="AC107" s="80" t="s">
        <v>1339</v>
      </c>
      <c r="AF107" t="s">
        <v>3198</v>
      </c>
      <c r="AJ107" s="2"/>
      <c r="AM107" s="3"/>
    </row>
    <row r="108" spans="1:46">
      <c r="A108" s="1">
        <v>107</v>
      </c>
      <c r="B108" s="61" t="s">
        <v>45</v>
      </c>
      <c r="C108" s="2">
        <v>45726</v>
      </c>
      <c r="D108" s="2"/>
      <c r="E108" s="1" t="s">
        <v>1965</v>
      </c>
      <c r="F108" s="61" t="s">
        <v>795</v>
      </c>
      <c r="G108" t="s">
        <v>6159</v>
      </c>
      <c r="H108" s="6" t="s">
        <v>221</v>
      </c>
      <c r="I108" s="1" t="s">
        <v>34</v>
      </c>
      <c r="J108" s="1">
        <v>615165042</v>
      </c>
      <c r="K108" s="114" t="s">
        <v>11899</v>
      </c>
      <c r="L108" s="1" t="s">
        <v>1965</v>
      </c>
      <c r="M108" s="2">
        <v>45747</v>
      </c>
      <c r="N108" s="1" t="s">
        <v>35</v>
      </c>
      <c r="O108" s="61" t="s">
        <v>7934</v>
      </c>
      <c r="P108" s="14" t="s">
        <v>8255</v>
      </c>
      <c r="Q108" s="92">
        <v>69.42</v>
      </c>
      <c r="R108" s="1">
        <v>1</v>
      </c>
      <c r="S108" s="90">
        <v>0.21</v>
      </c>
      <c r="T108" s="90">
        <v>0</v>
      </c>
      <c r="U108" s="372" t="s">
        <v>6164</v>
      </c>
      <c r="V108" s="95">
        <f t="shared" si="46"/>
        <v>83.998199999999997</v>
      </c>
      <c r="W108" t="s">
        <v>6210</v>
      </c>
      <c r="X108" s="5" t="s">
        <v>11897</v>
      </c>
      <c r="Y108" s="2">
        <v>35197</v>
      </c>
      <c r="Z108" s="2">
        <v>45726</v>
      </c>
      <c r="AA108" s="284" t="s">
        <v>12086</v>
      </c>
      <c r="AB108" s="3">
        <v>45771</v>
      </c>
      <c r="AC108" s="80" t="s">
        <v>1339</v>
      </c>
      <c r="AF108" t="s">
        <v>3198</v>
      </c>
      <c r="AJ108" s="2"/>
      <c r="AK108" s="1"/>
      <c r="AM108" s="3"/>
    </row>
    <row r="109" spans="1:46" ht="14.25" customHeight="1">
      <c r="A109" s="1">
        <v>108</v>
      </c>
      <c r="B109" t="s">
        <v>33</v>
      </c>
      <c r="C109" s="2">
        <v>45729</v>
      </c>
      <c r="D109" s="2"/>
      <c r="E109" s="1" t="s">
        <v>3327</v>
      </c>
      <c r="F109" s="61" t="s">
        <v>9869</v>
      </c>
      <c r="G109" t="s">
        <v>3329</v>
      </c>
      <c r="H109" s="6" t="s">
        <v>304</v>
      </c>
      <c r="I109" s="1" t="s">
        <v>68</v>
      </c>
      <c r="J109" s="8"/>
      <c r="K109" s="114" t="s">
        <v>11744</v>
      </c>
      <c r="L109" s="30" t="s">
        <v>237</v>
      </c>
      <c r="M109" s="2">
        <v>45747</v>
      </c>
      <c r="N109" s="1" t="s">
        <v>35</v>
      </c>
      <c r="O109" s="61" t="s">
        <v>7925</v>
      </c>
      <c r="P109" s="14" t="s">
        <v>10380</v>
      </c>
      <c r="Q109" s="187">
        <v>115.7</v>
      </c>
      <c r="R109" s="1">
        <v>1</v>
      </c>
      <c r="S109" s="128">
        <v>0.21</v>
      </c>
      <c r="T109" s="128">
        <v>0</v>
      </c>
      <c r="U109" s="363"/>
      <c r="V109" s="126">
        <f>SUM(Q109-(Q109*T109))*S109+(Q109-(Q109*T109))</f>
        <v>139.99700000000001</v>
      </c>
      <c r="W109" t="s">
        <v>10418</v>
      </c>
      <c r="X109" s="5" t="s">
        <v>11948</v>
      </c>
      <c r="Y109" s="2">
        <v>39123</v>
      </c>
      <c r="Z109" s="2">
        <v>45729</v>
      </c>
      <c r="AA109" s="287" t="s">
        <v>11300</v>
      </c>
      <c r="AB109" s="1"/>
      <c r="AF109" t="s">
        <v>3198</v>
      </c>
      <c r="AI109" t="s">
        <v>3470</v>
      </c>
      <c r="AJ109" s="3">
        <v>45737</v>
      </c>
      <c r="AM109" s="3">
        <v>45737</v>
      </c>
      <c r="AS109" s="1"/>
    </row>
    <row r="110" spans="1:46">
      <c r="A110" s="1">
        <v>109</v>
      </c>
      <c r="B110" t="s">
        <v>5635</v>
      </c>
      <c r="C110" s="2">
        <v>45729</v>
      </c>
      <c r="D110" s="403" t="s">
        <v>9900</v>
      </c>
      <c r="E110" s="1" t="s">
        <v>11910</v>
      </c>
      <c r="F110" s="427" t="s">
        <v>11900</v>
      </c>
      <c r="G110" s="61" t="s">
        <v>11911</v>
      </c>
      <c r="H110" s="6" t="s">
        <v>964</v>
      </c>
      <c r="I110" s="1" t="s">
        <v>34</v>
      </c>
      <c r="J110" s="8"/>
      <c r="K110" s="396"/>
      <c r="L110" s="1" t="s">
        <v>11910</v>
      </c>
      <c r="M110" s="2">
        <v>45747</v>
      </c>
      <c r="N110" s="1" t="s">
        <v>35</v>
      </c>
      <c r="O110" s="61" t="s">
        <v>10536</v>
      </c>
      <c r="P110" s="14" t="s">
        <v>11912</v>
      </c>
      <c r="Q110" s="187">
        <v>123.97</v>
      </c>
      <c r="R110" s="1">
        <v>1</v>
      </c>
      <c r="S110" s="90">
        <v>0.21</v>
      </c>
      <c r="T110" s="90">
        <v>0</v>
      </c>
      <c r="U110" s="363"/>
      <c r="V110" s="126">
        <f t="shared" ref="V110:V111" si="47">SUM(Q110-(Q110*T110))*S110+(Q110-(Q110*T110))</f>
        <v>150.00370000000001</v>
      </c>
      <c r="W110" t="s">
        <v>11913</v>
      </c>
      <c r="X110" s="5" t="s">
        <v>11909</v>
      </c>
      <c r="Y110" s="2">
        <v>33655</v>
      </c>
      <c r="Z110" s="2">
        <v>45729</v>
      </c>
      <c r="AC110" s="80"/>
      <c r="AE110" s="3"/>
      <c r="AF110" t="s">
        <v>3198</v>
      </c>
      <c r="AJ110" s="2"/>
      <c r="AM110" s="3"/>
    </row>
    <row r="111" spans="1:46">
      <c r="A111" s="1">
        <v>110</v>
      </c>
      <c r="B111" t="s">
        <v>33</v>
      </c>
      <c r="C111" s="2">
        <v>45729</v>
      </c>
      <c r="D111" s="2"/>
      <c r="E111" s="1" t="s">
        <v>10720</v>
      </c>
      <c r="F111" s="61" t="s">
        <v>10721</v>
      </c>
      <c r="G111" t="s">
        <v>10722</v>
      </c>
      <c r="H111" s="6" t="s">
        <v>219</v>
      </c>
      <c r="I111" s="1" t="s">
        <v>4334</v>
      </c>
      <c r="J111" s="8">
        <v>624275299</v>
      </c>
      <c r="K111" s="114" t="s">
        <v>11744</v>
      </c>
      <c r="L111" s="1" t="s">
        <v>237</v>
      </c>
      <c r="M111" s="2">
        <v>45747</v>
      </c>
      <c r="N111" s="1" t="s">
        <v>35</v>
      </c>
      <c r="O111" s="61" t="s">
        <v>7925</v>
      </c>
      <c r="P111" s="14" t="s">
        <v>11914</v>
      </c>
      <c r="Q111" s="254">
        <v>115.7</v>
      </c>
      <c r="R111" s="1">
        <v>1</v>
      </c>
      <c r="S111" s="128">
        <v>0.21</v>
      </c>
      <c r="T111" s="128">
        <v>0</v>
      </c>
      <c r="U111" s="363"/>
      <c r="V111" s="126">
        <f t="shared" si="47"/>
        <v>139.99700000000001</v>
      </c>
      <c r="W111" t="s">
        <v>11951</v>
      </c>
      <c r="X111" s="5" t="s">
        <v>11952</v>
      </c>
      <c r="Y111" s="3">
        <v>29205</v>
      </c>
      <c r="Z111" s="2">
        <v>45729</v>
      </c>
      <c r="AA111" s="284" t="s">
        <v>12314</v>
      </c>
      <c r="AB111" s="2">
        <v>45814</v>
      </c>
      <c r="AC111" s="80" t="s">
        <v>1339</v>
      </c>
      <c r="AF111" t="s">
        <v>3198</v>
      </c>
      <c r="AI111" t="s">
        <v>11915</v>
      </c>
      <c r="AJ111" s="3">
        <v>45737</v>
      </c>
      <c r="AM111" s="3">
        <v>45742</v>
      </c>
    </row>
    <row r="112" spans="1:46">
      <c r="A112" s="1">
        <v>111</v>
      </c>
      <c r="B112" t="s">
        <v>52</v>
      </c>
      <c r="C112" s="2">
        <v>45729</v>
      </c>
      <c r="D112" s="403" t="s">
        <v>9900</v>
      </c>
      <c r="E112" s="1" t="s">
        <v>11916</v>
      </c>
      <c r="F112" s="61" t="s">
        <v>11917</v>
      </c>
      <c r="G112" t="s">
        <v>11918</v>
      </c>
      <c r="H112" s="6" t="s">
        <v>221</v>
      </c>
      <c r="I112" s="1" t="s">
        <v>34</v>
      </c>
      <c r="J112" s="8"/>
      <c r="K112" t="s">
        <v>5906</v>
      </c>
      <c r="L112" t="s">
        <v>4432</v>
      </c>
      <c r="M112" s="2">
        <v>45747</v>
      </c>
      <c r="N112" s="1" t="s">
        <v>35</v>
      </c>
      <c r="O112" s="61" t="s">
        <v>9758</v>
      </c>
      <c r="P112" s="14" t="s">
        <v>11919</v>
      </c>
      <c r="Q112" s="254">
        <v>115.7</v>
      </c>
      <c r="R112" s="1">
        <v>1</v>
      </c>
      <c r="S112" s="128">
        <v>0.21</v>
      </c>
      <c r="T112" s="128">
        <v>0</v>
      </c>
      <c r="U112" s="363"/>
      <c r="V112" s="126">
        <f t="shared" ref="V112:V114" si="48">SUM(Q112-(Q112*T112))*S112+(Q112-(Q112*T112))</f>
        <v>139.99700000000001</v>
      </c>
      <c r="W112" t="s">
        <v>11949</v>
      </c>
      <c r="X112" s="5" t="s">
        <v>11950</v>
      </c>
      <c r="Y112" s="3">
        <v>38638</v>
      </c>
      <c r="Z112" s="2">
        <v>45729</v>
      </c>
      <c r="AA112" s="284" t="s">
        <v>12131</v>
      </c>
      <c r="AB112" s="3">
        <v>45782</v>
      </c>
      <c r="AC112" s="80" t="s">
        <v>1339</v>
      </c>
      <c r="AF112" t="s">
        <v>3198</v>
      </c>
      <c r="AI112" s="76" t="s">
        <v>11920</v>
      </c>
      <c r="AJ112" s="3">
        <v>45737</v>
      </c>
      <c r="AM112" s="3"/>
    </row>
    <row r="113" spans="1:46">
      <c r="A113" s="1">
        <v>112</v>
      </c>
      <c r="B113" t="s">
        <v>7245</v>
      </c>
      <c r="C113" s="2">
        <v>45734</v>
      </c>
      <c r="D113" s="2"/>
      <c r="E113" s="1" t="s">
        <v>1522</v>
      </c>
      <c r="F113" t="s">
        <v>3233</v>
      </c>
      <c r="G113" t="s">
        <v>3241</v>
      </c>
      <c r="H113" s="6" t="s">
        <v>3234</v>
      </c>
      <c r="I113" t="s">
        <v>3235</v>
      </c>
      <c r="J113" s="8">
        <v>680761760</v>
      </c>
      <c r="K113" s="8" t="s">
        <v>6232</v>
      </c>
      <c r="L113" t="s">
        <v>1522</v>
      </c>
      <c r="M113" s="2">
        <v>45747</v>
      </c>
      <c r="N113" s="1" t="s">
        <v>35</v>
      </c>
      <c r="O113" s="14" t="s">
        <v>9758</v>
      </c>
      <c r="P113" s="14" t="s">
        <v>11928</v>
      </c>
      <c r="Q113" s="187">
        <v>115.7</v>
      </c>
      <c r="R113" s="1">
        <v>1</v>
      </c>
      <c r="S113" s="128">
        <v>0.21</v>
      </c>
      <c r="T113" s="128">
        <v>0</v>
      </c>
      <c r="V113" s="95">
        <f t="shared" si="48"/>
        <v>139.99700000000001</v>
      </c>
      <c r="W113" t="s">
        <v>11983</v>
      </c>
      <c r="X113" s="5" t="s">
        <v>11984</v>
      </c>
      <c r="Y113" s="2">
        <v>33853</v>
      </c>
      <c r="Z113" s="2">
        <v>45734</v>
      </c>
      <c r="AA113" s="284" t="s">
        <v>12189</v>
      </c>
      <c r="AB113" s="2">
        <v>45796</v>
      </c>
      <c r="AC113" s="80" t="s">
        <v>1339</v>
      </c>
      <c r="AE113" s="3"/>
      <c r="AF113" t="s">
        <v>3198</v>
      </c>
      <c r="AI113" t="s">
        <v>3470</v>
      </c>
      <c r="AJ113" s="2">
        <v>45747</v>
      </c>
      <c r="AM113" s="74">
        <v>45749</v>
      </c>
      <c r="AT113" s="1"/>
    </row>
    <row r="114" spans="1:46">
      <c r="A114" s="1">
        <v>113</v>
      </c>
      <c r="B114" t="s">
        <v>7245</v>
      </c>
      <c r="C114" s="2">
        <v>45734</v>
      </c>
      <c r="D114" s="2"/>
      <c r="E114" s="1" t="s">
        <v>1522</v>
      </c>
      <c r="F114" t="s">
        <v>3233</v>
      </c>
      <c r="G114" t="s">
        <v>3241</v>
      </c>
      <c r="H114" s="6" t="s">
        <v>3234</v>
      </c>
      <c r="I114" t="s">
        <v>3235</v>
      </c>
      <c r="J114" s="8">
        <v>680761760</v>
      </c>
      <c r="K114" s="8" t="s">
        <v>6232</v>
      </c>
      <c r="L114" t="s">
        <v>1522</v>
      </c>
      <c r="M114" s="2">
        <v>45747</v>
      </c>
      <c r="N114" s="1" t="s">
        <v>35</v>
      </c>
      <c r="O114" s="14" t="s">
        <v>9758</v>
      </c>
      <c r="P114" s="14" t="s">
        <v>11930</v>
      </c>
      <c r="Q114" s="187">
        <v>115.7</v>
      </c>
      <c r="R114" s="1">
        <v>1</v>
      </c>
      <c r="S114" s="128">
        <v>0.21</v>
      </c>
      <c r="T114" s="128">
        <v>0</v>
      </c>
      <c r="V114" s="95">
        <f t="shared" si="48"/>
        <v>139.99700000000001</v>
      </c>
      <c r="W114" t="s">
        <v>11985</v>
      </c>
      <c r="X114" s="5" t="s">
        <v>11986</v>
      </c>
      <c r="Y114" s="2">
        <v>31413</v>
      </c>
      <c r="Z114" s="2">
        <v>45734</v>
      </c>
      <c r="AA114" s="284" t="s">
        <v>12189</v>
      </c>
      <c r="AB114" s="2">
        <v>45796</v>
      </c>
      <c r="AC114" s="80" t="s">
        <v>1339</v>
      </c>
      <c r="AE114" s="3"/>
      <c r="AF114" t="s">
        <v>3198</v>
      </c>
      <c r="AI114" t="s">
        <v>11929</v>
      </c>
      <c r="AJ114" s="2">
        <v>45747</v>
      </c>
      <c r="AM114" s="74">
        <v>45749</v>
      </c>
      <c r="AT114" s="1"/>
    </row>
    <row r="115" spans="1:46">
      <c r="A115" s="1">
        <v>114</v>
      </c>
      <c r="B115" t="s">
        <v>37</v>
      </c>
      <c r="C115" s="2">
        <v>45735</v>
      </c>
      <c r="D115" s="403" t="s">
        <v>9900</v>
      </c>
      <c r="E115" s="2" t="s">
        <v>11931</v>
      </c>
      <c r="F115" s="61" t="s">
        <v>11932</v>
      </c>
      <c r="G115" t="s">
        <v>11933</v>
      </c>
      <c r="H115" s="6" t="s">
        <v>7966</v>
      </c>
      <c r="I115" s="1" t="s">
        <v>7965</v>
      </c>
      <c r="J115" s="8" t="s">
        <v>11934</v>
      </c>
      <c r="K115" s="396"/>
      <c r="L115" s="2" t="s">
        <v>11931</v>
      </c>
      <c r="M115" s="2">
        <v>45747</v>
      </c>
      <c r="N115" s="1" t="s">
        <v>35</v>
      </c>
      <c r="O115" s="61" t="s">
        <v>7925</v>
      </c>
      <c r="P115" s="14" t="s">
        <v>11935</v>
      </c>
      <c r="Q115" s="254">
        <v>33.06</v>
      </c>
      <c r="R115" s="1">
        <v>1</v>
      </c>
      <c r="S115" s="128">
        <v>0.21</v>
      </c>
      <c r="T115" s="128">
        <v>0</v>
      </c>
      <c r="U115" s="363"/>
      <c r="V115" s="126">
        <f t="shared" ref="V115:V119" si="49">SUM(Q115-(Q115*T115))*S115+(Q115-(Q115*T115))</f>
        <v>40.002600000000001</v>
      </c>
      <c r="Y115" s="3"/>
      <c r="Z115" s="2"/>
      <c r="AB115" s="2"/>
      <c r="AC115" s="80"/>
      <c r="AJ115" s="3"/>
      <c r="AM115" s="3"/>
    </row>
    <row r="116" spans="1:46">
      <c r="A116" s="1">
        <v>115</v>
      </c>
      <c r="B116" t="s">
        <v>3526</v>
      </c>
      <c r="C116" s="2">
        <v>45735</v>
      </c>
      <c r="D116" s="2"/>
      <c r="E116" s="1" t="s">
        <v>9812</v>
      </c>
      <c r="F116" s="61" t="s">
        <v>9864</v>
      </c>
      <c r="G116" t="s">
        <v>9813</v>
      </c>
      <c r="H116" s="6" t="s">
        <v>270</v>
      </c>
      <c r="I116" s="1" t="s">
        <v>49</v>
      </c>
      <c r="J116" s="1">
        <v>653184605</v>
      </c>
      <c r="K116" s="245" t="s">
        <v>10335</v>
      </c>
      <c r="L116" s="31" t="s">
        <v>237</v>
      </c>
      <c r="M116" s="2">
        <v>45747</v>
      </c>
      <c r="N116" s="1" t="s">
        <v>35</v>
      </c>
      <c r="O116" s="61" t="s">
        <v>7934</v>
      </c>
      <c r="P116" s="14" t="s">
        <v>11937</v>
      </c>
      <c r="Q116" s="187">
        <v>69.42</v>
      </c>
      <c r="R116" s="1">
        <v>1</v>
      </c>
      <c r="S116" s="128">
        <v>0.21</v>
      </c>
      <c r="T116" s="128">
        <v>0</v>
      </c>
      <c r="U116" s="95"/>
      <c r="V116" s="126">
        <f t="shared" si="49"/>
        <v>83.998199999999997</v>
      </c>
      <c r="W116" s="1" t="s">
        <v>9919</v>
      </c>
      <c r="X116" s="5" t="s">
        <v>11938</v>
      </c>
      <c r="Y116" s="2">
        <v>33341</v>
      </c>
      <c r="Z116" s="2">
        <v>45735</v>
      </c>
      <c r="AA116" s="284" t="s">
        <v>12193</v>
      </c>
      <c r="AB116" s="2">
        <v>45792</v>
      </c>
      <c r="AC116" s="80" t="s">
        <v>1339</v>
      </c>
      <c r="AF116" t="s">
        <v>3198</v>
      </c>
      <c r="AI116" s="76" t="s">
        <v>3392</v>
      </c>
      <c r="AJ116" s="3"/>
      <c r="AM116" s="3"/>
    </row>
    <row r="117" spans="1:46">
      <c r="A117" s="1">
        <v>116</v>
      </c>
      <c r="B117" t="s">
        <v>1414</v>
      </c>
      <c r="C117" s="2">
        <v>45735</v>
      </c>
      <c r="D117" s="403" t="s">
        <v>9900</v>
      </c>
      <c r="E117" s="2" t="s">
        <v>11939</v>
      </c>
      <c r="F117" s="61" t="s">
        <v>11940</v>
      </c>
      <c r="G117" t="s">
        <v>11941</v>
      </c>
      <c r="H117" s="6" t="s">
        <v>219</v>
      </c>
      <c r="I117" s="1" t="s">
        <v>38</v>
      </c>
      <c r="J117" s="8"/>
      <c r="K117" s="396" t="s">
        <v>8355</v>
      </c>
      <c r="L117" s="2" t="s">
        <v>11939</v>
      </c>
      <c r="M117" s="2">
        <v>45747</v>
      </c>
      <c r="N117" s="1" t="s">
        <v>35</v>
      </c>
      <c r="O117" s="61" t="s">
        <v>7934</v>
      </c>
      <c r="P117" s="14" t="s">
        <v>11942</v>
      </c>
      <c r="Q117" s="254">
        <v>115.7</v>
      </c>
      <c r="R117" s="1">
        <v>1</v>
      </c>
      <c r="S117" s="128">
        <v>0.21</v>
      </c>
      <c r="T117" s="128">
        <v>0</v>
      </c>
      <c r="U117" s="363"/>
      <c r="V117" s="126">
        <f t="shared" si="49"/>
        <v>139.99700000000001</v>
      </c>
      <c r="W117" t="s">
        <v>11943</v>
      </c>
      <c r="X117" s="5" t="s">
        <v>11953</v>
      </c>
      <c r="Y117" s="3">
        <v>33204</v>
      </c>
      <c r="Z117" s="2">
        <v>45735</v>
      </c>
      <c r="AA117" s="284" t="s">
        <v>12237</v>
      </c>
      <c r="AB117" s="2">
        <v>45796</v>
      </c>
      <c r="AC117" s="80" t="s">
        <v>1339</v>
      </c>
      <c r="AI117" t="s">
        <v>3392</v>
      </c>
      <c r="AJ117" s="3">
        <v>45737</v>
      </c>
      <c r="AM117" s="3" t="s">
        <v>12051</v>
      </c>
    </row>
    <row r="118" spans="1:46">
      <c r="A118" s="1">
        <v>117</v>
      </c>
      <c r="B118" s="61" t="s">
        <v>1414</v>
      </c>
      <c r="C118" s="2">
        <v>45737</v>
      </c>
      <c r="D118" s="2"/>
      <c r="E118" s="1" t="s">
        <v>1079</v>
      </c>
      <c r="F118" t="s">
        <v>41</v>
      </c>
      <c r="G118" s="61" t="s">
        <v>2115</v>
      </c>
      <c r="H118" s="1" t="s">
        <v>230</v>
      </c>
      <c r="I118" t="s">
        <v>1262</v>
      </c>
      <c r="J118" s="8">
        <v>631212115</v>
      </c>
      <c r="K118" s="8" t="s">
        <v>6306</v>
      </c>
      <c r="L118" t="s">
        <v>1079</v>
      </c>
      <c r="M118" s="2">
        <v>45747</v>
      </c>
      <c r="N118" s="1" t="s">
        <v>35</v>
      </c>
      <c r="O118" s="375" t="s">
        <v>9758</v>
      </c>
      <c r="P118" s="14" t="s">
        <v>7793</v>
      </c>
      <c r="Q118" s="144">
        <v>0</v>
      </c>
      <c r="R118" s="1">
        <v>1</v>
      </c>
      <c r="S118" s="90">
        <v>0.21</v>
      </c>
      <c r="T118" s="90">
        <v>0</v>
      </c>
      <c r="U118" s="363"/>
      <c r="V118" s="95">
        <f t="shared" si="49"/>
        <v>0</v>
      </c>
      <c r="W118" t="s">
        <v>7942</v>
      </c>
      <c r="X118" s="5" t="s">
        <v>11959</v>
      </c>
      <c r="Y118" s="2">
        <v>38331</v>
      </c>
      <c r="Z118" s="2">
        <v>45737</v>
      </c>
      <c r="AA118" s="287" t="s">
        <v>11300</v>
      </c>
      <c r="AB118" s="3"/>
      <c r="AC118" s="80"/>
      <c r="AF118" t="s">
        <v>3198</v>
      </c>
      <c r="AJ118" s="2"/>
      <c r="AK118" s="1"/>
      <c r="AM118" s="74"/>
      <c r="AT118" s="1"/>
    </row>
    <row r="119" spans="1:46" ht="14.25" customHeight="1">
      <c r="A119" s="1">
        <v>118</v>
      </c>
      <c r="B119" t="s">
        <v>143</v>
      </c>
      <c r="C119" s="2">
        <v>45737</v>
      </c>
      <c r="D119" s="2"/>
      <c r="E119" s="1" t="s">
        <v>10002</v>
      </c>
      <c r="F119" s="61" t="s">
        <v>6910</v>
      </c>
      <c r="G119" t="s">
        <v>9924</v>
      </c>
      <c r="H119" s="6" t="s">
        <v>236</v>
      </c>
      <c r="I119" s="1" t="s">
        <v>110</v>
      </c>
      <c r="J119" s="8">
        <v>643424679</v>
      </c>
      <c r="K119" s="1"/>
      <c r="L119" t="s">
        <v>10002</v>
      </c>
      <c r="M119" s="2">
        <v>45747</v>
      </c>
      <c r="N119" s="1" t="s">
        <v>35</v>
      </c>
      <c r="O119" s="61" t="s">
        <v>7934</v>
      </c>
      <c r="P119" s="14" t="s">
        <v>11954</v>
      </c>
      <c r="Q119" s="187">
        <v>86.78</v>
      </c>
      <c r="R119" s="1">
        <v>1</v>
      </c>
      <c r="S119" s="128">
        <v>0.21</v>
      </c>
      <c r="T119" s="128">
        <v>0</v>
      </c>
      <c r="U119" s="363"/>
      <c r="V119" s="126">
        <f t="shared" si="49"/>
        <v>105.0038</v>
      </c>
      <c r="W119" t="s">
        <v>10002</v>
      </c>
      <c r="X119" s="5" t="s">
        <v>11955</v>
      </c>
      <c r="Y119" s="2">
        <v>29218</v>
      </c>
      <c r="Z119" s="2">
        <v>45737</v>
      </c>
      <c r="AA119" s="284" t="s">
        <v>12194</v>
      </c>
      <c r="AB119" s="2">
        <v>45792</v>
      </c>
      <c r="AC119" s="80" t="s">
        <v>1339</v>
      </c>
      <c r="AF119" t="s">
        <v>3198</v>
      </c>
      <c r="AJ119" s="3"/>
      <c r="AM119" s="3"/>
      <c r="AS119" s="1"/>
    </row>
    <row r="120" spans="1:46" s="457" customFormat="1" ht="15.75" thickBot="1">
      <c r="A120" s="1">
        <v>119</v>
      </c>
      <c r="B120" s="457" t="s">
        <v>33</v>
      </c>
      <c r="C120" s="458">
        <v>45740</v>
      </c>
      <c r="D120" s="458"/>
      <c r="E120" s="456" t="s">
        <v>2417</v>
      </c>
      <c r="F120" s="459" t="s">
        <v>2418</v>
      </c>
      <c r="G120" s="459" t="s">
        <v>7706</v>
      </c>
      <c r="H120" s="460" t="s">
        <v>219</v>
      </c>
      <c r="I120" s="456" t="s">
        <v>38</v>
      </c>
      <c r="J120" s="456"/>
      <c r="K120" s="462" t="s">
        <v>11744</v>
      </c>
      <c r="L120" s="472" t="s">
        <v>237</v>
      </c>
      <c r="M120" s="458">
        <v>45747</v>
      </c>
      <c r="N120" s="456" t="s">
        <v>35</v>
      </c>
      <c r="O120" s="459" t="s">
        <v>7934</v>
      </c>
      <c r="P120" s="463" t="s">
        <v>11956</v>
      </c>
      <c r="Q120" s="473">
        <v>69.42</v>
      </c>
      <c r="R120" s="456">
        <v>1</v>
      </c>
      <c r="S120" s="465">
        <v>0.21</v>
      </c>
      <c r="T120" s="465">
        <v>0</v>
      </c>
      <c r="U120" s="466"/>
      <c r="V120" s="467">
        <f t="shared" ref="V120" si="50">SUM(Q120-(Q120*T120))*S120+(Q120-(Q120*T120))</f>
        <v>83.998199999999997</v>
      </c>
      <c r="W120" s="457" t="s">
        <v>7838</v>
      </c>
      <c r="X120" s="474" t="s">
        <v>11957</v>
      </c>
      <c r="Y120" s="458">
        <v>31604</v>
      </c>
      <c r="Z120" s="470">
        <v>45740</v>
      </c>
      <c r="AA120" s="479" t="s">
        <v>12150</v>
      </c>
      <c r="AB120" s="458">
        <v>45784</v>
      </c>
      <c r="AC120" s="469" t="s">
        <v>1339</v>
      </c>
      <c r="AF120" s="457" t="s">
        <v>3198</v>
      </c>
      <c r="AJ120" s="458"/>
      <c r="AL120" s="470"/>
      <c r="AM120" s="470"/>
      <c r="AS120" s="456"/>
    </row>
    <row r="121" spans="1:46" ht="15.75" thickTop="1">
      <c r="A121" s="1">
        <v>120</v>
      </c>
      <c r="B121" t="s">
        <v>1414</v>
      </c>
      <c r="C121" s="2">
        <v>45740</v>
      </c>
      <c r="D121" s="2"/>
      <c r="E121" s="1" t="s">
        <v>1079</v>
      </c>
      <c r="F121" t="s">
        <v>41</v>
      </c>
      <c r="G121" s="61" t="s">
        <v>2115</v>
      </c>
      <c r="H121" s="1" t="s">
        <v>230</v>
      </c>
      <c r="I121" s="1" t="s">
        <v>1262</v>
      </c>
      <c r="J121" s="1">
        <v>631212115</v>
      </c>
      <c r="K121" s="8" t="s">
        <v>6306</v>
      </c>
      <c r="L121" s="1" t="s">
        <v>1079</v>
      </c>
      <c r="M121" s="2">
        <v>45747</v>
      </c>
      <c r="N121" s="1" t="s">
        <v>35</v>
      </c>
      <c r="O121" s="61" t="s">
        <v>7934</v>
      </c>
      <c r="P121" s="14" t="s">
        <v>8151</v>
      </c>
      <c r="Q121" s="92">
        <v>69.42</v>
      </c>
      <c r="R121" s="1">
        <v>1</v>
      </c>
      <c r="S121" s="128">
        <v>0.21</v>
      </c>
      <c r="T121" s="128">
        <v>0</v>
      </c>
      <c r="U121" s="1"/>
      <c r="V121" s="95">
        <f t="shared" ref="V121" si="51">SUM(Q121-(Q121*T121))*S121+(Q121-(Q121*T121))</f>
        <v>83.998199999999997</v>
      </c>
      <c r="W121" s="1" t="s">
        <v>5866</v>
      </c>
      <c r="X121" s="5" t="s">
        <v>11958</v>
      </c>
      <c r="Y121" s="2">
        <v>36160</v>
      </c>
      <c r="Z121" s="2">
        <v>45740</v>
      </c>
      <c r="AA121" s="284" t="s">
        <v>12189</v>
      </c>
      <c r="AB121" s="2">
        <v>45792</v>
      </c>
      <c r="AC121" s="80" t="s">
        <v>1339</v>
      </c>
      <c r="AF121" t="s">
        <v>3198</v>
      </c>
      <c r="AI121" s="2"/>
      <c r="AL121" s="3"/>
    </row>
    <row r="122" spans="1:46">
      <c r="A122" s="1">
        <v>121</v>
      </c>
      <c r="B122" t="s">
        <v>33</v>
      </c>
      <c r="C122" s="2">
        <v>45741</v>
      </c>
      <c r="D122" s="403" t="s">
        <v>9900</v>
      </c>
      <c r="E122" s="1" t="s">
        <v>11960</v>
      </c>
      <c r="F122" s="61" t="s">
        <v>11961</v>
      </c>
      <c r="G122" s="61" t="s">
        <v>11716</v>
      </c>
      <c r="H122" s="6" t="s">
        <v>219</v>
      </c>
      <c r="I122" s="1" t="s">
        <v>38</v>
      </c>
      <c r="J122" s="1"/>
      <c r="K122" s="475" t="s">
        <v>11744</v>
      </c>
      <c r="L122" s="30" t="s">
        <v>237</v>
      </c>
      <c r="M122" s="2">
        <v>45747</v>
      </c>
      <c r="N122" s="1" t="s">
        <v>35</v>
      </c>
      <c r="O122" s="61" t="s">
        <v>9758</v>
      </c>
      <c r="P122" s="14" t="s">
        <v>11962</v>
      </c>
      <c r="Q122" s="92">
        <v>115.7</v>
      </c>
      <c r="R122" s="1">
        <v>1</v>
      </c>
      <c r="S122" s="90">
        <v>0.21</v>
      </c>
      <c r="T122" s="90">
        <v>0</v>
      </c>
      <c r="U122" s="363"/>
      <c r="V122" s="126">
        <f t="shared" ref="V122:V126" si="52">SUM(Q122-(Q122*T122))*S122+(Q122-(Q122*T122))</f>
        <v>139.99700000000001</v>
      </c>
      <c r="W122" t="s">
        <v>12016</v>
      </c>
      <c r="X122" s="406" t="s">
        <v>12017</v>
      </c>
      <c r="Y122" s="2">
        <v>35976</v>
      </c>
      <c r="Z122" s="2">
        <v>45741</v>
      </c>
      <c r="AA122" s="287" t="s">
        <v>11300</v>
      </c>
      <c r="AB122" s="2"/>
      <c r="AC122" s="80"/>
      <c r="AF122" t="s">
        <v>3198</v>
      </c>
      <c r="AI122" t="s">
        <v>3470</v>
      </c>
      <c r="AJ122" s="2">
        <v>45755</v>
      </c>
      <c r="AL122" s="3"/>
      <c r="AM122" s="3">
        <v>45757</v>
      </c>
      <c r="AS122" s="1"/>
    </row>
    <row r="123" spans="1:46">
      <c r="A123" s="1">
        <v>122</v>
      </c>
      <c r="B123" t="s">
        <v>37</v>
      </c>
      <c r="C123" s="2">
        <v>45741</v>
      </c>
      <c r="D123" s="403" t="s">
        <v>9900</v>
      </c>
      <c r="E123" s="1" t="s">
        <v>11963</v>
      </c>
      <c r="F123" s="61" t="s">
        <v>11964</v>
      </c>
      <c r="G123" s="61" t="s">
        <v>11965</v>
      </c>
      <c r="H123" s="6" t="s">
        <v>219</v>
      </c>
      <c r="I123" s="1" t="s">
        <v>38</v>
      </c>
      <c r="J123" s="1"/>
      <c r="K123" s="396"/>
      <c r="L123" s="1" t="s">
        <v>11963</v>
      </c>
      <c r="M123" s="2">
        <v>45747</v>
      </c>
      <c r="N123" s="1" t="s">
        <v>35</v>
      </c>
      <c r="O123" s="61" t="s">
        <v>7931</v>
      </c>
      <c r="P123" s="14" t="s">
        <v>8043</v>
      </c>
      <c r="Q123" s="92">
        <v>100</v>
      </c>
      <c r="R123" s="1">
        <v>1</v>
      </c>
      <c r="S123" s="90">
        <v>0.21</v>
      </c>
      <c r="T123" s="90">
        <v>0</v>
      </c>
      <c r="U123" s="363"/>
      <c r="V123" s="126">
        <f t="shared" si="52"/>
        <v>121</v>
      </c>
      <c r="X123" s="406"/>
      <c r="Y123" s="2"/>
      <c r="Z123" s="2"/>
      <c r="AA123" s="11"/>
      <c r="AB123" s="2"/>
      <c r="AC123" s="80"/>
      <c r="AF123" t="s">
        <v>3198</v>
      </c>
      <c r="AJ123" s="2"/>
      <c r="AL123" s="3"/>
      <c r="AM123" s="3"/>
      <c r="AS123" s="1"/>
    </row>
    <row r="124" spans="1:46">
      <c r="A124" s="1">
        <v>123</v>
      </c>
      <c r="B124" t="s">
        <v>37</v>
      </c>
      <c r="C124" s="2">
        <v>45742</v>
      </c>
      <c r="D124" s="403" t="s">
        <v>9900</v>
      </c>
      <c r="E124" s="1" t="s">
        <v>11996</v>
      </c>
      <c r="F124" s="61" t="s">
        <v>11966</v>
      </c>
      <c r="G124" s="61" t="s">
        <v>11967</v>
      </c>
      <c r="H124" s="6" t="s">
        <v>219</v>
      </c>
      <c r="I124" s="1" t="s">
        <v>38</v>
      </c>
      <c r="J124" s="1">
        <v>643767244</v>
      </c>
      <c r="K124" s="396"/>
      <c r="L124" s="30" t="s">
        <v>11996</v>
      </c>
      <c r="M124" s="2">
        <v>45747</v>
      </c>
      <c r="N124" s="1" t="s">
        <v>35</v>
      </c>
      <c r="O124" s="61" t="s">
        <v>7925</v>
      </c>
      <c r="P124" s="14" t="s">
        <v>11968</v>
      </c>
      <c r="Q124" s="92">
        <v>115.7</v>
      </c>
      <c r="R124" s="1">
        <v>1</v>
      </c>
      <c r="S124" s="90">
        <v>0.21</v>
      </c>
      <c r="T124" s="90">
        <v>0</v>
      </c>
      <c r="U124" s="363"/>
      <c r="V124" s="126">
        <f t="shared" si="52"/>
        <v>139.99700000000001</v>
      </c>
      <c r="W124" s="76" t="s">
        <v>11996</v>
      </c>
      <c r="X124" s="5" t="s">
        <v>12018</v>
      </c>
      <c r="Y124" s="2">
        <v>36526</v>
      </c>
      <c r="Z124" s="2">
        <v>45742</v>
      </c>
      <c r="AA124" s="284" t="s">
        <v>1326</v>
      </c>
      <c r="AB124" s="2"/>
      <c r="AC124" s="80"/>
      <c r="AF124" t="s">
        <v>3198</v>
      </c>
      <c r="AI124" t="s">
        <v>3392</v>
      </c>
      <c r="AJ124" s="2">
        <v>45755</v>
      </c>
      <c r="AL124" s="3"/>
      <c r="AM124" s="3">
        <v>45755</v>
      </c>
      <c r="AS124" s="1"/>
    </row>
    <row r="125" spans="1:46" ht="14.25" customHeight="1">
      <c r="A125" s="1">
        <v>124</v>
      </c>
      <c r="B125" t="s">
        <v>4321</v>
      </c>
      <c r="C125" s="2">
        <v>45744</v>
      </c>
      <c r="D125" s="2"/>
      <c r="E125" s="1" t="s">
        <v>3427</v>
      </c>
      <c r="F125" s="61" t="s">
        <v>3428</v>
      </c>
      <c r="G125" s="61" t="s">
        <v>3433</v>
      </c>
      <c r="H125" s="6" t="s">
        <v>3429</v>
      </c>
      <c r="I125" s="1" t="s">
        <v>86</v>
      </c>
      <c r="J125" s="1">
        <v>650379091</v>
      </c>
      <c r="K125" s="8" t="s">
        <v>5991</v>
      </c>
      <c r="L125" s="1" t="s">
        <v>3427</v>
      </c>
      <c r="M125" s="2">
        <v>45747</v>
      </c>
      <c r="N125" s="1" t="s">
        <v>35</v>
      </c>
      <c r="O125" s="61" t="s">
        <v>7934</v>
      </c>
      <c r="P125" s="14" t="s">
        <v>11969</v>
      </c>
      <c r="Q125" s="187">
        <v>69.42</v>
      </c>
      <c r="R125" s="1">
        <v>1</v>
      </c>
      <c r="S125" s="128">
        <v>0.21</v>
      </c>
      <c r="T125" s="128">
        <v>0</v>
      </c>
      <c r="U125" s="363"/>
      <c r="V125" s="126">
        <f t="shared" ref="V125" si="53">SUM(Q125-(Q125*T125))*S125+(Q125-(Q125*T125))</f>
        <v>83.998199999999997</v>
      </c>
      <c r="W125" t="s">
        <v>10008</v>
      </c>
      <c r="X125" s="5" t="s">
        <v>11970</v>
      </c>
      <c r="Y125" s="2">
        <v>35965</v>
      </c>
      <c r="Z125" s="2">
        <v>45744</v>
      </c>
      <c r="AA125" s="284" t="s">
        <v>12190</v>
      </c>
      <c r="AB125" s="2">
        <v>45792</v>
      </c>
      <c r="AC125" s="80" t="s">
        <v>1339</v>
      </c>
      <c r="AF125" t="s">
        <v>3198</v>
      </c>
      <c r="AJ125" s="3"/>
      <c r="AM125" s="3"/>
      <c r="AS125" s="1"/>
    </row>
    <row r="126" spans="1:46">
      <c r="A126" s="1">
        <v>125</v>
      </c>
      <c r="B126" t="s">
        <v>11971</v>
      </c>
      <c r="C126" s="2">
        <v>45744</v>
      </c>
      <c r="D126" s="403" t="s">
        <v>9900</v>
      </c>
      <c r="E126" s="1" t="s">
        <v>11975</v>
      </c>
      <c r="F126" s="61" t="s">
        <v>11972</v>
      </c>
      <c r="G126" s="61" t="s">
        <v>11973</v>
      </c>
      <c r="H126" s="6" t="s">
        <v>3988</v>
      </c>
      <c r="I126" s="1" t="s">
        <v>7218</v>
      </c>
      <c r="J126" s="1"/>
      <c r="K126" s="396" t="s">
        <v>11974</v>
      </c>
      <c r="L126" s="1" t="s">
        <v>11975</v>
      </c>
      <c r="M126" s="2">
        <v>45747</v>
      </c>
      <c r="N126" s="1" t="s">
        <v>35</v>
      </c>
      <c r="O126" s="61" t="s">
        <v>9758</v>
      </c>
      <c r="P126" s="14" t="s">
        <v>11976</v>
      </c>
      <c r="Q126" s="92">
        <v>115.7</v>
      </c>
      <c r="R126" s="1">
        <v>1</v>
      </c>
      <c r="S126" s="90">
        <v>0.21</v>
      </c>
      <c r="T126" s="90">
        <v>0</v>
      </c>
      <c r="U126" s="363"/>
      <c r="V126" s="126">
        <f t="shared" si="52"/>
        <v>139.99700000000001</v>
      </c>
      <c r="W126" t="s">
        <v>12026</v>
      </c>
      <c r="X126" s="406" t="s">
        <v>12027</v>
      </c>
      <c r="Y126" s="2">
        <v>33980</v>
      </c>
      <c r="Z126" s="2">
        <v>45744</v>
      </c>
      <c r="AA126" s="284" t="s">
        <v>12239</v>
      </c>
      <c r="AB126" s="2">
        <v>45806</v>
      </c>
      <c r="AC126" s="80" t="s">
        <v>1339</v>
      </c>
      <c r="AF126" t="s">
        <v>3198</v>
      </c>
      <c r="AI126" s="76" t="s">
        <v>3392</v>
      </c>
      <c r="AJ126" s="2">
        <v>45756</v>
      </c>
      <c r="AL126" s="3"/>
      <c r="AM126" s="3"/>
      <c r="AS126" s="1"/>
    </row>
    <row r="127" spans="1:46">
      <c r="A127" s="1">
        <v>126</v>
      </c>
      <c r="B127" t="s">
        <v>11971</v>
      </c>
      <c r="C127" s="2">
        <v>45744</v>
      </c>
      <c r="D127" s="2"/>
      <c r="E127" s="1" t="s">
        <v>11975</v>
      </c>
      <c r="F127" s="61" t="s">
        <v>11972</v>
      </c>
      <c r="G127" s="61" t="s">
        <v>11973</v>
      </c>
      <c r="H127" s="6" t="s">
        <v>3988</v>
      </c>
      <c r="I127" s="1" t="s">
        <v>7218</v>
      </c>
      <c r="J127" s="1"/>
      <c r="K127" s="396" t="s">
        <v>11974</v>
      </c>
      <c r="L127" s="1" t="s">
        <v>11975</v>
      </c>
      <c r="M127" s="2">
        <v>45747</v>
      </c>
      <c r="N127" s="1" t="s">
        <v>35</v>
      </c>
      <c r="O127" s="61" t="s">
        <v>9758</v>
      </c>
      <c r="P127" s="14" t="s">
        <v>11977</v>
      </c>
      <c r="Q127" s="92">
        <v>115.7</v>
      </c>
      <c r="R127" s="1">
        <v>1</v>
      </c>
      <c r="S127" s="90">
        <v>0.21</v>
      </c>
      <c r="T127" s="90">
        <v>0</v>
      </c>
      <c r="U127" s="363"/>
      <c r="V127" s="126">
        <f t="shared" ref="V127:V129" si="54">SUM(Q127-(Q127*T127))*S127+(Q127-(Q127*T127))</f>
        <v>139.99700000000001</v>
      </c>
      <c r="W127" t="s">
        <v>12033</v>
      </c>
      <c r="X127" s="406" t="s">
        <v>12034</v>
      </c>
      <c r="Y127" s="2">
        <v>37768</v>
      </c>
      <c r="Z127" s="2">
        <v>45744</v>
      </c>
      <c r="AA127" s="284" t="s">
        <v>12239</v>
      </c>
      <c r="AB127" s="2">
        <v>45806</v>
      </c>
      <c r="AC127" s="80" t="s">
        <v>1339</v>
      </c>
      <c r="AF127" t="s">
        <v>3198</v>
      </c>
      <c r="AI127" s="76" t="s">
        <v>11981</v>
      </c>
      <c r="AJ127" s="2">
        <v>45756</v>
      </c>
      <c r="AL127" s="3"/>
      <c r="AM127" s="3"/>
      <c r="AS127" s="1"/>
    </row>
    <row r="128" spans="1:46">
      <c r="A128" s="1">
        <v>127</v>
      </c>
      <c r="B128" t="s">
        <v>11971</v>
      </c>
      <c r="C128" s="2">
        <v>45744</v>
      </c>
      <c r="D128" s="2"/>
      <c r="E128" s="1" t="s">
        <v>11975</v>
      </c>
      <c r="F128" s="61" t="s">
        <v>11972</v>
      </c>
      <c r="G128" s="61" t="s">
        <v>11973</v>
      </c>
      <c r="H128" s="6" t="s">
        <v>3988</v>
      </c>
      <c r="I128" s="1" t="s">
        <v>7218</v>
      </c>
      <c r="J128" s="1"/>
      <c r="K128" s="396" t="s">
        <v>11974</v>
      </c>
      <c r="L128" s="1" t="s">
        <v>11975</v>
      </c>
      <c r="M128" s="2">
        <v>45747</v>
      </c>
      <c r="N128" s="1" t="s">
        <v>35</v>
      </c>
      <c r="O128" s="61" t="s">
        <v>9758</v>
      </c>
      <c r="P128" s="14" t="s">
        <v>11978</v>
      </c>
      <c r="Q128" s="92">
        <v>115.7</v>
      </c>
      <c r="R128" s="1">
        <v>1</v>
      </c>
      <c r="S128" s="90">
        <v>0.21</v>
      </c>
      <c r="T128" s="90">
        <v>0</v>
      </c>
      <c r="U128" s="363"/>
      <c r="V128" s="126">
        <f t="shared" si="54"/>
        <v>139.99700000000001</v>
      </c>
      <c r="W128" t="s">
        <v>12035</v>
      </c>
      <c r="X128" s="406" t="s">
        <v>12036</v>
      </c>
      <c r="Y128" s="2">
        <v>33603</v>
      </c>
      <c r="Z128" s="2">
        <v>45744</v>
      </c>
      <c r="AA128" s="284" t="s">
        <v>12239</v>
      </c>
      <c r="AB128" s="2">
        <v>45806</v>
      </c>
      <c r="AC128" s="80" t="s">
        <v>1339</v>
      </c>
      <c r="AF128" t="s">
        <v>3198</v>
      </c>
      <c r="AI128" s="76" t="s">
        <v>11981</v>
      </c>
      <c r="AJ128" s="2">
        <v>45756</v>
      </c>
      <c r="AL128" s="3"/>
      <c r="AM128" s="3"/>
      <c r="AS128" s="1"/>
    </row>
    <row r="129" spans="1:46">
      <c r="A129" s="1">
        <v>128</v>
      </c>
      <c r="B129" t="s">
        <v>11971</v>
      </c>
      <c r="C129" s="2">
        <v>45744</v>
      </c>
      <c r="D129" s="2"/>
      <c r="E129" s="1" t="s">
        <v>11975</v>
      </c>
      <c r="F129" s="61" t="s">
        <v>11972</v>
      </c>
      <c r="G129" s="61" t="s">
        <v>11973</v>
      </c>
      <c r="H129" s="6" t="s">
        <v>3988</v>
      </c>
      <c r="I129" s="1" t="s">
        <v>7218</v>
      </c>
      <c r="J129" s="1"/>
      <c r="K129" s="396" t="s">
        <v>11974</v>
      </c>
      <c r="L129" s="1" t="s">
        <v>11975</v>
      </c>
      <c r="M129" s="2">
        <v>45747</v>
      </c>
      <c r="N129" s="1" t="s">
        <v>35</v>
      </c>
      <c r="O129" s="61" t="s">
        <v>9758</v>
      </c>
      <c r="P129" s="14" t="s">
        <v>11979</v>
      </c>
      <c r="Q129" s="92">
        <v>115.7</v>
      </c>
      <c r="R129" s="1">
        <v>1</v>
      </c>
      <c r="S129" s="90">
        <v>0.21</v>
      </c>
      <c r="T129" s="90">
        <v>0</v>
      </c>
      <c r="U129" s="363"/>
      <c r="V129" s="126">
        <f t="shared" si="54"/>
        <v>139.99700000000001</v>
      </c>
      <c r="W129" t="s">
        <v>12044</v>
      </c>
      <c r="X129" s="406" t="s">
        <v>12043</v>
      </c>
      <c r="Y129" s="2">
        <v>36916</v>
      </c>
      <c r="Z129" s="2">
        <v>45744</v>
      </c>
      <c r="AA129" s="284" t="s">
        <v>12262</v>
      </c>
      <c r="AB129" s="2">
        <v>45817</v>
      </c>
      <c r="AC129" s="80" t="s">
        <v>1339</v>
      </c>
      <c r="AF129" t="s">
        <v>3198</v>
      </c>
      <c r="AI129" s="76" t="s">
        <v>11981</v>
      </c>
      <c r="AJ129" s="2">
        <v>45759</v>
      </c>
      <c r="AL129" s="3"/>
      <c r="AM129" s="3"/>
      <c r="AS129" s="1"/>
    </row>
    <row r="130" spans="1:46">
      <c r="A130" s="1">
        <v>129</v>
      </c>
      <c r="B130" t="s">
        <v>11971</v>
      </c>
      <c r="C130" s="2">
        <v>45744</v>
      </c>
      <c r="D130" s="2"/>
      <c r="E130" s="1" t="s">
        <v>11975</v>
      </c>
      <c r="F130" s="61" t="s">
        <v>11972</v>
      </c>
      <c r="G130" s="61" t="s">
        <v>11973</v>
      </c>
      <c r="H130" s="6" t="s">
        <v>3988</v>
      </c>
      <c r="I130" s="1" t="s">
        <v>7218</v>
      </c>
      <c r="J130" s="1"/>
      <c r="K130" s="396" t="s">
        <v>11974</v>
      </c>
      <c r="L130" s="1" t="s">
        <v>11975</v>
      </c>
      <c r="M130" s="2">
        <v>45747</v>
      </c>
      <c r="N130" s="1" t="s">
        <v>35</v>
      </c>
      <c r="O130" s="61" t="s">
        <v>9758</v>
      </c>
      <c r="P130" s="14" t="s">
        <v>11980</v>
      </c>
      <c r="Q130" s="92">
        <v>115.7</v>
      </c>
      <c r="R130" s="1">
        <v>1</v>
      </c>
      <c r="S130" s="90">
        <v>0.21</v>
      </c>
      <c r="T130" s="90">
        <v>0</v>
      </c>
      <c r="U130" s="363"/>
      <c r="V130" s="126">
        <f t="shared" si="0"/>
        <v>139.99700000000001</v>
      </c>
      <c r="W130" s="1" t="s">
        <v>12028</v>
      </c>
      <c r="X130" s="5" t="s">
        <v>12029</v>
      </c>
      <c r="Y130" s="2">
        <v>36939</v>
      </c>
      <c r="Z130" s="2">
        <v>45744</v>
      </c>
      <c r="AB130" s="2"/>
      <c r="AC130" s="133"/>
      <c r="AD130" s="452"/>
      <c r="AF130" t="s">
        <v>3198</v>
      </c>
      <c r="AI130" s="76" t="s">
        <v>11982</v>
      </c>
      <c r="AJ130" s="2">
        <v>45756</v>
      </c>
      <c r="AM130" s="3"/>
    </row>
    <row r="131" spans="1:46" s="457" customFormat="1" ht="15.75" thickBot="1">
      <c r="A131" s="1">
        <v>130</v>
      </c>
      <c r="B131" s="457" t="s">
        <v>3526</v>
      </c>
      <c r="C131" s="458">
        <v>45747</v>
      </c>
      <c r="D131" s="458"/>
      <c r="E131" s="456" t="s">
        <v>11737</v>
      </c>
      <c r="F131" s="459" t="s">
        <v>11738</v>
      </c>
      <c r="G131" s="457" t="s">
        <v>11739</v>
      </c>
      <c r="H131" s="460" t="s">
        <v>6434</v>
      </c>
      <c r="I131" s="456" t="s">
        <v>6435</v>
      </c>
      <c r="J131" s="456"/>
      <c r="K131" s="476" t="s">
        <v>7759</v>
      </c>
      <c r="L131" s="456" t="s">
        <v>11737</v>
      </c>
      <c r="M131" s="458">
        <v>45747</v>
      </c>
      <c r="N131" s="456" t="s">
        <v>35</v>
      </c>
      <c r="O131" s="459" t="s">
        <v>7937</v>
      </c>
      <c r="P131" s="457" t="s">
        <v>11740</v>
      </c>
      <c r="Q131" s="464">
        <v>0</v>
      </c>
      <c r="R131" s="456">
        <v>1</v>
      </c>
      <c r="S131" s="465">
        <v>0.21</v>
      </c>
      <c r="T131" s="465">
        <v>0</v>
      </c>
      <c r="U131" s="466"/>
      <c r="V131" s="467">
        <f t="shared" ref="V131" si="55">SUM(Q131-(Q131*T131))*S131+(Q131-(Q131*T131))</f>
        <v>0</v>
      </c>
      <c r="W131" s="457" t="s">
        <v>11781</v>
      </c>
      <c r="X131" s="474" t="s">
        <v>11997</v>
      </c>
      <c r="Y131" s="458">
        <v>45629</v>
      </c>
      <c r="Z131" s="458">
        <v>45747</v>
      </c>
      <c r="AA131" s="481" t="s">
        <v>12248</v>
      </c>
      <c r="AB131" s="458">
        <v>45797</v>
      </c>
      <c r="AC131" s="477" t="s">
        <v>1339</v>
      </c>
      <c r="AE131" s="480">
        <v>45793</v>
      </c>
      <c r="AF131" s="457" t="s">
        <v>3198</v>
      </c>
      <c r="AI131" s="459"/>
      <c r="AJ131" s="458"/>
      <c r="AM131" s="478"/>
    </row>
    <row r="132" spans="1:46" ht="15.75" thickTop="1">
      <c r="A132" s="1">
        <v>131</v>
      </c>
      <c r="B132" t="s">
        <v>5635</v>
      </c>
      <c r="C132" s="2">
        <v>45748</v>
      </c>
      <c r="D132" s="2"/>
      <c r="E132" s="1" t="s">
        <v>12249</v>
      </c>
      <c r="F132" s="61" t="s">
        <v>11999</v>
      </c>
      <c r="G132" s="61" t="s">
        <v>12000</v>
      </c>
      <c r="H132" s="6" t="s">
        <v>2273</v>
      </c>
      <c r="I132" s="1" t="s">
        <v>2274</v>
      </c>
      <c r="J132" s="1"/>
      <c r="K132" s="396" t="s">
        <v>7805</v>
      </c>
      <c r="L132" s="1" t="s">
        <v>11998</v>
      </c>
      <c r="M132" s="2">
        <v>45777</v>
      </c>
      <c r="N132" s="1" t="s">
        <v>35</v>
      </c>
      <c r="O132" s="61" t="s">
        <v>7925</v>
      </c>
      <c r="P132" s="14" t="s">
        <v>12001</v>
      </c>
      <c r="Q132" s="92">
        <v>115.7</v>
      </c>
      <c r="R132" s="1">
        <v>1</v>
      </c>
      <c r="S132" s="90">
        <v>0.21</v>
      </c>
      <c r="T132" s="90">
        <v>0</v>
      </c>
      <c r="U132" s="363"/>
      <c r="V132" s="126">
        <f t="shared" ref="V132:V133" si="56">SUM(Q132-(Q132*T132))*S132+(Q132-(Q132*T132))</f>
        <v>139.99700000000001</v>
      </c>
      <c r="W132" s="1" t="s">
        <v>12023</v>
      </c>
      <c r="X132" s="5" t="s">
        <v>12024</v>
      </c>
      <c r="Y132" s="2">
        <v>35147</v>
      </c>
      <c r="Z132" s="2">
        <v>45748</v>
      </c>
      <c r="AA132" t="s">
        <v>12378</v>
      </c>
      <c r="AB132" s="2">
        <v>45834</v>
      </c>
      <c r="AC132" s="133" t="s">
        <v>1339</v>
      </c>
      <c r="AD132" s="452" t="s">
        <v>12697</v>
      </c>
      <c r="AE132" s="162">
        <v>45848</v>
      </c>
      <c r="AF132" t="s">
        <v>3198</v>
      </c>
      <c r="AI132" s="76" t="s">
        <v>3392</v>
      </c>
      <c r="AJ132" s="3">
        <v>45756</v>
      </c>
      <c r="AM132" s="3"/>
    </row>
    <row r="133" spans="1:46">
      <c r="A133" s="1">
        <v>132</v>
      </c>
      <c r="B133" t="s">
        <v>37</v>
      </c>
      <c r="C133" s="2">
        <v>45751</v>
      </c>
      <c r="D133" s="403" t="s">
        <v>9900</v>
      </c>
      <c r="E133" s="1" t="s">
        <v>12160</v>
      </c>
      <c r="F133" s="61" t="s">
        <v>12002</v>
      </c>
      <c r="G133" s="61" t="s">
        <v>12003</v>
      </c>
      <c r="H133" s="6" t="s">
        <v>7966</v>
      </c>
      <c r="I133" s="1" t="s">
        <v>7965</v>
      </c>
      <c r="J133" s="1">
        <v>643736985</v>
      </c>
      <c r="K133" s="396"/>
      <c r="L133" s="1" t="s">
        <v>12160</v>
      </c>
      <c r="M133" s="2">
        <v>45777</v>
      </c>
      <c r="N133" s="1" t="s">
        <v>35</v>
      </c>
      <c r="O133" s="61" t="s">
        <v>7929</v>
      </c>
      <c r="P133" s="14" t="s">
        <v>12004</v>
      </c>
      <c r="Q133" s="92">
        <v>165.29</v>
      </c>
      <c r="R133" s="1">
        <v>1</v>
      </c>
      <c r="S133" s="90">
        <v>0.21</v>
      </c>
      <c r="T133" s="90">
        <v>0</v>
      </c>
      <c r="U133" s="363"/>
      <c r="V133" s="126">
        <f t="shared" si="56"/>
        <v>200.0009</v>
      </c>
      <c r="W133" s="1" t="s">
        <v>12160</v>
      </c>
      <c r="X133" s="5" t="s">
        <v>12159</v>
      </c>
      <c r="Y133" s="2">
        <v>36348</v>
      </c>
      <c r="Z133" s="2">
        <v>45751</v>
      </c>
      <c r="AA133" s="2"/>
      <c r="AB133" s="2"/>
      <c r="AC133" s="133"/>
      <c r="AD133" s="452"/>
      <c r="AE133" s="3">
        <v>45908</v>
      </c>
      <c r="AF133" t="s">
        <v>3198</v>
      </c>
      <c r="AI133" s="76" t="s">
        <v>3392</v>
      </c>
      <c r="AJ133" s="3">
        <v>45792</v>
      </c>
      <c r="AM133" s="3"/>
    </row>
    <row r="134" spans="1:46" ht="15.75" customHeight="1">
      <c r="A134" s="1">
        <v>133</v>
      </c>
      <c r="B134" s="61" t="s">
        <v>11607</v>
      </c>
      <c r="C134" s="2">
        <v>45751</v>
      </c>
      <c r="D134" s="2"/>
      <c r="E134" s="30" t="s">
        <v>458</v>
      </c>
      <c r="F134" t="s">
        <v>84</v>
      </c>
      <c r="G134" s="103" t="s">
        <v>138</v>
      </c>
      <c r="H134" s="30" t="s">
        <v>227</v>
      </c>
      <c r="I134" s="31" t="s">
        <v>203</v>
      </c>
      <c r="J134" s="44"/>
      <c r="K134" s="396" t="s">
        <v>12858</v>
      </c>
      <c r="L134" s="30" t="s">
        <v>458</v>
      </c>
      <c r="M134" s="2">
        <v>45777</v>
      </c>
      <c r="N134" s="1" t="s">
        <v>35</v>
      </c>
      <c r="O134" s="61" t="s">
        <v>9758</v>
      </c>
      <c r="P134" s="14" t="s">
        <v>12037</v>
      </c>
      <c r="Q134" s="187">
        <v>115.7</v>
      </c>
      <c r="R134" s="1">
        <v>1</v>
      </c>
      <c r="S134" s="90">
        <v>0.21</v>
      </c>
      <c r="T134" s="90">
        <v>0</v>
      </c>
      <c r="V134" s="95">
        <f t="shared" ref="V134" si="57">SUM(Q134-(Q134*T134))*S134+(Q134-(Q134*T134))</f>
        <v>139.99700000000001</v>
      </c>
      <c r="W134" t="s">
        <v>12038</v>
      </c>
      <c r="X134" s="5" t="s">
        <v>12039</v>
      </c>
      <c r="Y134" s="2">
        <v>31422</v>
      </c>
      <c r="Z134" s="2">
        <v>45751</v>
      </c>
      <c r="AA134" s="284" t="s">
        <v>12258</v>
      </c>
      <c r="AB134" s="2">
        <v>45804</v>
      </c>
      <c r="AC134" s="80" t="s">
        <v>1339</v>
      </c>
      <c r="AD134" s="61"/>
      <c r="AF134" t="s">
        <v>3198</v>
      </c>
      <c r="AI134" s="76" t="s">
        <v>12005</v>
      </c>
      <c r="AJ134" s="2">
        <v>45757</v>
      </c>
      <c r="AM134" s="74"/>
      <c r="AT134" s="1"/>
    </row>
    <row r="135" spans="1:46">
      <c r="A135" s="1">
        <v>134</v>
      </c>
      <c r="B135" t="s">
        <v>4321</v>
      </c>
      <c r="C135" s="2">
        <v>45751</v>
      </c>
      <c r="D135" s="403" t="s">
        <v>9900</v>
      </c>
      <c r="E135" s="1" t="s">
        <v>12006</v>
      </c>
      <c r="F135" s="61" t="s">
        <v>12007</v>
      </c>
      <c r="G135" s="61" t="s">
        <v>12008</v>
      </c>
      <c r="H135" s="6" t="s">
        <v>238</v>
      </c>
      <c r="I135" s="1" t="s">
        <v>48</v>
      </c>
      <c r="J135" s="1"/>
      <c r="K135" s="8" t="s">
        <v>5991</v>
      </c>
      <c r="L135" s="1" t="s">
        <v>12006</v>
      </c>
      <c r="M135" s="2">
        <v>45777</v>
      </c>
      <c r="N135" s="1" t="s">
        <v>35</v>
      </c>
      <c r="O135" s="61" t="s">
        <v>7925</v>
      </c>
      <c r="P135" s="14" t="s">
        <v>12009</v>
      </c>
      <c r="Q135" s="187">
        <v>115.7</v>
      </c>
      <c r="R135" s="1">
        <v>1</v>
      </c>
      <c r="S135" s="90">
        <v>0.21</v>
      </c>
      <c r="T135" s="90">
        <v>0</v>
      </c>
      <c r="V135" s="95">
        <f t="shared" ref="V135:V140" si="58">SUM(Q135-(Q135*T135))*S135+(Q135-(Q135*T135))</f>
        <v>139.99700000000001</v>
      </c>
      <c r="W135" s="1" t="s">
        <v>12031</v>
      </c>
      <c r="X135" s="5" t="s">
        <v>12032</v>
      </c>
      <c r="Y135" s="2">
        <v>35074</v>
      </c>
      <c r="Z135" s="2">
        <v>45751</v>
      </c>
      <c r="AA135" s="284" t="s">
        <v>12337</v>
      </c>
      <c r="AB135" s="2">
        <v>45819</v>
      </c>
      <c r="AC135" s="80" t="s">
        <v>1339</v>
      </c>
      <c r="AD135" s="452"/>
      <c r="AF135" t="s">
        <v>3198</v>
      </c>
      <c r="AI135" s="76" t="s">
        <v>11444</v>
      </c>
      <c r="AJ135" s="3">
        <v>45756</v>
      </c>
      <c r="AM135" s="3"/>
    </row>
    <row r="136" spans="1:46">
      <c r="A136" s="1">
        <v>135</v>
      </c>
      <c r="B136" t="s">
        <v>1414</v>
      </c>
      <c r="C136" s="2">
        <v>45751</v>
      </c>
      <c r="D136" s="2"/>
      <c r="E136" s="1" t="s">
        <v>9646</v>
      </c>
      <c r="F136" t="s">
        <v>10848</v>
      </c>
      <c r="G136" s="61" t="s">
        <v>9648</v>
      </c>
      <c r="H136" s="6" t="s">
        <v>221</v>
      </c>
      <c r="I136" s="1" t="s">
        <v>34</v>
      </c>
      <c r="J136" s="1"/>
      <c r="K136" s="396" t="s">
        <v>8355</v>
      </c>
      <c r="L136" s="1" t="s">
        <v>9646</v>
      </c>
      <c r="M136" s="2">
        <v>45777</v>
      </c>
      <c r="N136" s="1" t="s">
        <v>35</v>
      </c>
      <c r="O136" s="375" t="s">
        <v>7926</v>
      </c>
      <c r="P136" s="14" t="s">
        <v>9649</v>
      </c>
      <c r="Q136" s="92">
        <v>0</v>
      </c>
      <c r="R136" s="1">
        <v>1</v>
      </c>
      <c r="S136" s="90">
        <v>0.21</v>
      </c>
      <c r="T136" s="90">
        <v>0.2</v>
      </c>
      <c r="U136" s="363"/>
      <c r="V136" s="95">
        <f t="shared" si="58"/>
        <v>0</v>
      </c>
      <c r="W136" t="s">
        <v>9701</v>
      </c>
      <c r="X136" s="5" t="s">
        <v>12041</v>
      </c>
      <c r="Y136" s="2">
        <v>38981</v>
      </c>
      <c r="Z136" s="2">
        <v>45751</v>
      </c>
      <c r="AA136" s="284" t="s">
        <v>12258</v>
      </c>
      <c r="AB136" s="2">
        <v>45804</v>
      </c>
      <c r="AC136" s="80" t="s">
        <v>1339</v>
      </c>
      <c r="AD136" s="61"/>
      <c r="AF136" t="s">
        <v>3198</v>
      </c>
      <c r="AI136" t="s">
        <v>10800</v>
      </c>
      <c r="AJ136" s="3">
        <v>45757</v>
      </c>
      <c r="AM136" s="3">
        <v>45768</v>
      </c>
      <c r="AT136" s="1"/>
    </row>
    <row r="137" spans="1:46">
      <c r="A137" s="1">
        <v>136</v>
      </c>
      <c r="B137" t="s">
        <v>1414</v>
      </c>
      <c r="C137" s="2">
        <v>45751</v>
      </c>
      <c r="D137" s="2"/>
      <c r="E137" s="1" t="s">
        <v>9728</v>
      </c>
      <c r="F137" s="61" t="s">
        <v>9851</v>
      </c>
      <c r="G137" t="s">
        <v>9729</v>
      </c>
      <c r="H137" s="6" t="s">
        <v>230</v>
      </c>
      <c r="I137" s="1" t="s">
        <v>8550</v>
      </c>
      <c r="J137" s="1"/>
      <c r="K137" s="396" t="s">
        <v>8355</v>
      </c>
      <c r="L137" s="1" t="s">
        <v>9728</v>
      </c>
      <c r="M137" s="2">
        <v>45777</v>
      </c>
      <c r="N137" s="1" t="s">
        <v>35</v>
      </c>
      <c r="O137" s="14" t="s">
        <v>7926</v>
      </c>
      <c r="P137" s="14" t="s">
        <v>9730</v>
      </c>
      <c r="Q137" s="187">
        <v>0</v>
      </c>
      <c r="R137" s="1">
        <v>1</v>
      </c>
      <c r="S137" s="128">
        <v>0.21</v>
      </c>
      <c r="T137" s="128">
        <v>0.2</v>
      </c>
      <c r="U137" s="363"/>
      <c r="V137" s="126">
        <f t="shared" si="58"/>
        <v>0</v>
      </c>
      <c r="W137" t="s">
        <v>9799</v>
      </c>
      <c r="X137" s="5" t="s">
        <v>12040</v>
      </c>
      <c r="Y137" s="3">
        <v>38404</v>
      </c>
      <c r="Z137" s="2">
        <v>45751</v>
      </c>
      <c r="AA137" s="284" t="s">
        <v>12258</v>
      </c>
      <c r="AB137" s="2">
        <v>45804</v>
      </c>
      <c r="AC137" s="80" t="s">
        <v>1339</v>
      </c>
      <c r="AF137" t="s">
        <v>3198</v>
      </c>
      <c r="AI137" t="s">
        <v>10800</v>
      </c>
      <c r="AJ137" s="3">
        <v>45757</v>
      </c>
      <c r="AM137" s="3">
        <v>45768</v>
      </c>
      <c r="AS137" s="1" t="s">
        <v>7935</v>
      </c>
    </row>
    <row r="138" spans="1:46">
      <c r="A138" s="1">
        <v>137</v>
      </c>
      <c r="B138" t="s">
        <v>37</v>
      </c>
      <c r="C138" s="2">
        <v>45754</v>
      </c>
      <c r="D138" s="2"/>
      <c r="E138" s="1" t="s">
        <v>10257</v>
      </c>
      <c r="F138" s="61" t="s">
        <v>10290</v>
      </c>
      <c r="G138" s="61" t="s">
        <v>10236</v>
      </c>
      <c r="H138" s="6" t="s">
        <v>1257</v>
      </c>
      <c r="I138" s="1" t="s">
        <v>1266</v>
      </c>
      <c r="J138" s="8">
        <v>642415267</v>
      </c>
      <c r="K138" s="8"/>
      <c r="L138" t="s">
        <v>10257</v>
      </c>
      <c r="M138" s="2">
        <v>45777</v>
      </c>
      <c r="N138" s="1" t="s">
        <v>35</v>
      </c>
      <c r="O138" s="61" t="s">
        <v>7934</v>
      </c>
      <c r="P138" s="14" t="s">
        <v>12013</v>
      </c>
      <c r="Q138" s="187">
        <v>86.78</v>
      </c>
      <c r="R138" s="1">
        <v>1</v>
      </c>
      <c r="S138" s="128">
        <v>0.21</v>
      </c>
      <c r="T138" s="128">
        <v>0</v>
      </c>
      <c r="U138" s="363"/>
      <c r="V138" s="126">
        <f t="shared" si="58"/>
        <v>105.0038</v>
      </c>
      <c r="W138" t="s">
        <v>10257</v>
      </c>
      <c r="X138" s="6" t="s">
        <v>12014</v>
      </c>
      <c r="Y138" s="3">
        <v>36295</v>
      </c>
      <c r="Z138" s="2">
        <v>45754</v>
      </c>
      <c r="AA138" s="284" t="s">
        <v>12191</v>
      </c>
      <c r="AB138" s="2">
        <v>45792</v>
      </c>
      <c r="AC138" s="80" t="s">
        <v>1339</v>
      </c>
      <c r="AF138" t="s">
        <v>3198</v>
      </c>
      <c r="AJ138" s="3"/>
      <c r="AM138" s="2"/>
      <c r="AT138" s="1"/>
    </row>
    <row r="139" spans="1:46">
      <c r="A139" s="1">
        <v>138</v>
      </c>
      <c r="B139" t="s">
        <v>37</v>
      </c>
      <c r="C139" s="2">
        <v>45754</v>
      </c>
      <c r="D139" s="2"/>
      <c r="E139" s="1" t="s">
        <v>10288</v>
      </c>
      <c r="F139" s="61" t="s">
        <v>8244</v>
      </c>
      <c r="G139" t="s">
        <v>10260</v>
      </c>
      <c r="H139" s="6" t="s">
        <v>10261</v>
      </c>
      <c r="I139" s="1" t="s">
        <v>54</v>
      </c>
      <c r="J139" s="44">
        <v>632489284</v>
      </c>
      <c r="K139" s="1"/>
      <c r="L139" s="1" t="s">
        <v>10288</v>
      </c>
      <c r="M139" s="2">
        <v>45777</v>
      </c>
      <c r="N139" s="1" t="s">
        <v>35</v>
      </c>
      <c r="O139" s="14" t="s">
        <v>7934</v>
      </c>
      <c r="P139" s="14" t="s">
        <v>10752</v>
      </c>
      <c r="Q139" s="187">
        <v>86.78</v>
      </c>
      <c r="R139" s="1">
        <v>1</v>
      </c>
      <c r="S139" s="426">
        <v>0.21</v>
      </c>
      <c r="T139" s="426">
        <v>0</v>
      </c>
      <c r="U139" s="95"/>
      <c r="V139" s="126">
        <f t="shared" si="58"/>
        <v>105.0038</v>
      </c>
      <c r="W139" t="s">
        <v>10288</v>
      </c>
      <c r="X139" s="5" t="s">
        <v>12015</v>
      </c>
      <c r="Y139" s="2">
        <v>36295</v>
      </c>
      <c r="Z139" s="2">
        <v>45754</v>
      </c>
      <c r="AA139" s="284" t="s">
        <v>12191</v>
      </c>
      <c r="AB139" s="2">
        <v>45792</v>
      </c>
      <c r="AC139" s="80" t="s">
        <v>1339</v>
      </c>
      <c r="AD139" t="s">
        <v>12158</v>
      </c>
      <c r="AF139" t="s">
        <v>3198</v>
      </c>
      <c r="AJ139" s="2"/>
      <c r="AM139" s="74"/>
      <c r="AT139" s="1"/>
    </row>
    <row r="140" spans="1:46">
      <c r="A140" s="1">
        <v>139</v>
      </c>
      <c r="B140" t="s">
        <v>37</v>
      </c>
      <c r="C140" s="2">
        <v>45760</v>
      </c>
      <c r="D140" s="2"/>
      <c r="E140" s="1" t="s">
        <v>10286</v>
      </c>
      <c r="F140" s="61" t="s">
        <v>10262</v>
      </c>
      <c r="G140" t="s">
        <v>10263</v>
      </c>
      <c r="H140" s="6" t="s">
        <v>10261</v>
      </c>
      <c r="I140" s="1" t="s">
        <v>54</v>
      </c>
      <c r="J140" s="44">
        <v>641733056</v>
      </c>
      <c r="K140" s="1"/>
      <c r="L140" s="1" t="s">
        <v>10286</v>
      </c>
      <c r="M140" s="2">
        <v>45777</v>
      </c>
      <c r="N140" s="1" t="s">
        <v>35</v>
      </c>
      <c r="O140" s="14" t="s">
        <v>7934</v>
      </c>
      <c r="P140" s="14" t="s">
        <v>12045</v>
      </c>
      <c r="Q140" s="187">
        <v>86.78</v>
      </c>
      <c r="R140" s="1">
        <v>1</v>
      </c>
      <c r="S140" s="426">
        <v>0.21</v>
      </c>
      <c r="T140" s="426">
        <v>0</v>
      </c>
      <c r="U140" s="95"/>
      <c r="V140" s="126">
        <f t="shared" si="58"/>
        <v>105.0038</v>
      </c>
      <c r="W140" t="s">
        <v>10286</v>
      </c>
      <c r="X140" s="5" t="s">
        <v>12046</v>
      </c>
      <c r="Y140" s="2">
        <v>31675</v>
      </c>
      <c r="Z140" s="2">
        <v>45760</v>
      </c>
      <c r="AA140" s="284" t="s">
        <v>12237</v>
      </c>
      <c r="AB140" s="2">
        <v>45796</v>
      </c>
      <c r="AC140" s="80" t="s">
        <v>1339</v>
      </c>
      <c r="AF140" t="s">
        <v>3198</v>
      </c>
      <c r="AJ140" s="2"/>
      <c r="AM140" s="74"/>
      <c r="AT140" s="1"/>
    </row>
    <row r="141" spans="1:46">
      <c r="A141" s="1">
        <v>140</v>
      </c>
      <c r="B141" t="s">
        <v>33</v>
      </c>
      <c r="C141" s="2">
        <v>45760</v>
      </c>
      <c r="D141" s="2"/>
      <c r="E141" s="1" t="s">
        <v>2629</v>
      </c>
      <c r="F141" s="61" t="s">
        <v>2630</v>
      </c>
      <c r="G141" s="61" t="s">
        <v>9447</v>
      </c>
      <c r="H141" s="6" t="s">
        <v>219</v>
      </c>
      <c r="I141" s="1" t="s">
        <v>38</v>
      </c>
      <c r="J141" s="8"/>
      <c r="K141" s="114" t="s">
        <v>11744</v>
      </c>
      <c r="L141" s="1" t="s">
        <v>237</v>
      </c>
      <c r="M141" s="2">
        <v>45777</v>
      </c>
      <c r="N141" s="1" t="s">
        <v>35</v>
      </c>
      <c r="O141" s="375" t="s">
        <v>9758</v>
      </c>
      <c r="P141" s="14" t="s">
        <v>12047</v>
      </c>
      <c r="Q141" s="144">
        <v>115.7</v>
      </c>
      <c r="R141" s="1">
        <v>1</v>
      </c>
      <c r="S141" s="90">
        <v>0.21</v>
      </c>
      <c r="T141" s="90">
        <v>0</v>
      </c>
      <c r="U141" s="379"/>
      <c r="V141" s="95">
        <f t="shared" ref="V141" si="59">SUM(Q141-(Q141*T141))*S141+(Q141-(Q141*T141))</f>
        <v>139.99700000000001</v>
      </c>
      <c r="W141" t="s">
        <v>12104</v>
      </c>
      <c r="X141" s="5" t="s">
        <v>12105</v>
      </c>
      <c r="Y141" s="2">
        <v>34335</v>
      </c>
      <c r="Z141" s="2">
        <v>45760</v>
      </c>
      <c r="AA141" s="284" t="s">
        <v>12262</v>
      </c>
      <c r="AB141" s="2">
        <v>45817</v>
      </c>
      <c r="AC141" s="80" t="s">
        <v>1339</v>
      </c>
      <c r="AE141" s="3"/>
      <c r="AF141" t="s">
        <v>3198</v>
      </c>
      <c r="AI141" t="s">
        <v>3470</v>
      </c>
      <c r="AJ141" s="2">
        <v>45775</v>
      </c>
      <c r="AK141" s="1"/>
      <c r="AM141" s="74">
        <v>45790</v>
      </c>
      <c r="AS141" s="1" t="s">
        <v>7930</v>
      </c>
      <c r="AT141" s="1"/>
    </row>
    <row r="142" spans="1:46">
      <c r="A142" s="1">
        <v>141</v>
      </c>
      <c r="B142" t="s">
        <v>33</v>
      </c>
      <c r="C142" s="2">
        <v>45760</v>
      </c>
      <c r="D142" s="2"/>
      <c r="E142" s="1" t="s">
        <v>7374</v>
      </c>
      <c r="F142" t="s">
        <v>7375</v>
      </c>
      <c r="G142" t="s">
        <v>7376</v>
      </c>
      <c r="H142" s="6" t="s">
        <v>219</v>
      </c>
      <c r="I142" s="1" t="s">
        <v>38</v>
      </c>
      <c r="J142" s="1"/>
      <c r="K142" s="114" t="s">
        <v>11744</v>
      </c>
      <c r="L142" s="1" t="s">
        <v>237</v>
      </c>
      <c r="M142" s="2">
        <v>45777</v>
      </c>
      <c r="N142" s="1" t="s">
        <v>35</v>
      </c>
      <c r="O142" s="375" t="s">
        <v>9758</v>
      </c>
      <c r="P142" s="14" t="s">
        <v>12048</v>
      </c>
      <c r="Q142" s="144">
        <v>115.7</v>
      </c>
      <c r="R142" s="1">
        <v>1</v>
      </c>
      <c r="S142" s="90">
        <v>0.21</v>
      </c>
      <c r="T142" s="90">
        <v>0</v>
      </c>
      <c r="U142" s="379"/>
      <c r="V142" s="95">
        <f t="shared" ref="V142" si="60">SUM(Q142-(Q142*T142))*S142+(Q142-(Q142*T142))</f>
        <v>139.99700000000001</v>
      </c>
      <c r="W142" t="s">
        <v>12100</v>
      </c>
      <c r="X142" s="5" t="s">
        <v>12101</v>
      </c>
      <c r="Y142" s="2">
        <v>37322</v>
      </c>
      <c r="Z142" s="2">
        <v>45760</v>
      </c>
      <c r="AA142" s="284" t="s">
        <v>12262</v>
      </c>
      <c r="AB142" s="2">
        <v>45817</v>
      </c>
      <c r="AC142" s="80" t="s">
        <v>1339</v>
      </c>
      <c r="AF142" t="s">
        <v>3198</v>
      </c>
      <c r="AI142" s="76" t="s">
        <v>3470</v>
      </c>
      <c r="AJ142" s="2">
        <v>45775</v>
      </c>
      <c r="AM142" s="74"/>
      <c r="AT142" s="1"/>
    </row>
    <row r="143" spans="1:46">
      <c r="A143" s="1">
        <v>142</v>
      </c>
      <c r="B143" t="s">
        <v>3526</v>
      </c>
      <c r="C143" s="2">
        <v>45760</v>
      </c>
      <c r="D143" s="2"/>
      <c r="E143" s="1" t="s">
        <v>7468</v>
      </c>
      <c r="F143" t="s">
        <v>7469</v>
      </c>
      <c r="G143" s="61" t="s">
        <v>7470</v>
      </c>
      <c r="H143" s="6" t="s">
        <v>294</v>
      </c>
      <c r="I143" s="1" t="s">
        <v>103</v>
      </c>
      <c r="J143" s="8">
        <v>649440769</v>
      </c>
      <c r="K143" s="1" t="s">
        <v>7472</v>
      </c>
      <c r="L143" t="s">
        <v>7468</v>
      </c>
      <c r="M143" s="2">
        <v>45777</v>
      </c>
      <c r="N143" s="1" t="s">
        <v>35</v>
      </c>
      <c r="O143" s="375" t="s">
        <v>9758</v>
      </c>
      <c r="P143" s="14" t="s">
        <v>12049</v>
      </c>
      <c r="Q143" s="144">
        <v>115.7</v>
      </c>
      <c r="R143" s="1">
        <v>1</v>
      </c>
      <c r="S143" s="90">
        <v>0.21</v>
      </c>
      <c r="T143" s="90">
        <v>0</v>
      </c>
      <c r="V143" s="95">
        <f t="shared" ref="V143:V144" si="61">SUM(Q143-(Q143*T143))*S143+(Q143-(Q143*T143))</f>
        <v>139.99700000000001</v>
      </c>
      <c r="W143" t="s">
        <v>12102</v>
      </c>
      <c r="X143" s="5" t="s">
        <v>12103</v>
      </c>
      <c r="Y143" s="2">
        <v>30036</v>
      </c>
      <c r="Z143" s="2">
        <v>45760</v>
      </c>
      <c r="AA143" s="284" t="s">
        <v>12262</v>
      </c>
      <c r="AB143" s="2">
        <v>45817</v>
      </c>
      <c r="AC143" s="80" t="s">
        <v>1339</v>
      </c>
      <c r="AF143" t="s">
        <v>3198</v>
      </c>
      <c r="AI143" s="14" t="s">
        <v>3470</v>
      </c>
      <c r="AJ143" s="2">
        <v>45775</v>
      </c>
      <c r="AM143" s="3">
        <v>45786</v>
      </c>
      <c r="AT143" s="1"/>
    </row>
    <row r="144" spans="1:46">
      <c r="A144" s="1">
        <v>143</v>
      </c>
      <c r="B144" t="s">
        <v>1414</v>
      </c>
      <c r="C144" s="2">
        <v>45760</v>
      </c>
      <c r="D144" s="2"/>
      <c r="E144" s="2" t="s">
        <v>11939</v>
      </c>
      <c r="F144" s="61" t="s">
        <v>11940</v>
      </c>
      <c r="G144" t="s">
        <v>11941</v>
      </c>
      <c r="H144" s="6" t="s">
        <v>219</v>
      </c>
      <c r="I144" s="1" t="s">
        <v>38</v>
      </c>
      <c r="J144" s="8"/>
      <c r="K144" s="396" t="s">
        <v>8355</v>
      </c>
      <c r="L144" s="2" t="s">
        <v>11939</v>
      </c>
      <c r="M144" s="2">
        <v>45777</v>
      </c>
      <c r="N144" s="1" t="s">
        <v>35</v>
      </c>
      <c r="O144" s="61" t="s">
        <v>9758</v>
      </c>
      <c r="P144" s="14" t="s">
        <v>12050</v>
      </c>
      <c r="Q144" s="254">
        <v>115.7</v>
      </c>
      <c r="R144" s="1">
        <v>1</v>
      </c>
      <c r="S144" s="128">
        <v>0.21</v>
      </c>
      <c r="T144" s="128">
        <v>0</v>
      </c>
      <c r="U144" s="363"/>
      <c r="V144" s="126">
        <f t="shared" si="61"/>
        <v>139.99700000000001</v>
      </c>
      <c r="W144" t="s">
        <v>12106</v>
      </c>
      <c r="X144" s="5" t="s">
        <v>12107</v>
      </c>
      <c r="Y144" s="3">
        <v>33204</v>
      </c>
      <c r="Z144" s="2">
        <v>45760</v>
      </c>
      <c r="AA144" s="284" t="s">
        <v>12262</v>
      </c>
      <c r="AB144" s="2">
        <v>45817</v>
      </c>
      <c r="AC144" s="80" t="s">
        <v>1339</v>
      </c>
      <c r="AF144" t="s">
        <v>3198</v>
      </c>
      <c r="AI144" s="76" t="s">
        <v>3470</v>
      </c>
      <c r="AJ144" s="2">
        <v>45775</v>
      </c>
      <c r="AM144" s="3"/>
    </row>
    <row r="145" spans="1:139">
      <c r="A145" s="1">
        <v>144</v>
      </c>
      <c r="B145" t="s">
        <v>1511</v>
      </c>
      <c r="C145" s="2">
        <v>45761</v>
      </c>
      <c r="D145" s="403" t="s">
        <v>9900</v>
      </c>
      <c r="E145" s="1" t="s">
        <v>12052</v>
      </c>
      <c r="F145" s="61" t="s">
        <v>12053</v>
      </c>
      <c r="G145" s="61" t="s">
        <v>12054</v>
      </c>
      <c r="H145" s="6" t="s">
        <v>250</v>
      </c>
      <c r="I145" s="1" t="s">
        <v>86</v>
      </c>
      <c r="J145" s="8"/>
      <c r="K145" s="1"/>
      <c r="L145" s="1" t="s">
        <v>12052</v>
      </c>
      <c r="M145" s="2">
        <v>45777</v>
      </c>
      <c r="N145" s="1" t="s">
        <v>35</v>
      </c>
      <c r="O145" s="61" t="s">
        <v>7934</v>
      </c>
      <c r="P145" s="14" t="s">
        <v>12055</v>
      </c>
      <c r="Q145" s="254">
        <v>115.7</v>
      </c>
      <c r="R145" s="1">
        <v>1</v>
      </c>
      <c r="S145" s="128">
        <v>0.21</v>
      </c>
      <c r="T145" s="128">
        <v>0</v>
      </c>
      <c r="U145" s="363"/>
      <c r="V145" s="126">
        <f t="shared" ref="V145:V146" si="62">SUM(Q145-(Q145*T145))*S145+(Q145-(Q145*T145))</f>
        <v>139.99700000000001</v>
      </c>
      <c r="W145" s="1" t="s">
        <v>12052</v>
      </c>
      <c r="X145" s="5" t="s">
        <v>12356</v>
      </c>
      <c r="Y145" s="2">
        <v>29818</v>
      </c>
      <c r="Z145" s="2">
        <v>45761</v>
      </c>
      <c r="AA145" s="284" t="s">
        <v>12358</v>
      </c>
      <c r="AB145" s="2">
        <v>45826</v>
      </c>
      <c r="AC145" s="80" t="s">
        <v>1339</v>
      </c>
      <c r="AF145" t="s">
        <v>3198</v>
      </c>
      <c r="AJ145" s="2"/>
      <c r="AM145" s="3"/>
      <c r="AT145" s="1"/>
    </row>
    <row r="146" spans="1:139" s="197" customFormat="1">
      <c r="A146" s="1">
        <v>145</v>
      </c>
      <c r="B146" s="61" t="s">
        <v>4321</v>
      </c>
      <c r="C146" s="2">
        <v>45761</v>
      </c>
      <c r="D146" s="2"/>
      <c r="E146" s="1" t="s">
        <v>3427</v>
      </c>
      <c r="F146" s="61" t="s">
        <v>3428</v>
      </c>
      <c r="G146" s="61" t="s">
        <v>3433</v>
      </c>
      <c r="H146" s="6" t="s">
        <v>3429</v>
      </c>
      <c r="I146" s="1" t="s">
        <v>86</v>
      </c>
      <c r="J146" s="1">
        <v>650379091</v>
      </c>
      <c r="K146" s="8" t="s">
        <v>5991</v>
      </c>
      <c r="L146" s="1" t="s">
        <v>3427</v>
      </c>
      <c r="M146" s="2">
        <v>45777</v>
      </c>
      <c r="N146" t="s">
        <v>35</v>
      </c>
      <c r="O146" s="61" t="s">
        <v>9758</v>
      </c>
      <c r="P146" s="14" t="s">
        <v>12056</v>
      </c>
      <c r="Q146" s="187">
        <v>115.7</v>
      </c>
      <c r="R146" s="1">
        <v>1</v>
      </c>
      <c r="S146" s="128">
        <v>0.21</v>
      </c>
      <c r="T146" s="128">
        <v>0</v>
      </c>
      <c r="U146" s="363"/>
      <c r="V146" s="126">
        <f t="shared" si="62"/>
        <v>139.99700000000001</v>
      </c>
      <c r="W146" t="s">
        <v>12110</v>
      </c>
      <c r="X146" s="5" t="s">
        <v>12111</v>
      </c>
      <c r="Y146" s="2">
        <v>32509</v>
      </c>
      <c r="Z146" s="2">
        <v>45761</v>
      </c>
      <c r="AA146" s="284" t="s">
        <v>12262</v>
      </c>
      <c r="AB146" s="2">
        <v>45817</v>
      </c>
      <c r="AC146" s="80" t="s">
        <v>1339</v>
      </c>
      <c r="AD146"/>
      <c r="AE146"/>
      <c r="AF146" t="s">
        <v>3198</v>
      </c>
      <c r="AG146"/>
      <c r="AH146"/>
      <c r="AI146" s="76" t="s">
        <v>12057</v>
      </c>
      <c r="AJ146" s="2">
        <v>45775</v>
      </c>
      <c r="AK146"/>
      <c r="AL146"/>
      <c r="AM146" s="2">
        <v>45782</v>
      </c>
      <c r="AN146"/>
      <c r="AO146"/>
      <c r="AP146"/>
      <c r="AQ146"/>
      <c r="AR146"/>
      <c r="AS146"/>
      <c r="AT146" s="1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</row>
    <row r="147" spans="1:139">
      <c r="A147" s="1">
        <v>146</v>
      </c>
      <c r="B147" t="s">
        <v>3984</v>
      </c>
      <c r="C147" s="2">
        <v>45762</v>
      </c>
      <c r="D147" s="2"/>
      <c r="E147" s="1" t="s">
        <v>7215</v>
      </c>
      <c r="F147" s="61" t="s">
        <v>12058</v>
      </c>
      <c r="G147" s="61" t="s">
        <v>12059</v>
      </c>
      <c r="H147" s="6" t="s">
        <v>3988</v>
      </c>
      <c r="I147" s="1" t="s">
        <v>7218</v>
      </c>
      <c r="J147" s="8"/>
      <c r="K147" s="1" t="s">
        <v>7219</v>
      </c>
      <c r="L147" s="1" t="s">
        <v>7215</v>
      </c>
      <c r="M147" s="2">
        <v>45777</v>
      </c>
      <c r="N147" t="s">
        <v>35</v>
      </c>
      <c r="O147" s="61" t="s">
        <v>9758</v>
      </c>
      <c r="P147" s="14" t="s">
        <v>12060</v>
      </c>
      <c r="Q147" s="187">
        <v>115.7</v>
      </c>
      <c r="R147" s="1">
        <v>1</v>
      </c>
      <c r="S147" s="128">
        <v>0.21</v>
      </c>
      <c r="T147" s="128">
        <v>0</v>
      </c>
      <c r="U147" s="363"/>
      <c r="V147" s="126">
        <f t="shared" ref="V147" si="63">SUM(Q147-(Q147*T147))*S147+(Q147-(Q147*T147))</f>
        <v>139.99700000000001</v>
      </c>
      <c r="W147" t="s">
        <v>12108</v>
      </c>
      <c r="X147" s="5" t="s">
        <v>12109</v>
      </c>
      <c r="Y147" s="2">
        <v>33651</v>
      </c>
      <c r="Z147" s="2">
        <v>45762</v>
      </c>
      <c r="AA147" s="287" t="s">
        <v>11300</v>
      </c>
      <c r="AB147" s="2"/>
      <c r="AC147" s="80"/>
      <c r="AF147" t="s">
        <v>3198</v>
      </c>
      <c r="AI147" t="s">
        <v>3470</v>
      </c>
      <c r="AJ147" s="2">
        <v>45775</v>
      </c>
      <c r="AM147" s="3">
        <v>45779</v>
      </c>
      <c r="AT147" s="1"/>
    </row>
    <row r="148" spans="1:139">
      <c r="A148" s="1">
        <v>147</v>
      </c>
      <c r="B148" t="s">
        <v>37</v>
      </c>
      <c r="C148" s="2">
        <v>45768</v>
      </c>
      <c r="D148" s="403" t="s">
        <v>9900</v>
      </c>
      <c r="E148" s="1" t="s">
        <v>4736</v>
      </c>
      <c r="F148" s="61" t="s">
        <v>12065</v>
      </c>
      <c r="G148" s="61" t="s">
        <v>12066</v>
      </c>
      <c r="H148" s="6" t="s">
        <v>221</v>
      </c>
      <c r="I148" s="1" t="s">
        <v>34</v>
      </c>
      <c r="J148" s="8" t="s">
        <v>12067</v>
      </c>
      <c r="K148" s="1"/>
      <c r="L148" s="1" t="s">
        <v>4736</v>
      </c>
      <c r="M148" s="2">
        <v>45777</v>
      </c>
      <c r="N148" t="s">
        <v>35</v>
      </c>
      <c r="O148" s="61" t="s">
        <v>11188</v>
      </c>
      <c r="P148" s="14" t="s">
        <v>12068</v>
      </c>
      <c r="Q148" s="144">
        <v>165.29</v>
      </c>
      <c r="R148" s="1">
        <v>1</v>
      </c>
      <c r="S148" s="90">
        <v>0.21</v>
      </c>
      <c r="T148" s="90">
        <v>0</v>
      </c>
      <c r="U148" s="363"/>
      <c r="V148" s="126">
        <f t="shared" ref="V148:V149" si="64">SUM(Q148-(Q148*T148))*S148+(Q148-(Q148*T148))</f>
        <v>200.0009</v>
      </c>
      <c r="W148" t="s">
        <v>4736</v>
      </c>
      <c r="X148" s="5" t="s">
        <v>12195</v>
      </c>
      <c r="Y148" s="2">
        <v>36227</v>
      </c>
      <c r="Z148" s="2">
        <v>45768</v>
      </c>
      <c r="AA148" s="284" t="s">
        <v>12194</v>
      </c>
      <c r="AB148" s="2">
        <v>45792</v>
      </c>
      <c r="AC148" s="80" t="s">
        <v>1339</v>
      </c>
      <c r="AF148" t="s">
        <v>3198</v>
      </c>
      <c r="AI148" s="76" t="s">
        <v>3392</v>
      </c>
      <c r="AJ148" s="2"/>
      <c r="AM148" s="3"/>
      <c r="AT148" s="1"/>
    </row>
    <row r="149" spans="1:139">
      <c r="A149" s="1">
        <v>148</v>
      </c>
      <c r="B149" t="s">
        <v>40</v>
      </c>
      <c r="C149" s="2">
        <v>45769</v>
      </c>
      <c r="D149" s="403" t="s">
        <v>9900</v>
      </c>
      <c r="E149" s="1" t="s">
        <v>12069</v>
      </c>
      <c r="F149" s="61" t="s">
        <v>12070</v>
      </c>
      <c r="G149" s="61" t="s">
        <v>12071</v>
      </c>
      <c r="H149" s="6" t="s">
        <v>221</v>
      </c>
      <c r="I149" s="1" t="s">
        <v>3283</v>
      </c>
      <c r="J149" s="8"/>
      <c r="K149" s="1"/>
      <c r="L149" s="1" t="s">
        <v>12069</v>
      </c>
      <c r="M149" s="2">
        <v>45777</v>
      </c>
      <c r="N149" t="s">
        <v>35</v>
      </c>
      <c r="O149" s="61" t="s">
        <v>7925</v>
      </c>
      <c r="P149" s="14" t="s">
        <v>12072</v>
      </c>
      <c r="Q149" s="144">
        <v>115.7</v>
      </c>
      <c r="R149" s="1">
        <v>1</v>
      </c>
      <c r="S149" s="90">
        <v>0.21</v>
      </c>
      <c r="T149" s="90">
        <v>0</v>
      </c>
      <c r="U149" s="363"/>
      <c r="V149" s="126">
        <f t="shared" si="64"/>
        <v>139.99700000000001</v>
      </c>
      <c r="W149" t="s">
        <v>12073</v>
      </c>
      <c r="X149" s="5" t="s">
        <v>12112</v>
      </c>
      <c r="Y149" s="2">
        <v>33474</v>
      </c>
      <c r="Z149" s="2">
        <v>45769</v>
      </c>
      <c r="AA149" s="284" t="s">
        <v>12490</v>
      </c>
      <c r="AB149" s="2">
        <v>45853</v>
      </c>
      <c r="AC149" s="80" t="s">
        <v>1339</v>
      </c>
      <c r="AF149" t="s">
        <v>3198</v>
      </c>
      <c r="AI149" s="76" t="s">
        <v>3392</v>
      </c>
      <c r="AJ149" s="2">
        <v>45775</v>
      </c>
      <c r="AM149" s="3"/>
      <c r="AT149" s="1"/>
    </row>
    <row r="150" spans="1:139">
      <c r="A150" s="1">
        <v>149</v>
      </c>
      <c r="B150" t="s">
        <v>6684</v>
      </c>
      <c r="C150" s="2">
        <v>45769</v>
      </c>
      <c r="D150" s="2"/>
      <c r="E150" s="1" t="s">
        <v>6685</v>
      </c>
      <c r="F150" t="s">
        <v>6686</v>
      </c>
      <c r="G150" t="s">
        <v>6687</v>
      </c>
      <c r="H150" s="6" t="s">
        <v>2579</v>
      </c>
      <c r="I150" t="s">
        <v>2580</v>
      </c>
      <c r="J150" s="8"/>
      <c r="K150" s="1" t="s">
        <v>7339</v>
      </c>
      <c r="L150" t="s">
        <v>6685</v>
      </c>
      <c r="M150" s="2">
        <v>45777</v>
      </c>
      <c r="N150" s="1" t="s">
        <v>35</v>
      </c>
      <c r="O150" s="61" t="s">
        <v>7934</v>
      </c>
      <c r="P150" s="14" t="s">
        <v>12074</v>
      </c>
      <c r="Q150" s="187">
        <v>69.42</v>
      </c>
      <c r="R150" s="1">
        <v>1</v>
      </c>
      <c r="S150" s="128">
        <v>0.21</v>
      </c>
      <c r="T150" s="128">
        <v>0</v>
      </c>
      <c r="V150" s="126">
        <f t="shared" ref="V150" si="65">SUM(Q150-(Q150*T150))*S150+(Q150-(Q150*T150))</f>
        <v>83.998199999999997</v>
      </c>
      <c r="W150" t="s">
        <v>8351</v>
      </c>
      <c r="X150" s="5" t="s">
        <v>12075</v>
      </c>
      <c r="Y150" s="3">
        <v>30167</v>
      </c>
      <c r="Z150" s="2">
        <v>45769</v>
      </c>
      <c r="AA150" s="284" t="s">
        <v>12263</v>
      </c>
      <c r="AB150" s="2">
        <v>45805</v>
      </c>
      <c r="AC150" s="80" t="s">
        <v>1339</v>
      </c>
      <c r="AF150" t="s">
        <v>3198</v>
      </c>
      <c r="AJ150" s="3"/>
      <c r="AM150" s="3"/>
    </row>
    <row r="151" spans="1:139">
      <c r="A151" s="1">
        <v>150</v>
      </c>
      <c r="B151" t="s">
        <v>37</v>
      </c>
      <c r="C151" s="2">
        <v>45769</v>
      </c>
      <c r="D151" s="403" t="s">
        <v>9900</v>
      </c>
      <c r="E151" s="1" t="s">
        <v>12076</v>
      </c>
      <c r="F151" s="61" t="s">
        <v>12077</v>
      </c>
      <c r="G151" s="61" t="s">
        <v>12078</v>
      </c>
      <c r="H151" s="6" t="s">
        <v>1257</v>
      </c>
      <c r="I151" s="1" t="s">
        <v>1266</v>
      </c>
      <c r="J151" s="1"/>
      <c r="K151" s="396"/>
      <c r="L151" s="1" t="s">
        <v>12076</v>
      </c>
      <c r="M151" s="2">
        <v>45777</v>
      </c>
      <c r="N151" s="1" t="s">
        <v>35</v>
      </c>
      <c r="O151" s="61" t="s">
        <v>7934</v>
      </c>
      <c r="P151" s="14" t="s">
        <v>12079</v>
      </c>
      <c r="Q151" s="92">
        <v>165.29</v>
      </c>
      <c r="R151" s="1">
        <v>1</v>
      </c>
      <c r="S151" s="90">
        <v>0.21</v>
      </c>
      <c r="T151" s="90">
        <v>0</v>
      </c>
      <c r="U151" s="363"/>
      <c r="V151" s="126">
        <f t="shared" ref="V151:V152" si="66">SUM(Q151-(Q151*T151))*S151+(Q151-(Q151*T151))</f>
        <v>200.0009</v>
      </c>
      <c r="W151" t="s">
        <v>12076</v>
      </c>
      <c r="X151" s="5" t="s">
        <v>12376</v>
      </c>
      <c r="Y151" s="2">
        <v>34055</v>
      </c>
      <c r="Z151" s="2">
        <v>45769</v>
      </c>
      <c r="AA151" s="284" t="s">
        <v>12489</v>
      </c>
      <c r="AB151" s="2">
        <v>45853</v>
      </c>
      <c r="AC151" s="80" t="s">
        <v>1339</v>
      </c>
      <c r="AD151" s="61"/>
      <c r="AE151" s="182">
        <v>45845</v>
      </c>
      <c r="AF151" t="s">
        <v>3198</v>
      </c>
      <c r="AJ151" s="2"/>
      <c r="AM151" s="3"/>
      <c r="AT151" s="1"/>
    </row>
    <row r="152" spans="1:139">
      <c r="A152" s="1">
        <v>151</v>
      </c>
      <c r="B152" t="s">
        <v>6684</v>
      </c>
      <c r="C152" s="2">
        <v>45769</v>
      </c>
      <c r="D152" s="2"/>
      <c r="E152" s="1" t="s">
        <v>6685</v>
      </c>
      <c r="F152" t="s">
        <v>6686</v>
      </c>
      <c r="G152" t="s">
        <v>6687</v>
      </c>
      <c r="H152" s="6" t="s">
        <v>2579</v>
      </c>
      <c r="I152" t="s">
        <v>2580</v>
      </c>
      <c r="J152" s="8"/>
      <c r="K152" s="1" t="s">
        <v>7339</v>
      </c>
      <c r="L152" t="s">
        <v>6685</v>
      </c>
      <c r="M152" s="2">
        <v>45777</v>
      </c>
      <c r="N152" s="1" t="s">
        <v>35</v>
      </c>
      <c r="O152" s="61" t="s">
        <v>7934</v>
      </c>
      <c r="P152" s="14" t="s">
        <v>12080</v>
      </c>
      <c r="Q152" s="187">
        <v>69.42</v>
      </c>
      <c r="R152" s="1">
        <v>1</v>
      </c>
      <c r="S152" s="128">
        <v>0.21</v>
      </c>
      <c r="T152" s="128">
        <v>0</v>
      </c>
      <c r="V152" s="126">
        <f t="shared" si="66"/>
        <v>83.998199999999997</v>
      </c>
      <c r="W152" t="s">
        <v>10315</v>
      </c>
      <c r="X152" s="5" t="s">
        <v>12261</v>
      </c>
      <c r="Y152" s="3">
        <v>33603</v>
      </c>
      <c r="Z152" s="2">
        <v>45769</v>
      </c>
      <c r="AA152" s="284" t="s">
        <v>12263</v>
      </c>
      <c r="AB152" s="2">
        <v>45805</v>
      </c>
      <c r="AC152" s="80" t="s">
        <v>1339</v>
      </c>
      <c r="AF152" t="s">
        <v>3198</v>
      </c>
      <c r="AJ152" s="3"/>
      <c r="AM152" s="3"/>
    </row>
    <row r="153" spans="1:139">
      <c r="A153" s="1">
        <v>152</v>
      </c>
      <c r="B153" t="s">
        <v>11971</v>
      </c>
      <c r="C153" s="2">
        <v>45769</v>
      </c>
      <c r="D153" s="2"/>
      <c r="E153" s="1" t="s">
        <v>11975</v>
      </c>
      <c r="F153" s="61" t="s">
        <v>11972</v>
      </c>
      <c r="G153" s="61" t="s">
        <v>11973</v>
      </c>
      <c r="H153" s="6" t="s">
        <v>3988</v>
      </c>
      <c r="I153" s="1" t="s">
        <v>7218</v>
      </c>
      <c r="J153" s="1"/>
      <c r="K153" s="396" t="s">
        <v>11974</v>
      </c>
      <c r="L153" s="1" t="s">
        <v>11975</v>
      </c>
      <c r="M153" s="2">
        <v>45777</v>
      </c>
      <c r="N153" s="1" t="s">
        <v>35</v>
      </c>
      <c r="O153" s="61" t="s">
        <v>7929</v>
      </c>
      <c r="P153" s="14" t="s">
        <v>12081</v>
      </c>
      <c r="Q153" s="92">
        <v>115.7</v>
      </c>
      <c r="R153" s="1">
        <v>1</v>
      </c>
      <c r="S153" s="90">
        <v>0.21</v>
      </c>
      <c r="T153" s="90">
        <v>0</v>
      </c>
      <c r="U153" s="363"/>
      <c r="V153" s="126">
        <f t="shared" ref="V153" si="67">SUM(Q153-(Q153*T153))*S153+(Q153-(Q153*T153))</f>
        <v>139.99700000000001</v>
      </c>
      <c r="W153" s="1" t="s">
        <v>12182</v>
      </c>
      <c r="X153" s="5" t="s">
        <v>12180</v>
      </c>
      <c r="Y153" s="2">
        <v>32791</v>
      </c>
      <c r="Z153" s="2">
        <v>45769</v>
      </c>
      <c r="AA153" s="284" t="s">
        <v>12572</v>
      </c>
      <c r="AB153" s="2">
        <v>45863</v>
      </c>
      <c r="AC153" s="80" t="s">
        <v>1339</v>
      </c>
      <c r="AD153" s="452"/>
      <c r="AF153" t="s">
        <v>3198</v>
      </c>
      <c r="AI153" s="76" t="s">
        <v>3392</v>
      </c>
      <c r="AJ153" s="2"/>
      <c r="AM153" s="3"/>
    </row>
    <row r="154" spans="1:139" s="14" customFormat="1">
      <c r="A154" s="1">
        <v>153</v>
      </c>
      <c r="B154" s="375" t="s">
        <v>6684</v>
      </c>
      <c r="C154" s="2">
        <v>45769</v>
      </c>
      <c r="D154" s="431"/>
      <c r="E154" s="72" t="s">
        <v>6685</v>
      </c>
      <c r="F154" s="375" t="s">
        <v>6686</v>
      </c>
      <c r="G154" s="14" t="s">
        <v>6687</v>
      </c>
      <c r="H154" s="220" t="s">
        <v>2579</v>
      </c>
      <c r="I154" s="14" t="s">
        <v>2580</v>
      </c>
      <c r="J154" s="295"/>
      <c r="K154" s="72" t="s">
        <v>7339</v>
      </c>
      <c r="L154" s="14" t="s">
        <v>6685</v>
      </c>
      <c r="M154" s="2">
        <v>45777</v>
      </c>
      <c r="N154" s="72" t="s">
        <v>35</v>
      </c>
      <c r="O154" s="375" t="s">
        <v>7934</v>
      </c>
      <c r="P154" s="14" t="s">
        <v>12082</v>
      </c>
      <c r="Q154" s="432">
        <v>69.42</v>
      </c>
      <c r="R154" s="72">
        <v>1</v>
      </c>
      <c r="S154" s="426">
        <v>0.21</v>
      </c>
      <c r="T154" s="426">
        <v>0</v>
      </c>
      <c r="U154" s="379"/>
      <c r="V154" s="213">
        <f t="shared" ref="V154" si="68">SUM(Q154-(Q154*T154))*S154+(Q154-(Q154*T154))</f>
        <v>83.998199999999997</v>
      </c>
      <c r="W154" s="14" t="s">
        <v>10448</v>
      </c>
      <c r="X154" s="220" t="s">
        <v>12083</v>
      </c>
      <c r="Y154" s="431">
        <v>32481</v>
      </c>
      <c r="Z154" s="2">
        <v>45769</v>
      </c>
      <c r="AA154" s="284" t="s">
        <v>12852</v>
      </c>
      <c r="AB154" s="431">
        <v>45916</v>
      </c>
      <c r="AC154" s="80" t="s">
        <v>1339</v>
      </c>
      <c r="AF154" s="14" t="s">
        <v>3198</v>
      </c>
      <c r="AJ154" s="433"/>
      <c r="AM154" s="433"/>
    </row>
    <row r="155" spans="1:139">
      <c r="A155" s="1">
        <v>154</v>
      </c>
      <c r="B155" t="s">
        <v>52</v>
      </c>
      <c r="C155" s="2">
        <v>45769</v>
      </c>
      <c r="D155" s="2"/>
      <c r="E155" s="1" t="s">
        <v>256</v>
      </c>
      <c r="F155" s="31" t="s">
        <v>155</v>
      </c>
      <c r="G155" s="31" t="s">
        <v>138</v>
      </c>
      <c r="H155" s="33" t="s">
        <v>227</v>
      </c>
      <c r="I155" s="30" t="s">
        <v>203</v>
      </c>
      <c r="J155" s="30">
        <v>631130911</v>
      </c>
      <c r="K155" s="396" t="s">
        <v>9171</v>
      </c>
      <c r="L155" s="1" t="s">
        <v>256</v>
      </c>
      <c r="M155" s="2">
        <v>45777</v>
      </c>
      <c r="N155" s="1" t="s">
        <v>35</v>
      </c>
      <c r="O155" s="375" t="s">
        <v>7934</v>
      </c>
      <c r="P155" s="14" t="s">
        <v>12084</v>
      </c>
      <c r="Q155" s="432">
        <v>69.42</v>
      </c>
      <c r="R155" s="1">
        <v>1</v>
      </c>
      <c r="S155" s="90">
        <v>0.21</v>
      </c>
      <c r="T155" s="90">
        <v>0</v>
      </c>
      <c r="U155" s="363"/>
      <c r="V155" s="95">
        <f t="shared" ref="V155" si="69">SUM(Q155-(Q155*T155))*S155+(Q155-(Q155*T155))</f>
        <v>83.998199999999997</v>
      </c>
      <c r="W155" t="s">
        <v>8905</v>
      </c>
      <c r="X155" s="5" t="s">
        <v>12085</v>
      </c>
      <c r="Y155" s="2">
        <v>38451</v>
      </c>
      <c r="Z155" s="2">
        <v>45769</v>
      </c>
      <c r="AA155" s="284" t="s">
        <v>12336</v>
      </c>
      <c r="AB155" s="2">
        <v>45831</v>
      </c>
      <c r="AC155" s="80" t="s">
        <v>1339</v>
      </c>
      <c r="AE155" s="3"/>
      <c r="AF155" t="s">
        <v>3198</v>
      </c>
      <c r="AJ155" s="3"/>
      <c r="AM155" s="3"/>
      <c r="AS155" t="s">
        <v>7968</v>
      </c>
    </row>
    <row r="156" spans="1:139">
      <c r="A156" s="1">
        <v>155</v>
      </c>
      <c r="B156" t="s">
        <v>45</v>
      </c>
      <c r="C156" s="2">
        <v>45769</v>
      </c>
      <c r="D156" s="2"/>
      <c r="E156" s="1" t="s">
        <v>10742</v>
      </c>
      <c r="F156" s="61" t="s">
        <v>10756</v>
      </c>
      <c r="G156" t="s">
        <v>10743</v>
      </c>
      <c r="H156" s="6" t="s">
        <v>219</v>
      </c>
      <c r="I156" s="1" t="s">
        <v>4334</v>
      </c>
      <c r="J156" s="8"/>
      <c r="K156" s="396" t="s">
        <v>8356</v>
      </c>
      <c r="L156" s="1" t="s">
        <v>10742</v>
      </c>
      <c r="M156" s="2">
        <v>45777</v>
      </c>
      <c r="N156" s="1" t="s">
        <v>35</v>
      </c>
      <c r="O156" s="61" t="s">
        <v>7925</v>
      </c>
      <c r="P156" s="14" t="s">
        <v>12113</v>
      </c>
      <c r="Q156" s="187">
        <v>115.7</v>
      </c>
      <c r="R156" s="1">
        <v>1</v>
      </c>
      <c r="S156" s="128">
        <v>0.21</v>
      </c>
      <c r="T156" s="128">
        <v>0</v>
      </c>
      <c r="U156" s="95"/>
      <c r="V156" s="126">
        <f t="shared" ref="V156" si="70">SUM(Q156-(Q156*T156))*S156+(Q156-(Q156*T156))</f>
        <v>139.99700000000001</v>
      </c>
      <c r="W156" t="s">
        <v>11372</v>
      </c>
      <c r="X156" s="5" t="s">
        <v>12114</v>
      </c>
      <c r="Y156" s="3">
        <v>35956</v>
      </c>
      <c r="Z156" s="2">
        <v>45769</v>
      </c>
      <c r="AA156" s="284" t="s">
        <v>12490</v>
      </c>
      <c r="AB156" s="3">
        <v>45853</v>
      </c>
      <c r="AC156" s="80" t="s">
        <v>1339</v>
      </c>
      <c r="AF156" t="s">
        <v>3198</v>
      </c>
      <c r="AI156" t="s">
        <v>3392</v>
      </c>
      <c r="AJ156" s="3">
        <v>45775</v>
      </c>
      <c r="AM156" s="3">
        <v>45782</v>
      </c>
    </row>
    <row r="157" spans="1:139" ht="14.25" customHeight="1">
      <c r="A157" s="1">
        <v>156</v>
      </c>
      <c r="B157" t="s">
        <v>9170</v>
      </c>
      <c r="C157" s="2">
        <v>45772</v>
      </c>
      <c r="D157" s="2"/>
      <c r="E157" s="1" t="s">
        <v>256</v>
      </c>
      <c r="F157" s="103" t="s">
        <v>155</v>
      </c>
      <c r="G157" s="31" t="s">
        <v>138</v>
      </c>
      <c r="H157" s="33" t="s">
        <v>227</v>
      </c>
      <c r="I157" s="30" t="s">
        <v>203</v>
      </c>
      <c r="J157" s="30">
        <v>659409676</v>
      </c>
      <c r="K157" s="1" t="s">
        <v>9171</v>
      </c>
      <c r="L157" s="1" t="s">
        <v>256</v>
      </c>
      <c r="M157" s="2">
        <v>45777</v>
      </c>
      <c r="N157" s="1" t="s">
        <v>35</v>
      </c>
      <c r="O157" s="61" t="s">
        <v>7934</v>
      </c>
      <c r="P157" s="14" t="s">
        <v>12087</v>
      </c>
      <c r="Q157" s="432">
        <v>69.42</v>
      </c>
      <c r="R157" s="1">
        <v>1</v>
      </c>
      <c r="S157" s="128">
        <v>0.21</v>
      </c>
      <c r="T157" s="128">
        <v>0</v>
      </c>
      <c r="U157" s="363"/>
      <c r="V157" s="126">
        <f t="shared" ref="V157" si="71">SUM(Q157-(Q157*T157))*S157+(Q157-(Q157*T157))</f>
        <v>83.998199999999997</v>
      </c>
      <c r="W157" t="s">
        <v>10138</v>
      </c>
      <c r="X157" s="6" t="s">
        <v>12088</v>
      </c>
      <c r="Y157" s="211">
        <v>36258</v>
      </c>
      <c r="Z157" s="2">
        <v>45772</v>
      </c>
      <c r="AA157" s="284" t="s">
        <v>12258</v>
      </c>
      <c r="AB157" s="2">
        <v>45800</v>
      </c>
      <c r="AC157" s="80" t="s">
        <v>1339</v>
      </c>
      <c r="AF157" t="s">
        <v>3198</v>
      </c>
      <c r="AJ157" s="3"/>
      <c r="AM157" s="74"/>
      <c r="AS157" s="1"/>
    </row>
    <row r="158" spans="1:139">
      <c r="A158" s="1">
        <v>157</v>
      </c>
      <c r="B158" t="s">
        <v>1414</v>
      </c>
      <c r="C158" s="2">
        <v>45772</v>
      </c>
      <c r="D158" s="2"/>
      <c r="E158" s="1" t="s">
        <v>1079</v>
      </c>
      <c r="F158" t="s">
        <v>41</v>
      </c>
      <c r="G158" s="61" t="s">
        <v>2115</v>
      </c>
      <c r="H158" s="1" t="s">
        <v>230</v>
      </c>
      <c r="I158" s="1" t="s">
        <v>1262</v>
      </c>
      <c r="J158" s="1">
        <v>631212115</v>
      </c>
      <c r="K158" s="8" t="s">
        <v>6306</v>
      </c>
      <c r="L158" s="1" t="s">
        <v>1079</v>
      </c>
      <c r="M158" s="2">
        <v>45777</v>
      </c>
      <c r="N158" s="1" t="s">
        <v>35</v>
      </c>
      <c r="O158" s="61" t="s">
        <v>7934</v>
      </c>
      <c r="P158" s="14" t="s">
        <v>8401</v>
      </c>
      <c r="Q158" s="432">
        <v>69.42</v>
      </c>
      <c r="R158" s="1">
        <v>1</v>
      </c>
      <c r="S158" s="128">
        <v>0.21</v>
      </c>
      <c r="T158" s="128">
        <v>0</v>
      </c>
      <c r="U158" s="1"/>
      <c r="V158" s="95">
        <f t="shared" ref="V158" si="72">SUM(Q158-(Q158*T158))*S158+(Q158-(Q158*T158))</f>
        <v>83.998199999999997</v>
      </c>
      <c r="W158" s="1" t="s">
        <v>5244</v>
      </c>
      <c r="X158" s="5" t="s">
        <v>12089</v>
      </c>
      <c r="Y158" s="2">
        <v>34213</v>
      </c>
      <c r="Z158" s="2">
        <v>45772</v>
      </c>
      <c r="AA158" s="284" t="s">
        <v>12336</v>
      </c>
      <c r="AB158" s="2">
        <v>45819</v>
      </c>
      <c r="AC158" s="80" t="s">
        <v>1339</v>
      </c>
      <c r="AF158" t="s">
        <v>3198</v>
      </c>
      <c r="AI158" s="2"/>
      <c r="AL158" s="3"/>
    </row>
    <row r="159" spans="1:139">
      <c r="A159" s="1">
        <v>158</v>
      </c>
      <c r="B159" t="s">
        <v>52</v>
      </c>
      <c r="C159" s="2">
        <v>45772</v>
      </c>
      <c r="D159" s="2"/>
      <c r="E159" s="1" t="s">
        <v>9574</v>
      </c>
      <c r="F159" s="61" t="s">
        <v>9575</v>
      </c>
      <c r="G159" s="61" t="s">
        <v>9576</v>
      </c>
      <c r="H159" s="6" t="s">
        <v>221</v>
      </c>
      <c r="I159" s="1" t="s">
        <v>34</v>
      </c>
      <c r="J159" s="8"/>
      <c r="K159" s="44" t="s">
        <v>5906</v>
      </c>
      <c r="L159" t="s">
        <v>4432</v>
      </c>
      <c r="M159" s="2">
        <v>45777</v>
      </c>
      <c r="N159" t="s">
        <v>35</v>
      </c>
      <c r="O159" s="61" t="s">
        <v>7934</v>
      </c>
      <c r="P159" s="14" t="s">
        <v>12090</v>
      </c>
      <c r="Q159" s="432">
        <v>69.42</v>
      </c>
      <c r="R159" s="1">
        <v>1</v>
      </c>
      <c r="S159" s="128">
        <v>0.21</v>
      </c>
      <c r="T159" s="128">
        <v>0</v>
      </c>
      <c r="U159" s="1"/>
      <c r="V159" s="95">
        <f t="shared" ref="V159:V160" si="73">SUM(Q159-(Q159*T159))*S159+(Q159-(Q159*T159))</f>
        <v>83.998199999999997</v>
      </c>
      <c r="W159" t="s">
        <v>9666</v>
      </c>
      <c r="X159" s="5" t="s">
        <v>12091</v>
      </c>
      <c r="Y159" s="2">
        <v>35755</v>
      </c>
      <c r="Z159" s="2">
        <v>45772</v>
      </c>
      <c r="AA159" s="284" t="s">
        <v>12336</v>
      </c>
      <c r="AB159" s="3">
        <v>45819</v>
      </c>
      <c r="AC159" s="80" t="s">
        <v>1339</v>
      </c>
      <c r="AF159" t="s">
        <v>3198</v>
      </c>
      <c r="AI159" s="81"/>
      <c r="AJ159" s="2"/>
      <c r="AM159" s="74"/>
      <c r="AS159" s="96"/>
      <c r="AT159" s="1"/>
    </row>
    <row r="160" spans="1:139" ht="15.75" customHeight="1">
      <c r="A160" s="1">
        <v>159</v>
      </c>
      <c r="B160" s="61" t="s">
        <v>11607</v>
      </c>
      <c r="C160" s="2">
        <v>45773</v>
      </c>
      <c r="D160" s="2"/>
      <c r="E160" s="30" t="s">
        <v>458</v>
      </c>
      <c r="F160" t="s">
        <v>84</v>
      </c>
      <c r="G160" s="103" t="s">
        <v>138</v>
      </c>
      <c r="H160" s="30" t="s">
        <v>227</v>
      </c>
      <c r="I160" s="31" t="s">
        <v>203</v>
      </c>
      <c r="J160" s="44"/>
      <c r="K160" s="396" t="s">
        <v>12858</v>
      </c>
      <c r="L160" s="30" t="s">
        <v>458</v>
      </c>
      <c r="M160" s="2">
        <v>45777</v>
      </c>
      <c r="N160" s="1" t="s">
        <v>35</v>
      </c>
      <c r="O160" s="61" t="s">
        <v>9758</v>
      </c>
      <c r="P160" s="14" t="s">
        <v>12140</v>
      </c>
      <c r="Q160" s="187">
        <v>115.7</v>
      </c>
      <c r="R160" s="1">
        <v>1</v>
      </c>
      <c r="S160" s="90">
        <v>0.21</v>
      </c>
      <c r="T160" s="90">
        <v>0</v>
      </c>
      <c r="V160" s="95">
        <f t="shared" si="73"/>
        <v>139.99700000000001</v>
      </c>
      <c r="W160" t="s">
        <v>12038</v>
      </c>
      <c r="X160" s="5" t="s">
        <v>12141</v>
      </c>
      <c r="Y160" s="2">
        <v>37777</v>
      </c>
      <c r="Z160" s="2">
        <v>45773</v>
      </c>
      <c r="AA160" s="284" t="s">
        <v>12321</v>
      </c>
      <c r="AB160" s="2">
        <v>45817</v>
      </c>
      <c r="AC160" s="80" t="s">
        <v>1339</v>
      </c>
      <c r="AD160" s="61"/>
      <c r="AF160" t="s">
        <v>3198</v>
      </c>
      <c r="AI160" s="76" t="s">
        <v>3470</v>
      </c>
      <c r="AJ160" s="2"/>
      <c r="AM160" s="74"/>
      <c r="AT160" s="1"/>
    </row>
    <row r="161" spans="1:46" ht="15.75" customHeight="1">
      <c r="A161" s="1">
        <v>160</v>
      </c>
      <c r="B161" s="61" t="s">
        <v>33</v>
      </c>
      <c r="C161" s="2">
        <v>45773</v>
      </c>
      <c r="D161" s="2"/>
      <c r="E161" s="1" t="s">
        <v>2623</v>
      </c>
      <c r="F161" s="61" t="s">
        <v>12092</v>
      </c>
      <c r="G161" s="61" t="s">
        <v>5288</v>
      </c>
      <c r="H161" s="30">
        <v>4700</v>
      </c>
      <c r="I161" s="1" t="s">
        <v>34</v>
      </c>
      <c r="J161" s="44"/>
      <c r="K161" s="114" t="s">
        <v>11744</v>
      </c>
      <c r="L161" s="1" t="s">
        <v>237</v>
      </c>
      <c r="M161" s="2">
        <v>45777</v>
      </c>
      <c r="N161" s="1" t="s">
        <v>35</v>
      </c>
      <c r="O161" s="61" t="s">
        <v>9758</v>
      </c>
      <c r="P161" s="14" t="s">
        <v>12093</v>
      </c>
      <c r="Q161" s="187">
        <v>115.7</v>
      </c>
      <c r="R161" s="1">
        <v>1</v>
      </c>
      <c r="S161" s="90">
        <v>0.21</v>
      </c>
      <c r="T161" s="90">
        <v>0</v>
      </c>
      <c r="V161" s="95">
        <f t="shared" ref="V161" si="74">SUM(Q161-(Q161*T161))*S161+(Q161-(Q161*T161))</f>
        <v>139.99700000000001</v>
      </c>
      <c r="W161" t="s">
        <v>12146</v>
      </c>
      <c r="X161" s="5" t="s">
        <v>12147</v>
      </c>
      <c r="Y161" s="2">
        <v>37037</v>
      </c>
      <c r="Z161" s="2">
        <v>45773</v>
      </c>
      <c r="AA161" s="284" t="s">
        <v>12321</v>
      </c>
      <c r="AB161" s="2">
        <v>45817</v>
      </c>
      <c r="AC161" s="80" t="s">
        <v>1339</v>
      </c>
      <c r="AD161" s="61"/>
      <c r="AF161" t="s">
        <v>3198</v>
      </c>
      <c r="AI161" t="s">
        <v>12094</v>
      </c>
      <c r="AJ161" s="2">
        <v>45782</v>
      </c>
      <c r="AM161" s="74">
        <v>45793</v>
      </c>
      <c r="AT161" s="1"/>
    </row>
    <row r="162" spans="1:46" ht="15.75" customHeight="1">
      <c r="A162" s="1">
        <v>161</v>
      </c>
      <c r="B162" s="61" t="s">
        <v>33</v>
      </c>
      <c r="C162" s="2">
        <v>45773</v>
      </c>
      <c r="D162" s="2"/>
      <c r="E162" s="1" t="s">
        <v>2623</v>
      </c>
      <c r="F162" s="61" t="s">
        <v>12092</v>
      </c>
      <c r="G162" s="61" t="s">
        <v>5288</v>
      </c>
      <c r="H162" s="30">
        <v>4700</v>
      </c>
      <c r="I162" s="1" t="s">
        <v>34</v>
      </c>
      <c r="J162" s="44"/>
      <c r="K162" s="114" t="s">
        <v>11744</v>
      </c>
      <c r="L162" s="1" t="s">
        <v>237</v>
      </c>
      <c r="M162" s="2">
        <v>45777</v>
      </c>
      <c r="N162" s="1" t="s">
        <v>35</v>
      </c>
      <c r="O162" s="61" t="s">
        <v>9758</v>
      </c>
      <c r="P162" s="14" t="s">
        <v>12095</v>
      </c>
      <c r="Q162" s="187">
        <v>115.7</v>
      </c>
      <c r="R162" s="1">
        <v>1</v>
      </c>
      <c r="S162" s="90">
        <v>0.21</v>
      </c>
      <c r="T162" s="90">
        <v>0</v>
      </c>
      <c r="V162" s="95">
        <f t="shared" ref="V162" si="75">SUM(Q162-(Q162*T162))*S162+(Q162-(Q162*T162))</f>
        <v>139.99700000000001</v>
      </c>
      <c r="W162" t="s">
        <v>12138</v>
      </c>
      <c r="X162" s="5" t="s">
        <v>12139</v>
      </c>
      <c r="Y162" s="2">
        <v>37410</v>
      </c>
      <c r="Z162" s="2">
        <v>45773</v>
      </c>
      <c r="AA162" s="284" t="s">
        <v>12321</v>
      </c>
      <c r="AB162" s="2">
        <v>45817</v>
      </c>
      <c r="AC162" s="80" t="s">
        <v>1339</v>
      </c>
      <c r="AD162" s="61"/>
      <c r="AF162" t="s">
        <v>3198</v>
      </c>
      <c r="AI162" t="s">
        <v>12094</v>
      </c>
      <c r="AJ162" s="2">
        <v>45782</v>
      </c>
      <c r="AM162" s="74">
        <v>45793</v>
      </c>
      <c r="AT162" s="1"/>
    </row>
    <row r="163" spans="1:46">
      <c r="A163" s="1">
        <v>162</v>
      </c>
      <c r="B163" t="s">
        <v>11971</v>
      </c>
      <c r="C163" s="2">
        <v>45774</v>
      </c>
      <c r="D163" s="2"/>
      <c r="E163" s="1" t="s">
        <v>11975</v>
      </c>
      <c r="F163" s="61" t="s">
        <v>11972</v>
      </c>
      <c r="G163" s="61" t="s">
        <v>11973</v>
      </c>
      <c r="H163" s="6" t="s">
        <v>3988</v>
      </c>
      <c r="I163" s="1" t="s">
        <v>7218</v>
      </c>
      <c r="J163" s="1"/>
      <c r="K163" s="396" t="s">
        <v>11974</v>
      </c>
      <c r="L163" s="1" t="s">
        <v>11975</v>
      </c>
      <c r="M163" s="2">
        <v>45777</v>
      </c>
      <c r="N163" s="1" t="s">
        <v>35</v>
      </c>
      <c r="O163" s="61" t="s">
        <v>9758</v>
      </c>
      <c r="P163" s="14" t="s">
        <v>12096</v>
      </c>
      <c r="Q163" s="92">
        <v>115.7</v>
      </c>
      <c r="R163" s="1">
        <v>1</v>
      </c>
      <c r="S163" s="90">
        <v>0.21</v>
      </c>
      <c r="T163" s="90">
        <v>0</v>
      </c>
      <c r="U163" s="363"/>
      <c r="V163" s="126">
        <f t="shared" ref="V163" si="76">SUM(Q163-(Q163*T163))*S163+(Q163-(Q163*T163))</f>
        <v>139.99700000000001</v>
      </c>
      <c r="W163" s="1" t="s">
        <v>12142</v>
      </c>
      <c r="X163" s="5" t="s">
        <v>12143</v>
      </c>
      <c r="Y163" s="2">
        <v>27192</v>
      </c>
      <c r="Z163" s="2">
        <v>45774</v>
      </c>
      <c r="AA163" s="284" t="s">
        <v>12321</v>
      </c>
      <c r="AB163" s="2">
        <v>45817</v>
      </c>
      <c r="AC163" s="80" t="s">
        <v>1339</v>
      </c>
      <c r="AD163" s="452"/>
      <c r="AF163" t="s">
        <v>3198</v>
      </c>
      <c r="AI163" s="76" t="s">
        <v>3470</v>
      </c>
      <c r="AJ163" s="2">
        <v>45782</v>
      </c>
      <c r="AM163" s="3">
        <v>45790</v>
      </c>
    </row>
    <row r="164" spans="1:46">
      <c r="A164" s="1">
        <v>163</v>
      </c>
      <c r="B164" t="s">
        <v>11971</v>
      </c>
      <c r="C164" s="2">
        <v>45774</v>
      </c>
      <c r="D164" s="2"/>
      <c r="E164" s="1" t="s">
        <v>11975</v>
      </c>
      <c r="F164" s="61" t="s">
        <v>11972</v>
      </c>
      <c r="G164" s="61" t="s">
        <v>11973</v>
      </c>
      <c r="H164" s="6" t="s">
        <v>3988</v>
      </c>
      <c r="I164" s="1" t="s">
        <v>7218</v>
      </c>
      <c r="J164" s="1"/>
      <c r="K164" s="396" t="s">
        <v>11974</v>
      </c>
      <c r="L164" s="1" t="s">
        <v>11975</v>
      </c>
      <c r="M164" s="2">
        <v>45777</v>
      </c>
      <c r="N164" s="1" t="s">
        <v>35</v>
      </c>
      <c r="O164" s="61" t="s">
        <v>9758</v>
      </c>
      <c r="P164" s="14" t="s">
        <v>12097</v>
      </c>
      <c r="Q164" s="92">
        <v>115.7</v>
      </c>
      <c r="R164" s="1">
        <v>1</v>
      </c>
      <c r="S164" s="90">
        <v>0.21</v>
      </c>
      <c r="T164" s="90">
        <v>0</v>
      </c>
      <c r="U164" s="363"/>
      <c r="V164" s="126">
        <f t="shared" ref="V164" si="77">SUM(Q164-(Q164*T164))*S164+(Q164-(Q164*T164))</f>
        <v>139.99700000000001</v>
      </c>
      <c r="W164" s="1" t="s">
        <v>12144</v>
      </c>
      <c r="X164" s="5" t="s">
        <v>12145</v>
      </c>
      <c r="Y164" s="2">
        <v>26743</v>
      </c>
      <c r="Z164" s="2">
        <v>45774</v>
      </c>
      <c r="AA164" s="284" t="s">
        <v>12321</v>
      </c>
      <c r="AB164" s="2">
        <v>45817</v>
      </c>
      <c r="AC164" s="80" t="s">
        <v>1339</v>
      </c>
      <c r="AD164" s="452"/>
      <c r="AF164" t="s">
        <v>3198</v>
      </c>
      <c r="AI164" s="76" t="s">
        <v>3470</v>
      </c>
      <c r="AJ164" s="2">
        <v>45782</v>
      </c>
      <c r="AM164" s="3">
        <v>45790</v>
      </c>
    </row>
    <row r="165" spans="1:46">
      <c r="A165" s="1">
        <v>164</v>
      </c>
      <c r="B165" t="s">
        <v>11971</v>
      </c>
      <c r="C165" s="2">
        <v>45774</v>
      </c>
      <c r="D165" s="2"/>
      <c r="E165" s="1" t="s">
        <v>11975</v>
      </c>
      <c r="F165" s="61" t="s">
        <v>11972</v>
      </c>
      <c r="G165" s="61" t="s">
        <v>11973</v>
      </c>
      <c r="H165" s="6" t="s">
        <v>3988</v>
      </c>
      <c r="I165" s="1" t="s">
        <v>7218</v>
      </c>
      <c r="J165" s="1"/>
      <c r="K165" s="396" t="s">
        <v>11974</v>
      </c>
      <c r="L165" s="1" t="s">
        <v>11975</v>
      </c>
      <c r="M165" s="2">
        <v>45777</v>
      </c>
      <c r="N165" s="1" t="s">
        <v>35</v>
      </c>
      <c r="O165" s="61" t="s">
        <v>9758</v>
      </c>
      <c r="P165" s="14" t="s">
        <v>12098</v>
      </c>
      <c r="Q165" s="92">
        <v>115.7</v>
      </c>
      <c r="R165" s="1">
        <v>1</v>
      </c>
      <c r="S165" s="90">
        <v>0.21</v>
      </c>
      <c r="T165" s="90">
        <v>0</v>
      </c>
      <c r="U165" s="363"/>
      <c r="V165" s="126">
        <f t="shared" ref="V165" si="78">SUM(Q165-(Q165*T165))*S165+(Q165-(Q165*T165))</f>
        <v>139.99700000000001</v>
      </c>
      <c r="W165" s="1" t="s">
        <v>12136</v>
      </c>
      <c r="X165" s="5" t="s">
        <v>12137</v>
      </c>
      <c r="Y165" s="2">
        <v>28319</v>
      </c>
      <c r="Z165" s="2">
        <v>45774</v>
      </c>
      <c r="AA165" s="284" t="s">
        <v>12321</v>
      </c>
      <c r="AB165" s="2">
        <v>45817</v>
      </c>
      <c r="AC165" s="80" t="s">
        <v>1339</v>
      </c>
      <c r="AD165" s="452"/>
      <c r="AF165" t="s">
        <v>3198</v>
      </c>
      <c r="AI165" s="76" t="s">
        <v>3470</v>
      </c>
      <c r="AJ165" s="2">
        <v>45782</v>
      </c>
      <c r="AM165" s="3">
        <v>45790</v>
      </c>
    </row>
    <row r="166" spans="1:46">
      <c r="A166" s="1">
        <v>165</v>
      </c>
      <c r="B166" t="s">
        <v>11971</v>
      </c>
      <c r="C166" s="2">
        <v>45774</v>
      </c>
      <c r="D166" s="2"/>
      <c r="E166" s="1" t="s">
        <v>11975</v>
      </c>
      <c r="F166" s="61" t="s">
        <v>11972</v>
      </c>
      <c r="G166" s="61" t="s">
        <v>11973</v>
      </c>
      <c r="H166" s="6" t="s">
        <v>3988</v>
      </c>
      <c r="I166" s="1" t="s">
        <v>7218</v>
      </c>
      <c r="J166" s="1"/>
      <c r="K166" s="396" t="s">
        <v>11974</v>
      </c>
      <c r="L166" s="1" t="s">
        <v>11975</v>
      </c>
      <c r="M166" s="2">
        <v>45777</v>
      </c>
      <c r="N166" s="1" t="s">
        <v>35</v>
      </c>
      <c r="O166" s="61" t="s">
        <v>9758</v>
      </c>
      <c r="P166" s="14" t="s">
        <v>12099</v>
      </c>
      <c r="Q166" s="92">
        <v>115.7</v>
      </c>
      <c r="R166" s="1">
        <v>1</v>
      </c>
      <c r="S166" s="90">
        <v>0.21</v>
      </c>
      <c r="T166" s="90">
        <v>0</v>
      </c>
      <c r="U166" s="363"/>
      <c r="V166" s="126">
        <f t="shared" ref="V166" si="79">SUM(Q166-(Q166*T166))*S166+(Q166-(Q166*T166))</f>
        <v>139.99700000000001</v>
      </c>
      <c r="W166" s="1" t="s">
        <v>12134</v>
      </c>
      <c r="X166" s="5" t="s">
        <v>12135</v>
      </c>
      <c r="Y166" s="2">
        <v>29161</v>
      </c>
      <c r="Z166" s="2">
        <v>45774</v>
      </c>
      <c r="AA166" s="284" t="s">
        <v>12321</v>
      </c>
      <c r="AB166" s="2">
        <v>45817</v>
      </c>
      <c r="AC166" s="80" t="s">
        <v>1339</v>
      </c>
      <c r="AD166" s="452"/>
      <c r="AF166" t="s">
        <v>3198</v>
      </c>
      <c r="AI166" s="76" t="s">
        <v>3470</v>
      </c>
      <c r="AJ166" s="2">
        <v>45782</v>
      </c>
      <c r="AM166" s="3">
        <v>45790</v>
      </c>
    </row>
    <row r="167" spans="1:46">
      <c r="A167" s="1">
        <v>166</v>
      </c>
      <c r="B167" t="s">
        <v>61</v>
      </c>
      <c r="C167" s="2">
        <v>45775</v>
      </c>
      <c r="D167" s="2"/>
      <c r="E167" s="1" t="s">
        <v>1790</v>
      </c>
      <c r="F167" t="s">
        <v>1791</v>
      </c>
      <c r="G167" t="s">
        <v>7478</v>
      </c>
      <c r="H167" s="6" t="s">
        <v>241</v>
      </c>
      <c r="I167" s="1" t="s">
        <v>9634</v>
      </c>
      <c r="J167" s="44">
        <v>679088389</v>
      </c>
      <c r="K167" s="1"/>
      <c r="L167" s="1" t="s">
        <v>1790</v>
      </c>
      <c r="M167" s="2">
        <v>45777</v>
      </c>
      <c r="N167" s="1" t="s">
        <v>35</v>
      </c>
      <c r="O167" s="61" t="s">
        <v>7934</v>
      </c>
      <c r="P167" s="14" t="s">
        <v>12116</v>
      </c>
      <c r="Q167" s="92">
        <v>69.42</v>
      </c>
      <c r="R167" s="1">
        <v>1</v>
      </c>
      <c r="S167" s="128">
        <v>0.21</v>
      </c>
      <c r="T167" s="128">
        <v>0</v>
      </c>
      <c r="U167" s="363"/>
      <c r="V167" s="95">
        <f t="shared" ref="V167:V168" si="80">SUM(Q167-(Q167*T167))*S167+(Q167-(Q167*T167))</f>
        <v>83.998199999999997</v>
      </c>
      <c r="W167" t="s">
        <v>9696</v>
      </c>
      <c r="X167" s="5" t="s">
        <v>12117</v>
      </c>
      <c r="Y167" s="2">
        <v>34606</v>
      </c>
      <c r="Z167" s="2">
        <v>45775</v>
      </c>
      <c r="AA167" s="284" t="s">
        <v>12238</v>
      </c>
      <c r="AB167" s="2">
        <v>45796</v>
      </c>
      <c r="AC167" s="80" t="s">
        <v>1339</v>
      </c>
      <c r="AD167" s="61"/>
      <c r="AE167" s="61"/>
      <c r="AF167" t="s">
        <v>3198</v>
      </c>
      <c r="AJ167" s="2"/>
      <c r="AM167" s="3"/>
      <c r="AT167" s="1"/>
    </row>
    <row r="168" spans="1:46">
      <c r="A168" s="1">
        <v>167</v>
      </c>
      <c r="B168" t="s">
        <v>423</v>
      </c>
      <c r="C168" s="2">
        <v>45775</v>
      </c>
      <c r="E168" s="1" t="s">
        <v>3217</v>
      </c>
      <c r="F168" s="61" t="s">
        <v>91</v>
      </c>
      <c r="G168" t="s">
        <v>3218</v>
      </c>
      <c r="H168" s="6" t="s">
        <v>219</v>
      </c>
      <c r="I168" s="1" t="s">
        <v>38</v>
      </c>
      <c r="J168" s="8">
        <v>629562761</v>
      </c>
      <c r="K168" s="8" t="s">
        <v>6182</v>
      </c>
      <c r="L168" t="s">
        <v>3217</v>
      </c>
      <c r="M168" s="2">
        <v>45777</v>
      </c>
      <c r="N168" s="1" t="s">
        <v>35</v>
      </c>
      <c r="O168" s="61" t="s">
        <v>9758</v>
      </c>
      <c r="P168" s="14" t="s">
        <v>12118</v>
      </c>
      <c r="Q168" s="187">
        <v>115.7</v>
      </c>
      <c r="R168" s="1">
        <v>1</v>
      </c>
      <c r="S168" s="128">
        <v>0.21</v>
      </c>
      <c r="T168" s="128">
        <v>0</v>
      </c>
      <c r="U168" s="95"/>
      <c r="V168" s="126">
        <f t="shared" si="80"/>
        <v>139.99700000000001</v>
      </c>
      <c r="W168" t="s">
        <v>12132</v>
      </c>
      <c r="X168" s="6" t="s">
        <v>12133</v>
      </c>
      <c r="Y168" s="2">
        <v>37731</v>
      </c>
      <c r="Z168" s="2">
        <v>45775</v>
      </c>
      <c r="AA168" s="284" t="s">
        <v>12320</v>
      </c>
      <c r="AB168" s="3">
        <v>45817</v>
      </c>
      <c r="AC168" s="80" t="s">
        <v>1339</v>
      </c>
      <c r="AF168" t="s">
        <v>3198</v>
      </c>
      <c r="AI168" s="76" t="s">
        <v>12094</v>
      </c>
      <c r="AJ168" s="2">
        <v>45782</v>
      </c>
      <c r="AK168" s="3"/>
      <c r="AL168" s="74"/>
      <c r="AM168" s="3"/>
      <c r="AS168" s="1"/>
    </row>
    <row r="169" spans="1:46">
      <c r="A169" s="1">
        <v>168</v>
      </c>
      <c r="B169" t="s">
        <v>37</v>
      </c>
      <c r="C169" s="2">
        <v>45777</v>
      </c>
      <c r="D169" s="2"/>
      <c r="E169" s="1" t="s">
        <v>12121</v>
      </c>
      <c r="F169" s="61" t="s">
        <v>12122</v>
      </c>
      <c r="G169" s="61" t="s">
        <v>12123</v>
      </c>
      <c r="H169" s="6" t="s">
        <v>12124</v>
      </c>
      <c r="I169" s="1" t="s">
        <v>5377</v>
      </c>
      <c r="J169" s="1">
        <v>643831180</v>
      </c>
      <c r="K169" s="396"/>
      <c r="L169" s="1" t="s">
        <v>12121</v>
      </c>
      <c r="M169" s="2">
        <v>45777</v>
      </c>
      <c r="N169" s="1" t="s">
        <v>35</v>
      </c>
      <c r="O169" s="61" t="s">
        <v>7934</v>
      </c>
      <c r="P169" s="14" t="s">
        <v>12125</v>
      </c>
      <c r="Q169" s="92">
        <v>86.78</v>
      </c>
      <c r="R169" s="1">
        <v>1</v>
      </c>
      <c r="S169" s="90">
        <v>0.21</v>
      </c>
      <c r="T169" s="90">
        <v>0</v>
      </c>
      <c r="U169" s="363"/>
      <c r="V169" s="126">
        <f t="shared" ref="V169" si="81">SUM(Q169-(Q169*T169))*S169+(Q169-(Q169*T169))</f>
        <v>105.0038</v>
      </c>
      <c r="W169" s="1" t="s">
        <v>12121</v>
      </c>
      <c r="X169" s="5" t="s">
        <v>12126</v>
      </c>
      <c r="Y169" s="2">
        <v>32613</v>
      </c>
      <c r="Z169" s="2">
        <v>45777</v>
      </c>
      <c r="AA169" s="76" t="s">
        <v>12335</v>
      </c>
      <c r="AB169" s="2">
        <v>45819</v>
      </c>
      <c r="AC169" s="80" t="s">
        <v>1339</v>
      </c>
      <c r="AD169" s="452"/>
      <c r="AJ169" s="2"/>
      <c r="AM169" s="3"/>
    </row>
    <row r="170" spans="1:46">
      <c r="A170" s="1">
        <v>169</v>
      </c>
      <c r="B170" s="61" t="s">
        <v>143</v>
      </c>
      <c r="C170" s="2">
        <v>45779</v>
      </c>
      <c r="D170" s="2"/>
      <c r="E170" s="1" t="s">
        <v>10444</v>
      </c>
      <c r="F170" s="61" t="s">
        <v>10410</v>
      </c>
      <c r="G170" s="61" t="s">
        <v>10403</v>
      </c>
      <c r="H170" s="6" t="s">
        <v>236</v>
      </c>
      <c r="I170" s="1" t="s">
        <v>110</v>
      </c>
      <c r="J170" s="1">
        <v>641859826</v>
      </c>
      <c r="K170" s="1"/>
      <c r="L170" t="s">
        <v>10444</v>
      </c>
      <c r="M170" s="2">
        <v>45808</v>
      </c>
      <c r="N170" s="1" t="s">
        <v>35</v>
      </c>
      <c r="O170" s="61" t="s">
        <v>7934</v>
      </c>
      <c r="P170" s="14" t="s">
        <v>12127</v>
      </c>
      <c r="Q170" s="92">
        <v>86.78</v>
      </c>
      <c r="R170" s="1">
        <v>1</v>
      </c>
      <c r="S170" s="128">
        <v>0.21</v>
      </c>
      <c r="T170" s="128">
        <v>0</v>
      </c>
      <c r="U170" s="363"/>
      <c r="V170" s="95">
        <f>SUM(Q170-(Q170*T170))*S170+(Q170-(Q170*T170))</f>
        <v>105.0038</v>
      </c>
      <c r="W170" t="s">
        <v>10444</v>
      </c>
      <c r="X170" s="5" t="s">
        <v>12128</v>
      </c>
      <c r="Y170" s="2">
        <v>32178</v>
      </c>
      <c r="Z170" s="2">
        <v>45779</v>
      </c>
      <c r="AA170" s="284" t="s">
        <v>12264</v>
      </c>
      <c r="AB170" s="2">
        <v>45805</v>
      </c>
      <c r="AC170" s="80" t="s">
        <v>1339</v>
      </c>
      <c r="AF170" t="s">
        <v>3198</v>
      </c>
      <c r="AJ170" s="2"/>
      <c r="AM170" s="74"/>
      <c r="AT170" s="1"/>
    </row>
    <row r="171" spans="1:46">
      <c r="A171" s="1">
        <v>170</v>
      </c>
      <c r="B171" t="s">
        <v>33</v>
      </c>
      <c r="C171" s="2">
        <v>45779</v>
      </c>
      <c r="D171" s="2"/>
      <c r="E171" s="1" t="s">
        <v>5773</v>
      </c>
      <c r="F171" s="61" t="s">
        <v>5774</v>
      </c>
      <c r="G171" s="61" t="s">
        <v>5775</v>
      </c>
      <c r="H171" s="6" t="s">
        <v>220</v>
      </c>
      <c r="I171" s="1" t="s">
        <v>39</v>
      </c>
      <c r="J171" s="1"/>
      <c r="K171" s="114" t="s">
        <v>11744</v>
      </c>
      <c r="L171" t="s">
        <v>237</v>
      </c>
      <c r="M171" s="2">
        <v>45808</v>
      </c>
      <c r="N171" s="1" t="s">
        <v>35</v>
      </c>
      <c r="O171" s="61" t="s">
        <v>7934</v>
      </c>
      <c r="P171" s="14" t="s">
        <v>12129</v>
      </c>
      <c r="Q171" s="187">
        <v>69.42</v>
      </c>
      <c r="R171" s="1">
        <v>1</v>
      </c>
      <c r="S171" s="128">
        <v>0.21</v>
      </c>
      <c r="T171" s="128">
        <v>0</v>
      </c>
      <c r="U171" s="363"/>
      <c r="V171" s="126">
        <f t="shared" ref="V171:V172" si="82">SUM(Q171-(Q171*T171))*S171+(Q171-(Q171*T171))</f>
        <v>83.998199999999997</v>
      </c>
      <c r="W171" t="s">
        <v>10092</v>
      </c>
      <c r="X171" s="5" t="s">
        <v>12130</v>
      </c>
      <c r="Y171" s="3">
        <v>25068</v>
      </c>
      <c r="Z171" s="2">
        <v>45779</v>
      </c>
      <c r="AA171" s="284" t="s">
        <v>12264</v>
      </c>
      <c r="AB171" s="2">
        <v>45805</v>
      </c>
      <c r="AC171" s="80" t="s">
        <v>1339</v>
      </c>
      <c r="AE171" s="3"/>
      <c r="AF171" t="s">
        <v>3198</v>
      </c>
      <c r="AJ171" s="2"/>
      <c r="AM171" s="74"/>
      <c r="AS171" s="1"/>
      <c r="AT171" s="1"/>
    </row>
    <row r="172" spans="1:46">
      <c r="A172" s="1">
        <v>171</v>
      </c>
      <c r="B172" s="61" t="s">
        <v>1414</v>
      </c>
      <c r="C172" s="2">
        <v>45783</v>
      </c>
      <c r="D172" s="2"/>
      <c r="E172" s="1" t="s">
        <v>176</v>
      </c>
      <c r="F172" s="61" t="s">
        <v>4460</v>
      </c>
      <c r="G172" s="61" t="s">
        <v>4461</v>
      </c>
      <c r="H172" s="6" t="s">
        <v>230</v>
      </c>
      <c r="I172" t="s">
        <v>1262</v>
      </c>
      <c r="J172" s="8">
        <v>637571817</v>
      </c>
      <c r="K172" s="8"/>
      <c r="L172" t="s">
        <v>176</v>
      </c>
      <c r="M172" s="2">
        <v>45808</v>
      </c>
      <c r="N172" s="1" t="s">
        <v>35</v>
      </c>
      <c r="O172" s="61" t="s">
        <v>7925</v>
      </c>
      <c r="P172" s="14" t="s">
        <v>12149</v>
      </c>
      <c r="Q172" s="163">
        <v>115.7</v>
      </c>
      <c r="R172" s="1">
        <v>1</v>
      </c>
      <c r="S172" s="90">
        <v>0.21</v>
      </c>
      <c r="T172" s="90">
        <v>0</v>
      </c>
      <c r="U172" s="95"/>
      <c r="V172" s="95">
        <f t="shared" si="82"/>
        <v>139.99700000000001</v>
      </c>
      <c r="W172" t="s">
        <v>12183</v>
      </c>
      <c r="X172" s="5" t="s">
        <v>12184</v>
      </c>
      <c r="Y172" s="2">
        <v>33887</v>
      </c>
      <c r="Z172" s="2">
        <v>45783</v>
      </c>
      <c r="AA172" s="284" t="s">
        <v>12581</v>
      </c>
      <c r="AB172" s="3">
        <v>45863</v>
      </c>
      <c r="AC172" s="80" t="s">
        <v>1339</v>
      </c>
      <c r="AF172" t="s">
        <v>3198</v>
      </c>
      <c r="AI172" t="s">
        <v>3392</v>
      </c>
      <c r="AJ172" s="2">
        <v>45792</v>
      </c>
      <c r="AM172" s="74">
        <v>45800</v>
      </c>
      <c r="AT172" s="1"/>
    </row>
    <row r="173" spans="1:46">
      <c r="A173" s="1">
        <v>172</v>
      </c>
      <c r="B173" t="s">
        <v>33</v>
      </c>
      <c r="C173" s="2">
        <v>45785</v>
      </c>
      <c r="D173" s="403" t="s">
        <v>9900</v>
      </c>
      <c r="E173" s="1" t="s">
        <v>12151</v>
      </c>
      <c r="F173" s="61" t="s">
        <v>12152</v>
      </c>
      <c r="G173" s="61" t="s">
        <v>12153</v>
      </c>
      <c r="H173" s="6" t="s">
        <v>219</v>
      </c>
      <c r="I173" s="1" t="s">
        <v>38</v>
      </c>
      <c r="J173" s="1"/>
      <c r="K173" s="114" t="s">
        <v>11744</v>
      </c>
      <c r="L173" t="s">
        <v>237</v>
      </c>
      <c r="M173" s="2">
        <v>45808</v>
      </c>
      <c r="N173" s="1" t="s">
        <v>35</v>
      </c>
      <c r="O173" s="61" t="s">
        <v>7925</v>
      </c>
      <c r="P173" s="14" t="s">
        <v>12154</v>
      </c>
      <c r="Q173" s="163">
        <v>115.7</v>
      </c>
      <c r="R173" s="1">
        <v>1</v>
      </c>
      <c r="S173" s="90">
        <v>0.21</v>
      </c>
      <c r="T173" s="90">
        <v>0</v>
      </c>
      <c r="U173" s="95"/>
      <c r="V173" s="95">
        <f t="shared" ref="V173:V174" si="83">SUM(Q173-(Q173*T173))*S173+(Q173-(Q173*T173))</f>
        <v>139.99700000000001</v>
      </c>
      <c r="W173" s="1" t="s">
        <v>12185</v>
      </c>
      <c r="X173" s="5" t="s">
        <v>12186</v>
      </c>
      <c r="Y173" s="2">
        <v>36234</v>
      </c>
      <c r="Z173" s="2">
        <v>45785</v>
      </c>
      <c r="AA173" s="284" t="s">
        <v>12601</v>
      </c>
      <c r="AB173" s="2">
        <v>45873</v>
      </c>
      <c r="AC173" s="80" t="s">
        <v>1339</v>
      </c>
      <c r="AD173" s="452"/>
      <c r="AF173" t="s">
        <v>3198</v>
      </c>
      <c r="AI173" t="s">
        <v>3392</v>
      </c>
      <c r="AJ173" s="2">
        <v>45792</v>
      </c>
      <c r="AM173" s="74">
        <v>45796</v>
      </c>
    </row>
    <row r="174" spans="1:46">
      <c r="A174" s="1">
        <v>173</v>
      </c>
      <c r="B174" s="61" t="s">
        <v>33</v>
      </c>
      <c r="C174" s="2">
        <v>45785</v>
      </c>
      <c r="D174" s="2"/>
      <c r="E174" s="1" t="s">
        <v>3247</v>
      </c>
      <c r="F174" t="s">
        <v>9109</v>
      </c>
      <c r="G174" t="s">
        <v>3242</v>
      </c>
      <c r="H174" s="6" t="s">
        <v>304</v>
      </c>
      <c r="I174" t="s">
        <v>38</v>
      </c>
      <c r="J174" s="8">
        <v>646181264</v>
      </c>
      <c r="K174" s="114" t="s">
        <v>11744</v>
      </c>
      <c r="L174" s="1" t="s">
        <v>237</v>
      </c>
      <c r="M174" s="2">
        <v>45808</v>
      </c>
      <c r="N174" s="1" t="s">
        <v>35</v>
      </c>
      <c r="O174" s="14" t="s">
        <v>7934</v>
      </c>
      <c r="P174" s="14" t="s">
        <v>12155</v>
      </c>
      <c r="Q174" s="187">
        <v>69.42</v>
      </c>
      <c r="R174" s="1">
        <v>1</v>
      </c>
      <c r="S174" s="90">
        <v>0.21</v>
      </c>
      <c r="T174" s="90">
        <v>0</v>
      </c>
      <c r="V174" s="95">
        <f t="shared" si="83"/>
        <v>83.998199999999997</v>
      </c>
      <c r="W174" t="s">
        <v>10306</v>
      </c>
      <c r="X174" s="5" t="s">
        <v>12156</v>
      </c>
      <c r="Y174" s="2">
        <v>35327</v>
      </c>
      <c r="Z174" s="2">
        <v>45785</v>
      </c>
      <c r="AA174" s="284" t="s">
        <v>12262</v>
      </c>
      <c r="AB174" s="2">
        <v>45805</v>
      </c>
      <c r="AC174" s="80" t="s">
        <v>1339</v>
      </c>
      <c r="AE174" s="3"/>
      <c r="AF174" t="s">
        <v>3198</v>
      </c>
      <c r="AJ174" s="2"/>
      <c r="AM174" s="2"/>
      <c r="AT174" s="1"/>
    </row>
    <row r="175" spans="1:46">
      <c r="A175" s="1">
        <v>174</v>
      </c>
      <c r="B175" t="s">
        <v>33</v>
      </c>
      <c r="C175" s="2">
        <v>45785</v>
      </c>
      <c r="D175" s="2"/>
      <c r="E175" s="1" t="s">
        <v>9015</v>
      </c>
      <c r="F175" s="14" t="s">
        <v>9016</v>
      </c>
      <c r="G175" t="s">
        <v>9017</v>
      </c>
      <c r="H175" s="6" t="s">
        <v>236</v>
      </c>
      <c r="I175" s="1" t="s">
        <v>34</v>
      </c>
      <c r="J175" s="8"/>
      <c r="K175" s="114" t="s">
        <v>11744</v>
      </c>
      <c r="L175" t="s">
        <v>237</v>
      </c>
      <c r="M175" s="2">
        <v>45808</v>
      </c>
      <c r="N175" s="1" t="s">
        <v>35</v>
      </c>
      <c r="O175" s="61" t="s">
        <v>7926</v>
      </c>
      <c r="P175" s="14" t="s">
        <v>12157</v>
      </c>
      <c r="Q175" s="92">
        <v>115.7</v>
      </c>
      <c r="R175" s="1">
        <v>1</v>
      </c>
      <c r="S175" s="128">
        <v>0.21</v>
      </c>
      <c r="T175" s="128">
        <v>0</v>
      </c>
      <c r="U175" s="95"/>
      <c r="V175" s="95">
        <f t="shared" ref="V175" si="84">SUM(Q175-(Q175*T175))*S175+(Q175-(Q175*T175))</f>
        <v>139.99700000000001</v>
      </c>
      <c r="W175" t="s">
        <v>12187</v>
      </c>
      <c r="X175" s="5" t="s">
        <v>12188</v>
      </c>
      <c r="Y175" s="2">
        <v>28491</v>
      </c>
      <c r="Z175" s="2">
        <v>45785</v>
      </c>
      <c r="AA175" s="284" t="s">
        <v>12386</v>
      </c>
      <c r="AB175" s="2">
        <v>45838</v>
      </c>
      <c r="AC175" s="80" t="s">
        <v>1339</v>
      </c>
      <c r="AF175" t="s">
        <v>3198</v>
      </c>
      <c r="AI175" t="s">
        <v>3470</v>
      </c>
      <c r="AJ175" s="2">
        <v>45792</v>
      </c>
      <c r="AM175" s="74">
        <v>45796</v>
      </c>
      <c r="AT175" s="1"/>
    </row>
    <row r="176" spans="1:46">
      <c r="A176" s="1">
        <v>175</v>
      </c>
      <c r="B176" s="61" t="s">
        <v>143</v>
      </c>
      <c r="C176" s="2">
        <v>45786</v>
      </c>
      <c r="D176" s="2"/>
      <c r="E176" s="1" t="s">
        <v>10470</v>
      </c>
      <c r="F176" s="61" t="s">
        <v>10451</v>
      </c>
      <c r="G176" s="61" t="s">
        <v>10452</v>
      </c>
      <c r="H176" s="6" t="s">
        <v>220</v>
      </c>
      <c r="I176" s="1" t="s">
        <v>39</v>
      </c>
      <c r="J176" s="1">
        <v>643933429</v>
      </c>
      <c r="K176" s="1"/>
      <c r="L176" t="s">
        <v>10470</v>
      </c>
      <c r="M176" s="2">
        <v>45808</v>
      </c>
      <c r="N176" s="1" t="s">
        <v>35</v>
      </c>
      <c r="O176" s="61" t="s">
        <v>7934</v>
      </c>
      <c r="P176" s="14" t="s">
        <v>12161</v>
      </c>
      <c r="Q176" s="187">
        <v>115.7</v>
      </c>
      <c r="R176" s="1">
        <v>1</v>
      </c>
      <c r="S176" s="128">
        <v>0.21</v>
      </c>
      <c r="T176" s="128">
        <v>0</v>
      </c>
      <c r="U176" s="363"/>
      <c r="V176" s="95">
        <f>SUM(Q176-(Q176*T176))*S176+(Q176-(Q176*T176))</f>
        <v>139.99700000000001</v>
      </c>
      <c r="W176" t="s">
        <v>10470</v>
      </c>
      <c r="X176" s="5" t="s">
        <v>12162</v>
      </c>
      <c r="Y176" s="2">
        <v>36526</v>
      </c>
      <c r="Z176" s="2">
        <v>45786</v>
      </c>
      <c r="AA176" s="284" t="s">
        <v>12315</v>
      </c>
      <c r="AB176" s="3">
        <v>45814</v>
      </c>
      <c r="AC176" s="80" t="s">
        <v>1339</v>
      </c>
      <c r="AF176" t="s">
        <v>3198</v>
      </c>
      <c r="AJ176" s="2"/>
      <c r="AM176" s="74"/>
      <c r="AT176" s="1"/>
    </row>
    <row r="177" spans="1:46">
      <c r="A177" s="1">
        <v>176</v>
      </c>
      <c r="B177" t="s">
        <v>37</v>
      </c>
      <c r="C177" s="2">
        <v>45789</v>
      </c>
      <c r="D177" s="403" t="s">
        <v>9900</v>
      </c>
      <c r="E177" s="1" t="s">
        <v>12163</v>
      </c>
      <c r="F177" s="375" t="s">
        <v>12164</v>
      </c>
      <c r="G177" t="s">
        <v>12165</v>
      </c>
      <c r="H177" s="6" t="s">
        <v>12166</v>
      </c>
      <c r="I177" s="1" t="s">
        <v>12167</v>
      </c>
      <c r="J177" s="8"/>
      <c r="K177" s="396"/>
      <c r="L177" s="1" t="s">
        <v>12163</v>
      </c>
      <c r="M177" s="2">
        <v>45808</v>
      </c>
      <c r="N177" s="1" t="s">
        <v>35</v>
      </c>
      <c r="O177" s="61" t="s">
        <v>10536</v>
      </c>
      <c r="P177" s="14" t="s">
        <v>12168</v>
      </c>
      <c r="Q177" s="92">
        <v>100</v>
      </c>
      <c r="R177" s="1">
        <v>1</v>
      </c>
      <c r="S177" s="128">
        <v>0.21</v>
      </c>
      <c r="T177" s="128">
        <v>0</v>
      </c>
      <c r="U177" s="95"/>
      <c r="V177" s="126">
        <f t="shared" ref="V177" si="85">SUM(Q177-(Q177*T177))*S177+(Q177-(Q177*T177))</f>
        <v>121</v>
      </c>
      <c r="W177" s="1" t="s">
        <v>12163</v>
      </c>
      <c r="X177" s="5"/>
      <c r="Y177" s="2"/>
      <c r="Z177" s="2"/>
      <c r="AB177" s="2"/>
      <c r="AC177" s="80"/>
      <c r="AI177" s="76" t="s">
        <v>12327</v>
      </c>
      <c r="AJ177" s="2">
        <v>45818</v>
      </c>
      <c r="AM177" s="74"/>
      <c r="AT177" s="1"/>
    </row>
    <row r="178" spans="1:46">
      <c r="A178" s="1">
        <v>177</v>
      </c>
      <c r="B178" t="s">
        <v>52</v>
      </c>
      <c r="C178" s="2">
        <v>45789</v>
      </c>
      <c r="D178" s="2"/>
      <c r="E178" s="1" t="s">
        <v>9388</v>
      </c>
      <c r="F178" s="61" t="s">
        <v>9389</v>
      </c>
      <c r="G178" s="61" t="s">
        <v>9390</v>
      </c>
      <c r="H178" s="6" t="s">
        <v>221</v>
      </c>
      <c r="I178" s="1" t="s">
        <v>34</v>
      </c>
      <c r="J178" s="8"/>
      <c r="K178" s="44" t="s">
        <v>5906</v>
      </c>
      <c r="L178" t="s">
        <v>4432</v>
      </c>
      <c r="M178" s="2">
        <v>45808</v>
      </c>
      <c r="N178" t="s">
        <v>35</v>
      </c>
      <c r="O178" s="61" t="s">
        <v>7926</v>
      </c>
      <c r="P178" s="14" t="s">
        <v>12169</v>
      </c>
      <c r="Q178" s="92">
        <v>115.7</v>
      </c>
      <c r="R178" s="1">
        <v>1</v>
      </c>
      <c r="S178" s="128">
        <v>0.21</v>
      </c>
      <c r="T178" s="128">
        <v>0</v>
      </c>
      <c r="U178" s="1"/>
      <c r="V178" s="95">
        <f t="shared" ref="V178" si="86">SUM(Q178-(Q178*T178))*S178+(Q178-(Q178*T178))</f>
        <v>139.99700000000001</v>
      </c>
      <c r="W178" t="s">
        <v>12197</v>
      </c>
      <c r="X178" s="5" t="s">
        <v>12196</v>
      </c>
      <c r="Y178" s="2">
        <v>36794</v>
      </c>
      <c r="Z178" s="2">
        <v>45789</v>
      </c>
      <c r="AA178" s="284" t="s">
        <v>12377</v>
      </c>
      <c r="AB178" s="2">
        <v>45838</v>
      </c>
      <c r="AC178" s="80" t="s">
        <v>1339</v>
      </c>
      <c r="AF178" t="s">
        <v>3198</v>
      </c>
      <c r="AI178" s="76" t="s">
        <v>3470</v>
      </c>
      <c r="AJ178" s="2">
        <v>45792</v>
      </c>
      <c r="AM178" s="74"/>
      <c r="AS178" s="96"/>
      <c r="AT178" s="1"/>
    </row>
    <row r="179" spans="1:46">
      <c r="A179" s="1">
        <v>178</v>
      </c>
      <c r="B179" t="s">
        <v>143</v>
      </c>
      <c r="C179" s="2">
        <v>45790</v>
      </c>
      <c r="D179" s="403" t="s">
        <v>9900</v>
      </c>
      <c r="E179" s="1" t="s">
        <v>12170</v>
      </c>
      <c r="F179" s="61" t="s">
        <v>12171</v>
      </c>
      <c r="G179" s="61" t="s">
        <v>12172</v>
      </c>
      <c r="H179" s="6" t="s">
        <v>219</v>
      </c>
      <c r="I179" s="1" t="s">
        <v>4334</v>
      </c>
      <c r="J179" s="8" t="s">
        <v>12173</v>
      </c>
      <c r="K179" s="44"/>
      <c r="L179" s="1" t="s">
        <v>12170</v>
      </c>
      <c r="M179" s="2">
        <v>45808</v>
      </c>
      <c r="N179" t="s">
        <v>35</v>
      </c>
      <c r="O179" s="61" t="s">
        <v>7934</v>
      </c>
      <c r="P179" s="14" t="s">
        <v>12174</v>
      </c>
      <c r="Q179" s="92">
        <v>86.78</v>
      </c>
      <c r="R179" s="1">
        <v>1</v>
      </c>
      <c r="S179" s="128">
        <v>0.21</v>
      </c>
      <c r="T179" s="128">
        <v>0</v>
      </c>
      <c r="U179" s="95"/>
      <c r="V179" s="126">
        <f t="shared" ref="V179" si="87">SUM(Q179-(Q179*T179))*S179+(Q179-(Q179*T179))</f>
        <v>105.0038</v>
      </c>
      <c r="W179" s="1" t="s">
        <v>12170</v>
      </c>
      <c r="X179" s="5" t="s">
        <v>12175</v>
      </c>
      <c r="Y179" s="2">
        <v>33972</v>
      </c>
      <c r="Z179" s="2">
        <v>45790</v>
      </c>
      <c r="AA179" s="284" t="s">
        <v>12377</v>
      </c>
      <c r="AB179" s="2">
        <v>45834</v>
      </c>
      <c r="AC179" s="80" t="s">
        <v>1339</v>
      </c>
      <c r="AF179" t="s">
        <v>3198</v>
      </c>
      <c r="AJ179" s="2"/>
      <c r="AM179" s="74"/>
      <c r="AS179" s="96"/>
      <c r="AT179" s="1"/>
    </row>
    <row r="180" spans="1:46">
      <c r="A180" s="1">
        <v>179</v>
      </c>
      <c r="B180" t="s">
        <v>7245</v>
      </c>
      <c r="C180" s="2">
        <v>45790</v>
      </c>
      <c r="D180" s="2"/>
      <c r="E180" s="1" t="s">
        <v>1522</v>
      </c>
      <c r="F180" s="61" t="s">
        <v>3233</v>
      </c>
      <c r="G180" t="s">
        <v>3241</v>
      </c>
      <c r="H180" s="6" t="s">
        <v>3234</v>
      </c>
      <c r="I180" t="s">
        <v>3235</v>
      </c>
      <c r="J180" s="8">
        <v>680761760</v>
      </c>
      <c r="K180" s="8" t="s">
        <v>6232</v>
      </c>
      <c r="L180" t="s">
        <v>1522</v>
      </c>
      <c r="M180" s="2">
        <v>45808</v>
      </c>
      <c r="N180" s="1" t="s">
        <v>35</v>
      </c>
      <c r="O180" s="14" t="s">
        <v>7926</v>
      </c>
      <c r="P180" s="14" t="s">
        <v>12176</v>
      </c>
      <c r="Q180" s="187">
        <v>115.7</v>
      </c>
      <c r="R180" s="1">
        <v>1</v>
      </c>
      <c r="S180" s="128">
        <v>0.21</v>
      </c>
      <c r="T180" s="128">
        <v>0</v>
      </c>
      <c r="U180" s="363"/>
      <c r="V180" s="126">
        <f t="shared" ref="V180:V181" si="88">SUM(Q180-(Q180*T180))*S180+(Q180-(Q180*T180))</f>
        <v>139.99700000000001</v>
      </c>
      <c r="W180" t="s">
        <v>12198</v>
      </c>
      <c r="X180" s="5" t="s">
        <v>12199</v>
      </c>
      <c r="Y180" s="2">
        <v>30826</v>
      </c>
      <c r="Z180" s="2">
        <v>45790</v>
      </c>
      <c r="AA180" s="284" t="s">
        <v>12377</v>
      </c>
      <c r="AB180" s="2">
        <v>45838</v>
      </c>
      <c r="AC180" s="80" t="s">
        <v>1339</v>
      </c>
      <c r="AF180" t="s">
        <v>3198</v>
      </c>
      <c r="AI180" t="s">
        <v>3470</v>
      </c>
      <c r="AJ180" s="2">
        <v>45792</v>
      </c>
      <c r="AM180" s="74">
        <v>45796</v>
      </c>
      <c r="AS180" s="1" t="s">
        <v>7934</v>
      </c>
      <c r="AT180" s="1"/>
    </row>
    <row r="181" spans="1:46">
      <c r="A181" s="1">
        <v>180</v>
      </c>
      <c r="B181" t="s">
        <v>6684</v>
      </c>
      <c r="C181" s="2">
        <v>45790</v>
      </c>
      <c r="D181" s="2"/>
      <c r="E181" s="1" t="s">
        <v>6685</v>
      </c>
      <c r="F181" t="s">
        <v>6686</v>
      </c>
      <c r="G181" t="s">
        <v>6687</v>
      </c>
      <c r="H181" s="6" t="s">
        <v>2579</v>
      </c>
      <c r="I181" t="s">
        <v>2580</v>
      </c>
      <c r="J181" s="8"/>
      <c r="K181" s="1" t="s">
        <v>7339</v>
      </c>
      <c r="L181" t="s">
        <v>6685</v>
      </c>
      <c r="M181" s="2">
        <v>45808</v>
      </c>
      <c r="N181" s="1" t="s">
        <v>35</v>
      </c>
      <c r="O181" s="61" t="s">
        <v>7934</v>
      </c>
      <c r="P181" s="14" t="s">
        <v>12177</v>
      </c>
      <c r="Q181" s="187">
        <v>69.42</v>
      </c>
      <c r="R181" s="1">
        <v>1</v>
      </c>
      <c r="S181" s="128">
        <v>0.21</v>
      </c>
      <c r="T181" s="128">
        <v>0</v>
      </c>
      <c r="V181" s="126">
        <f t="shared" si="88"/>
        <v>83.998199999999997</v>
      </c>
      <c r="W181" t="s">
        <v>10316</v>
      </c>
      <c r="X181" s="5" t="s">
        <v>12178</v>
      </c>
      <c r="Y181" s="3">
        <v>37576</v>
      </c>
      <c r="Z181" s="2">
        <v>45790</v>
      </c>
      <c r="AA181" s="284" t="s">
        <v>12313</v>
      </c>
      <c r="AB181" s="2">
        <v>45814</v>
      </c>
      <c r="AC181" s="80" t="s">
        <v>1339</v>
      </c>
      <c r="AF181" t="s">
        <v>3198</v>
      </c>
      <c r="AJ181" s="3"/>
      <c r="AM181" s="3"/>
    </row>
    <row r="182" spans="1:46">
      <c r="A182" s="1">
        <v>181</v>
      </c>
      <c r="B182" t="s">
        <v>37</v>
      </c>
      <c r="C182" s="2">
        <v>45792</v>
      </c>
      <c r="D182" s="403" t="s">
        <v>9900</v>
      </c>
      <c r="E182" s="1" t="s">
        <v>12200</v>
      </c>
      <c r="F182" s="61" t="s">
        <v>12201</v>
      </c>
      <c r="G182" t="s">
        <v>12202</v>
      </c>
      <c r="H182" s="6" t="s">
        <v>219</v>
      </c>
      <c r="I182" s="1" t="s">
        <v>4334</v>
      </c>
      <c r="J182" s="8"/>
      <c r="K182" s="1"/>
      <c r="L182" s="1" t="s">
        <v>12200</v>
      </c>
      <c r="M182" s="2">
        <v>45808</v>
      </c>
      <c r="N182" s="1" t="s">
        <v>35</v>
      </c>
      <c r="O182" s="61" t="s">
        <v>7934</v>
      </c>
      <c r="P182" s="14" t="s">
        <v>12203</v>
      </c>
      <c r="Q182" s="187">
        <v>86.78</v>
      </c>
      <c r="R182" s="1">
        <v>1</v>
      </c>
      <c r="S182" s="128">
        <v>0.21</v>
      </c>
      <c r="T182" s="128">
        <v>0</v>
      </c>
      <c r="U182" s="363"/>
      <c r="V182" s="126">
        <f t="shared" ref="V182" si="89">SUM(Q182-(Q182*T182))*S182+(Q182-(Q182*T182))</f>
        <v>105.0038</v>
      </c>
      <c r="W182" s="1" t="s">
        <v>12200</v>
      </c>
      <c r="X182" s="5" t="s">
        <v>12204</v>
      </c>
      <c r="Y182" s="3">
        <v>36313</v>
      </c>
      <c r="Z182" s="2">
        <v>45792</v>
      </c>
      <c r="AB182" s="2"/>
      <c r="AC182" s="80"/>
      <c r="AF182" t="s">
        <v>3198</v>
      </c>
      <c r="AJ182" s="3"/>
      <c r="AM182" s="3"/>
    </row>
    <row r="183" spans="1:46">
      <c r="A183" s="1">
        <v>182</v>
      </c>
      <c r="B183" t="s">
        <v>37</v>
      </c>
      <c r="C183" s="2">
        <v>45792</v>
      </c>
      <c r="D183" s="2"/>
      <c r="E183" s="1" t="s">
        <v>6180</v>
      </c>
      <c r="F183" t="s">
        <v>6149</v>
      </c>
      <c r="G183" s="61" t="s">
        <v>5797</v>
      </c>
      <c r="H183" s="6" t="s">
        <v>270</v>
      </c>
      <c r="I183" s="1" t="s">
        <v>3681</v>
      </c>
      <c r="J183" s="1">
        <v>642443690</v>
      </c>
      <c r="K183" s="1"/>
      <c r="L183" t="s">
        <v>6180</v>
      </c>
      <c r="M183" s="2">
        <v>45808</v>
      </c>
      <c r="N183" s="1" t="s">
        <v>35</v>
      </c>
      <c r="O183" s="14" t="s">
        <v>7934</v>
      </c>
      <c r="P183" s="14" t="s">
        <v>8111</v>
      </c>
      <c r="Q183" s="187">
        <v>86.78</v>
      </c>
      <c r="R183" s="1">
        <v>1</v>
      </c>
      <c r="S183" s="128">
        <v>0.21</v>
      </c>
      <c r="T183" s="128">
        <v>0</v>
      </c>
      <c r="U183" s="363"/>
      <c r="V183" s="95">
        <f t="shared" ref="V183" si="90">SUM(Q183-(Q183*T183))*S183+(Q183-(Q183*T183))</f>
        <v>105.0038</v>
      </c>
      <c r="W183" t="s">
        <v>6180</v>
      </c>
      <c r="X183" s="5" t="s">
        <v>12205</v>
      </c>
      <c r="Y183" s="2">
        <v>32058</v>
      </c>
      <c r="Z183" s="2">
        <v>45792</v>
      </c>
      <c r="AA183" s="284" t="s">
        <v>12375</v>
      </c>
      <c r="AB183" s="2">
        <v>45834</v>
      </c>
      <c r="AC183" s="80" t="s">
        <v>1339</v>
      </c>
      <c r="AF183" t="s">
        <v>3198</v>
      </c>
      <c r="AI183" s="2"/>
      <c r="AL183" s="3"/>
    </row>
    <row r="184" spans="1:46">
      <c r="A184" s="1">
        <v>183</v>
      </c>
      <c r="B184" s="61" t="s">
        <v>33</v>
      </c>
      <c r="C184" s="2">
        <v>45793</v>
      </c>
      <c r="D184" s="2"/>
      <c r="E184" s="1" t="s">
        <v>3030</v>
      </c>
      <c r="F184" s="61" t="s">
        <v>9862</v>
      </c>
      <c r="G184" t="s">
        <v>6907</v>
      </c>
      <c r="H184" s="6" t="s">
        <v>304</v>
      </c>
      <c r="I184" s="1" t="s">
        <v>34</v>
      </c>
      <c r="J184" s="8"/>
      <c r="K184" s="114" t="s">
        <v>11744</v>
      </c>
      <c r="L184" t="s">
        <v>237</v>
      </c>
      <c r="M184" s="2">
        <v>45808</v>
      </c>
      <c r="N184" s="1" t="s">
        <v>35</v>
      </c>
      <c r="O184" s="61" t="s">
        <v>7925</v>
      </c>
      <c r="P184" s="14" t="s">
        <v>12207</v>
      </c>
      <c r="Q184" s="187">
        <v>115.7</v>
      </c>
      <c r="R184" s="1">
        <v>1</v>
      </c>
      <c r="S184" s="128">
        <v>0.21</v>
      </c>
      <c r="T184" s="128">
        <v>0</v>
      </c>
      <c r="U184" s="363"/>
      <c r="V184" s="126">
        <f t="shared" ref="V184:V185" si="91">SUM(Q184-(Q184*T184))*S184+(Q184-(Q184*T184))</f>
        <v>139.99700000000001</v>
      </c>
      <c r="W184" t="s">
        <v>12269</v>
      </c>
      <c r="X184" s="6" t="s">
        <v>12270</v>
      </c>
      <c r="Y184" s="2">
        <v>28894</v>
      </c>
      <c r="Z184" s="2">
        <v>45793</v>
      </c>
      <c r="AA184" s="284" t="s">
        <v>12688</v>
      </c>
      <c r="AB184" s="2">
        <v>45889</v>
      </c>
      <c r="AC184" s="80" t="s">
        <v>1339</v>
      </c>
      <c r="AF184" t="s">
        <v>3198</v>
      </c>
      <c r="AI184" s="76" t="s">
        <v>3392</v>
      </c>
      <c r="AJ184" s="3">
        <v>45805</v>
      </c>
      <c r="AM184" s="74"/>
      <c r="AT184" s="1"/>
    </row>
    <row r="185" spans="1:46">
      <c r="A185" s="1">
        <v>184</v>
      </c>
      <c r="B185" s="61" t="s">
        <v>6684</v>
      </c>
      <c r="C185" s="2">
        <v>45793</v>
      </c>
      <c r="D185" s="2"/>
      <c r="E185" s="1" t="s">
        <v>6685</v>
      </c>
      <c r="F185" s="61" t="s">
        <v>6686</v>
      </c>
      <c r="G185" t="s">
        <v>6687</v>
      </c>
      <c r="H185" s="6" t="s">
        <v>2579</v>
      </c>
      <c r="I185" t="s">
        <v>2580</v>
      </c>
      <c r="J185" s="8"/>
      <c r="K185" s="1" t="s">
        <v>7339</v>
      </c>
      <c r="L185" t="s">
        <v>6685</v>
      </c>
      <c r="M185" s="2">
        <v>45808</v>
      </c>
      <c r="N185" s="1" t="s">
        <v>35</v>
      </c>
      <c r="O185" s="61" t="s">
        <v>7925</v>
      </c>
      <c r="P185" s="14" t="s">
        <v>10975</v>
      </c>
      <c r="Q185" s="187">
        <v>115.7</v>
      </c>
      <c r="R185" s="1">
        <v>1</v>
      </c>
      <c r="S185" s="128">
        <v>0.21</v>
      </c>
      <c r="T185" s="128">
        <v>0</v>
      </c>
      <c r="U185" s="363"/>
      <c r="V185" s="126">
        <f t="shared" si="91"/>
        <v>139.99700000000001</v>
      </c>
      <c r="W185" t="s">
        <v>11043</v>
      </c>
      <c r="X185" s="5" t="s">
        <v>12266</v>
      </c>
      <c r="Y185" s="2">
        <v>34016</v>
      </c>
      <c r="Z185" s="2">
        <v>45793</v>
      </c>
      <c r="AA185" s="284" t="s">
        <v>12688</v>
      </c>
      <c r="AB185" s="2">
        <v>45889</v>
      </c>
      <c r="AC185" s="80" t="s">
        <v>1339</v>
      </c>
      <c r="AF185" t="s">
        <v>3198</v>
      </c>
      <c r="AI185" t="s">
        <v>12208</v>
      </c>
      <c r="AJ185" s="3">
        <v>45805</v>
      </c>
      <c r="AM185" s="3">
        <v>45818</v>
      </c>
    </row>
    <row r="186" spans="1:46">
      <c r="A186" s="1">
        <v>185</v>
      </c>
      <c r="B186" t="s">
        <v>40</v>
      </c>
      <c r="C186" s="2">
        <v>45793</v>
      </c>
      <c r="D186" s="403" t="s">
        <v>9900</v>
      </c>
      <c r="E186" s="1" t="s">
        <v>12209</v>
      </c>
      <c r="F186" s="61" t="s">
        <v>12210</v>
      </c>
      <c r="G186" t="s">
        <v>4599</v>
      </c>
      <c r="H186" s="6" t="s">
        <v>221</v>
      </c>
      <c r="I186" s="1" t="s">
        <v>34</v>
      </c>
      <c r="J186" s="8"/>
      <c r="K186" s="396" t="s">
        <v>8357</v>
      </c>
      <c r="L186" s="1" t="s">
        <v>12209</v>
      </c>
      <c r="M186" s="2">
        <v>45808</v>
      </c>
      <c r="N186" s="1" t="s">
        <v>35</v>
      </c>
      <c r="O186" s="61" t="s">
        <v>7925</v>
      </c>
      <c r="P186" s="14" t="s">
        <v>12211</v>
      </c>
      <c r="Q186" s="187">
        <v>115.7</v>
      </c>
      <c r="R186" s="1">
        <v>1</v>
      </c>
      <c r="S186" s="128">
        <v>0.21</v>
      </c>
      <c r="T186" s="128">
        <v>0</v>
      </c>
      <c r="U186" s="363"/>
      <c r="V186" s="126">
        <f t="shared" ref="V186" si="92">SUM(Q186-(Q186*T186))*S186+(Q186-(Q186*T186))</f>
        <v>139.99700000000001</v>
      </c>
      <c r="W186" t="s">
        <v>12267</v>
      </c>
      <c r="X186" s="5" t="s">
        <v>12268</v>
      </c>
      <c r="Y186" s="3">
        <v>33598</v>
      </c>
      <c r="Z186" s="2">
        <v>45793</v>
      </c>
      <c r="AA186" s="284" t="s">
        <v>12917</v>
      </c>
      <c r="AB186" s="2">
        <v>45919</v>
      </c>
      <c r="AC186" s="80" t="s">
        <v>1339</v>
      </c>
      <c r="AF186" t="s">
        <v>3198</v>
      </c>
      <c r="AI186" t="s">
        <v>3392</v>
      </c>
      <c r="AJ186" s="3">
        <v>45805</v>
      </c>
      <c r="AM186" s="3">
        <v>45810</v>
      </c>
    </row>
    <row r="187" spans="1:46">
      <c r="A187" s="1">
        <v>186</v>
      </c>
      <c r="B187" t="s">
        <v>5635</v>
      </c>
      <c r="C187" s="2">
        <v>45793</v>
      </c>
      <c r="D187" s="2"/>
      <c r="E187" s="1" t="s">
        <v>8957</v>
      </c>
      <c r="F187" t="s">
        <v>9025</v>
      </c>
      <c r="G187" t="s">
        <v>8958</v>
      </c>
      <c r="H187" s="6" t="s">
        <v>221</v>
      </c>
      <c r="I187" s="1" t="s">
        <v>34</v>
      </c>
      <c r="J187" s="295"/>
      <c r="K187" s="1" t="s">
        <v>7800</v>
      </c>
      <c r="L187" s="1" t="s">
        <v>8957</v>
      </c>
      <c r="M187" s="2">
        <v>45808</v>
      </c>
      <c r="N187" s="1" t="s">
        <v>35</v>
      </c>
      <c r="O187" s="61" t="s">
        <v>7926</v>
      </c>
      <c r="P187" s="14" t="s">
        <v>12212</v>
      </c>
      <c r="Q187" s="187">
        <v>115.7</v>
      </c>
      <c r="R187" s="1">
        <v>1</v>
      </c>
      <c r="S187" s="128">
        <v>0.21</v>
      </c>
      <c r="T187" s="128">
        <v>0</v>
      </c>
      <c r="U187" s="363"/>
      <c r="V187" s="95">
        <f t="shared" ref="V187" si="93">SUM(Q187-(Q187*T187))*S187+(Q187-(Q187*T187))</f>
        <v>139.99700000000001</v>
      </c>
      <c r="W187" t="s">
        <v>12289</v>
      </c>
      <c r="X187" s="5" t="s">
        <v>12290</v>
      </c>
      <c r="Y187" s="2">
        <v>32696</v>
      </c>
      <c r="Z187" s="2">
        <v>45793</v>
      </c>
      <c r="AA187" s="284" t="s">
        <v>12440</v>
      </c>
      <c r="AB187" s="2">
        <v>45849</v>
      </c>
      <c r="AC187" s="80" t="s">
        <v>1339</v>
      </c>
      <c r="AF187" t="s">
        <v>3198</v>
      </c>
      <c r="AI187" s="76" t="s">
        <v>3470</v>
      </c>
      <c r="AJ187" s="2">
        <v>45805</v>
      </c>
      <c r="AM187" s="74"/>
      <c r="AT187" s="1"/>
    </row>
    <row r="188" spans="1:46">
      <c r="A188" s="1">
        <v>187</v>
      </c>
      <c r="B188" t="s">
        <v>11971</v>
      </c>
      <c r="C188" s="2">
        <v>45793</v>
      </c>
      <c r="D188" s="2"/>
      <c r="E188" s="1" t="s">
        <v>11975</v>
      </c>
      <c r="F188" s="61" t="s">
        <v>11972</v>
      </c>
      <c r="G188" s="61" t="s">
        <v>11973</v>
      </c>
      <c r="H188" s="6" t="s">
        <v>3988</v>
      </c>
      <c r="I188" s="1" t="s">
        <v>7218</v>
      </c>
      <c r="J188" s="1"/>
      <c r="K188" s="396" t="s">
        <v>11974</v>
      </c>
      <c r="L188" s="1" t="s">
        <v>11975</v>
      </c>
      <c r="M188" s="2">
        <v>45808</v>
      </c>
      <c r="N188" s="1" t="s">
        <v>35</v>
      </c>
      <c r="O188" s="61" t="s">
        <v>7925</v>
      </c>
      <c r="P188" s="14" t="s">
        <v>12213</v>
      </c>
      <c r="Q188" s="92">
        <v>115.7</v>
      </c>
      <c r="R188" s="1">
        <v>1</v>
      </c>
      <c r="S188" s="90">
        <v>0.21</v>
      </c>
      <c r="T188" s="90">
        <v>0</v>
      </c>
      <c r="U188" s="363"/>
      <c r="V188" s="126">
        <f t="shared" ref="V188" si="94">SUM(Q188-(Q188*T188))*S188+(Q188-(Q188*T188))</f>
        <v>139.99700000000001</v>
      </c>
      <c r="W188" s="1" t="s">
        <v>12468</v>
      </c>
      <c r="X188" s="5" t="s">
        <v>12469</v>
      </c>
      <c r="Y188" s="2">
        <v>37038</v>
      </c>
      <c r="Z188" s="2">
        <v>45793</v>
      </c>
      <c r="AB188" s="2"/>
      <c r="AC188" s="133"/>
      <c r="AD188" s="452"/>
      <c r="AF188" t="s">
        <v>3198</v>
      </c>
      <c r="AI188" s="76" t="s">
        <v>3392</v>
      </c>
      <c r="AJ188" s="2">
        <v>45852</v>
      </c>
      <c r="AM188" s="3"/>
    </row>
    <row r="189" spans="1:46">
      <c r="A189" s="1">
        <v>188</v>
      </c>
      <c r="B189" t="s">
        <v>11971</v>
      </c>
      <c r="C189" s="2">
        <v>45793</v>
      </c>
      <c r="D189" s="2"/>
      <c r="E189" s="1" t="s">
        <v>11975</v>
      </c>
      <c r="F189" s="61" t="s">
        <v>11972</v>
      </c>
      <c r="G189" s="61" t="s">
        <v>11973</v>
      </c>
      <c r="H189" s="6" t="s">
        <v>3988</v>
      </c>
      <c r="I189" s="1" t="s">
        <v>7218</v>
      </c>
      <c r="J189" s="1"/>
      <c r="K189" s="396" t="s">
        <v>11974</v>
      </c>
      <c r="L189" s="1" t="s">
        <v>11975</v>
      </c>
      <c r="M189" s="2">
        <v>45808</v>
      </c>
      <c r="N189" s="1" t="s">
        <v>35</v>
      </c>
      <c r="O189" s="61" t="s">
        <v>7925</v>
      </c>
      <c r="P189" s="14" t="s">
        <v>12214</v>
      </c>
      <c r="Q189" s="92">
        <v>115.7</v>
      </c>
      <c r="R189" s="1">
        <v>1</v>
      </c>
      <c r="S189" s="90">
        <v>0.21</v>
      </c>
      <c r="T189" s="90">
        <v>0</v>
      </c>
      <c r="U189" s="363"/>
      <c r="V189" s="126">
        <f t="shared" ref="V189:V190" si="95">SUM(Q189-(Q189*T189))*S189+(Q189-(Q189*T189))</f>
        <v>139.99700000000001</v>
      </c>
      <c r="W189" s="1"/>
      <c r="X189" s="5" t="s">
        <v>12470</v>
      </c>
      <c r="Y189" s="2">
        <v>28534</v>
      </c>
      <c r="Z189" s="2">
        <v>45793</v>
      </c>
      <c r="AB189" s="2"/>
      <c r="AC189" s="133"/>
      <c r="AD189" s="452"/>
      <c r="AF189" t="s">
        <v>3198</v>
      </c>
      <c r="AI189" s="76" t="s">
        <v>3392</v>
      </c>
      <c r="AJ189" s="2">
        <v>45852</v>
      </c>
      <c r="AM189" s="3"/>
    </row>
    <row r="190" spans="1:46">
      <c r="A190" s="1">
        <v>189</v>
      </c>
      <c r="B190" s="61" t="s">
        <v>119</v>
      </c>
      <c r="C190" s="2">
        <v>45796</v>
      </c>
      <c r="D190" s="2"/>
      <c r="E190" s="1" t="s">
        <v>6640</v>
      </c>
      <c r="F190" s="61" t="s">
        <v>6641</v>
      </c>
      <c r="G190" s="61" t="s">
        <v>6642</v>
      </c>
      <c r="H190" s="6" t="s">
        <v>239</v>
      </c>
      <c r="I190" s="1" t="s">
        <v>86</v>
      </c>
      <c r="J190" s="8"/>
      <c r="K190" s="1" t="s">
        <v>8094</v>
      </c>
      <c r="L190" t="s">
        <v>174</v>
      </c>
      <c r="M190" s="2">
        <v>45808</v>
      </c>
      <c r="N190" s="1" t="s">
        <v>35</v>
      </c>
      <c r="O190" s="61" t="s">
        <v>7925</v>
      </c>
      <c r="P190" s="14" t="s">
        <v>12215</v>
      </c>
      <c r="Q190" s="187">
        <v>115.7</v>
      </c>
      <c r="R190" s="1">
        <v>1</v>
      </c>
      <c r="S190" s="128">
        <v>0.21</v>
      </c>
      <c r="T190" s="128">
        <v>0</v>
      </c>
      <c r="V190" s="95">
        <f t="shared" si="95"/>
        <v>139.99700000000001</v>
      </c>
      <c r="W190" t="s">
        <v>12273</v>
      </c>
      <c r="X190" s="6" t="s">
        <v>12274</v>
      </c>
      <c r="Y190" s="2">
        <v>32206</v>
      </c>
      <c r="Z190" s="2">
        <v>45796</v>
      </c>
      <c r="AA190" s="284" t="s">
        <v>12693</v>
      </c>
      <c r="AB190" s="2">
        <v>45889</v>
      </c>
      <c r="AC190" s="80" t="s">
        <v>1339</v>
      </c>
      <c r="AF190" t="s">
        <v>3198</v>
      </c>
      <c r="AI190" t="s">
        <v>12216</v>
      </c>
      <c r="AJ190" s="2">
        <v>45805</v>
      </c>
      <c r="AM190" s="74">
        <v>45814</v>
      </c>
      <c r="AT190" s="1"/>
    </row>
    <row r="191" spans="1:46">
      <c r="A191" s="1">
        <v>190</v>
      </c>
      <c r="B191" t="s">
        <v>37</v>
      </c>
      <c r="C191" s="2">
        <v>45796</v>
      </c>
      <c r="D191" s="2"/>
      <c r="E191" s="1" t="s">
        <v>6685</v>
      </c>
      <c r="F191" s="61" t="s">
        <v>6686</v>
      </c>
      <c r="G191" t="s">
        <v>6687</v>
      </c>
      <c r="H191" s="6" t="s">
        <v>2579</v>
      </c>
      <c r="I191" t="s">
        <v>2580</v>
      </c>
      <c r="J191" s="8"/>
      <c r="K191" s="396" t="s">
        <v>7339</v>
      </c>
      <c r="L191" t="s">
        <v>6685</v>
      </c>
      <c r="M191" s="2">
        <v>45808</v>
      </c>
      <c r="N191" s="1" t="s">
        <v>35</v>
      </c>
      <c r="O191" s="61" t="s">
        <v>7925</v>
      </c>
      <c r="P191" s="14" t="s">
        <v>12179</v>
      </c>
      <c r="Q191" s="187">
        <v>115.7</v>
      </c>
      <c r="R191" s="1">
        <v>1</v>
      </c>
      <c r="S191" s="128">
        <v>0.21</v>
      </c>
      <c r="T191" s="128">
        <v>0</v>
      </c>
      <c r="U191" s="95"/>
      <c r="V191" s="126">
        <f t="shared" ref="V191" si="96">SUM(Q191-(Q191*T191))*S191+(Q191-(Q191*T191))</f>
        <v>139.99700000000001</v>
      </c>
      <c r="W191" t="s">
        <v>12163</v>
      </c>
      <c r="X191" s="5" t="s">
        <v>12275</v>
      </c>
      <c r="Y191" s="2">
        <v>32152</v>
      </c>
      <c r="Z191" s="2">
        <v>45796</v>
      </c>
      <c r="AA191" s="76" t="s">
        <v>12374</v>
      </c>
      <c r="AB191" s="2">
        <v>45831</v>
      </c>
      <c r="AC191" s="80" t="s">
        <v>1339</v>
      </c>
      <c r="AF191" t="s">
        <v>3198</v>
      </c>
      <c r="AI191" s="76" t="s">
        <v>12206</v>
      </c>
      <c r="AJ191" s="2">
        <v>45805</v>
      </c>
      <c r="AM191" s="74"/>
      <c r="AT191" s="1"/>
    </row>
    <row r="192" spans="1:46">
      <c r="A192" s="1">
        <v>191</v>
      </c>
      <c r="B192" s="61" t="s">
        <v>119</v>
      </c>
      <c r="C192" s="2">
        <v>45796</v>
      </c>
      <c r="D192" s="2"/>
      <c r="E192" s="1" t="s">
        <v>6640</v>
      </c>
      <c r="F192" s="61" t="s">
        <v>6641</v>
      </c>
      <c r="G192" s="61" t="s">
        <v>6642</v>
      </c>
      <c r="H192" s="6" t="s">
        <v>239</v>
      </c>
      <c r="I192" s="1" t="s">
        <v>86</v>
      </c>
      <c r="J192" s="8"/>
      <c r="K192" s="1" t="s">
        <v>8094</v>
      </c>
      <c r="L192" t="s">
        <v>174</v>
      </c>
      <c r="M192" s="2">
        <v>45808</v>
      </c>
      <c r="N192" s="1" t="s">
        <v>35</v>
      </c>
      <c r="O192" s="61" t="s">
        <v>7925</v>
      </c>
      <c r="P192" s="14" t="s">
        <v>12217</v>
      </c>
      <c r="Q192" s="187">
        <v>115.7</v>
      </c>
      <c r="R192" s="1">
        <v>1</v>
      </c>
      <c r="S192" s="128">
        <v>0.21</v>
      </c>
      <c r="T192" s="128">
        <v>0</v>
      </c>
      <c r="V192" s="95">
        <f t="shared" ref="V192" si="97">SUM(Q192-(Q192*T192))*S192+(Q192-(Q192*T192))</f>
        <v>139.99700000000001</v>
      </c>
      <c r="W192" t="s">
        <v>12271</v>
      </c>
      <c r="X192" s="6" t="s">
        <v>12272</v>
      </c>
      <c r="Y192" s="2">
        <v>33779</v>
      </c>
      <c r="Z192" s="2">
        <v>45796</v>
      </c>
      <c r="AA192" s="76" t="s">
        <v>12699</v>
      </c>
      <c r="AB192" s="3">
        <v>45889</v>
      </c>
      <c r="AC192" s="80" t="s">
        <v>1339</v>
      </c>
      <c r="AE192" s="3">
        <v>45920</v>
      </c>
      <c r="AF192" t="s">
        <v>3198</v>
      </c>
      <c r="AI192" t="s">
        <v>12216</v>
      </c>
      <c r="AJ192" s="2">
        <v>45805</v>
      </c>
      <c r="AM192" s="74">
        <v>45814</v>
      </c>
      <c r="AT192" s="1"/>
    </row>
    <row r="193" spans="1:46">
      <c r="A193" s="1">
        <v>192</v>
      </c>
      <c r="B193" t="s">
        <v>8314</v>
      </c>
      <c r="C193" s="2">
        <v>45796</v>
      </c>
      <c r="D193" s="2"/>
      <c r="E193" s="1" t="s">
        <v>8315</v>
      </c>
      <c r="F193" s="61" t="s">
        <v>8316</v>
      </c>
      <c r="G193" s="61" t="s">
        <v>8317</v>
      </c>
      <c r="H193" s="6" t="s">
        <v>219</v>
      </c>
      <c r="I193" s="1" t="s">
        <v>4334</v>
      </c>
      <c r="J193" s="8">
        <v>635450026</v>
      </c>
      <c r="K193" s="1" t="s">
        <v>8318</v>
      </c>
      <c r="L193" s="1" t="s">
        <v>8315</v>
      </c>
      <c r="M193" s="2">
        <v>45808</v>
      </c>
      <c r="N193" s="1" t="s">
        <v>35</v>
      </c>
      <c r="O193" s="61" t="s">
        <v>7925</v>
      </c>
      <c r="P193" s="14" t="s">
        <v>12218</v>
      </c>
      <c r="Q193" s="187">
        <v>115.7</v>
      </c>
      <c r="R193" s="1">
        <v>1</v>
      </c>
      <c r="S193" s="128">
        <v>0.21</v>
      </c>
      <c r="T193" s="128">
        <v>0</v>
      </c>
      <c r="V193" s="95">
        <f t="shared" ref="V193" si="98">SUM(Q193-(Q193*T193))*S193+(Q193-(Q193*T193))</f>
        <v>139.99700000000001</v>
      </c>
      <c r="W193" t="s">
        <v>12279</v>
      </c>
      <c r="X193" s="5" t="s">
        <v>12280</v>
      </c>
      <c r="Y193" s="2">
        <v>31413</v>
      </c>
      <c r="Z193" s="2">
        <v>45796</v>
      </c>
      <c r="AA193" s="284" t="s">
        <v>12742</v>
      </c>
      <c r="AB193" s="2">
        <v>45895</v>
      </c>
      <c r="AC193" s="80" t="s">
        <v>1339</v>
      </c>
      <c r="AF193" t="s">
        <v>3198</v>
      </c>
      <c r="AI193" s="76" t="s">
        <v>12219</v>
      </c>
      <c r="AJ193" s="2">
        <v>45805</v>
      </c>
      <c r="AM193" s="74"/>
      <c r="AT193" s="1"/>
    </row>
    <row r="194" spans="1:46" ht="15.75" customHeight="1">
      <c r="A194" s="1">
        <v>193</v>
      </c>
      <c r="B194" s="61" t="s">
        <v>11607</v>
      </c>
      <c r="C194" s="2">
        <v>45796</v>
      </c>
      <c r="D194" s="2"/>
      <c r="E194" s="30" t="s">
        <v>458</v>
      </c>
      <c r="F194" t="s">
        <v>84</v>
      </c>
      <c r="G194" s="103" t="s">
        <v>138</v>
      </c>
      <c r="H194" s="30" t="s">
        <v>227</v>
      </c>
      <c r="I194" s="31" t="s">
        <v>203</v>
      </c>
      <c r="J194" s="44"/>
      <c r="K194" s="396" t="s">
        <v>12858</v>
      </c>
      <c r="L194" t="s">
        <v>4432</v>
      </c>
      <c r="M194" s="2">
        <v>45808</v>
      </c>
      <c r="N194" s="1" t="s">
        <v>35</v>
      </c>
      <c r="O194" s="61" t="s">
        <v>9758</v>
      </c>
      <c r="P194" s="14" t="s">
        <v>12220</v>
      </c>
      <c r="Q194" s="187">
        <v>115.7</v>
      </c>
      <c r="R194" s="1">
        <v>1</v>
      </c>
      <c r="S194" s="128">
        <v>0.21</v>
      </c>
      <c r="T194" s="128">
        <v>0</v>
      </c>
      <c r="V194" s="95">
        <f t="shared" ref="V194" si="99">SUM(Q194-(Q194*T194))*S194+(Q194-(Q194*T194))</f>
        <v>139.99700000000001</v>
      </c>
      <c r="W194" t="s">
        <v>12283</v>
      </c>
      <c r="X194" s="5" t="s">
        <v>12284</v>
      </c>
      <c r="Y194" s="2">
        <v>36841</v>
      </c>
      <c r="Z194" s="2">
        <v>45796</v>
      </c>
      <c r="AA194" s="284" t="s">
        <v>13070</v>
      </c>
      <c r="AB194" s="2">
        <v>45936</v>
      </c>
      <c r="AC194" s="80" t="s">
        <v>1339</v>
      </c>
      <c r="AD194" s="61"/>
      <c r="AF194" t="s">
        <v>3198</v>
      </c>
      <c r="AI194" t="s">
        <v>12221</v>
      </c>
      <c r="AJ194" s="2">
        <v>45805</v>
      </c>
      <c r="AM194" s="74">
        <v>45819</v>
      </c>
      <c r="AT194" s="1"/>
    </row>
    <row r="195" spans="1:46">
      <c r="A195" s="1">
        <v>194</v>
      </c>
      <c r="B195" s="61" t="s">
        <v>1242</v>
      </c>
      <c r="C195" s="2">
        <v>45796</v>
      </c>
      <c r="D195" s="2"/>
      <c r="E195" s="1" t="s">
        <v>12222</v>
      </c>
      <c r="F195" s="61" t="s">
        <v>12223</v>
      </c>
      <c r="G195" s="61" t="s">
        <v>12224</v>
      </c>
      <c r="H195" s="6" t="s">
        <v>221</v>
      </c>
      <c r="I195" s="1" t="s">
        <v>34</v>
      </c>
      <c r="J195" s="8"/>
      <c r="K195" s="396" t="s">
        <v>5905</v>
      </c>
      <c r="L195" s="1" t="s">
        <v>12222</v>
      </c>
      <c r="M195" s="2">
        <v>45808</v>
      </c>
      <c r="N195" s="1" t="s">
        <v>35</v>
      </c>
      <c r="O195" s="61" t="s">
        <v>9758</v>
      </c>
      <c r="P195" s="14" t="s">
        <v>12225</v>
      </c>
      <c r="Q195" s="187">
        <v>115.7</v>
      </c>
      <c r="R195" s="1">
        <v>1</v>
      </c>
      <c r="S195" s="128">
        <v>0.21</v>
      </c>
      <c r="T195" s="128">
        <v>0</v>
      </c>
      <c r="V195" s="95">
        <f t="shared" ref="V195" si="100">SUM(Q195-(Q195*T195))*S195+(Q195-(Q195*T195))</f>
        <v>139.99700000000001</v>
      </c>
      <c r="W195" t="s">
        <v>12285</v>
      </c>
      <c r="X195" s="6" t="s">
        <v>12286</v>
      </c>
      <c r="Y195" s="2">
        <v>33789</v>
      </c>
      <c r="Z195" s="2">
        <v>45796</v>
      </c>
      <c r="AA195" s="284" t="s">
        <v>12455</v>
      </c>
      <c r="AB195" s="2">
        <v>45847</v>
      </c>
      <c r="AC195" s="80" t="s">
        <v>1339</v>
      </c>
      <c r="AF195" t="s">
        <v>3198</v>
      </c>
      <c r="AI195" s="76" t="s">
        <v>3470</v>
      </c>
      <c r="AJ195" s="2">
        <v>45805</v>
      </c>
      <c r="AM195" s="74"/>
      <c r="AT195" s="1"/>
    </row>
    <row r="196" spans="1:46">
      <c r="A196" s="1">
        <v>195</v>
      </c>
      <c r="B196" s="61" t="s">
        <v>12226</v>
      </c>
      <c r="C196" s="2">
        <v>45796</v>
      </c>
      <c r="D196" s="2"/>
      <c r="E196" s="1" t="s">
        <v>4731</v>
      </c>
      <c r="F196" s="14" t="s">
        <v>4732</v>
      </c>
      <c r="G196" t="s">
        <v>4733</v>
      </c>
      <c r="H196" s="6" t="s">
        <v>250</v>
      </c>
      <c r="I196" s="1" t="s">
        <v>3338</v>
      </c>
      <c r="J196" s="295">
        <v>678011818</v>
      </c>
      <c r="K196" s="396" t="s">
        <v>5991</v>
      </c>
      <c r="L196" t="s">
        <v>4731</v>
      </c>
      <c r="M196" s="2">
        <v>45808</v>
      </c>
      <c r="N196" s="1" t="s">
        <v>35</v>
      </c>
      <c r="O196" s="61" t="s">
        <v>9758</v>
      </c>
      <c r="P196" s="14" t="s">
        <v>12227</v>
      </c>
      <c r="Q196" s="187">
        <v>115.7</v>
      </c>
      <c r="R196" s="1">
        <v>1</v>
      </c>
      <c r="S196" s="128">
        <v>0.21</v>
      </c>
      <c r="T196" s="128">
        <v>0</v>
      </c>
      <c r="V196" s="95">
        <f t="shared" ref="V196" si="101">SUM(Q196-(Q196*T196))*S196+(Q196-(Q196*T196))</f>
        <v>139.99700000000001</v>
      </c>
      <c r="W196" t="s">
        <v>12287</v>
      </c>
      <c r="X196" s="6" t="s">
        <v>12288</v>
      </c>
      <c r="Y196" s="2">
        <v>38286</v>
      </c>
      <c r="Z196" s="2">
        <v>45796</v>
      </c>
      <c r="AA196" s="61"/>
      <c r="AB196" s="2"/>
      <c r="AC196" s="80"/>
      <c r="AF196" t="s">
        <v>3198</v>
      </c>
      <c r="AI196" t="s">
        <v>3470</v>
      </c>
      <c r="AJ196" s="2">
        <v>45805</v>
      </c>
      <c r="AM196" s="74">
        <v>45810</v>
      </c>
      <c r="AT196" s="1"/>
    </row>
    <row r="197" spans="1:46">
      <c r="A197" s="1">
        <v>196</v>
      </c>
      <c r="B197" s="61" t="s">
        <v>143</v>
      </c>
      <c r="C197" s="2">
        <v>45796</v>
      </c>
      <c r="D197" s="403" t="s">
        <v>9900</v>
      </c>
      <c r="E197" s="1" t="s">
        <v>12228</v>
      </c>
      <c r="F197" s="61" t="s">
        <v>12229</v>
      </c>
      <c r="G197" s="61" t="s">
        <v>12230</v>
      </c>
      <c r="H197" s="6" t="s">
        <v>239</v>
      </c>
      <c r="I197" s="1" t="s">
        <v>5083</v>
      </c>
      <c r="J197" s="8"/>
      <c r="K197" s="1"/>
      <c r="L197" s="1" t="s">
        <v>12228</v>
      </c>
      <c r="M197" s="2">
        <v>45808</v>
      </c>
      <c r="N197" s="1" t="s">
        <v>35</v>
      </c>
      <c r="O197" s="61" t="s">
        <v>7934</v>
      </c>
      <c r="P197" s="14" t="s">
        <v>12231</v>
      </c>
      <c r="Q197" s="187">
        <v>165.29</v>
      </c>
      <c r="R197" s="1">
        <v>1</v>
      </c>
      <c r="S197" s="128">
        <v>0.21</v>
      </c>
      <c r="T197" s="128">
        <v>0</v>
      </c>
      <c r="U197" s="363"/>
      <c r="V197" s="126">
        <f t="shared" ref="V197" si="102">SUM(Q197-(Q197*T197))*S197+(Q197-(Q197*T197))</f>
        <v>200.0009</v>
      </c>
      <c r="W197" s="1" t="s">
        <v>12228</v>
      </c>
      <c r="X197" s="6" t="s">
        <v>12491</v>
      </c>
      <c r="Y197" s="2">
        <v>34215</v>
      </c>
      <c r="Z197" s="2">
        <v>45796</v>
      </c>
      <c r="AA197" s="284" t="s">
        <v>12439</v>
      </c>
      <c r="AB197" s="2">
        <v>45853</v>
      </c>
      <c r="AC197" s="80" t="s">
        <v>1339</v>
      </c>
      <c r="AF197" t="s">
        <v>3198</v>
      </c>
      <c r="AJ197" s="2"/>
      <c r="AM197" s="74"/>
      <c r="AT197" s="1"/>
    </row>
    <row r="198" spans="1:46">
      <c r="A198" s="1">
        <v>197</v>
      </c>
      <c r="B198" s="61" t="s">
        <v>143</v>
      </c>
      <c r="C198" s="2">
        <v>45796</v>
      </c>
      <c r="D198" s="403" t="s">
        <v>9900</v>
      </c>
      <c r="E198" s="1" t="s">
        <v>12232</v>
      </c>
      <c r="F198" s="61" t="s">
        <v>12233</v>
      </c>
      <c r="G198" s="61" t="s">
        <v>12234</v>
      </c>
      <c r="H198" s="6" t="s">
        <v>250</v>
      </c>
      <c r="I198" s="1" t="s">
        <v>12235</v>
      </c>
      <c r="J198" s="8"/>
      <c r="K198" s="1"/>
      <c r="L198" s="1" t="s">
        <v>12232</v>
      </c>
      <c r="M198" s="2">
        <v>45808</v>
      </c>
      <c r="N198" s="1" t="s">
        <v>35</v>
      </c>
      <c r="O198" s="61" t="s">
        <v>7934</v>
      </c>
      <c r="P198" s="14" t="s">
        <v>12236</v>
      </c>
      <c r="Q198" s="187">
        <v>165.29</v>
      </c>
      <c r="R198" s="1">
        <v>1</v>
      </c>
      <c r="S198" s="128">
        <v>0.21</v>
      </c>
      <c r="T198" s="128">
        <v>0</v>
      </c>
      <c r="U198" s="363"/>
      <c r="V198" s="126">
        <f t="shared" ref="V198" si="103">SUM(Q198-(Q198*T198))*S198+(Q198-(Q198*T198))</f>
        <v>200.0009</v>
      </c>
      <c r="W198" s="1" t="s">
        <v>12232</v>
      </c>
      <c r="X198" s="6" t="s">
        <v>12265</v>
      </c>
      <c r="Y198" s="2">
        <v>27760</v>
      </c>
      <c r="Z198" s="2">
        <v>45796</v>
      </c>
      <c r="AA198" s="284" t="s">
        <v>12489</v>
      </c>
      <c r="AB198" s="2">
        <v>45853</v>
      </c>
      <c r="AC198" s="80" t="s">
        <v>1339</v>
      </c>
      <c r="AF198" t="s">
        <v>3198</v>
      </c>
      <c r="AJ198" s="2"/>
      <c r="AM198" s="74"/>
      <c r="AT198" s="1"/>
    </row>
    <row r="199" spans="1:46">
      <c r="A199" s="1">
        <v>198</v>
      </c>
      <c r="B199" t="s">
        <v>9589</v>
      </c>
      <c r="C199" s="2">
        <v>45796</v>
      </c>
      <c r="D199" s="2"/>
      <c r="E199" s="1" t="s">
        <v>9590</v>
      </c>
      <c r="F199" t="s">
        <v>9591</v>
      </c>
      <c r="G199" t="s">
        <v>9592</v>
      </c>
      <c r="H199" s="6" t="s">
        <v>227</v>
      </c>
      <c r="I199" t="s">
        <v>203</v>
      </c>
      <c r="J199" s="1"/>
      <c r="K199" s="1" t="s">
        <v>12240</v>
      </c>
      <c r="L199" s="1" t="s">
        <v>9590</v>
      </c>
      <c r="M199" s="2">
        <v>45808</v>
      </c>
      <c r="N199" s="1" t="s">
        <v>35</v>
      </c>
      <c r="O199" s="61" t="s">
        <v>7934</v>
      </c>
      <c r="P199" s="14" t="s">
        <v>12241</v>
      </c>
      <c r="Q199" s="92">
        <v>69.42</v>
      </c>
      <c r="R199" s="1">
        <v>1</v>
      </c>
      <c r="S199" s="128">
        <v>0.21</v>
      </c>
      <c r="T199" s="128">
        <v>0</v>
      </c>
      <c r="U199" s="363"/>
      <c r="V199" s="95">
        <f t="shared" ref="V199" si="104">SUM(Q199-(Q199*T199))*S199+(Q199-(Q199*T199))</f>
        <v>83.998199999999997</v>
      </c>
      <c r="W199" t="s">
        <v>9664</v>
      </c>
      <c r="X199" s="5" t="s">
        <v>12242</v>
      </c>
      <c r="Y199" s="2">
        <v>37676</v>
      </c>
      <c r="Z199" s="2">
        <v>45796</v>
      </c>
      <c r="AA199" s="284" t="s">
        <v>12392</v>
      </c>
      <c r="AB199" s="2">
        <v>45838</v>
      </c>
      <c r="AC199" s="80" t="s">
        <v>1339</v>
      </c>
      <c r="AD199" s="61"/>
      <c r="AE199" s="61"/>
      <c r="AF199" t="s">
        <v>3198</v>
      </c>
      <c r="AJ199" s="2"/>
      <c r="AM199" s="3"/>
      <c r="AT199" s="1"/>
    </row>
    <row r="200" spans="1:46" s="457" customFormat="1" ht="15.75" thickBot="1">
      <c r="A200" s="1">
        <v>199</v>
      </c>
      <c r="B200" s="459" t="s">
        <v>119</v>
      </c>
      <c r="C200" s="458">
        <v>45796</v>
      </c>
      <c r="D200" s="482" t="s">
        <v>9900</v>
      </c>
      <c r="E200" s="456" t="s">
        <v>12243</v>
      </c>
      <c r="F200" s="459" t="s">
        <v>12244</v>
      </c>
      <c r="G200" s="459" t="s">
        <v>12245</v>
      </c>
      <c r="H200" s="460" t="s">
        <v>2451</v>
      </c>
      <c r="I200" s="456" t="s">
        <v>3681</v>
      </c>
      <c r="J200" s="461"/>
      <c r="K200" s="456"/>
      <c r="L200" s="456" t="s">
        <v>12243</v>
      </c>
      <c r="M200" s="458">
        <v>45808</v>
      </c>
      <c r="N200" s="456" t="s">
        <v>35</v>
      </c>
      <c r="O200" s="459" t="s">
        <v>9758</v>
      </c>
      <c r="P200" s="463" t="s">
        <v>12246</v>
      </c>
      <c r="Q200" s="464">
        <v>115.7</v>
      </c>
      <c r="R200" s="456">
        <v>1</v>
      </c>
      <c r="S200" s="483">
        <v>0.21</v>
      </c>
      <c r="T200" s="483">
        <v>0</v>
      </c>
      <c r="U200" s="466"/>
      <c r="V200" s="467">
        <f t="shared" ref="V200:V203" si="105">SUM(Q200-(Q200*T200))*S200+(Q200-(Q200*T200))</f>
        <v>139.99700000000001</v>
      </c>
      <c r="W200" s="457" t="s">
        <v>12281</v>
      </c>
      <c r="X200" s="460" t="s">
        <v>12282</v>
      </c>
      <c r="Y200" s="458">
        <v>39441</v>
      </c>
      <c r="Z200" s="458">
        <v>45796</v>
      </c>
      <c r="AA200" s="284" t="s">
        <v>12472</v>
      </c>
      <c r="AB200" s="458">
        <v>45852</v>
      </c>
      <c r="AC200" s="469" t="s">
        <v>1339</v>
      </c>
      <c r="AF200" s="457" t="s">
        <v>3198</v>
      </c>
      <c r="AI200" s="457" t="s">
        <v>12247</v>
      </c>
      <c r="AJ200" s="458">
        <v>45805</v>
      </c>
      <c r="AM200" s="478">
        <v>45814</v>
      </c>
      <c r="AT200" s="456"/>
    </row>
    <row r="201" spans="1:46" ht="15.75" thickTop="1">
      <c r="A201" s="1">
        <v>200</v>
      </c>
      <c r="B201" s="61" t="s">
        <v>52</v>
      </c>
      <c r="C201" s="2">
        <v>45796</v>
      </c>
      <c r="D201" s="2"/>
      <c r="E201" s="1" t="s">
        <v>4942</v>
      </c>
      <c r="F201" t="s">
        <v>4943</v>
      </c>
      <c r="G201" t="s">
        <v>4944</v>
      </c>
      <c r="H201" s="6" t="s">
        <v>230</v>
      </c>
      <c r="I201" s="1" t="s">
        <v>1262</v>
      </c>
      <c r="J201" s="1"/>
      <c r="K201" s="44" t="s">
        <v>5906</v>
      </c>
      <c r="L201" s="1" t="s">
        <v>4432</v>
      </c>
      <c r="M201" s="2">
        <v>45808</v>
      </c>
      <c r="N201" s="1" t="s">
        <v>35</v>
      </c>
      <c r="O201" s="14" t="s">
        <v>9758</v>
      </c>
      <c r="P201" s="14" t="s">
        <v>12278</v>
      </c>
      <c r="Q201" s="485">
        <v>115.7</v>
      </c>
      <c r="R201" s="1">
        <v>1</v>
      </c>
      <c r="S201" s="484">
        <v>0.21</v>
      </c>
      <c r="T201" s="484">
        <v>0</v>
      </c>
      <c r="U201" s="363"/>
      <c r="V201" s="126">
        <f>SUM(Q201-(Q201*T201))*S201+(Q201-(Q201*T201))</f>
        <v>139.99700000000001</v>
      </c>
      <c r="W201" t="s">
        <v>12276</v>
      </c>
      <c r="X201" s="6" t="s">
        <v>12277</v>
      </c>
      <c r="Y201" s="2">
        <v>33602</v>
      </c>
      <c r="Z201" s="2">
        <v>45796</v>
      </c>
      <c r="AA201" s="284" t="s">
        <v>12455</v>
      </c>
      <c r="AB201" s="2">
        <v>45852</v>
      </c>
      <c r="AC201" s="80" t="s">
        <v>1339</v>
      </c>
      <c r="AI201" s="76" t="s">
        <v>3470</v>
      </c>
      <c r="AJ201" s="2"/>
      <c r="AM201" s="74"/>
      <c r="AT201" s="1"/>
    </row>
    <row r="202" spans="1:46">
      <c r="A202" s="1">
        <v>201</v>
      </c>
      <c r="B202" s="61" t="s">
        <v>3526</v>
      </c>
      <c r="C202" s="2">
        <v>45798</v>
      </c>
      <c r="D202" s="2"/>
      <c r="E202" s="1" t="s">
        <v>4608</v>
      </c>
      <c r="F202" t="s">
        <v>4609</v>
      </c>
      <c r="G202" t="s">
        <v>4610</v>
      </c>
      <c r="H202" s="6" t="s">
        <v>294</v>
      </c>
      <c r="I202" s="1" t="s">
        <v>4611</v>
      </c>
      <c r="J202" s="1">
        <v>633031379</v>
      </c>
      <c r="K202" s="396" t="s">
        <v>7759</v>
      </c>
      <c r="L202" s="1" t="s">
        <v>4608</v>
      </c>
      <c r="M202" s="2">
        <v>45808</v>
      </c>
      <c r="N202" s="1" t="s">
        <v>35</v>
      </c>
      <c r="O202" s="61" t="s">
        <v>7925</v>
      </c>
      <c r="P202" s="14" t="s">
        <v>12250</v>
      </c>
      <c r="Q202" s="187">
        <v>115.7</v>
      </c>
      <c r="R202" s="1">
        <v>1</v>
      </c>
      <c r="S202" s="128">
        <v>0.21</v>
      </c>
      <c r="T202" s="128">
        <v>0</v>
      </c>
      <c r="U202" s="363"/>
      <c r="V202" s="126">
        <f t="shared" si="105"/>
        <v>139.99700000000001</v>
      </c>
      <c r="W202" t="s">
        <v>12497</v>
      </c>
      <c r="X202" s="5" t="s">
        <v>12496</v>
      </c>
      <c r="Y202" s="2">
        <v>33231</v>
      </c>
      <c r="Z202" s="2">
        <v>45798</v>
      </c>
      <c r="AA202" s="284" t="s">
        <v>12938</v>
      </c>
      <c r="AB202" s="2">
        <v>45926</v>
      </c>
      <c r="AC202" s="80" t="s">
        <v>1339</v>
      </c>
      <c r="AF202" t="s">
        <v>3198</v>
      </c>
      <c r="AJ202" s="2"/>
      <c r="AM202" s="74"/>
      <c r="AT202" s="1"/>
    </row>
    <row r="203" spans="1:46">
      <c r="A203" s="1">
        <v>202</v>
      </c>
      <c r="B203" s="61" t="s">
        <v>37</v>
      </c>
      <c r="C203" s="2">
        <v>45798</v>
      </c>
      <c r="D203" s="2"/>
      <c r="E203" s="1" t="s">
        <v>10950</v>
      </c>
      <c r="F203" s="61" t="s">
        <v>12251</v>
      </c>
      <c r="G203" s="61" t="s">
        <v>12252</v>
      </c>
      <c r="H203" s="6" t="s">
        <v>219</v>
      </c>
      <c r="I203" s="1" t="s">
        <v>4334</v>
      </c>
      <c r="J203" s="8">
        <v>613571398</v>
      </c>
      <c r="K203" s="1"/>
      <c r="L203" s="410"/>
      <c r="M203" s="2">
        <v>45808</v>
      </c>
      <c r="N203" s="1" t="s">
        <v>35</v>
      </c>
      <c r="O203" s="61" t="s">
        <v>7925</v>
      </c>
      <c r="P203" s="14" t="s">
        <v>12253</v>
      </c>
      <c r="Q203" s="187">
        <v>0</v>
      </c>
      <c r="R203" s="1"/>
      <c r="S203" s="128"/>
      <c r="T203" s="128"/>
      <c r="U203" s="363"/>
      <c r="V203" s="126">
        <f t="shared" si="105"/>
        <v>0</v>
      </c>
      <c r="W203" t="s">
        <v>10950</v>
      </c>
      <c r="X203" s="6" t="s">
        <v>12729</v>
      </c>
      <c r="Y203" s="2">
        <v>35555</v>
      </c>
      <c r="Z203" s="2">
        <v>45798</v>
      </c>
      <c r="AA203" s="61"/>
      <c r="AB203" s="2"/>
      <c r="AC203" s="80"/>
      <c r="AF203" t="s">
        <v>3198</v>
      </c>
      <c r="AI203" t="s">
        <v>12254</v>
      </c>
      <c r="AJ203" s="2"/>
      <c r="AM203" s="74">
        <v>45860</v>
      </c>
      <c r="AT203" s="1"/>
    </row>
    <row r="204" spans="1:46">
      <c r="A204" s="1">
        <v>203</v>
      </c>
      <c r="B204" t="s">
        <v>33</v>
      </c>
      <c r="C204" s="2">
        <v>45798</v>
      </c>
      <c r="D204" s="2"/>
      <c r="E204" s="1" t="s">
        <v>9404</v>
      </c>
      <c r="F204" t="s">
        <v>9405</v>
      </c>
      <c r="G204" t="s">
        <v>9406</v>
      </c>
      <c r="H204" s="6" t="s">
        <v>1229</v>
      </c>
      <c r="I204" s="1" t="s">
        <v>3454</v>
      </c>
      <c r="J204" s="8"/>
      <c r="K204" s="114" t="s">
        <v>11744</v>
      </c>
      <c r="L204" s="1" t="s">
        <v>237</v>
      </c>
      <c r="M204" s="2">
        <v>45808</v>
      </c>
      <c r="N204" s="1" t="s">
        <v>35</v>
      </c>
      <c r="O204" s="14" t="s">
        <v>7925</v>
      </c>
      <c r="P204" s="14" t="s">
        <v>12255</v>
      </c>
      <c r="Q204" s="187">
        <v>115.7</v>
      </c>
      <c r="R204" s="1">
        <v>1</v>
      </c>
      <c r="S204" s="90">
        <v>0.21</v>
      </c>
      <c r="T204" s="90">
        <v>0</v>
      </c>
      <c r="V204" s="95">
        <f t="shared" ref="V204:V206" si="106">SUM(Q204-(Q204*T204))*S204+(Q204-(Q204*T204))</f>
        <v>139.99700000000001</v>
      </c>
      <c r="W204" t="s">
        <v>12437</v>
      </c>
      <c r="X204" s="5" t="s">
        <v>12438</v>
      </c>
      <c r="Y204" s="2">
        <v>28127</v>
      </c>
      <c r="Z204" s="2">
        <v>45798</v>
      </c>
      <c r="AA204" s="284" t="s">
        <v>13335</v>
      </c>
      <c r="AB204" s="2">
        <v>45959</v>
      </c>
      <c r="AC204" s="80" t="s">
        <v>1339</v>
      </c>
      <c r="AF204" t="s">
        <v>3198</v>
      </c>
      <c r="AI204" s="76" t="s">
        <v>12254</v>
      </c>
      <c r="AJ204" s="2">
        <v>45849</v>
      </c>
      <c r="AL204" s="3"/>
      <c r="AM204" s="74"/>
      <c r="AT204" s="1"/>
    </row>
    <row r="205" spans="1:46">
      <c r="A205" s="1">
        <v>204</v>
      </c>
      <c r="B205" t="s">
        <v>7245</v>
      </c>
      <c r="C205" s="2">
        <v>45799</v>
      </c>
      <c r="D205" s="2"/>
      <c r="E205" s="1" t="s">
        <v>1522</v>
      </c>
      <c r="F205" t="s">
        <v>3233</v>
      </c>
      <c r="G205" t="s">
        <v>3241</v>
      </c>
      <c r="H205" s="6" t="s">
        <v>3234</v>
      </c>
      <c r="I205" t="s">
        <v>3235</v>
      </c>
      <c r="J205" s="8">
        <v>680761760</v>
      </c>
      <c r="K205" s="8" t="s">
        <v>6232</v>
      </c>
      <c r="L205" t="s">
        <v>1522</v>
      </c>
      <c r="M205" s="2">
        <v>45808</v>
      </c>
      <c r="N205" s="1" t="s">
        <v>35</v>
      </c>
      <c r="O205" s="14" t="s">
        <v>9758</v>
      </c>
      <c r="P205" s="14" t="s">
        <v>12256</v>
      </c>
      <c r="Q205" s="187">
        <v>115.7</v>
      </c>
      <c r="R205" s="1">
        <v>1</v>
      </c>
      <c r="S205" s="128">
        <v>0.21</v>
      </c>
      <c r="T205" s="128">
        <v>0</v>
      </c>
      <c r="V205" s="95">
        <f t="shared" si="106"/>
        <v>139.99700000000001</v>
      </c>
      <c r="W205" t="s">
        <v>12448</v>
      </c>
      <c r="X205" s="5" t="s">
        <v>12449</v>
      </c>
      <c r="Y205" s="2">
        <v>36598</v>
      </c>
      <c r="Z205" s="2">
        <v>45799</v>
      </c>
      <c r="AA205" s="284" t="s">
        <v>12605</v>
      </c>
      <c r="AB205" s="2">
        <v>45874</v>
      </c>
      <c r="AC205" s="80" t="s">
        <v>1339</v>
      </c>
      <c r="AE205" s="3"/>
      <c r="AF205" t="s">
        <v>3198</v>
      </c>
      <c r="AI205" s="76" t="s">
        <v>12257</v>
      </c>
      <c r="AJ205" s="2"/>
      <c r="AM205" s="74"/>
      <c r="AT205" s="1"/>
    </row>
    <row r="206" spans="1:46">
      <c r="A206" s="1">
        <v>205</v>
      </c>
      <c r="B206" t="s">
        <v>45</v>
      </c>
      <c r="C206" s="2">
        <v>45800</v>
      </c>
      <c r="D206" s="2"/>
      <c r="E206" s="1" t="s">
        <v>3287</v>
      </c>
      <c r="F206" t="s">
        <v>3288</v>
      </c>
      <c r="G206" t="s">
        <v>6159</v>
      </c>
      <c r="H206" s="6" t="s">
        <v>221</v>
      </c>
      <c r="I206" s="1" t="s">
        <v>34</v>
      </c>
      <c r="J206" s="1">
        <v>615165042</v>
      </c>
      <c r="K206" s="396" t="s">
        <v>8356</v>
      </c>
      <c r="L206" s="1" t="s">
        <v>3287</v>
      </c>
      <c r="M206" s="2">
        <v>45808</v>
      </c>
      <c r="N206" s="1" t="s">
        <v>35</v>
      </c>
      <c r="O206" s="61" t="s">
        <v>7934</v>
      </c>
      <c r="P206" s="14" t="s">
        <v>12259</v>
      </c>
      <c r="Q206" s="187">
        <v>69.42</v>
      </c>
      <c r="R206" s="1">
        <v>1</v>
      </c>
      <c r="S206" s="90">
        <v>0.21</v>
      </c>
      <c r="T206" s="90">
        <v>0</v>
      </c>
      <c r="V206" s="95">
        <f t="shared" si="106"/>
        <v>83.998199999999997</v>
      </c>
      <c r="W206" t="s">
        <v>12260</v>
      </c>
      <c r="X206" s="5" t="s">
        <v>12703</v>
      </c>
      <c r="Y206" s="2">
        <v>33295</v>
      </c>
      <c r="Z206" s="2">
        <v>45800</v>
      </c>
      <c r="AA206" s="284" t="s">
        <v>12704</v>
      </c>
      <c r="AB206" s="3">
        <v>45861</v>
      </c>
      <c r="AC206" s="80" t="s">
        <v>1339</v>
      </c>
      <c r="AF206" t="s">
        <v>3198</v>
      </c>
      <c r="AJ206" s="2"/>
      <c r="AM206" s="3"/>
    </row>
    <row r="207" spans="1:46">
      <c r="A207" s="1">
        <v>206</v>
      </c>
      <c r="B207" t="s">
        <v>37</v>
      </c>
      <c r="C207" s="2">
        <v>45810</v>
      </c>
      <c r="D207" s="2"/>
      <c r="E207" s="1" t="s">
        <v>9031</v>
      </c>
      <c r="F207" s="14" t="s">
        <v>9028</v>
      </c>
      <c r="G207" t="s">
        <v>8997</v>
      </c>
      <c r="H207" s="6" t="s">
        <v>219</v>
      </c>
      <c r="I207" s="1" t="s">
        <v>4334</v>
      </c>
      <c r="J207" s="8">
        <v>624401969</v>
      </c>
      <c r="K207" s="1"/>
      <c r="L207" s="1" t="s">
        <v>9031</v>
      </c>
      <c r="M207" s="2">
        <v>45838</v>
      </c>
      <c r="N207" s="1" t="s">
        <v>35</v>
      </c>
      <c r="O207" s="61" t="s">
        <v>7934</v>
      </c>
      <c r="P207" s="14" t="s">
        <v>12291</v>
      </c>
      <c r="Q207" s="92">
        <v>86.78</v>
      </c>
      <c r="R207" s="1">
        <v>1</v>
      </c>
      <c r="S207" s="128">
        <v>0.21</v>
      </c>
      <c r="T207" s="128">
        <v>0</v>
      </c>
      <c r="U207" s="95"/>
      <c r="V207" s="95">
        <f t="shared" ref="V207" si="107">SUM(Q207-(Q207*T207))*S207+(Q207-(Q207*T207))</f>
        <v>105.0038</v>
      </c>
      <c r="W207" t="s">
        <v>9031</v>
      </c>
      <c r="X207" s="5" t="s">
        <v>12467</v>
      </c>
      <c r="Y207" s="2">
        <v>35127</v>
      </c>
      <c r="Z207" s="2">
        <v>45810</v>
      </c>
      <c r="AA207" s="284" t="s">
        <v>12847</v>
      </c>
      <c r="AB207" s="3">
        <v>45911</v>
      </c>
      <c r="AC207" s="3"/>
      <c r="AF207" t="s">
        <v>3198</v>
      </c>
      <c r="AI207" t="s">
        <v>3470</v>
      </c>
      <c r="AJ207" s="2">
        <v>45852</v>
      </c>
      <c r="AM207" s="74">
        <v>45853</v>
      </c>
      <c r="AT207" s="1"/>
    </row>
    <row r="208" spans="1:46">
      <c r="A208" s="1">
        <v>207</v>
      </c>
      <c r="B208" t="s">
        <v>1414</v>
      </c>
      <c r="C208" s="2">
        <v>45810</v>
      </c>
      <c r="D208" s="2"/>
      <c r="E208" s="1" t="s">
        <v>10674</v>
      </c>
      <c r="F208" s="61" t="s">
        <v>10675</v>
      </c>
      <c r="G208" t="s">
        <v>10676</v>
      </c>
      <c r="H208" s="6" t="s">
        <v>221</v>
      </c>
      <c r="I208" s="1" t="s">
        <v>34</v>
      </c>
      <c r="J208" s="8"/>
      <c r="K208" s="396" t="s">
        <v>10678</v>
      </c>
      <c r="L208" s="1" t="s">
        <v>10674</v>
      </c>
      <c r="M208" s="2">
        <v>45838</v>
      </c>
      <c r="N208" s="1" t="s">
        <v>35</v>
      </c>
      <c r="O208" s="61" t="s">
        <v>9758</v>
      </c>
      <c r="P208" s="14" t="s">
        <v>12292</v>
      </c>
      <c r="Q208" s="254">
        <v>115.7</v>
      </c>
      <c r="R208" s="1">
        <v>1</v>
      </c>
      <c r="S208" s="128">
        <v>0.21</v>
      </c>
      <c r="T208" s="128">
        <v>0</v>
      </c>
      <c r="U208" s="363"/>
      <c r="V208" s="126">
        <f t="shared" ref="V208" si="108">SUM(Q208-(Q208*T208))*S208+(Q208-(Q208*T208))</f>
        <v>139.99700000000001</v>
      </c>
      <c r="W208" t="s">
        <v>10689</v>
      </c>
      <c r="X208" s="5" t="s">
        <v>12443</v>
      </c>
      <c r="Y208" s="3">
        <v>35986</v>
      </c>
      <c r="Z208" s="2">
        <v>45810</v>
      </c>
      <c r="AA208" s="284" t="s">
        <v>12586</v>
      </c>
      <c r="AB208" s="2">
        <v>45873</v>
      </c>
      <c r="AC208" s="80" t="s">
        <v>1339</v>
      </c>
      <c r="AF208" t="s">
        <v>3198</v>
      </c>
      <c r="AI208" t="s">
        <v>3470</v>
      </c>
      <c r="AJ208" s="3">
        <v>45851</v>
      </c>
      <c r="AM208" s="3">
        <v>45859</v>
      </c>
    </row>
    <row r="209" spans="1:46">
      <c r="A209" s="1">
        <v>208</v>
      </c>
      <c r="B209" t="s">
        <v>33</v>
      </c>
      <c r="C209" s="2">
        <v>45810</v>
      </c>
      <c r="D209" s="403" t="s">
        <v>9900</v>
      </c>
      <c r="E209" s="1" t="s">
        <v>12293</v>
      </c>
      <c r="F209" t="s">
        <v>12294</v>
      </c>
      <c r="G209" t="s">
        <v>12295</v>
      </c>
      <c r="H209" s="6" t="s">
        <v>12296</v>
      </c>
      <c r="I209" s="1" t="s">
        <v>12297</v>
      </c>
      <c r="J209" s="8"/>
      <c r="K209" s="114" t="s">
        <v>11744</v>
      </c>
      <c r="L209" s="1" t="s">
        <v>237</v>
      </c>
      <c r="M209" s="2">
        <v>45838</v>
      </c>
      <c r="N209" s="1" t="s">
        <v>35</v>
      </c>
      <c r="O209" s="14" t="s">
        <v>9758</v>
      </c>
      <c r="P209" s="14" t="s">
        <v>12298</v>
      </c>
      <c r="Q209" s="187">
        <v>115.7</v>
      </c>
      <c r="R209" s="1">
        <v>1</v>
      </c>
      <c r="S209" s="90">
        <v>0.21</v>
      </c>
      <c r="T209" s="90">
        <v>0</v>
      </c>
      <c r="V209" s="95">
        <f t="shared" ref="V209" si="109">SUM(Q209-(Q209*T209))*S209+(Q209-(Q209*T209))</f>
        <v>139.99700000000001</v>
      </c>
      <c r="W209" t="s">
        <v>12446</v>
      </c>
      <c r="X209" s="5" t="s">
        <v>12447</v>
      </c>
      <c r="Y209" s="2">
        <v>37258</v>
      </c>
      <c r="Z209" s="2">
        <v>45810</v>
      </c>
      <c r="AA209" s="284" t="s">
        <v>12586</v>
      </c>
      <c r="AB209" s="2">
        <v>45874</v>
      </c>
      <c r="AC209" s="80" t="s">
        <v>1339</v>
      </c>
      <c r="AF209" t="s">
        <v>3198</v>
      </c>
      <c r="AI209" s="76" t="s">
        <v>3470</v>
      </c>
      <c r="AJ209" s="2">
        <v>45851</v>
      </c>
      <c r="AL209" s="3"/>
      <c r="AM209" s="74"/>
      <c r="AT209" s="1"/>
    </row>
    <row r="210" spans="1:46">
      <c r="A210" s="1">
        <v>209</v>
      </c>
      <c r="B210" t="s">
        <v>10560</v>
      </c>
      <c r="C210" s="2">
        <v>45810</v>
      </c>
      <c r="D210" s="2"/>
      <c r="E210" s="1" t="s">
        <v>8183</v>
      </c>
      <c r="F210" t="s">
        <v>10561</v>
      </c>
      <c r="G210" t="s">
        <v>10562</v>
      </c>
      <c r="H210" s="6" t="s">
        <v>219</v>
      </c>
      <c r="I210" s="1" t="s">
        <v>38</v>
      </c>
      <c r="J210" s="1" t="s">
        <v>10563</v>
      </c>
      <c r="K210" s="1"/>
      <c r="L210" s="1" t="s">
        <v>8183</v>
      </c>
      <c r="M210" s="2">
        <v>45838</v>
      </c>
      <c r="N210" s="1" t="s">
        <v>35</v>
      </c>
      <c r="O210" s="14" t="s">
        <v>7934</v>
      </c>
      <c r="P210" s="14" t="s">
        <v>12299</v>
      </c>
      <c r="Q210" s="92">
        <v>69.42</v>
      </c>
      <c r="R210" s="1">
        <v>1</v>
      </c>
      <c r="S210" s="128">
        <v>0.21</v>
      </c>
      <c r="T210" s="128">
        <v>0</v>
      </c>
      <c r="U210" s="363"/>
      <c r="V210" s="95">
        <f t="shared" ref="V210" si="110">SUM(Q210-(Q210*T210))*S210+(Q210-(Q210*T210))</f>
        <v>83.998199999999997</v>
      </c>
      <c r="W210" t="s">
        <v>8183</v>
      </c>
      <c r="X210" s="401" t="s">
        <v>12471</v>
      </c>
      <c r="Y210" s="2">
        <v>34674</v>
      </c>
      <c r="Z210" s="2">
        <v>45810</v>
      </c>
      <c r="AA210" s="284" t="s">
        <v>12916</v>
      </c>
      <c r="AB210" s="2">
        <v>45919</v>
      </c>
      <c r="AC210" s="80" t="s">
        <v>1339</v>
      </c>
      <c r="AD210" s="61"/>
      <c r="AF210" t="s">
        <v>3198</v>
      </c>
      <c r="AI210" t="s">
        <v>3470</v>
      </c>
      <c r="AJ210" s="2">
        <v>45852</v>
      </c>
      <c r="AM210" s="3">
        <v>45856</v>
      </c>
      <c r="AS210" s="1"/>
      <c r="AT210" s="1"/>
    </row>
    <row r="211" spans="1:46">
      <c r="A211" s="1">
        <v>210</v>
      </c>
      <c r="B211" t="s">
        <v>33</v>
      </c>
      <c r="C211" s="2">
        <v>45810</v>
      </c>
      <c r="D211" s="2"/>
      <c r="E211" s="1" t="s">
        <v>6511</v>
      </c>
      <c r="F211" s="61" t="s">
        <v>12300</v>
      </c>
      <c r="G211" s="61" t="s">
        <v>6512</v>
      </c>
      <c r="H211" s="6" t="s">
        <v>304</v>
      </c>
      <c r="I211" s="1" t="s">
        <v>68</v>
      </c>
      <c r="J211" s="8"/>
      <c r="K211" s="114" t="s">
        <v>11744</v>
      </c>
      <c r="L211" t="s">
        <v>237</v>
      </c>
      <c r="M211" s="2">
        <v>45838</v>
      </c>
      <c r="N211" s="1" t="s">
        <v>35</v>
      </c>
      <c r="O211" s="375" t="s">
        <v>7934</v>
      </c>
      <c r="P211" s="14" t="s">
        <v>8615</v>
      </c>
      <c r="Q211" s="92">
        <v>69.42</v>
      </c>
      <c r="R211" s="1">
        <v>1</v>
      </c>
      <c r="S211" s="128">
        <v>0.21</v>
      </c>
      <c r="T211" s="128">
        <v>0</v>
      </c>
      <c r="V211" s="95">
        <f t="shared" ref="V211" si="111">SUM(Q211-(Q211*T211))*S211+(Q211-(Q211*T211))</f>
        <v>83.998199999999997</v>
      </c>
      <c r="W211" t="s">
        <v>6706</v>
      </c>
      <c r="X211" s="5" t="s">
        <v>12450</v>
      </c>
      <c r="Y211" s="2">
        <v>33044</v>
      </c>
      <c r="Z211" s="2">
        <v>45810</v>
      </c>
      <c r="AA211" s="284" t="s">
        <v>12586</v>
      </c>
      <c r="AB211" s="64">
        <v>45863</v>
      </c>
      <c r="AC211" s="80" t="s">
        <v>1339</v>
      </c>
      <c r="AF211" t="s">
        <v>3198</v>
      </c>
      <c r="AI211" t="s">
        <v>3470</v>
      </c>
      <c r="AJ211" s="2">
        <v>45852</v>
      </c>
      <c r="AK211" s="74"/>
      <c r="AL211" s="74"/>
      <c r="AM211" s="74">
        <v>45859</v>
      </c>
      <c r="AS211" s="1"/>
      <c r="AT211" s="1"/>
    </row>
    <row r="212" spans="1:46">
      <c r="A212" s="1">
        <v>211</v>
      </c>
      <c r="B212" t="s">
        <v>37</v>
      </c>
      <c r="C212" s="2">
        <v>45810</v>
      </c>
      <c r="D212" s="403" t="s">
        <v>9900</v>
      </c>
      <c r="E212" s="1" t="s">
        <v>12569</v>
      </c>
      <c r="F212" s="61" t="s">
        <v>12322</v>
      </c>
      <c r="G212" s="61" t="s">
        <v>12323</v>
      </c>
      <c r="H212" s="6" t="s">
        <v>12324</v>
      </c>
      <c r="I212" s="1" t="s">
        <v>12325</v>
      </c>
      <c r="J212" s="8"/>
      <c r="K212" s="396"/>
      <c r="L212" s="1" t="s">
        <v>12569</v>
      </c>
      <c r="M212" s="2">
        <v>45838</v>
      </c>
      <c r="N212" s="1" t="s">
        <v>35</v>
      </c>
      <c r="O212" s="375" t="s">
        <v>7925</v>
      </c>
      <c r="P212" s="14" t="s">
        <v>12326</v>
      </c>
      <c r="Q212" s="187">
        <v>165.29</v>
      </c>
      <c r="R212" s="1">
        <v>1</v>
      </c>
      <c r="S212" s="90">
        <v>0.21</v>
      </c>
      <c r="T212" s="90">
        <v>0</v>
      </c>
      <c r="U212" s="363"/>
      <c r="V212" s="126">
        <f t="shared" ref="V212" si="112">SUM(Q212-(Q212*T212))*S212+(Q212-(Q212*T212))</f>
        <v>200.0009</v>
      </c>
      <c r="W212" s="1" t="s">
        <v>12569</v>
      </c>
      <c r="X212" s="406" t="s">
        <v>12359</v>
      </c>
      <c r="Y212" s="2">
        <v>36201</v>
      </c>
      <c r="Z212" s="2">
        <v>45810</v>
      </c>
      <c r="AA212" s="284" t="s">
        <v>12748</v>
      </c>
      <c r="AB212" s="2">
        <v>45895</v>
      </c>
      <c r="AC212" s="80" t="s">
        <v>1339</v>
      </c>
      <c r="AF212" t="s">
        <v>3198</v>
      </c>
      <c r="AI212" s="76" t="s">
        <v>3392</v>
      </c>
      <c r="AJ212" s="2">
        <v>45863</v>
      </c>
      <c r="AK212" s="74"/>
      <c r="AL212" s="74"/>
      <c r="AM212" s="74"/>
      <c r="AS212" s="1"/>
      <c r="AT212" s="1"/>
    </row>
    <row r="213" spans="1:46">
      <c r="A213" s="1">
        <v>212</v>
      </c>
      <c r="B213" t="s">
        <v>37</v>
      </c>
      <c r="C213" s="2">
        <v>45813</v>
      </c>
      <c r="D213" s="403" t="s">
        <v>9900</v>
      </c>
      <c r="E213" s="1" t="s">
        <v>12492</v>
      </c>
      <c r="F213" s="61" t="s">
        <v>12301</v>
      </c>
      <c r="G213" t="s">
        <v>12302</v>
      </c>
      <c r="H213" s="6" t="s">
        <v>232</v>
      </c>
      <c r="I213" s="1" t="s">
        <v>144</v>
      </c>
      <c r="J213" s="8" t="s">
        <v>12303</v>
      </c>
      <c r="K213" s="1"/>
      <c r="L213" s="1" t="s">
        <v>12492</v>
      </c>
      <c r="M213" s="2">
        <v>45838</v>
      </c>
      <c r="N213" s="1" t="s">
        <v>35</v>
      </c>
      <c r="O213" s="375" t="s">
        <v>7925</v>
      </c>
      <c r="P213" s="14" t="s">
        <v>12304</v>
      </c>
      <c r="Q213" s="187">
        <v>165.29</v>
      </c>
      <c r="R213" s="1">
        <v>1</v>
      </c>
      <c r="S213" s="90">
        <v>0.21</v>
      </c>
      <c r="T213" s="90">
        <v>0</v>
      </c>
      <c r="U213" s="363"/>
      <c r="V213" s="126">
        <f t="shared" ref="V213:V216" si="113">SUM(Q213-(Q213*T213))*S213+(Q213-(Q213*T213))</f>
        <v>200.0009</v>
      </c>
      <c r="W213" t="s">
        <v>12492</v>
      </c>
      <c r="X213" s="5" t="s">
        <v>12493</v>
      </c>
      <c r="Y213" s="2">
        <v>37220</v>
      </c>
      <c r="Z213" s="2">
        <v>45813</v>
      </c>
      <c r="AA213" s="182" t="s">
        <v>13353</v>
      </c>
      <c r="AB213" s="2">
        <v>45959</v>
      </c>
      <c r="AC213" s="80" t="s">
        <v>1339</v>
      </c>
      <c r="AF213" t="s">
        <v>3198</v>
      </c>
      <c r="AI213" t="s">
        <v>3392</v>
      </c>
      <c r="AJ213" s="74">
        <v>45876</v>
      </c>
      <c r="AL213" s="3"/>
      <c r="AM213" s="74">
        <v>45876</v>
      </c>
      <c r="AT213" s="1"/>
    </row>
    <row r="214" spans="1:46">
      <c r="A214" s="1">
        <v>213</v>
      </c>
      <c r="B214" t="s">
        <v>37</v>
      </c>
      <c r="C214" s="2">
        <v>45813</v>
      </c>
      <c r="D214" s="403" t="s">
        <v>9900</v>
      </c>
      <c r="E214" s="1" t="s">
        <v>12441</v>
      </c>
      <c r="F214" s="61" t="s">
        <v>12305</v>
      </c>
      <c r="G214" t="s">
        <v>12306</v>
      </c>
      <c r="H214" s="6" t="s">
        <v>7966</v>
      </c>
      <c r="I214" s="1" t="s">
        <v>7965</v>
      </c>
      <c r="J214" s="8"/>
      <c r="K214" s="396"/>
      <c r="L214" s="1" t="s">
        <v>12441</v>
      </c>
      <c r="M214" s="2">
        <v>45838</v>
      </c>
      <c r="N214" s="1" t="s">
        <v>35</v>
      </c>
      <c r="O214" s="375" t="s">
        <v>7925</v>
      </c>
      <c r="P214" s="14" t="s">
        <v>12307</v>
      </c>
      <c r="Q214" s="187">
        <v>165.29</v>
      </c>
      <c r="R214" s="1">
        <v>1</v>
      </c>
      <c r="S214" s="90">
        <v>0.21</v>
      </c>
      <c r="T214" s="90">
        <v>0</v>
      </c>
      <c r="U214" s="363"/>
      <c r="V214" s="126">
        <f t="shared" ref="V214" si="114">SUM(Q214-(Q214*T214))*S214+(Q214-(Q214*T214))</f>
        <v>200.0009</v>
      </c>
      <c r="W214" t="s">
        <v>12441</v>
      </c>
      <c r="X214" s="5" t="s">
        <v>12442</v>
      </c>
      <c r="Y214" s="2">
        <v>31288</v>
      </c>
      <c r="Z214" s="2">
        <v>45813</v>
      </c>
      <c r="AA214" s="3"/>
      <c r="AB214" s="2"/>
      <c r="AC214" s="80"/>
      <c r="AF214" t="s">
        <v>3198</v>
      </c>
      <c r="AI214" s="76" t="s">
        <v>3392</v>
      </c>
      <c r="AJ214" s="2">
        <v>45850</v>
      </c>
      <c r="AL214" s="3"/>
      <c r="AM214" s="74"/>
      <c r="AT214" s="1"/>
    </row>
    <row r="215" spans="1:46">
      <c r="A215" s="1">
        <v>214</v>
      </c>
      <c r="B215" t="s">
        <v>37</v>
      </c>
      <c r="C215" s="2">
        <v>45813</v>
      </c>
      <c r="D215" s="403" t="s">
        <v>9900</v>
      </c>
      <c r="E215" s="1" t="s">
        <v>12444</v>
      </c>
      <c r="F215" s="61" t="s">
        <v>12308</v>
      </c>
      <c r="G215" t="s">
        <v>12306</v>
      </c>
      <c r="H215" s="6" t="s">
        <v>7966</v>
      </c>
      <c r="I215" s="1" t="s">
        <v>7965</v>
      </c>
      <c r="J215" s="8"/>
      <c r="K215" s="396"/>
      <c r="L215" s="1" t="s">
        <v>12444</v>
      </c>
      <c r="M215" s="2">
        <v>45838</v>
      </c>
      <c r="N215" s="1" t="s">
        <v>35</v>
      </c>
      <c r="O215" s="375" t="s">
        <v>7925</v>
      </c>
      <c r="P215" s="14" t="s">
        <v>12309</v>
      </c>
      <c r="Q215" s="187">
        <v>165.29</v>
      </c>
      <c r="R215" s="1">
        <v>1</v>
      </c>
      <c r="S215" s="90">
        <v>0.21</v>
      </c>
      <c r="T215" s="90">
        <v>0</v>
      </c>
      <c r="U215" s="363"/>
      <c r="V215" s="126">
        <f t="shared" ref="V215" si="115">SUM(Q215-(Q215*T215))*S215+(Q215-(Q215*T215))</f>
        <v>200.0009</v>
      </c>
      <c r="W215" t="s">
        <v>12444</v>
      </c>
      <c r="X215" s="5" t="s">
        <v>12445</v>
      </c>
      <c r="Y215" s="2">
        <v>29759</v>
      </c>
      <c r="Z215" s="2">
        <v>45813</v>
      </c>
      <c r="AA215" s="3"/>
      <c r="AB215" s="2"/>
      <c r="AC215" s="80"/>
      <c r="AF215" t="s">
        <v>3198</v>
      </c>
      <c r="AI215" t="s">
        <v>3392</v>
      </c>
      <c r="AJ215" s="2">
        <v>45851</v>
      </c>
      <c r="AL215" s="3"/>
      <c r="AM215" s="74">
        <v>45853</v>
      </c>
      <c r="AT215" s="1"/>
    </row>
    <row r="216" spans="1:46">
      <c r="A216" s="1">
        <v>215</v>
      </c>
      <c r="B216" t="s">
        <v>37</v>
      </c>
      <c r="C216" s="2">
        <v>45813</v>
      </c>
      <c r="D216" s="403" t="s">
        <v>9900</v>
      </c>
      <c r="E216" s="1" t="s">
        <v>12379</v>
      </c>
      <c r="F216" s="61" t="s">
        <v>12310</v>
      </c>
      <c r="G216" t="s">
        <v>12311</v>
      </c>
      <c r="H216" s="6" t="s">
        <v>242</v>
      </c>
      <c r="I216" s="1" t="s">
        <v>5083</v>
      </c>
      <c r="J216" s="8"/>
      <c r="K216" s="396"/>
      <c r="L216" s="1" t="s">
        <v>12379</v>
      </c>
      <c r="M216" s="2">
        <v>45838</v>
      </c>
      <c r="N216" s="1" t="s">
        <v>35</v>
      </c>
      <c r="O216" s="375" t="s">
        <v>7925</v>
      </c>
      <c r="P216" s="14" t="s">
        <v>12312</v>
      </c>
      <c r="Q216" s="187">
        <v>115.7</v>
      </c>
      <c r="R216" s="1">
        <v>1</v>
      </c>
      <c r="S216" s="90">
        <v>0.21</v>
      </c>
      <c r="T216" s="90">
        <v>0</v>
      </c>
      <c r="U216" s="363"/>
      <c r="V216" s="126">
        <f t="shared" si="113"/>
        <v>139.99700000000001</v>
      </c>
      <c r="W216" t="s">
        <v>12538</v>
      </c>
      <c r="X216" s="5" t="s">
        <v>12539</v>
      </c>
      <c r="Y216" s="2">
        <v>33450</v>
      </c>
      <c r="Z216" s="2">
        <v>45813</v>
      </c>
      <c r="AA216" s="3"/>
      <c r="AB216" s="2"/>
      <c r="AC216" s="80"/>
      <c r="AF216" t="s">
        <v>3198</v>
      </c>
      <c r="AI216" t="s">
        <v>3392</v>
      </c>
      <c r="AJ216" s="2">
        <v>45852</v>
      </c>
      <c r="AL216" s="3"/>
      <c r="AM216" s="74">
        <v>45853</v>
      </c>
      <c r="AT216" s="1"/>
    </row>
    <row r="217" spans="1:46">
      <c r="A217" s="1">
        <v>216</v>
      </c>
      <c r="B217" t="s">
        <v>37</v>
      </c>
      <c r="C217" s="2">
        <v>45814</v>
      </c>
      <c r="D217" s="2"/>
      <c r="E217" s="1" t="s">
        <v>12160</v>
      </c>
      <c r="F217" s="61" t="s">
        <v>12002</v>
      </c>
      <c r="G217" s="61" t="s">
        <v>12003</v>
      </c>
      <c r="H217" s="6" t="s">
        <v>7966</v>
      </c>
      <c r="I217" s="1" t="s">
        <v>7965</v>
      </c>
      <c r="J217" s="1">
        <v>643736985</v>
      </c>
      <c r="K217" s="396"/>
      <c r="L217" s="1" t="s">
        <v>12160</v>
      </c>
      <c r="M217" s="2">
        <v>45838</v>
      </c>
      <c r="N217" s="1" t="s">
        <v>35</v>
      </c>
      <c r="O217" s="61" t="s">
        <v>7929</v>
      </c>
      <c r="P217" s="14" t="s">
        <v>12004</v>
      </c>
      <c r="Q217" s="92">
        <v>0</v>
      </c>
      <c r="R217" s="1">
        <v>1</v>
      </c>
      <c r="S217" s="90">
        <v>0.21</v>
      </c>
      <c r="T217" s="90">
        <v>0</v>
      </c>
      <c r="U217" s="363"/>
      <c r="V217" s="126">
        <f t="shared" ref="V217:V218" si="116">SUM(Q217-(Q217*T217))*S217+(Q217-(Q217*T217))</f>
        <v>0</v>
      </c>
      <c r="W217" s="1" t="s">
        <v>12160</v>
      </c>
      <c r="X217" s="5" t="s">
        <v>12316</v>
      </c>
      <c r="Y217" s="2">
        <v>36348</v>
      </c>
      <c r="Z217" s="2">
        <v>45814</v>
      </c>
      <c r="AA217" s="403" t="s">
        <v>12573</v>
      </c>
      <c r="AB217" s="2">
        <v>45863</v>
      </c>
      <c r="AC217" s="80" t="s">
        <v>1339</v>
      </c>
      <c r="AD217" s="452"/>
      <c r="AF217" t="s">
        <v>3198</v>
      </c>
      <c r="AI217" s="76" t="s">
        <v>3392</v>
      </c>
      <c r="AJ217" s="3"/>
      <c r="AM217" s="3"/>
    </row>
    <row r="218" spans="1:46">
      <c r="A218" s="1">
        <v>217</v>
      </c>
      <c r="B218" t="s">
        <v>33</v>
      </c>
      <c r="C218" s="2">
        <v>45814</v>
      </c>
      <c r="D218" s="2"/>
      <c r="E218" s="1" t="s">
        <v>3248</v>
      </c>
      <c r="F218" t="s">
        <v>8195</v>
      </c>
      <c r="G218" t="s">
        <v>8196</v>
      </c>
      <c r="H218" s="6" t="s">
        <v>304</v>
      </c>
      <c r="I218" s="1" t="s">
        <v>3851</v>
      </c>
      <c r="J218" s="1"/>
      <c r="K218" s="114" t="s">
        <v>11744</v>
      </c>
      <c r="L218" s="31" t="s">
        <v>237</v>
      </c>
      <c r="M218" s="2">
        <v>45838</v>
      </c>
      <c r="N218" s="1" t="s">
        <v>35</v>
      </c>
      <c r="O218" s="61" t="s">
        <v>7926</v>
      </c>
      <c r="P218" s="14" t="s">
        <v>10794</v>
      </c>
      <c r="Q218" s="187">
        <v>115.7</v>
      </c>
      <c r="R218" s="1">
        <v>1</v>
      </c>
      <c r="S218" s="128">
        <v>0.21</v>
      </c>
      <c r="T218" s="128">
        <v>0</v>
      </c>
      <c r="U218" s="363"/>
      <c r="V218" s="186">
        <f t="shared" si="116"/>
        <v>139.99700000000001</v>
      </c>
      <c r="W218" t="s">
        <v>12456</v>
      </c>
      <c r="X218" s="5" t="s">
        <v>12457</v>
      </c>
      <c r="Y218" s="3">
        <v>37257</v>
      </c>
      <c r="Z218" s="2">
        <v>45814</v>
      </c>
      <c r="AA218" s="284" t="s">
        <v>12842</v>
      </c>
      <c r="AB218" s="2">
        <v>45911</v>
      </c>
      <c r="AC218" s="80" t="s">
        <v>1339</v>
      </c>
      <c r="AF218" t="s">
        <v>3198</v>
      </c>
      <c r="AI218" s="76" t="s">
        <v>3470</v>
      </c>
      <c r="AJ218" s="3">
        <v>45852</v>
      </c>
      <c r="AM218" s="3"/>
    </row>
    <row r="219" spans="1:46" ht="15.75" customHeight="1">
      <c r="A219" s="1">
        <v>218</v>
      </c>
      <c r="B219" t="s">
        <v>33</v>
      </c>
      <c r="C219" s="2">
        <v>45814</v>
      </c>
      <c r="D219" s="2"/>
      <c r="E219" s="1" t="s">
        <v>5282</v>
      </c>
      <c r="F219" t="s">
        <v>12317</v>
      </c>
      <c r="G219" t="s">
        <v>5284</v>
      </c>
      <c r="H219" s="6" t="s">
        <v>219</v>
      </c>
      <c r="I219" s="1" t="s">
        <v>38</v>
      </c>
      <c r="J219" s="1"/>
      <c r="K219" s="114" t="s">
        <v>11744</v>
      </c>
      <c r="L219" s="1" t="s">
        <v>5282</v>
      </c>
      <c r="M219" s="2">
        <v>45838</v>
      </c>
      <c r="N219" s="1" t="s">
        <v>35</v>
      </c>
      <c r="O219" s="61" t="s">
        <v>7926</v>
      </c>
      <c r="P219" s="14" t="s">
        <v>12318</v>
      </c>
      <c r="Q219" s="187">
        <v>115.7</v>
      </c>
      <c r="R219" s="1">
        <v>1</v>
      </c>
      <c r="S219" s="128">
        <v>0.21</v>
      </c>
      <c r="T219" s="128">
        <v>0</v>
      </c>
      <c r="U219" s="363"/>
      <c r="V219" s="186">
        <f t="shared" ref="V219:V221" si="117">SUM(Q219-(Q219*T219))*S219+(Q219-(Q219*T219))</f>
        <v>139.99700000000001</v>
      </c>
      <c r="W219" t="s">
        <v>12463</v>
      </c>
      <c r="X219" s="5" t="s">
        <v>12464</v>
      </c>
      <c r="Y219" s="3">
        <v>33989</v>
      </c>
      <c r="Z219" s="2">
        <v>45814</v>
      </c>
      <c r="AA219" s="2"/>
      <c r="AB219" s="2"/>
      <c r="AC219" s="80"/>
      <c r="AF219" t="s">
        <v>3198</v>
      </c>
      <c r="AI219" t="s">
        <v>3392</v>
      </c>
      <c r="AJ219" s="3">
        <v>45852</v>
      </c>
      <c r="AM219" s="3">
        <v>45859</v>
      </c>
    </row>
    <row r="220" spans="1:46">
      <c r="A220" s="1">
        <v>219</v>
      </c>
      <c r="B220" t="s">
        <v>33</v>
      </c>
      <c r="C220" s="2">
        <v>45814</v>
      </c>
      <c r="D220" s="2"/>
      <c r="E220" s="1" t="s">
        <v>3537</v>
      </c>
      <c r="F220" t="s">
        <v>3538</v>
      </c>
      <c r="G220" t="s">
        <v>6108</v>
      </c>
      <c r="H220" s="6" t="s">
        <v>241</v>
      </c>
      <c r="I220" s="1" t="s">
        <v>60</v>
      </c>
      <c r="J220" s="1"/>
      <c r="K220" s="114" t="s">
        <v>11744</v>
      </c>
      <c r="L220" s="1" t="s">
        <v>237</v>
      </c>
      <c r="M220" s="2">
        <v>45838</v>
      </c>
      <c r="N220" s="1" t="s">
        <v>35</v>
      </c>
      <c r="O220" s="61" t="s">
        <v>7925</v>
      </c>
      <c r="P220" s="14" t="s">
        <v>12319</v>
      </c>
      <c r="Q220" s="187">
        <v>115.7</v>
      </c>
      <c r="R220" s="1">
        <v>1</v>
      </c>
      <c r="S220" s="90">
        <v>0.21</v>
      </c>
      <c r="T220" s="90">
        <v>0</v>
      </c>
      <c r="U220" s="363"/>
      <c r="V220" s="95">
        <f t="shared" si="117"/>
        <v>139.99700000000001</v>
      </c>
      <c r="W220" t="s">
        <v>12459</v>
      </c>
      <c r="X220" s="5" t="s">
        <v>12460</v>
      </c>
      <c r="Y220" s="2">
        <v>36991</v>
      </c>
      <c r="Z220" s="2">
        <v>45814</v>
      </c>
      <c r="AA220" s="403" t="s">
        <v>13378</v>
      </c>
      <c r="AB220" s="2">
        <v>45959</v>
      </c>
      <c r="AC220" s="80" t="s">
        <v>1339</v>
      </c>
      <c r="AF220" t="s">
        <v>3198</v>
      </c>
      <c r="AI220" s="76" t="s">
        <v>3392</v>
      </c>
      <c r="AJ220" s="3">
        <v>45852</v>
      </c>
      <c r="AM220" s="74"/>
      <c r="AS220" s="1" t="s">
        <v>7936</v>
      </c>
      <c r="AT220" s="1"/>
    </row>
    <row r="221" spans="1:46">
      <c r="A221" s="1">
        <v>220</v>
      </c>
      <c r="B221" t="s">
        <v>33</v>
      </c>
      <c r="C221" s="2">
        <v>45818</v>
      </c>
      <c r="D221" s="2"/>
      <c r="E221" s="1" t="s">
        <v>5309</v>
      </c>
      <c r="F221" t="s">
        <v>5310</v>
      </c>
      <c r="G221" t="s">
        <v>7842</v>
      </c>
      <c r="H221" s="6" t="s">
        <v>219</v>
      </c>
      <c r="I221" s="1" t="s">
        <v>34</v>
      </c>
      <c r="J221" s="1"/>
      <c r="K221" s="114" t="s">
        <v>11744</v>
      </c>
      <c r="L221" s="1" t="s">
        <v>237</v>
      </c>
      <c r="M221" s="2">
        <v>45838</v>
      </c>
      <c r="N221" s="1" t="s">
        <v>35</v>
      </c>
      <c r="O221" s="61" t="s">
        <v>9758</v>
      </c>
      <c r="P221" s="14" t="s">
        <v>12328</v>
      </c>
      <c r="Q221" s="92">
        <v>115.7</v>
      </c>
      <c r="R221" s="1">
        <v>1</v>
      </c>
      <c r="S221" s="90">
        <v>0.21</v>
      </c>
      <c r="T221" s="90">
        <v>0</v>
      </c>
      <c r="V221" s="95">
        <f t="shared" si="117"/>
        <v>139.99700000000001</v>
      </c>
      <c r="W221" t="s">
        <v>12461</v>
      </c>
      <c r="X221" s="5" t="s">
        <v>12462</v>
      </c>
      <c r="Y221" s="2">
        <v>37004</v>
      </c>
      <c r="Z221" s="2">
        <v>45818</v>
      </c>
      <c r="AA221" s="284" t="s">
        <v>12868</v>
      </c>
      <c r="AB221" s="2">
        <v>45916</v>
      </c>
      <c r="AC221" s="80" t="s">
        <v>1339</v>
      </c>
      <c r="AF221" t="s">
        <v>3198</v>
      </c>
      <c r="AI221" t="s">
        <v>3470</v>
      </c>
      <c r="AJ221" s="2">
        <v>45852</v>
      </c>
      <c r="AM221" s="3">
        <v>45852</v>
      </c>
      <c r="AT221" s="1"/>
    </row>
    <row r="222" spans="1:46">
      <c r="A222" s="1">
        <v>221</v>
      </c>
      <c r="B222" t="s">
        <v>37</v>
      </c>
      <c r="C222" s="2">
        <v>45818</v>
      </c>
      <c r="D222" s="403" t="s">
        <v>9900</v>
      </c>
      <c r="E222" s="1" t="s">
        <v>12494</v>
      </c>
      <c r="F222" s="61" t="s">
        <v>12329</v>
      </c>
      <c r="G222" t="s">
        <v>12330</v>
      </c>
      <c r="H222" s="6" t="s">
        <v>7966</v>
      </c>
      <c r="I222" s="1" t="s">
        <v>7965</v>
      </c>
      <c r="J222" s="8" t="s">
        <v>12331</v>
      </c>
      <c r="K222" s="396"/>
      <c r="L222" s="1" t="s">
        <v>12494</v>
      </c>
      <c r="M222" s="2">
        <v>45838</v>
      </c>
      <c r="N222" s="1" t="s">
        <v>35</v>
      </c>
      <c r="O222" s="61" t="s">
        <v>7929</v>
      </c>
      <c r="P222" s="14" t="s">
        <v>12332</v>
      </c>
      <c r="Q222" s="92">
        <v>115.7</v>
      </c>
      <c r="R222" s="1">
        <v>1</v>
      </c>
      <c r="S222" s="90">
        <v>0.21</v>
      </c>
      <c r="T222" s="90">
        <v>0</v>
      </c>
      <c r="V222" s="95">
        <f t="shared" ref="V222" si="118">SUM(Q222-(Q222*T222))*S222+(Q222-(Q222*T222))</f>
        <v>139.99700000000001</v>
      </c>
      <c r="W222" t="s">
        <v>12494</v>
      </c>
      <c r="X222" s="5" t="s">
        <v>12495</v>
      </c>
      <c r="Y222" s="2">
        <v>33447</v>
      </c>
      <c r="Z222" s="2">
        <v>45818</v>
      </c>
      <c r="AA222" s="403" t="s">
        <v>12696</v>
      </c>
      <c r="AB222" s="2">
        <v>45889</v>
      </c>
      <c r="AC222" s="80" t="s">
        <v>1339</v>
      </c>
      <c r="AF222" t="s">
        <v>3198</v>
      </c>
      <c r="AI222" s="76" t="s">
        <v>3392</v>
      </c>
      <c r="AJ222" s="2"/>
      <c r="AL222" s="3"/>
      <c r="AM222" s="74"/>
      <c r="AT222" s="1"/>
    </row>
    <row r="223" spans="1:46">
      <c r="A223" s="1">
        <v>222</v>
      </c>
      <c r="B223" t="s">
        <v>1414</v>
      </c>
      <c r="C223" s="2">
        <v>45820</v>
      </c>
      <c r="D223" s="403" t="s">
        <v>9900</v>
      </c>
      <c r="E223" s="1" t="s">
        <v>12479</v>
      </c>
      <c r="F223" s="61" t="s">
        <v>12766</v>
      </c>
      <c r="G223" s="61" t="s">
        <v>12767</v>
      </c>
      <c r="H223" s="6" t="s">
        <v>7966</v>
      </c>
      <c r="I223" s="1" t="s">
        <v>7965</v>
      </c>
      <c r="J223" s="8" t="s">
        <v>12768</v>
      </c>
      <c r="K223" s="396" t="s">
        <v>12344</v>
      </c>
      <c r="L223" s="1" t="s">
        <v>12479</v>
      </c>
      <c r="M223" s="2">
        <v>45838</v>
      </c>
      <c r="N223" s="1" t="s">
        <v>35</v>
      </c>
      <c r="O223" s="61" t="s">
        <v>7925</v>
      </c>
      <c r="P223" s="14" t="s">
        <v>12338</v>
      </c>
      <c r="Q223" s="92">
        <v>115.7</v>
      </c>
      <c r="R223" s="1">
        <v>1</v>
      </c>
      <c r="S223" s="90">
        <v>0.21</v>
      </c>
      <c r="T223" s="90">
        <v>0</v>
      </c>
      <c r="V223" s="95">
        <f t="shared" ref="V223:V225" si="119">SUM(Q223-(Q223*T223))*S223+(Q223-(Q223*T223))</f>
        <v>139.99700000000001</v>
      </c>
      <c r="W223" t="s">
        <v>12479</v>
      </c>
      <c r="X223" s="5" t="s">
        <v>12480</v>
      </c>
      <c r="Y223" s="2">
        <v>29235</v>
      </c>
      <c r="Z223" s="2">
        <v>45820</v>
      </c>
      <c r="AA223" s="3"/>
      <c r="AB223" s="2"/>
      <c r="AC223" s="80"/>
      <c r="AF223" t="s">
        <v>3198</v>
      </c>
      <c r="AI223" s="76" t="s">
        <v>3392</v>
      </c>
      <c r="AJ223" s="2">
        <v>45852</v>
      </c>
      <c r="AL223" s="3"/>
      <c r="AM223" s="74"/>
      <c r="AT223" s="1"/>
    </row>
    <row r="224" spans="1:46">
      <c r="A224" s="1">
        <v>223</v>
      </c>
      <c r="B224" s="61" t="s">
        <v>1414</v>
      </c>
      <c r="C224" s="2">
        <v>45820</v>
      </c>
      <c r="D224" s="2"/>
      <c r="E224" s="1" t="s">
        <v>2781</v>
      </c>
      <c r="F224" s="14" t="s">
        <v>229</v>
      </c>
      <c r="G224" t="s">
        <v>4023</v>
      </c>
      <c r="H224" s="6" t="s">
        <v>230</v>
      </c>
      <c r="I224" t="s">
        <v>1262</v>
      </c>
      <c r="J224" s="8">
        <v>637571817</v>
      </c>
      <c r="K224" s="8" t="s">
        <v>8852</v>
      </c>
      <c r="L224" t="s">
        <v>2781</v>
      </c>
      <c r="M224" s="2">
        <v>45838</v>
      </c>
      <c r="N224" s="1" t="s">
        <v>35</v>
      </c>
      <c r="O224" s="61" t="s">
        <v>7925</v>
      </c>
      <c r="P224" s="14" t="s">
        <v>12339</v>
      </c>
      <c r="Q224" s="187">
        <v>115.7</v>
      </c>
      <c r="R224" s="1">
        <v>1</v>
      </c>
      <c r="S224" s="90">
        <v>0.21</v>
      </c>
      <c r="T224" s="90">
        <v>0</v>
      </c>
      <c r="U224" s="363"/>
      <c r="V224" s="95">
        <f t="shared" si="119"/>
        <v>139.99700000000001</v>
      </c>
      <c r="W224" t="s">
        <v>12487</v>
      </c>
      <c r="X224" s="5" t="s">
        <v>12488</v>
      </c>
      <c r="Y224" s="2">
        <v>35299</v>
      </c>
      <c r="Z224" s="2">
        <v>45820</v>
      </c>
      <c r="AA224" s="3"/>
      <c r="AB224" s="3"/>
      <c r="AC224" s="80"/>
      <c r="AF224" t="s">
        <v>3198</v>
      </c>
      <c r="AI224" t="s">
        <v>3392</v>
      </c>
      <c r="AJ224" s="2">
        <v>45852</v>
      </c>
      <c r="AK224" s="74"/>
      <c r="AL224" s="74"/>
      <c r="AM224" s="74">
        <v>45859</v>
      </c>
      <c r="AT224" s="1"/>
    </row>
    <row r="225" spans="1:139">
      <c r="A225" s="1">
        <v>224</v>
      </c>
      <c r="B225" s="61" t="s">
        <v>6684</v>
      </c>
      <c r="C225" s="2">
        <v>45820</v>
      </c>
      <c r="D225" s="2"/>
      <c r="E225" s="1" t="s">
        <v>6685</v>
      </c>
      <c r="F225" t="s">
        <v>6686</v>
      </c>
      <c r="G225" t="s">
        <v>6687</v>
      </c>
      <c r="H225" s="6" t="s">
        <v>2579</v>
      </c>
      <c r="I225" t="s">
        <v>2580</v>
      </c>
      <c r="J225" s="8"/>
      <c r="K225" s="1" t="s">
        <v>7339</v>
      </c>
      <c r="L225" t="s">
        <v>6685</v>
      </c>
      <c r="M225" s="2">
        <v>45838</v>
      </c>
      <c r="N225" s="1" t="s">
        <v>35</v>
      </c>
      <c r="O225" s="61" t="s">
        <v>7925</v>
      </c>
      <c r="P225" s="14" t="s">
        <v>12340</v>
      </c>
      <c r="Q225" s="187">
        <v>115.7</v>
      </c>
      <c r="R225" s="1">
        <v>1</v>
      </c>
      <c r="S225" s="90">
        <v>0.21</v>
      </c>
      <c r="T225" s="90">
        <v>0</v>
      </c>
      <c r="V225" s="95">
        <f t="shared" si="119"/>
        <v>139.99700000000001</v>
      </c>
      <c r="W225" t="s">
        <v>12483</v>
      </c>
      <c r="X225" s="5" t="s">
        <v>12484</v>
      </c>
      <c r="Y225" s="2">
        <v>33648</v>
      </c>
      <c r="Z225" s="2">
        <v>45820</v>
      </c>
      <c r="AA225" s="3"/>
      <c r="AB225" s="2"/>
      <c r="AC225" s="80"/>
      <c r="AF225" t="s">
        <v>3198</v>
      </c>
      <c r="AI225" t="s">
        <v>3392</v>
      </c>
      <c r="AJ225" s="2">
        <v>45852</v>
      </c>
      <c r="AM225" s="3">
        <v>45859</v>
      </c>
      <c r="AT225" s="1"/>
    </row>
    <row r="226" spans="1:139">
      <c r="A226" s="1">
        <v>225</v>
      </c>
      <c r="B226" t="s">
        <v>143</v>
      </c>
      <c r="C226" s="2">
        <v>45820</v>
      </c>
      <c r="D226" s="403" t="s">
        <v>9900</v>
      </c>
      <c r="E226" s="1" t="s">
        <v>12477</v>
      </c>
      <c r="F226" s="61" t="s">
        <v>12341</v>
      </c>
      <c r="G226" t="s">
        <v>12342</v>
      </c>
      <c r="H226" s="6" t="s">
        <v>221</v>
      </c>
      <c r="I226" s="1" t="s">
        <v>110</v>
      </c>
      <c r="J226" s="8">
        <v>643728950</v>
      </c>
      <c r="K226" s="396"/>
      <c r="L226" s="1" t="s">
        <v>12477</v>
      </c>
      <c r="M226" s="2">
        <v>45838</v>
      </c>
      <c r="N226" s="1" t="s">
        <v>35</v>
      </c>
      <c r="O226" s="61" t="s">
        <v>7925</v>
      </c>
      <c r="P226" s="14" t="s">
        <v>12343</v>
      </c>
      <c r="Q226" s="187">
        <v>115.7</v>
      </c>
      <c r="R226" s="1">
        <v>1</v>
      </c>
      <c r="S226" s="90">
        <v>0.21</v>
      </c>
      <c r="T226" s="90">
        <v>0</v>
      </c>
      <c r="V226" s="95">
        <f t="shared" ref="V226:V227" si="120">SUM(Q226-(Q226*T226))*S226+(Q226-(Q226*T226))</f>
        <v>139.99700000000001</v>
      </c>
      <c r="W226" t="s">
        <v>12477</v>
      </c>
      <c r="X226" s="5" t="s">
        <v>12478</v>
      </c>
      <c r="Y226" s="2">
        <v>36138</v>
      </c>
      <c r="Z226" s="2">
        <v>45820</v>
      </c>
      <c r="AA226" s="3"/>
      <c r="AB226" s="2"/>
      <c r="AC226" s="80"/>
      <c r="AF226" t="s">
        <v>3198</v>
      </c>
      <c r="AI226" s="76" t="s">
        <v>3392</v>
      </c>
      <c r="AJ226" s="2">
        <v>45852</v>
      </c>
      <c r="AL226" s="3"/>
      <c r="AM226" s="74"/>
      <c r="AT226" s="1"/>
    </row>
    <row r="227" spans="1:139">
      <c r="A227" s="1">
        <v>226</v>
      </c>
      <c r="B227" t="s">
        <v>8314</v>
      </c>
      <c r="C227" s="2">
        <v>45820</v>
      </c>
      <c r="D227" s="2"/>
      <c r="E227" s="1" t="s">
        <v>8315</v>
      </c>
      <c r="F227" s="61" t="s">
        <v>8316</v>
      </c>
      <c r="G227" s="61" t="s">
        <v>8317</v>
      </c>
      <c r="H227" s="6" t="s">
        <v>219</v>
      </c>
      <c r="I227" s="1" t="s">
        <v>4334</v>
      </c>
      <c r="J227" s="8">
        <v>635450026</v>
      </c>
      <c r="K227" s="1" t="s">
        <v>8318</v>
      </c>
      <c r="L227" s="1" t="s">
        <v>8315</v>
      </c>
      <c r="M227" s="2">
        <v>45838</v>
      </c>
      <c r="N227" s="1" t="s">
        <v>35</v>
      </c>
      <c r="O227" s="61" t="s">
        <v>7925</v>
      </c>
      <c r="P227" s="14" t="s">
        <v>12345</v>
      </c>
      <c r="Q227" s="187">
        <v>115.7</v>
      </c>
      <c r="R227" s="1">
        <v>1</v>
      </c>
      <c r="S227" s="128">
        <v>0.21</v>
      </c>
      <c r="T227" s="128">
        <v>0</v>
      </c>
      <c r="V227" s="95">
        <f t="shared" si="120"/>
        <v>139.99700000000001</v>
      </c>
      <c r="W227" t="s">
        <v>12475</v>
      </c>
      <c r="X227" s="5" t="s">
        <v>12476</v>
      </c>
      <c r="Y227" s="2">
        <v>36842</v>
      </c>
      <c r="Z227" s="2">
        <v>45820</v>
      </c>
      <c r="AB227" s="2"/>
      <c r="AC227" s="133"/>
      <c r="AF227" t="s">
        <v>3198</v>
      </c>
      <c r="AI227" t="s">
        <v>3392</v>
      </c>
      <c r="AJ227" s="2">
        <v>45852</v>
      </c>
      <c r="AM227" s="74">
        <v>45853</v>
      </c>
      <c r="AT227" s="1"/>
    </row>
    <row r="228" spans="1:139">
      <c r="A228" s="1">
        <v>227</v>
      </c>
      <c r="B228" t="s">
        <v>37</v>
      </c>
      <c r="C228" s="2">
        <v>45820</v>
      </c>
      <c r="D228" s="2"/>
      <c r="E228" s="1" t="s">
        <v>10757</v>
      </c>
      <c r="F228" s="61" t="s">
        <v>10758</v>
      </c>
      <c r="G228" t="s">
        <v>10759</v>
      </c>
      <c r="H228" s="6" t="s">
        <v>221</v>
      </c>
      <c r="I228" s="1" t="s">
        <v>34</v>
      </c>
      <c r="J228" s="8"/>
      <c r="K228" s="1"/>
      <c r="L228" s="1" t="s">
        <v>10757</v>
      </c>
      <c r="M228" s="2">
        <v>45838</v>
      </c>
      <c r="N228" s="1" t="s">
        <v>35</v>
      </c>
      <c r="O228" s="61" t="s">
        <v>7925</v>
      </c>
      <c r="P228" s="14" t="s">
        <v>12346</v>
      </c>
      <c r="Q228" s="187">
        <v>115.7</v>
      </c>
      <c r="R228" s="1">
        <v>1</v>
      </c>
      <c r="S228" s="128">
        <v>0.21</v>
      </c>
      <c r="T228" s="128">
        <v>0</v>
      </c>
      <c r="V228" s="95">
        <f t="shared" ref="V228:V233" si="121">SUM(Q228-(Q228*T228))*S228+(Q228-(Q228*T228))</f>
        <v>139.99700000000001</v>
      </c>
      <c r="W228" t="s">
        <v>12485</v>
      </c>
      <c r="X228" s="5" t="s">
        <v>12486</v>
      </c>
      <c r="Y228" s="3">
        <v>31954</v>
      </c>
      <c r="Z228" s="2">
        <v>45820</v>
      </c>
      <c r="AB228" s="2"/>
      <c r="AC228" s="80"/>
      <c r="AF228" t="s">
        <v>3198</v>
      </c>
      <c r="AI228" t="s">
        <v>3392</v>
      </c>
      <c r="AJ228" s="2">
        <v>45852</v>
      </c>
      <c r="AM228" s="3">
        <v>45860</v>
      </c>
    </row>
    <row r="229" spans="1:139">
      <c r="A229" s="1">
        <v>228</v>
      </c>
      <c r="B229" t="s">
        <v>1414</v>
      </c>
      <c r="C229" s="2">
        <v>45820</v>
      </c>
      <c r="D229" s="2"/>
      <c r="E229" s="2" t="s">
        <v>11939</v>
      </c>
      <c r="F229" s="61" t="s">
        <v>11940</v>
      </c>
      <c r="G229" t="s">
        <v>11941</v>
      </c>
      <c r="H229" s="6" t="s">
        <v>219</v>
      </c>
      <c r="I229" s="1" t="s">
        <v>38</v>
      </c>
      <c r="J229" s="8"/>
      <c r="K229" s="396" t="s">
        <v>8355</v>
      </c>
      <c r="L229" s="2" t="s">
        <v>11939</v>
      </c>
      <c r="M229" s="2">
        <v>45838</v>
      </c>
      <c r="N229" s="1" t="s">
        <v>35</v>
      </c>
      <c r="O229" s="61" t="s">
        <v>7925</v>
      </c>
      <c r="P229" s="14" t="s">
        <v>12347</v>
      </c>
      <c r="Q229" s="254">
        <v>115.7</v>
      </c>
      <c r="R229" s="1">
        <v>1</v>
      </c>
      <c r="S229" s="128">
        <v>0.21</v>
      </c>
      <c r="T229" s="128">
        <v>0</v>
      </c>
      <c r="U229" s="363"/>
      <c r="V229" s="126">
        <f t="shared" si="121"/>
        <v>139.99700000000001</v>
      </c>
      <c r="W229" t="s">
        <v>12481</v>
      </c>
      <c r="X229" s="5" t="s">
        <v>12482</v>
      </c>
      <c r="Y229" s="3">
        <v>33204</v>
      </c>
      <c r="Z229" s="2">
        <v>45820</v>
      </c>
      <c r="AB229" s="2"/>
      <c r="AC229" s="80"/>
      <c r="AF229" t="s">
        <v>3198</v>
      </c>
      <c r="AI229" t="s">
        <v>3392</v>
      </c>
      <c r="AJ229" s="2">
        <v>45852</v>
      </c>
      <c r="AM229" s="3">
        <v>45876</v>
      </c>
    </row>
    <row r="230" spans="1:139">
      <c r="A230" s="1">
        <v>229</v>
      </c>
      <c r="B230" t="s">
        <v>3984</v>
      </c>
      <c r="C230" s="2">
        <v>45820</v>
      </c>
      <c r="D230" s="2"/>
      <c r="E230" s="1" t="s">
        <v>7215</v>
      </c>
      <c r="F230" s="61" t="s">
        <v>12058</v>
      </c>
      <c r="G230" s="61" t="s">
        <v>12059</v>
      </c>
      <c r="H230" s="6" t="s">
        <v>3988</v>
      </c>
      <c r="I230" s="1" t="s">
        <v>7218</v>
      </c>
      <c r="J230" s="8"/>
      <c r="K230" s="1" t="s">
        <v>7219</v>
      </c>
      <c r="L230" s="1" t="s">
        <v>7215</v>
      </c>
      <c r="M230" s="2">
        <v>45838</v>
      </c>
      <c r="N230" t="s">
        <v>35</v>
      </c>
      <c r="O230" s="61" t="s">
        <v>7925</v>
      </c>
      <c r="P230" s="14" t="s">
        <v>12348</v>
      </c>
      <c r="Q230" s="187">
        <v>115.7</v>
      </c>
      <c r="R230" s="1">
        <v>1</v>
      </c>
      <c r="S230" s="128">
        <v>0.21</v>
      </c>
      <c r="T230" s="128">
        <v>0</v>
      </c>
      <c r="U230" s="363"/>
      <c r="V230" s="126">
        <f t="shared" si="121"/>
        <v>139.99700000000001</v>
      </c>
      <c r="X230" s="5" t="s">
        <v>12349</v>
      </c>
      <c r="Y230" s="2">
        <v>35091</v>
      </c>
      <c r="Z230" s="2">
        <v>45820</v>
      </c>
      <c r="AA230" s="287" t="s">
        <v>12350</v>
      </c>
      <c r="AB230" s="2"/>
      <c r="AC230" s="80"/>
      <c r="AF230" t="s">
        <v>3198</v>
      </c>
      <c r="AI230" s="76" t="s">
        <v>3392</v>
      </c>
      <c r="AJ230" s="2"/>
      <c r="AM230" s="3"/>
      <c r="AT230" s="1"/>
    </row>
    <row r="231" spans="1:139" ht="14.25" customHeight="1">
      <c r="A231" s="1">
        <v>230</v>
      </c>
      <c r="B231" t="s">
        <v>33</v>
      </c>
      <c r="C231" s="2">
        <v>45824</v>
      </c>
      <c r="D231" s="2"/>
      <c r="E231" s="1" t="s">
        <v>8596</v>
      </c>
      <c r="F231" t="s">
        <v>8636</v>
      </c>
      <c r="G231" s="61" t="s">
        <v>8597</v>
      </c>
      <c r="H231" s="6" t="s">
        <v>219</v>
      </c>
      <c r="I231" s="1" t="s">
        <v>38</v>
      </c>
      <c r="J231" s="8"/>
      <c r="K231" s="114" t="s">
        <v>11744</v>
      </c>
      <c r="L231" s="1" t="s">
        <v>237</v>
      </c>
      <c r="M231" s="2">
        <v>45838</v>
      </c>
      <c r="N231" s="1" t="s">
        <v>35</v>
      </c>
      <c r="O231" s="61" t="s">
        <v>7934</v>
      </c>
      <c r="P231" s="14" t="s">
        <v>12351</v>
      </c>
      <c r="Q231" s="187">
        <v>69.42</v>
      </c>
      <c r="R231" s="1">
        <v>1</v>
      </c>
      <c r="S231" s="128">
        <v>0.21</v>
      </c>
      <c r="T231" s="128">
        <v>0</v>
      </c>
      <c r="U231" s="363"/>
      <c r="V231" s="95">
        <f t="shared" si="121"/>
        <v>83.998199999999997</v>
      </c>
      <c r="W231" t="s">
        <v>8606</v>
      </c>
      <c r="X231" s="5" t="s">
        <v>12585</v>
      </c>
      <c r="Y231" s="211">
        <v>28856</v>
      </c>
      <c r="Z231" s="2">
        <v>45824</v>
      </c>
      <c r="AA231" s="11" t="s">
        <v>12602</v>
      </c>
      <c r="AB231" s="3">
        <v>45873</v>
      </c>
      <c r="AC231" s="80" t="s">
        <v>1339</v>
      </c>
      <c r="AF231" t="s">
        <v>3198</v>
      </c>
      <c r="AJ231" s="3"/>
      <c r="AM231" s="74"/>
    </row>
    <row r="232" spans="1:139" s="197" customFormat="1">
      <c r="A232" s="1">
        <v>231</v>
      </c>
      <c r="B232" s="61" t="s">
        <v>4321</v>
      </c>
      <c r="C232" s="2">
        <v>45824</v>
      </c>
      <c r="D232" s="2"/>
      <c r="E232" s="1" t="s">
        <v>3427</v>
      </c>
      <c r="F232" s="61" t="s">
        <v>3428</v>
      </c>
      <c r="G232" s="61" t="s">
        <v>3433</v>
      </c>
      <c r="H232" s="6" t="s">
        <v>3429</v>
      </c>
      <c r="I232" s="1" t="s">
        <v>86</v>
      </c>
      <c r="J232" s="1">
        <v>650379091</v>
      </c>
      <c r="K232" s="8" t="s">
        <v>5991</v>
      </c>
      <c r="L232" s="1" t="s">
        <v>3427</v>
      </c>
      <c r="M232" s="2">
        <v>45838</v>
      </c>
      <c r="N232" t="s">
        <v>35</v>
      </c>
      <c r="O232" s="61" t="s">
        <v>12352</v>
      </c>
      <c r="P232" s="14" t="s">
        <v>12353</v>
      </c>
      <c r="Q232" s="187">
        <v>115.7</v>
      </c>
      <c r="R232" s="1">
        <v>1</v>
      </c>
      <c r="S232" s="128">
        <v>0.21</v>
      </c>
      <c r="T232" s="128">
        <v>0</v>
      </c>
      <c r="U232" s="363"/>
      <c r="V232" s="126">
        <f t="shared" si="121"/>
        <v>139.99700000000001</v>
      </c>
      <c r="W232" t="s">
        <v>12574</v>
      </c>
      <c r="X232" s="401" t="s">
        <v>12575</v>
      </c>
      <c r="Y232" s="2">
        <v>31040</v>
      </c>
      <c r="Z232" s="2">
        <v>45824</v>
      </c>
      <c r="AA232"/>
      <c r="AB232" s="64"/>
      <c r="AC232" s="80"/>
      <c r="AD232"/>
      <c r="AE232"/>
      <c r="AF232" t="s">
        <v>3198</v>
      </c>
      <c r="AG232"/>
      <c r="AH232"/>
      <c r="AI232" s="76" t="s">
        <v>3392</v>
      </c>
      <c r="AJ232" s="2">
        <v>45863</v>
      </c>
      <c r="AK232"/>
      <c r="AL232"/>
      <c r="AM232" s="2"/>
      <c r="AN232"/>
      <c r="AO232"/>
      <c r="AP232"/>
      <c r="AQ232"/>
      <c r="AR232"/>
      <c r="AS232"/>
      <c r="AT232" s="1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</row>
    <row r="233" spans="1:139">
      <c r="A233" s="1">
        <v>232</v>
      </c>
      <c r="B233" t="s">
        <v>37</v>
      </c>
      <c r="C233" s="2">
        <v>45824</v>
      </c>
      <c r="D233" s="2"/>
      <c r="E233" s="1" t="s">
        <v>11204</v>
      </c>
      <c r="F233" s="61" t="s">
        <v>11205</v>
      </c>
      <c r="G233" t="s">
        <v>11206</v>
      </c>
      <c r="H233" s="6" t="s">
        <v>242</v>
      </c>
      <c r="I233" s="1" t="s">
        <v>86</v>
      </c>
      <c r="J233" s="430">
        <v>641613938</v>
      </c>
      <c r="K233" s="1"/>
      <c r="L233" s="1" t="s">
        <v>11204</v>
      </c>
      <c r="M233" s="2">
        <v>45838</v>
      </c>
      <c r="N233" s="1" t="s">
        <v>35</v>
      </c>
      <c r="O233" s="14" t="s">
        <v>12354</v>
      </c>
      <c r="P233" s="14" t="s">
        <v>12355</v>
      </c>
      <c r="Q233" s="187">
        <v>115.7</v>
      </c>
      <c r="R233" s="1">
        <v>1</v>
      </c>
      <c r="S233" s="128">
        <v>0.21</v>
      </c>
      <c r="T233" s="128">
        <v>0</v>
      </c>
      <c r="U233" s="363"/>
      <c r="V233" s="126">
        <f t="shared" si="121"/>
        <v>139.99700000000001</v>
      </c>
      <c r="W233" s="1" t="s">
        <v>11204</v>
      </c>
      <c r="X233" s="6" t="s">
        <v>12626</v>
      </c>
      <c r="Y233" s="3">
        <v>38135</v>
      </c>
      <c r="Z233" s="2">
        <v>45824</v>
      </c>
      <c r="AA233" s="11" t="s">
        <v>12711</v>
      </c>
      <c r="AB233" s="2">
        <v>45874</v>
      </c>
      <c r="AC233" s="80" t="s">
        <v>1339</v>
      </c>
      <c r="AF233" t="s">
        <v>3198</v>
      </c>
      <c r="AI233" s="76" t="s">
        <v>3392</v>
      </c>
      <c r="AJ233" s="3"/>
      <c r="AM233" s="3"/>
    </row>
    <row r="234" spans="1:139" s="197" customFormat="1">
      <c r="A234" s="1">
        <v>233</v>
      </c>
      <c r="B234" s="61" t="s">
        <v>4321</v>
      </c>
      <c r="C234" s="2">
        <v>45824</v>
      </c>
      <c r="D234" s="2"/>
      <c r="E234" s="1" t="s">
        <v>3427</v>
      </c>
      <c r="F234" s="61" t="s">
        <v>3428</v>
      </c>
      <c r="G234" s="61" t="s">
        <v>3433</v>
      </c>
      <c r="H234" s="6" t="s">
        <v>3429</v>
      </c>
      <c r="I234" s="1" t="s">
        <v>86</v>
      </c>
      <c r="J234" s="1">
        <v>650379091</v>
      </c>
      <c r="K234" s="8" t="s">
        <v>5991</v>
      </c>
      <c r="L234" s="1" t="s">
        <v>3427</v>
      </c>
      <c r="M234" s="2">
        <v>45838</v>
      </c>
      <c r="N234" t="s">
        <v>35</v>
      </c>
      <c r="O234" s="61" t="s">
        <v>12352</v>
      </c>
      <c r="P234" s="14" t="s">
        <v>12396</v>
      </c>
      <c r="Q234" s="187">
        <v>115.7</v>
      </c>
      <c r="R234" s="1">
        <v>1</v>
      </c>
      <c r="S234" s="128">
        <v>0.21</v>
      </c>
      <c r="T234" s="128">
        <v>0</v>
      </c>
      <c r="U234" s="363"/>
      <c r="V234" s="126">
        <f t="shared" ref="V234" si="122">SUM(Q234-(Q234*T234))*S234+(Q234-(Q234*T234))</f>
        <v>139.99700000000001</v>
      </c>
      <c r="W234" t="s">
        <v>12578</v>
      </c>
      <c r="X234" s="401" t="s">
        <v>12579</v>
      </c>
      <c r="Y234" s="2">
        <v>34071</v>
      </c>
      <c r="Z234" s="2">
        <v>45824</v>
      </c>
      <c r="AA234"/>
      <c r="AB234" s="64"/>
      <c r="AC234" s="80"/>
      <c r="AD234"/>
      <c r="AE234"/>
      <c r="AF234" t="s">
        <v>3198</v>
      </c>
      <c r="AG234"/>
      <c r="AH234"/>
      <c r="AI234" t="s">
        <v>3392</v>
      </c>
      <c r="AJ234" s="2">
        <v>45863</v>
      </c>
      <c r="AK234"/>
      <c r="AL234"/>
      <c r="AM234" s="2">
        <v>45874</v>
      </c>
      <c r="AN234"/>
      <c r="AO234"/>
      <c r="AP234"/>
      <c r="AQ234"/>
      <c r="AR234"/>
      <c r="AS234"/>
      <c r="AT234" s="1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</row>
    <row r="235" spans="1:139">
      <c r="A235" s="1">
        <v>234</v>
      </c>
      <c r="B235" t="s">
        <v>37</v>
      </c>
      <c r="C235" s="2">
        <v>45824</v>
      </c>
      <c r="D235" s="403" t="s">
        <v>9900</v>
      </c>
      <c r="E235" s="1" t="s">
        <v>6751</v>
      </c>
      <c r="F235" s="61" t="s">
        <v>6752</v>
      </c>
      <c r="G235" s="61" t="s">
        <v>6753</v>
      </c>
      <c r="H235" s="6" t="s">
        <v>221</v>
      </c>
      <c r="I235" s="1" t="s">
        <v>34</v>
      </c>
      <c r="J235" s="8"/>
      <c r="K235" s="1"/>
      <c r="L235" s="1" t="s">
        <v>6751</v>
      </c>
      <c r="M235" s="2">
        <v>45838</v>
      </c>
      <c r="N235" t="s">
        <v>35</v>
      </c>
      <c r="O235" s="61" t="s">
        <v>12352</v>
      </c>
      <c r="P235" s="14" t="s">
        <v>12397</v>
      </c>
      <c r="Q235" s="187">
        <v>115.7</v>
      </c>
      <c r="R235" s="1">
        <v>1</v>
      </c>
      <c r="S235" s="128">
        <v>0.21</v>
      </c>
      <c r="T235" s="128">
        <v>0</v>
      </c>
      <c r="U235" s="363"/>
      <c r="V235" s="126">
        <f t="shared" ref="V235:V238" si="123">SUM(Q235-(Q235*T235))*S235+(Q235-(Q235*T235))</f>
        <v>139.99700000000001</v>
      </c>
      <c r="W235" t="s">
        <v>12576</v>
      </c>
      <c r="X235" s="5" t="s">
        <v>12577</v>
      </c>
      <c r="Y235" s="2">
        <v>35530</v>
      </c>
      <c r="Z235" s="2">
        <v>45824</v>
      </c>
      <c r="AB235" s="2"/>
      <c r="AC235" s="133"/>
      <c r="AF235" t="s">
        <v>3198</v>
      </c>
      <c r="AI235" s="76" t="s">
        <v>3392</v>
      </c>
      <c r="AJ235" s="2">
        <v>45863</v>
      </c>
      <c r="AM235" s="74"/>
      <c r="AT235" s="1"/>
    </row>
    <row r="236" spans="1:139">
      <c r="A236" s="1">
        <v>235</v>
      </c>
      <c r="B236" t="s">
        <v>119</v>
      </c>
      <c r="C236" s="2">
        <v>45824</v>
      </c>
      <c r="D236" s="2"/>
      <c r="E236" s="1" t="s">
        <v>3826</v>
      </c>
      <c r="F236" s="61" t="s">
        <v>3827</v>
      </c>
      <c r="G236" s="61" t="s">
        <v>3828</v>
      </c>
      <c r="H236" s="6" t="s">
        <v>250</v>
      </c>
      <c r="I236" s="1" t="s">
        <v>2585</v>
      </c>
      <c r="J236" s="8">
        <v>670341556</v>
      </c>
      <c r="K236" s="1" t="s">
        <v>7759</v>
      </c>
      <c r="L236" s="31" t="s">
        <v>174</v>
      </c>
      <c r="M236" s="2">
        <v>45838</v>
      </c>
      <c r="N236" s="1" t="s">
        <v>35</v>
      </c>
      <c r="O236" s="61" t="s">
        <v>7934</v>
      </c>
      <c r="P236" s="14" t="s">
        <v>12357</v>
      </c>
      <c r="Q236" s="187">
        <v>115.7</v>
      </c>
      <c r="R236" s="1">
        <v>1</v>
      </c>
      <c r="S236" s="128">
        <v>0.21</v>
      </c>
      <c r="T236" s="128">
        <v>0</v>
      </c>
      <c r="U236" s="95"/>
      <c r="V236" s="126">
        <f t="shared" si="123"/>
        <v>139.99700000000001</v>
      </c>
      <c r="W236" t="s">
        <v>10136</v>
      </c>
      <c r="X236" s="6" t="s">
        <v>12865</v>
      </c>
      <c r="Y236" s="2">
        <v>29357</v>
      </c>
      <c r="Z236" s="2">
        <v>45824</v>
      </c>
      <c r="AB236" s="3"/>
      <c r="AC236" s="80"/>
      <c r="AF236" t="s">
        <v>3198</v>
      </c>
      <c r="AI236" t="s">
        <v>3392</v>
      </c>
      <c r="AJ236" s="2">
        <v>45916</v>
      </c>
      <c r="AM236" s="74">
        <v>45924</v>
      </c>
      <c r="AT236" s="1"/>
    </row>
    <row r="237" spans="1:139">
      <c r="A237" s="1">
        <v>236</v>
      </c>
      <c r="B237" t="s">
        <v>5635</v>
      </c>
      <c r="C237" s="2">
        <v>45824</v>
      </c>
      <c r="D237" s="2"/>
      <c r="E237" s="1" t="s">
        <v>11221</v>
      </c>
      <c r="F237" s="61" t="s">
        <v>11222</v>
      </c>
      <c r="G237" t="s">
        <v>11223</v>
      </c>
      <c r="H237" s="6" t="s">
        <v>1424</v>
      </c>
      <c r="I237" s="1" t="s">
        <v>1425</v>
      </c>
      <c r="J237" s="430"/>
      <c r="K237" s="396" t="s">
        <v>10609</v>
      </c>
      <c r="L237" s="1" t="s">
        <v>11221</v>
      </c>
      <c r="M237" s="2">
        <v>45838</v>
      </c>
      <c r="N237" s="1" t="s">
        <v>35</v>
      </c>
      <c r="O237" s="61" t="s">
        <v>7925</v>
      </c>
      <c r="P237" s="14" t="s">
        <v>11224</v>
      </c>
      <c r="Q237" s="187">
        <v>115.7</v>
      </c>
      <c r="R237" s="1">
        <v>1</v>
      </c>
      <c r="S237" s="128">
        <v>0.21</v>
      </c>
      <c r="T237" s="128">
        <v>0</v>
      </c>
      <c r="U237" s="363"/>
      <c r="V237" s="126">
        <f t="shared" si="123"/>
        <v>139.99700000000001</v>
      </c>
      <c r="W237" t="s">
        <v>11287</v>
      </c>
      <c r="X237" s="6" t="s">
        <v>12580</v>
      </c>
      <c r="Y237" s="3">
        <v>30026</v>
      </c>
      <c r="Z237" s="2">
        <v>45824</v>
      </c>
      <c r="AA237" s="3"/>
      <c r="AB237" s="3"/>
      <c r="AC237" s="3"/>
      <c r="AF237" t="s">
        <v>3198</v>
      </c>
      <c r="AI237" s="76" t="s">
        <v>3392</v>
      </c>
      <c r="AJ237" s="2">
        <v>45863</v>
      </c>
      <c r="AM237" s="3"/>
    </row>
    <row r="238" spans="1:139" s="197" customFormat="1">
      <c r="A238" s="1">
        <v>237</v>
      </c>
      <c r="B238" s="61" t="s">
        <v>4321</v>
      </c>
      <c r="C238" s="2">
        <v>45828</v>
      </c>
      <c r="D238" s="2"/>
      <c r="E238" s="1" t="s">
        <v>3427</v>
      </c>
      <c r="F238" s="61" t="s">
        <v>3428</v>
      </c>
      <c r="G238" s="61" t="s">
        <v>3433</v>
      </c>
      <c r="H238" s="6" t="s">
        <v>3429</v>
      </c>
      <c r="I238" s="1" t="s">
        <v>86</v>
      </c>
      <c r="J238" s="1">
        <v>650379091</v>
      </c>
      <c r="K238" s="8" t="s">
        <v>5991</v>
      </c>
      <c r="L238" s="1" t="s">
        <v>3427</v>
      </c>
      <c r="M238" s="2">
        <v>45838</v>
      </c>
      <c r="N238" t="s">
        <v>35</v>
      </c>
      <c r="O238" s="61" t="s">
        <v>12352</v>
      </c>
      <c r="P238" s="14" t="s">
        <v>12360</v>
      </c>
      <c r="Q238" s="187">
        <v>115.7</v>
      </c>
      <c r="R238" s="1">
        <v>1</v>
      </c>
      <c r="S238" s="128">
        <v>0.21</v>
      </c>
      <c r="T238" s="128">
        <v>0</v>
      </c>
      <c r="U238" s="363"/>
      <c r="V238" s="126">
        <f t="shared" si="123"/>
        <v>139.99700000000001</v>
      </c>
      <c r="W238" t="s">
        <v>12603</v>
      </c>
      <c r="X238" s="401" t="s">
        <v>12604</v>
      </c>
      <c r="Y238" s="2">
        <v>31930</v>
      </c>
      <c r="Z238" s="2">
        <v>45828</v>
      </c>
      <c r="AA238"/>
      <c r="AB238" s="64"/>
      <c r="AC238" s="80"/>
      <c r="AD238"/>
      <c r="AE238"/>
      <c r="AF238" t="s">
        <v>3198</v>
      </c>
      <c r="AG238"/>
      <c r="AH238"/>
      <c r="AI238" t="s">
        <v>3392</v>
      </c>
      <c r="AJ238" s="2"/>
      <c r="AK238"/>
      <c r="AL238"/>
      <c r="AM238" s="2">
        <v>45874</v>
      </c>
      <c r="AN238"/>
      <c r="AO238"/>
      <c r="AP238"/>
      <c r="AQ238"/>
      <c r="AR238"/>
      <c r="AS238"/>
      <c r="AT238" s="1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</row>
    <row r="239" spans="1:139" s="197" customFormat="1">
      <c r="A239" s="1">
        <v>238</v>
      </c>
      <c r="B239" s="61" t="s">
        <v>12361</v>
      </c>
      <c r="C239" s="2">
        <v>45831</v>
      </c>
      <c r="D239" s="2"/>
      <c r="E239" s="1" t="s">
        <v>12362</v>
      </c>
      <c r="F239" s="61" t="s">
        <v>12363</v>
      </c>
      <c r="G239" s="61" t="s">
        <v>12364</v>
      </c>
      <c r="H239" s="6" t="s">
        <v>220</v>
      </c>
      <c r="I239" s="1" t="s">
        <v>39</v>
      </c>
      <c r="J239" s="1" t="s">
        <v>12365</v>
      </c>
      <c r="K239" s="8"/>
      <c r="L239" s="1" t="s">
        <v>12362</v>
      </c>
      <c r="M239" s="2">
        <v>45838</v>
      </c>
      <c r="N239" t="s">
        <v>35</v>
      </c>
      <c r="O239" s="61" t="s">
        <v>9758</v>
      </c>
      <c r="P239" s="14" t="s">
        <v>12366</v>
      </c>
      <c r="Q239" s="187">
        <v>115.7</v>
      </c>
      <c r="R239" s="1">
        <v>1</v>
      </c>
      <c r="S239" s="128">
        <v>0.21</v>
      </c>
      <c r="T239" s="128">
        <v>0</v>
      </c>
      <c r="U239" s="363"/>
      <c r="V239" s="126">
        <f t="shared" ref="V239" si="124">SUM(Q239-(Q239*T239))*S239+(Q239-(Q239*T239))</f>
        <v>139.99700000000001</v>
      </c>
      <c r="W239" t="s">
        <v>12465</v>
      </c>
      <c r="X239" s="401" t="s">
        <v>12466</v>
      </c>
      <c r="Y239" s="2">
        <v>32422</v>
      </c>
      <c r="Z239" s="2">
        <v>45831</v>
      </c>
      <c r="AA239" s="403" t="s">
        <v>13100</v>
      </c>
      <c r="AB239" s="2">
        <v>45940</v>
      </c>
      <c r="AC239" s="80" t="s">
        <v>1339</v>
      </c>
      <c r="AD239"/>
      <c r="AE239"/>
      <c r="AF239" t="s">
        <v>3198</v>
      </c>
      <c r="AG239"/>
      <c r="AH239"/>
      <c r="AI239" s="76" t="s">
        <v>3470</v>
      </c>
      <c r="AJ239" s="2">
        <v>45852</v>
      </c>
      <c r="AK239"/>
      <c r="AL239"/>
      <c r="AM239" s="2"/>
      <c r="AN239"/>
      <c r="AO239"/>
      <c r="AP239"/>
      <c r="AQ239"/>
      <c r="AR239"/>
      <c r="AS239"/>
      <c r="AT239" s="1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</row>
    <row r="240" spans="1:139">
      <c r="A240" s="1">
        <v>239</v>
      </c>
      <c r="B240" s="61" t="s">
        <v>37</v>
      </c>
      <c r="C240" s="2">
        <v>45831</v>
      </c>
      <c r="D240" s="2"/>
      <c r="E240" t="s">
        <v>10442</v>
      </c>
      <c r="F240" s="61" t="s">
        <v>10411</v>
      </c>
      <c r="G240" s="61" t="s">
        <v>10406</v>
      </c>
      <c r="H240" s="6" t="s">
        <v>232</v>
      </c>
      <c r="I240" s="1" t="s">
        <v>144</v>
      </c>
      <c r="J240" s="1">
        <v>647465499</v>
      </c>
      <c r="K240" s="1"/>
      <c r="L240" t="s">
        <v>10442</v>
      </c>
      <c r="M240" s="2">
        <v>45838</v>
      </c>
      <c r="N240" s="1" t="s">
        <v>35</v>
      </c>
      <c r="O240" s="61" t="s">
        <v>7934</v>
      </c>
      <c r="P240" s="14" t="s">
        <v>12367</v>
      </c>
      <c r="Q240" s="187">
        <v>115.7</v>
      </c>
      <c r="R240" s="1">
        <v>1</v>
      </c>
      <c r="S240" s="128">
        <v>0.21</v>
      </c>
      <c r="T240" s="128">
        <v>0</v>
      </c>
      <c r="U240" s="363"/>
      <c r="V240" s="126">
        <f t="shared" ref="V240:V241" si="125">SUM(Q240-(Q240*T240))*S240+(Q240-(Q240*T240))</f>
        <v>139.99700000000001</v>
      </c>
      <c r="W240" t="s">
        <v>10442</v>
      </c>
      <c r="X240" s="5" t="s">
        <v>12373</v>
      </c>
      <c r="Y240" s="2">
        <v>36436</v>
      </c>
      <c r="Z240" s="2">
        <v>45831</v>
      </c>
      <c r="AA240" s="11" t="s">
        <v>12916</v>
      </c>
      <c r="AB240" s="3">
        <v>45919</v>
      </c>
      <c r="AC240" s="80" t="s">
        <v>1339</v>
      </c>
      <c r="AF240" t="s">
        <v>3198</v>
      </c>
      <c r="AI240" s="76" t="s">
        <v>3470</v>
      </c>
      <c r="AJ240" s="3">
        <v>45874</v>
      </c>
      <c r="AM240" s="74"/>
      <c r="AT240" s="1"/>
    </row>
    <row r="241" spans="1:139" s="197" customFormat="1">
      <c r="A241" s="1">
        <v>240</v>
      </c>
      <c r="B241" s="61" t="s">
        <v>12361</v>
      </c>
      <c r="C241" s="2">
        <v>45831</v>
      </c>
      <c r="D241" s="2"/>
      <c r="E241" s="1" t="s">
        <v>12362</v>
      </c>
      <c r="F241" s="61" t="s">
        <v>12363</v>
      </c>
      <c r="G241" s="61" t="s">
        <v>12364</v>
      </c>
      <c r="H241" s="6" t="s">
        <v>220</v>
      </c>
      <c r="I241" s="1" t="s">
        <v>39</v>
      </c>
      <c r="J241" s="1" t="s">
        <v>12365</v>
      </c>
      <c r="K241" s="8"/>
      <c r="L241" s="1" t="s">
        <v>12362</v>
      </c>
      <c r="M241" s="2">
        <v>45838</v>
      </c>
      <c r="N241" t="s">
        <v>35</v>
      </c>
      <c r="O241" s="61" t="s">
        <v>9758</v>
      </c>
      <c r="P241" s="14" t="s">
        <v>12368</v>
      </c>
      <c r="Q241" s="187">
        <v>115.7</v>
      </c>
      <c r="R241" s="1">
        <v>1</v>
      </c>
      <c r="S241" s="128">
        <v>0.21</v>
      </c>
      <c r="T241" s="128">
        <v>0</v>
      </c>
      <c r="U241" s="363"/>
      <c r="V241" s="126">
        <f t="shared" si="125"/>
        <v>139.99700000000001</v>
      </c>
      <c r="W241" t="s">
        <v>13101</v>
      </c>
      <c r="X241" s="401" t="s">
        <v>13102</v>
      </c>
      <c r="Y241" s="2">
        <v>29840</v>
      </c>
      <c r="Z241" s="2">
        <v>45831</v>
      </c>
      <c r="AA241" s="403" t="s">
        <v>13100</v>
      </c>
      <c r="AB241" s="2">
        <v>45940</v>
      </c>
      <c r="AC241" s="80" t="s">
        <v>1339</v>
      </c>
      <c r="AD241"/>
      <c r="AE241"/>
      <c r="AF241" t="s">
        <v>3198</v>
      </c>
      <c r="AG241"/>
      <c r="AH241"/>
      <c r="AI241" s="76" t="s">
        <v>3470</v>
      </c>
      <c r="AJ241" s="2"/>
      <c r="AK241"/>
      <c r="AL241"/>
      <c r="AM241" s="2"/>
      <c r="AN241"/>
      <c r="AO241"/>
      <c r="AP241"/>
      <c r="AQ241"/>
      <c r="AR241"/>
      <c r="AS241"/>
      <c r="AT241" s="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</row>
    <row r="242" spans="1:139" s="197" customFormat="1">
      <c r="A242" s="1">
        <v>241</v>
      </c>
      <c r="B242" s="61" t="s">
        <v>52</v>
      </c>
      <c r="C242" s="2">
        <v>45834</v>
      </c>
      <c r="D242" s="403" t="s">
        <v>9900</v>
      </c>
      <c r="E242" s="2" t="s">
        <v>12369</v>
      </c>
      <c r="F242" s="61" t="s">
        <v>12370</v>
      </c>
      <c r="G242" s="61" t="s">
        <v>12371</v>
      </c>
      <c r="H242" s="6" t="s">
        <v>227</v>
      </c>
      <c r="I242" s="1" t="s">
        <v>203</v>
      </c>
      <c r="J242" s="1"/>
      <c r="K242" t="s">
        <v>5906</v>
      </c>
      <c r="L242" t="s">
        <v>4432</v>
      </c>
      <c r="M242" s="2">
        <v>45838</v>
      </c>
      <c r="N242" t="s">
        <v>35</v>
      </c>
      <c r="O242" s="61" t="s">
        <v>9758</v>
      </c>
      <c r="P242" s="14" t="s">
        <v>12372</v>
      </c>
      <c r="Q242" s="187">
        <v>115.7</v>
      </c>
      <c r="R242" s="1">
        <v>1</v>
      </c>
      <c r="S242" s="128">
        <v>0.21</v>
      </c>
      <c r="T242" s="128">
        <v>0</v>
      </c>
      <c r="U242" s="363"/>
      <c r="V242" s="126">
        <f t="shared" ref="V242" si="126">SUM(Q242-(Q242*T242))*S242+(Q242-(Q242*T242))</f>
        <v>139.99700000000001</v>
      </c>
      <c r="W242" t="s">
        <v>12451</v>
      </c>
      <c r="X242" s="401" t="s">
        <v>12452</v>
      </c>
      <c r="Y242" s="2">
        <v>38243</v>
      </c>
      <c r="Z242" s="2">
        <v>45834</v>
      </c>
      <c r="AA242" s="11" t="s">
        <v>12916</v>
      </c>
      <c r="AB242" s="2">
        <v>45940</v>
      </c>
      <c r="AC242" s="80" t="s">
        <v>1339</v>
      </c>
      <c r="AD242"/>
      <c r="AE242"/>
      <c r="AF242" t="s">
        <v>3198</v>
      </c>
      <c r="AG242"/>
      <c r="AH242"/>
      <c r="AI242" t="s">
        <v>3470</v>
      </c>
      <c r="AJ242" s="2">
        <v>45852</v>
      </c>
      <c r="AK242"/>
      <c r="AL242"/>
      <c r="AM242" s="2"/>
      <c r="AN242"/>
      <c r="AO242"/>
      <c r="AP242"/>
      <c r="AQ242"/>
      <c r="AR242"/>
      <c r="AS242"/>
      <c r="AT242" s="1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</row>
    <row r="243" spans="1:139">
      <c r="A243" s="1">
        <v>242</v>
      </c>
      <c r="B243" t="s">
        <v>37</v>
      </c>
      <c r="C243" s="2">
        <v>45834</v>
      </c>
      <c r="D243" s="1"/>
      <c r="E243" s="1" t="s">
        <v>12379</v>
      </c>
      <c r="F243" s="61" t="s">
        <v>12310</v>
      </c>
      <c r="G243" t="s">
        <v>12311</v>
      </c>
      <c r="H243" s="6" t="s">
        <v>242</v>
      </c>
      <c r="I243" s="1" t="s">
        <v>5083</v>
      </c>
      <c r="J243" s="8"/>
      <c r="K243" s="396"/>
      <c r="L243" s="1" t="s">
        <v>12379</v>
      </c>
      <c r="M243" s="2">
        <v>45838</v>
      </c>
      <c r="N243" s="1" t="s">
        <v>35</v>
      </c>
      <c r="O243" s="375" t="s">
        <v>7934</v>
      </c>
      <c r="P243" s="14" t="s">
        <v>12380</v>
      </c>
      <c r="Q243" s="187">
        <v>115.7</v>
      </c>
      <c r="R243" s="1">
        <v>1</v>
      </c>
      <c r="S243" s="90">
        <v>0.21</v>
      </c>
      <c r="T243" s="90">
        <v>0</v>
      </c>
      <c r="U243" s="363"/>
      <c r="V243" s="126">
        <f t="shared" ref="V243" si="127">SUM(Q243-(Q243*T243))*S243+(Q243-(Q243*T243))</f>
        <v>139.99700000000001</v>
      </c>
      <c r="W243" t="s">
        <v>12381</v>
      </c>
      <c r="X243" s="5" t="s">
        <v>12537</v>
      </c>
      <c r="Y243" s="2">
        <v>33684</v>
      </c>
      <c r="Z243" s="2">
        <v>45834</v>
      </c>
      <c r="AA243" s="11" t="s">
        <v>13322</v>
      </c>
      <c r="AB243" s="2">
        <v>45953</v>
      </c>
      <c r="AC243" s="80" t="s">
        <v>1339</v>
      </c>
      <c r="AF243" t="s">
        <v>3198</v>
      </c>
      <c r="AI243" t="s">
        <v>3392</v>
      </c>
      <c r="AJ243" s="2">
        <v>45852</v>
      </c>
      <c r="AL243" s="3"/>
      <c r="AM243" s="74">
        <v>45859</v>
      </c>
      <c r="AT243" s="1"/>
    </row>
    <row r="244" spans="1:139" s="197" customFormat="1">
      <c r="A244" s="1">
        <v>243</v>
      </c>
      <c r="B244" s="61" t="s">
        <v>37</v>
      </c>
      <c r="C244" s="2">
        <v>45835</v>
      </c>
      <c r="D244" s="403" t="s">
        <v>9900</v>
      </c>
      <c r="E244" s="1" t="s">
        <v>12382</v>
      </c>
      <c r="F244" s="61" t="s">
        <v>12383</v>
      </c>
      <c r="G244" s="61" t="s">
        <v>12384</v>
      </c>
      <c r="H244" s="6" t="s">
        <v>245</v>
      </c>
      <c r="I244" s="1" t="s">
        <v>54</v>
      </c>
      <c r="J244" s="1"/>
      <c r="K244" s="8"/>
      <c r="L244" s="1" t="s">
        <v>12382</v>
      </c>
      <c r="M244" s="2">
        <v>45838</v>
      </c>
      <c r="N244" s="1" t="s">
        <v>35</v>
      </c>
      <c r="O244" s="375" t="s">
        <v>9758</v>
      </c>
      <c r="P244" s="14" t="s">
        <v>12385</v>
      </c>
      <c r="Q244" s="187">
        <v>165.29</v>
      </c>
      <c r="R244" s="1">
        <v>1</v>
      </c>
      <c r="S244" s="90">
        <v>0.21</v>
      </c>
      <c r="T244" s="90">
        <v>0</v>
      </c>
      <c r="U244" s="363"/>
      <c r="V244" s="126">
        <f t="shared" ref="V244" si="128">SUM(Q244-(Q244*T244))*S244+(Q244-(Q244*T244))</f>
        <v>200.0009</v>
      </c>
      <c r="W244" t="s">
        <v>2897</v>
      </c>
      <c r="X244" s="401" t="s">
        <v>12458</v>
      </c>
      <c r="Y244" s="2">
        <v>37165</v>
      </c>
      <c r="Z244" s="2">
        <v>45835</v>
      </c>
      <c r="AA244" s="403" t="s">
        <v>13078</v>
      </c>
      <c r="AB244" s="2">
        <v>45936</v>
      </c>
      <c r="AC244" s="80" t="s">
        <v>1339</v>
      </c>
      <c r="AD244"/>
      <c r="AE244"/>
      <c r="AF244" t="s">
        <v>3198</v>
      </c>
      <c r="AG244"/>
      <c r="AH244"/>
      <c r="AI244" t="s">
        <v>3392</v>
      </c>
      <c r="AJ244" s="2">
        <v>45852</v>
      </c>
      <c r="AK244"/>
      <c r="AL244"/>
      <c r="AM244" s="2"/>
      <c r="AN244"/>
      <c r="AO244"/>
      <c r="AP244"/>
      <c r="AQ244"/>
      <c r="AR244"/>
      <c r="AS244"/>
      <c r="AT244" s="1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</row>
    <row r="245" spans="1:139" s="197" customFormat="1">
      <c r="A245" s="1">
        <v>244</v>
      </c>
      <c r="B245" s="61" t="s">
        <v>37</v>
      </c>
      <c r="C245" s="2">
        <v>45838</v>
      </c>
      <c r="D245" s="403" t="s">
        <v>9900</v>
      </c>
      <c r="E245" s="1" t="s">
        <v>12387</v>
      </c>
      <c r="F245" s="61" t="s">
        <v>12388</v>
      </c>
      <c r="G245" s="61" t="s">
        <v>12389</v>
      </c>
      <c r="H245" s="6" t="s">
        <v>242</v>
      </c>
      <c r="I245" s="1" t="s">
        <v>12235</v>
      </c>
      <c r="J245" s="1" t="s">
        <v>12390</v>
      </c>
      <c r="K245" s="8"/>
      <c r="L245" s="1" t="s">
        <v>12387</v>
      </c>
      <c r="M245" s="2">
        <v>45838</v>
      </c>
      <c r="N245" s="1" t="s">
        <v>35</v>
      </c>
      <c r="O245" s="61" t="s">
        <v>7931</v>
      </c>
      <c r="P245" s="14" t="s">
        <v>12391</v>
      </c>
      <c r="Q245" s="187">
        <v>100</v>
      </c>
      <c r="R245" s="1">
        <v>1</v>
      </c>
      <c r="S245" s="128">
        <v>0.21</v>
      </c>
      <c r="T245" s="128">
        <v>0</v>
      </c>
      <c r="U245" s="363"/>
      <c r="V245" s="126">
        <f t="shared" ref="V245" si="129">SUM(Q245-(Q245*T245))*S245+(Q245-(Q245*T245))</f>
        <v>121</v>
      </c>
      <c r="W245"/>
      <c r="X245" s="401"/>
      <c r="Y245" s="2"/>
      <c r="Z245" s="2"/>
      <c r="AA245"/>
      <c r="AB245" s="2"/>
      <c r="AC245" s="80"/>
      <c r="AD245"/>
      <c r="AE245"/>
      <c r="AF245"/>
      <c r="AG245"/>
      <c r="AH245"/>
      <c r="AI245"/>
      <c r="AJ245" s="2"/>
      <c r="AK245"/>
      <c r="AL245"/>
      <c r="AM245" s="2"/>
      <c r="AN245"/>
      <c r="AO245"/>
      <c r="AP245"/>
      <c r="AQ245"/>
      <c r="AR245"/>
      <c r="AS245"/>
      <c r="AT245" s="1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</row>
    <row r="246" spans="1:139">
      <c r="A246" s="1">
        <v>245</v>
      </c>
      <c r="B246" t="s">
        <v>119</v>
      </c>
      <c r="C246" s="2">
        <v>45838</v>
      </c>
      <c r="D246" s="2"/>
      <c r="E246" s="1"/>
      <c r="F246" s="61" t="s">
        <v>4012</v>
      </c>
      <c r="G246" s="61" t="s">
        <v>4024</v>
      </c>
      <c r="H246" s="6" t="s">
        <v>239</v>
      </c>
      <c r="I246" s="1" t="s">
        <v>86</v>
      </c>
      <c r="J246" s="430"/>
      <c r="K246" s="396"/>
      <c r="L246" s="1" t="s">
        <v>4011</v>
      </c>
      <c r="M246" s="2">
        <v>45838</v>
      </c>
      <c r="N246" s="1" t="s">
        <v>35</v>
      </c>
      <c r="O246" s="61" t="s">
        <v>12352</v>
      </c>
      <c r="P246" s="14" t="s">
        <v>12394</v>
      </c>
      <c r="Q246" s="187">
        <v>115.7</v>
      </c>
      <c r="R246" s="1">
        <v>1</v>
      </c>
      <c r="S246" s="128">
        <v>0.21</v>
      </c>
      <c r="T246" s="128">
        <v>0</v>
      </c>
      <c r="U246" s="363"/>
      <c r="V246" s="126">
        <f t="shared" ref="V246:V249" si="130">SUM(Q246-(Q246*T246))*S246+(Q246-(Q246*T246))</f>
        <v>139.99700000000001</v>
      </c>
      <c r="W246" t="s">
        <v>12652</v>
      </c>
      <c r="X246" s="6" t="s">
        <v>12653</v>
      </c>
      <c r="Y246" s="3">
        <v>29935</v>
      </c>
      <c r="Z246" s="2">
        <v>45838</v>
      </c>
      <c r="AA246" s="2"/>
      <c r="AB246" s="2"/>
      <c r="AC246" s="80"/>
      <c r="AF246" t="s">
        <v>3198</v>
      </c>
      <c r="AI246" t="s">
        <v>3392</v>
      </c>
      <c r="AJ246" s="3">
        <v>45876</v>
      </c>
      <c r="AM246" s="3">
        <v>45891</v>
      </c>
    </row>
    <row r="247" spans="1:139">
      <c r="A247" s="1">
        <v>246</v>
      </c>
      <c r="B247" t="s">
        <v>1414</v>
      </c>
      <c r="C247" s="2">
        <v>45838</v>
      </c>
      <c r="D247" s="2"/>
      <c r="E247" s="2" t="s">
        <v>11939</v>
      </c>
      <c r="F247" s="61" t="s">
        <v>11940</v>
      </c>
      <c r="G247" t="s">
        <v>11941</v>
      </c>
      <c r="H247" s="6" t="s">
        <v>219</v>
      </c>
      <c r="I247" s="1" t="s">
        <v>38</v>
      </c>
      <c r="J247" s="8"/>
      <c r="K247" s="396" t="s">
        <v>8355</v>
      </c>
      <c r="L247" s="2" t="s">
        <v>11939</v>
      </c>
      <c r="M247" s="2">
        <v>45838</v>
      </c>
      <c r="N247" s="1" t="s">
        <v>35</v>
      </c>
      <c r="O247" s="61" t="s">
        <v>12352</v>
      </c>
      <c r="P247" s="14" t="s">
        <v>12395</v>
      </c>
      <c r="Q247" s="254">
        <v>115.7</v>
      </c>
      <c r="R247" s="1">
        <v>1</v>
      </c>
      <c r="S247" s="128">
        <v>0.21</v>
      </c>
      <c r="T247" s="128">
        <v>0</v>
      </c>
      <c r="U247" s="363"/>
      <c r="V247" s="126">
        <f t="shared" si="130"/>
        <v>139.99700000000001</v>
      </c>
      <c r="W247" t="s">
        <v>12608</v>
      </c>
      <c r="X247" s="5" t="s">
        <v>12609</v>
      </c>
      <c r="Y247" s="3">
        <v>34349</v>
      </c>
      <c r="Z247" s="2">
        <v>45838</v>
      </c>
      <c r="AA247" s="2"/>
      <c r="AB247" s="2"/>
      <c r="AC247" s="80"/>
      <c r="AF247" t="s">
        <v>3198</v>
      </c>
      <c r="AI247" s="76" t="s">
        <v>12393</v>
      </c>
      <c r="AJ247" s="3">
        <v>45874</v>
      </c>
      <c r="AM247" s="3"/>
    </row>
    <row r="248" spans="1:139">
      <c r="A248" s="1">
        <v>247</v>
      </c>
      <c r="B248" t="s">
        <v>33</v>
      </c>
      <c r="C248" s="2">
        <v>45838</v>
      </c>
      <c r="D248" s="2"/>
      <c r="E248" s="1" t="s">
        <v>9015</v>
      </c>
      <c r="F248" s="14" t="s">
        <v>9016</v>
      </c>
      <c r="G248" t="s">
        <v>9017</v>
      </c>
      <c r="H248" s="6" t="s">
        <v>236</v>
      </c>
      <c r="I248" s="1" t="s">
        <v>34</v>
      </c>
      <c r="J248" s="8"/>
      <c r="K248" s="114" t="s">
        <v>11744</v>
      </c>
      <c r="L248" t="s">
        <v>237</v>
      </c>
      <c r="M248" s="2">
        <v>45838</v>
      </c>
      <c r="N248" s="1" t="s">
        <v>35</v>
      </c>
      <c r="O248" s="61" t="s">
        <v>12352</v>
      </c>
      <c r="P248" s="14" t="s">
        <v>12398</v>
      </c>
      <c r="Q248" s="92">
        <v>115.7</v>
      </c>
      <c r="R248" s="1">
        <v>1</v>
      </c>
      <c r="S248" s="128">
        <v>0.21</v>
      </c>
      <c r="T248" s="128">
        <v>0</v>
      </c>
      <c r="U248" s="95"/>
      <c r="V248" s="95">
        <f t="shared" si="130"/>
        <v>139.99700000000001</v>
      </c>
      <c r="W248" t="s">
        <v>12649</v>
      </c>
      <c r="X248" s="5" t="s">
        <v>12650</v>
      </c>
      <c r="Y248" s="2">
        <v>35729</v>
      </c>
      <c r="Z248" s="2">
        <v>45838</v>
      </c>
      <c r="AA248" s="2"/>
      <c r="AB248" s="2"/>
      <c r="AC248" s="80"/>
      <c r="AF248" t="s">
        <v>3198</v>
      </c>
      <c r="AI248" s="76" t="s">
        <v>3392</v>
      </c>
      <c r="AJ248" s="2">
        <v>45876</v>
      </c>
      <c r="AM248" s="74"/>
      <c r="AT248" s="1"/>
    </row>
    <row r="249" spans="1:139">
      <c r="A249" s="1">
        <v>248</v>
      </c>
      <c r="B249" s="61" t="s">
        <v>6452</v>
      </c>
      <c r="C249" s="2">
        <v>45838</v>
      </c>
      <c r="D249" s="2"/>
      <c r="E249" s="1" t="s">
        <v>6534</v>
      </c>
      <c r="F249" t="s">
        <v>6535</v>
      </c>
      <c r="G249" s="61" t="s">
        <v>6536</v>
      </c>
      <c r="H249" s="6" t="s">
        <v>4929</v>
      </c>
      <c r="I249" s="1" t="s">
        <v>6537</v>
      </c>
      <c r="J249" s="44">
        <v>699378832</v>
      </c>
      <c r="K249" s="44" t="s">
        <v>6538</v>
      </c>
      <c r="L249" t="s">
        <v>6534</v>
      </c>
      <c r="M249" s="2">
        <v>45838</v>
      </c>
      <c r="N249" s="1" t="s">
        <v>35</v>
      </c>
      <c r="O249" s="61" t="s">
        <v>12352</v>
      </c>
      <c r="P249" s="14" t="s">
        <v>12399</v>
      </c>
      <c r="Q249" s="92">
        <v>115.7</v>
      </c>
      <c r="R249" s="1">
        <v>1</v>
      </c>
      <c r="S249" s="128">
        <v>0.21</v>
      </c>
      <c r="T249" s="128">
        <v>0</v>
      </c>
      <c r="V249" s="95">
        <f t="shared" si="130"/>
        <v>139.99700000000001</v>
      </c>
      <c r="W249" t="s">
        <v>12640</v>
      </c>
      <c r="X249" s="5" t="s">
        <v>12641</v>
      </c>
      <c r="Y249" s="2">
        <v>26299</v>
      </c>
      <c r="Z249" s="2">
        <v>45838</v>
      </c>
      <c r="AA249" s="2"/>
      <c r="AB249" s="3"/>
      <c r="AC249" s="80"/>
      <c r="AE249" s="3"/>
      <c r="AF249" t="s">
        <v>3198</v>
      </c>
      <c r="AI249" t="s">
        <v>3392</v>
      </c>
      <c r="AJ249" s="2">
        <v>45876</v>
      </c>
      <c r="AM249" s="74">
        <v>45888</v>
      </c>
      <c r="AT249" s="1"/>
    </row>
    <row r="250" spans="1:139">
      <c r="A250" s="1">
        <v>249</v>
      </c>
      <c r="B250" s="61" t="s">
        <v>143</v>
      </c>
      <c r="C250" s="2">
        <v>45839</v>
      </c>
      <c r="D250" s="403" t="s">
        <v>9900</v>
      </c>
      <c r="E250" s="1" t="s">
        <v>12642</v>
      </c>
      <c r="F250" s="61" t="s">
        <v>12401</v>
      </c>
      <c r="G250" s="61" t="s">
        <v>12402</v>
      </c>
      <c r="H250" s="6" t="s">
        <v>220</v>
      </c>
      <c r="I250" s="1" t="s">
        <v>39</v>
      </c>
      <c r="J250" s="44" t="s">
        <v>12403</v>
      </c>
      <c r="K250" s="44"/>
      <c r="L250" s="1" t="s">
        <v>12642</v>
      </c>
      <c r="M250" s="2">
        <v>45869</v>
      </c>
      <c r="N250" s="1" t="s">
        <v>35</v>
      </c>
      <c r="O250" s="61" t="s">
        <v>12352</v>
      </c>
      <c r="P250" s="14" t="s">
        <v>12404</v>
      </c>
      <c r="Q250" s="92">
        <v>165.29</v>
      </c>
      <c r="R250" s="1">
        <v>1</v>
      </c>
      <c r="S250" s="128">
        <v>0.21</v>
      </c>
      <c r="T250" s="128">
        <v>0</v>
      </c>
      <c r="U250" s="363"/>
      <c r="V250" s="126">
        <f t="shared" ref="V250:V252" si="131">SUM(Q250-(Q250*T250))*S250+(Q250-(Q250*T250))</f>
        <v>200.0009</v>
      </c>
      <c r="W250" t="s">
        <v>12642</v>
      </c>
      <c r="X250" s="5" t="s">
        <v>12643</v>
      </c>
      <c r="Y250" s="2">
        <v>35795</v>
      </c>
      <c r="Z250" s="2">
        <v>45839</v>
      </c>
      <c r="AA250" s="2"/>
      <c r="AB250" s="2"/>
      <c r="AC250" s="80"/>
      <c r="AE250" s="3"/>
      <c r="AF250" t="s">
        <v>3198</v>
      </c>
      <c r="AI250" t="s">
        <v>10232</v>
      </c>
      <c r="AJ250" s="2">
        <v>45876</v>
      </c>
      <c r="AM250" s="74">
        <v>45876</v>
      </c>
      <c r="AT250" s="1"/>
    </row>
    <row r="251" spans="1:139">
      <c r="A251" s="1">
        <v>250</v>
      </c>
      <c r="B251" s="61" t="s">
        <v>143</v>
      </c>
      <c r="C251" s="2">
        <v>45839</v>
      </c>
      <c r="D251" s="403" t="s">
        <v>9900</v>
      </c>
      <c r="E251" s="1" t="s">
        <v>12644</v>
      </c>
      <c r="F251" s="61" t="s">
        <v>12405</v>
      </c>
      <c r="G251" s="61" t="s">
        <v>12406</v>
      </c>
      <c r="H251" s="6" t="s">
        <v>220</v>
      </c>
      <c r="I251" s="1" t="s">
        <v>39</v>
      </c>
      <c r="J251" s="44" t="s">
        <v>12407</v>
      </c>
      <c r="K251" s="44"/>
      <c r="L251" s="1" t="s">
        <v>12644</v>
      </c>
      <c r="M251" s="2">
        <v>45869</v>
      </c>
      <c r="N251" s="1" t="s">
        <v>35</v>
      </c>
      <c r="O251" s="61" t="s">
        <v>12352</v>
      </c>
      <c r="P251" s="14" t="s">
        <v>12408</v>
      </c>
      <c r="Q251" s="92">
        <v>165.29</v>
      </c>
      <c r="R251" s="1">
        <v>1</v>
      </c>
      <c r="S251" s="128">
        <v>0.21</v>
      </c>
      <c r="T251" s="128">
        <v>0</v>
      </c>
      <c r="U251" s="363"/>
      <c r="V251" s="126">
        <f t="shared" ref="V251" si="132">SUM(Q251-(Q251*T251))*S251+(Q251-(Q251*T251))</f>
        <v>200.0009</v>
      </c>
      <c r="W251" t="s">
        <v>12644</v>
      </c>
      <c r="X251" s="5" t="s">
        <v>12645</v>
      </c>
      <c r="Y251" s="2">
        <v>37596</v>
      </c>
      <c r="Z251" s="2">
        <v>45839</v>
      </c>
      <c r="AA251" s="2"/>
      <c r="AB251" s="2"/>
      <c r="AC251" s="80"/>
      <c r="AE251" s="3"/>
      <c r="AF251" t="s">
        <v>3198</v>
      </c>
      <c r="AI251" s="76" t="s">
        <v>12409</v>
      </c>
      <c r="AJ251" s="2">
        <v>45876</v>
      </c>
      <c r="AM251" s="74">
        <v>45891</v>
      </c>
      <c r="AT251" s="1"/>
    </row>
    <row r="252" spans="1:139">
      <c r="A252" s="1">
        <v>251</v>
      </c>
      <c r="B252" s="61" t="s">
        <v>9196</v>
      </c>
      <c r="C252" s="2">
        <v>45840</v>
      </c>
      <c r="D252" s="403" t="s">
        <v>9900</v>
      </c>
      <c r="E252" s="1" t="s">
        <v>12410</v>
      </c>
      <c r="F252" s="61" t="s">
        <v>12411</v>
      </c>
      <c r="G252" s="61" t="s">
        <v>12412</v>
      </c>
      <c r="H252" s="6" t="s">
        <v>220</v>
      </c>
      <c r="I252" s="1" t="s">
        <v>39</v>
      </c>
      <c r="J252" s="44"/>
      <c r="K252" s="396" t="s">
        <v>7759</v>
      </c>
      <c r="L252" s="1" t="s">
        <v>12410</v>
      </c>
      <c r="M252" s="2">
        <v>45869</v>
      </c>
      <c r="N252" s="1" t="s">
        <v>35</v>
      </c>
      <c r="O252" s="61" t="s">
        <v>9758</v>
      </c>
      <c r="P252" s="14" t="s">
        <v>12413</v>
      </c>
      <c r="Q252" s="92">
        <v>115.7</v>
      </c>
      <c r="R252" s="1">
        <v>1</v>
      </c>
      <c r="S252" s="128">
        <v>0.21</v>
      </c>
      <c r="T252" s="128">
        <v>0</v>
      </c>
      <c r="U252" s="363"/>
      <c r="V252" s="126">
        <f t="shared" si="131"/>
        <v>139.99700000000001</v>
      </c>
      <c r="W252" t="s">
        <v>12453</v>
      </c>
      <c r="X252" s="5" t="s">
        <v>12454</v>
      </c>
      <c r="Y252" s="2">
        <v>39075</v>
      </c>
      <c r="Z252" s="2">
        <v>45840</v>
      </c>
      <c r="AA252" s="11" t="s">
        <v>13061</v>
      </c>
      <c r="AB252" s="2">
        <v>45940</v>
      </c>
      <c r="AC252" s="80" t="s">
        <v>1339</v>
      </c>
      <c r="AE252" s="3"/>
      <c r="AF252" t="s">
        <v>3198</v>
      </c>
      <c r="AI252" s="76" t="s">
        <v>3470</v>
      </c>
      <c r="AJ252" s="2">
        <v>45852</v>
      </c>
      <c r="AM252" s="74"/>
      <c r="AT252" s="1"/>
    </row>
    <row r="253" spans="1:139">
      <c r="A253" s="1">
        <v>252</v>
      </c>
      <c r="B253" s="61" t="s">
        <v>9196</v>
      </c>
      <c r="C253" s="2">
        <v>45842</v>
      </c>
      <c r="D253" s="2"/>
      <c r="E253" s="1" t="s">
        <v>4107</v>
      </c>
      <c r="F253" s="61" t="s">
        <v>4108</v>
      </c>
      <c r="G253" s="61" t="s">
        <v>4109</v>
      </c>
      <c r="H253" s="6" t="s">
        <v>259</v>
      </c>
      <c r="I253" s="1" t="s">
        <v>4110</v>
      </c>
      <c r="J253" s="1">
        <v>660981182</v>
      </c>
      <c r="K253" s="427" t="s">
        <v>10338</v>
      </c>
      <c r="L253" s="1" t="s">
        <v>4107</v>
      </c>
      <c r="M253" s="2">
        <v>45869</v>
      </c>
      <c r="N253" s="1" t="s">
        <v>35</v>
      </c>
      <c r="O253" s="14" t="s">
        <v>12352</v>
      </c>
      <c r="P253" s="14" t="s">
        <v>12414</v>
      </c>
      <c r="Q253" s="92">
        <v>115.7</v>
      </c>
      <c r="R253" s="1">
        <v>1</v>
      </c>
      <c r="S253" s="128">
        <v>0.21</v>
      </c>
      <c r="T253" s="128">
        <v>0</v>
      </c>
      <c r="U253" s="363"/>
      <c r="V253" s="126">
        <f t="shared" ref="V253:V254" si="133">SUM(Q253-(Q253*T253))*S253+(Q253-(Q253*T253))</f>
        <v>139.99700000000001</v>
      </c>
      <c r="W253" t="s">
        <v>12685</v>
      </c>
      <c r="X253" s="5" t="s">
        <v>12686</v>
      </c>
      <c r="Y253" s="2">
        <v>31978</v>
      </c>
      <c r="Z253" s="2">
        <v>45842</v>
      </c>
      <c r="AA253" s="2"/>
      <c r="AB253" s="2"/>
      <c r="AC253" s="80"/>
      <c r="AF253" t="s">
        <v>3198</v>
      </c>
      <c r="AI253" t="s">
        <v>3392</v>
      </c>
      <c r="AJ253" s="2">
        <v>45889</v>
      </c>
      <c r="AM253" s="74">
        <v>45894</v>
      </c>
      <c r="AT253" s="1"/>
    </row>
    <row r="254" spans="1:139">
      <c r="A254" s="1">
        <v>253</v>
      </c>
      <c r="B254" t="s">
        <v>1242</v>
      </c>
      <c r="C254" s="2">
        <v>45842</v>
      </c>
      <c r="D254" s="2"/>
      <c r="E254" s="8" t="s">
        <v>11798</v>
      </c>
      <c r="F254" t="s">
        <v>11800</v>
      </c>
      <c r="G254" t="s">
        <v>6389</v>
      </c>
      <c r="H254" s="6" t="s">
        <v>1229</v>
      </c>
      <c r="I254" s="1" t="s">
        <v>3454</v>
      </c>
      <c r="J254" s="8"/>
      <c r="K254" s="8" t="s">
        <v>5905</v>
      </c>
      <c r="L254" s="31" t="s">
        <v>1250</v>
      </c>
      <c r="M254" s="2">
        <v>45869</v>
      </c>
      <c r="N254" s="1" t="s">
        <v>35</v>
      </c>
      <c r="O254" s="61" t="s">
        <v>12352</v>
      </c>
      <c r="P254" s="14" t="s">
        <v>12415</v>
      </c>
      <c r="Q254" s="187">
        <v>115.7</v>
      </c>
      <c r="R254" s="1">
        <v>1</v>
      </c>
      <c r="S254" s="128">
        <v>0.21</v>
      </c>
      <c r="T254" s="128">
        <v>0</v>
      </c>
      <c r="V254" s="95">
        <f t="shared" si="133"/>
        <v>139.99700000000001</v>
      </c>
      <c r="W254" t="s">
        <v>6387</v>
      </c>
      <c r="X254" s="5" t="s">
        <v>12690</v>
      </c>
      <c r="Y254" s="2">
        <v>31270</v>
      </c>
      <c r="Z254" s="2">
        <v>45842</v>
      </c>
      <c r="AA254" s="3"/>
      <c r="AB254" s="64"/>
      <c r="AC254" s="80"/>
      <c r="AF254" t="s">
        <v>3198</v>
      </c>
      <c r="AI254" t="s">
        <v>3392</v>
      </c>
      <c r="AJ254" s="3">
        <v>45889</v>
      </c>
      <c r="AM254" s="74">
        <v>45889</v>
      </c>
      <c r="AT254" s="1"/>
    </row>
    <row r="255" spans="1:139">
      <c r="A255" s="1">
        <v>254</v>
      </c>
      <c r="B255" t="s">
        <v>5635</v>
      </c>
      <c r="C255" s="2">
        <v>45845</v>
      </c>
      <c r="D255" s="403" t="s">
        <v>9900</v>
      </c>
      <c r="E255" s="1" t="s">
        <v>12416</v>
      </c>
      <c r="F255" s="61" t="s">
        <v>12417</v>
      </c>
      <c r="G255" t="s">
        <v>12418</v>
      </c>
      <c r="H255" s="6" t="s">
        <v>964</v>
      </c>
      <c r="I255" s="1" t="s">
        <v>1366</v>
      </c>
      <c r="J255" s="8"/>
      <c r="K255" s="301" t="s">
        <v>10609</v>
      </c>
      <c r="L255" s="1" t="s">
        <v>12416</v>
      </c>
      <c r="M255" s="2">
        <v>45869</v>
      </c>
      <c r="N255" s="1" t="s">
        <v>35</v>
      </c>
      <c r="O255" s="61" t="s">
        <v>9758</v>
      </c>
      <c r="P255" s="14" t="s">
        <v>12419</v>
      </c>
      <c r="Q255" s="187">
        <v>115.7</v>
      </c>
      <c r="R255" s="1">
        <v>1</v>
      </c>
      <c r="S255" s="128">
        <v>0.21</v>
      </c>
      <c r="T255" s="128">
        <v>0</v>
      </c>
      <c r="V255" s="95">
        <f t="shared" ref="V255" si="134">SUM(Q255-(Q255*T255))*S255+(Q255-(Q255*T255))</f>
        <v>139.99700000000001</v>
      </c>
      <c r="W255" t="s">
        <v>12473</v>
      </c>
      <c r="X255" s="5" t="s">
        <v>12474</v>
      </c>
      <c r="Y255" s="2">
        <v>39281</v>
      </c>
      <c r="Z255" s="2">
        <v>45845</v>
      </c>
      <c r="AA255" s="403" t="s">
        <v>13362</v>
      </c>
      <c r="AB255" s="2">
        <v>45959</v>
      </c>
      <c r="AC255" s="80" t="s">
        <v>1339</v>
      </c>
      <c r="AF255" t="s">
        <v>3198</v>
      </c>
      <c r="AI255" s="76" t="s">
        <v>3470</v>
      </c>
      <c r="AJ255" s="3">
        <v>45852</v>
      </c>
      <c r="AM255" s="74"/>
      <c r="AT255" s="1"/>
    </row>
    <row r="256" spans="1:139">
      <c r="A256" s="1">
        <v>255</v>
      </c>
      <c r="B256" t="s">
        <v>119</v>
      </c>
      <c r="C256" s="2">
        <v>45845</v>
      </c>
      <c r="D256" s="403" t="s">
        <v>9900</v>
      </c>
      <c r="E256" s="1" t="s">
        <v>12420</v>
      </c>
      <c r="F256" s="61" t="s">
        <v>12421</v>
      </c>
      <c r="G256" t="s">
        <v>12422</v>
      </c>
      <c r="H256" s="6" t="s">
        <v>239</v>
      </c>
      <c r="I256" s="1" t="s">
        <v>86</v>
      </c>
      <c r="J256" s="8"/>
      <c r="K256" s="1" t="s">
        <v>8094</v>
      </c>
      <c r="L256" s="1" t="s">
        <v>12420</v>
      </c>
      <c r="M256" s="2">
        <v>45869</v>
      </c>
      <c r="N256" s="1" t="s">
        <v>35</v>
      </c>
      <c r="O256" s="61" t="s">
        <v>12352</v>
      </c>
      <c r="P256" s="14" t="s">
        <v>12423</v>
      </c>
      <c r="Q256" s="187">
        <v>115.7</v>
      </c>
      <c r="R256" s="1">
        <v>1</v>
      </c>
      <c r="S256" s="128">
        <v>0.21</v>
      </c>
      <c r="T256" s="128">
        <v>0</v>
      </c>
      <c r="V256" s="95">
        <f t="shared" ref="V256" si="135">SUM(Q256-(Q256*T256))*S256+(Q256-(Q256*T256))</f>
        <v>139.99700000000001</v>
      </c>
      <c r="W256" t="s">
        <v>12700</v>
      </c>
      <c r="X256" s="5" t="s">
        <v>12701</v>
      </c>
      <c r="Y256" s="2">
        <v>35834</v>
      </c>
      <c r="Z256" s="2">
        <v>45845</v>
      </c>
      <c r="AA256" s="3"/>
      <c r="AB256" s="2"/>
      <c r="AC256" s="80"/>
      <c r="AF256" t="s">
        <v>3198</v>
      </c>
      <c r="AI256" t="s">
        <v>12424</v>
      </c>
      <c r="AJ256" s="3">
        <v>45889</v>
      </c>
      <c r="AM256" s="74">
        <v>45891</v>
      </c>
      <c r="AT256" s="1"/>
    </row>
    <row r="257" spans="1:139">
      <c r="A257" s="1">
        <v>256</v>
      </c>
      <c r="B257" t="s">
        <v>37</v>
      </c>
      <c r="C257" s="2">
        <v>45845</v>
      </c>
      <c r="D257" s="403" t="s">
        <v>9900</v>
      </c>
      <c r="E257" s="1" t="s">
        <v>12425</v>
      </c>
      <c r="F257" s="61" t="s">
        <v>12426</v>
      </c>
      <c r="G257" t="s">
        <v>12427</v>
      </c>
      <c r="H257" s="6" t="s">
        <v>232</v>
      </c>
      <c r="I257" s="1" t="s">
        <v>144</v>
      </c>
      <c r="J257" s="8"/>
      <c r="K257" s="8"/>
      <c r="L257" s="1" t="s">
        <v>12425</v>
      </c>
      <c r="M257" s="2">
        <v>45869</v>
      </c>
      <c r="N257" s="1" t="s">
        <v>35</v>
      </c>
      <c r="O257" s="61" t="s">
        <v>7934</v>
      </c>
      <c r="P257" s="14" t="s">
        <v>12428</v>
      </c>
      <c r="Q257" s="187">
        <v>86.78</v>
      </c>
      <c r="R257" s="1">
        <v>1</v>
      </c>
      <c r="S257" s="128">
        <v>0.21</v>
      </c>
      <c r="T257" s="128">
        <v>0</v>
      </c>
      <c r="U257" s="363"/>
      <c r="V257" s="126">
        <f t="shared" ref="V257" si="136">SUM(Q257-(Q257*T257))*S257+(Q257-(Q257*T257))</f>
        <v>105.0038</v>
      </c>
      <c r="W257" s="1" t="s">
        <v>12425</v>
      </c>
      <c r="X257" s="5" t="s">
        <v>12651</v>
      </c>
      <c r="Y257" s="2">
        <v>36315</v>
      </c>
      <c r="Z257" s="2">
        <v>45845</v>
      </c>
      <c r="AA257" s="11" t="s">
        <v>12847</v>
      </c>
      <c r="AB257" s="2">
        <v>45911</v>
      </c>
      <c r="AC257" s="80" t="s">
        <v>1339</v>
      </c>
      <c r="AF257" t="s">
        <v>3198</v>
      </c>
      <c r="AI257" t="s">
        <v>3470</v>
      </c>
      <c r="AJ257" s="3">
        <v>45876</v>
      </c>
      <c r="AM257" s="74"/>
      <c r="AT257" s="1"/>
    </row>
    <row r="258" spans="1:139">
      <c r="A258" s="1">
        <v>257</v>
      </c>
      <c r="B258" t="s">
        <v>7036</v>
      </c>
      <c r="C258" s="2">
        <v>45846</v>
      </c>
      <c r="D258" s="2"/>
      <c r="E258" s="1" t="s">
        <v>6375</v>
      </c>
      <c r="F258" t="s">
        <v>6376</v>
      </c>
      <c r="G258" s="61" t="s">
        <v>6377</v>
      </c>
      <c r="H258" s="6" t="s">
        <v>294</v>
      </c>
      <c r="I258" s="1" t="s">
        <v>103</v>
      </c>
      <c r="J258" s="8">
        <v>660744167</v>
      </c>
      <c r="K258" s="8" t="s">
        <v>6332</v>
      </c>
      <c r="L258" s="1" t="s">
        <v>6375</v>
      </c>
      <c r="M258" s="2">
        <v>45869</v>
      </c>
      <c r="N258" s="1" t="s">
        <v>35</v>
      </c>
      <c r="O258" s="61" t="s">
        <v>12352</v>
      </c>
      <c r="P258" s="14" t="s">
        <v>12429</v>
      </c>
      <c r="Q258" s="187">
        <v>115.7</v>
      </c>
      <c r="R258" s="1">
        <v>1</v>
      </c>
      <c r="S258" s="90">
        <v>0.21</v>
      </c>
      <c r="T258" s="90">
        <v>0</v>
      </c>
      <c r="U258" s="363"/>
      <c r="V258" s="95">
        <f t="shared" ref="V258:V259" si="137">SUM(Q258-(Q258*T258))*S258+(Q258-(Q258*T258))</f>
        <v>139.99700000000001</v>
      </c>
      <c r="W258" t="s">
        <v>12960</v>
      </c>
      <c r="X258" s="5" t="s">
        <v>12961</v>
      </c>
      <c r="Y258" s="2">
        <v>34215</v>
      </c>
      <c r="Z258" s="2">
        <v>45846</v>
      </c>
      <c r="AA258" s="3"/>
      <c r="AB258" s="3"/>
      <c r="AC258" s="80"/>
      <c r="AF258" t="s">
        <v>3198</v>
      </c>
      <c r="AI258" s="76" t="s">
        <v>12430</v>
      </c>
      <c r="AJ258" s="2">
        <v>45929</v>
      </c>
      <c r="AM258" s="3"/>
    </row>
    <row r="259" spans="1:139">
      <c r="A259" s="1">
        <v>258</v>
      </c>
      <c r="B259" t="s">
        <v>3526</v>
      </c>
      <c r="C259" s="2">
        <v>45846</v>
      </c>
      <c r="D259" s="2"/>
      <c r="E259" s="1" t="s">
        <v>10510</v>
      </c>
      <c r="F259" s="61" t="s">
        <v>10511</v>
      </c>
      <c r="G259" t="s">
        <v>10512</v>
      </c>
      <c r="H259" s="6" t="s">
        <v>314</v>
      </c>
      <c r="I259" s="1" t="s">
        <v>10513</v>
      </c>
      <c r="J259" s="427">
        <v>687054690</v>
      </c>
      <c r="K259" s="1" t="s">
        <v>7759</v>
      </c>
      <c r="L259" s="1" t="s">
        <v>10510</v>
      </c>
      <c r="M259" s="2">
        <v>45869</v>
      </c>
      <c r="N259" s="1" t="s">
        <v>35</v>
      </c>
      <c r="O259" s="61" t="s">
        <v>12352</v>
      </c>
      <c r="P259" s="14" t="s">
        <v>12431</v>
      </c>
      <c r="Q259" s="187">
        <v>115.7</v>
      </c>
      <c r="R259" s="1">
        <v>1</v>
      </c>
      <c r="S259" s="128">
        <v>0.21</v>
      </c>
      <c r="T259" s="128">
        <v>0</v>
      </c>
      <c r="U259" s="363"/>
      <c r="V259" s="126">
        <f t="shared" si="137"/>
        <v>139.99700000000001</v>
      </c>
      <c r="W259" t="s">
        <v>12962</v>
      </c>
      <c r="X259" s="5" t="s">
        <v>12963</v>
      </c>
      <c r="Y259" s="3">
        <v>27029</v>
      </c>
      <c r="Z259" s="2">
        <v>45846</v>
      </c>
      <c r="AA259" s="3"/>
      <c r="AB259" s="2"/>
      <c r="AC259" s="80"/>
      <c r="AF259" t="s">
        <v>3198</v>
      </c>
      <c r="AI259" t="s">
        <v>3392</v>
      </c>
      <c r="AJ259" s="2">
        <v>45929</v>
      </c>
      <c r="AM259" s="3">
        <v>45938</v>
      </c>
    </row>
    <row r="260" spans="1:139">
      <c r="A260" s="1">
        <v>259</v>
      </c>
      <c r="B260" t="s">
        <v>1242</v>
      </c>
      <c r="C260" s="2">
        <v>45846</v>
      </c>
      <c r="D260" s="2"/>
      <c r="E260" s="1" t="s">
        <v>12432</v>
      </c>
      <c r="F260" s="61" t="s">
        <v>12433</v>
      </c>
      <c r="G260" t="s">
        <v>12434</v>
      </c>
      <c r="H260" s="6" t="s">
        <v>221</v>
      </c>
      <c r="I260" s="1" t="s">
        <v>34</v>
      </c>
      <c r="J260" s="8"/>
      <c r="K260" s="8" t="s">
        <v>5905</v>
      </c>
      <c r="L260" s="1" t="s">
        <v>12432</v>
      </c>
      <c r="M260" s="2">
        <v>45869</v>
      </c>
      <c r="N260" s="1" t="s">
        <v>35</v>
      </c>
      <c r="O260" s="61" t="s">
        <v>12352</v>
      </c>
      <c r="P260" s="14" t="s">
        <v>12435</v>
      </c>
      <c r="Q260" s="187">
        <v>115.7</v>
      </c>
      <c r="R260" s="1">
        <v>1</v>
      </c>
      <c r="S260" s="128">
        <v>0.21</v>
      </c>
      <c r="T260" s="128">
        <v>0</v>
      </c>
      <c r="U260" s="363"/>
      <c r="V260" s="126">
        <f t="shared" ref="V260:V262" si="138">SUM(Q260-(Q260*T260))*S260+(Q260-(Q260*T260))</f>
        <v>139.99700000000001</v>
      </c>
      <c r="W260" t="s">
        <v>12964</v>
      </c>
      <c r="X260" s="5" t="s">
        <v>12965</v>
      </c>
      <c r="Y260" s="2">
        <v>36441</v>
      </c>
      <c r="Z260" s="2">
        <v>45846</v>
      </c>
      <c r="AA260" s="3"/>
      <c r="AB260" s="2"/>
      <c r="AC260" s="80"/>
      <c r="AF260" t="s">
        <v>3198</v>
      </c>
      <c r="AI260" t="s">
        <v>3392</v>
      </c>
      <c r="AJ260" s="2">
        <v>45929</v>
      </c>
      <c r="AM260" s="3">
        <v>45938</v>
      </c>
      <c r="AT260" s="1"/>
    </row>
    <row r="261" spans="1:139" s="489" customFormat="1" ht="15.75" thickBot="1">
      <c r="A261" s="1">
        <v>260</v>
      </c>
      <c r="B261" s="459" t="s">
        <v>4321</v>
      </c>
      <c r="C261" s="458">
        <v>45846</v>
      </c>
      <c r="D261" s="458"/>
      <c r="E261" s="456" t="s">
        <v>3427</v>
      </c>
      <c r="F261" s="459" t="s">
        <v>3428</v>
      </c>
      <c r="G261" s="459" t="s">
        <v>3433</v>
      </c>
      <c r="H261" s="460" t="s">
        <v>3429</v>
      </c>
      <c r="I261" s="456" t="s">
        <v>86</v>
      </c>
      <c r="J261" s="456">
        <v>650379091</v>
      </c>
      <c r="K261" s="461" t="s">
        <v>5991</v>
      </c>
      <c r="L261" s="456" t="s">
        <v>3427</v>
      </c>
      <c r="M261" s="458">
        <v>45869</v>
      </c>
      <c r="N261" s="457" t="s">
        <v>35</v>
      </c>
      <c r="O261" s="459" t="s">
        <v>12352</v>
      </c>
      <c r="P261" s="463" t="s">
        <v>12436</v>
      </c>
      <c r="Q261" s="464">
        <v>115.7</v>
      </c>
      <c r="R261" s="456">
        <v>1</v>
      </c>
      <c r="S261" s="483">
        <v>0.21</v>
      </c>
      <c r="T261" s="483">
        <v>0</v>
      </c>
      <c r="U261" s="466"/>
      <c r="V261" s="467">
        <f t="shared" si="138"/>
        <v>139.99700000000001</v>
      </c>
      <c r="W261" s="457" t="s">
        <v>12968</v>
      </c>
      <c r="X261" s="486" t="s">
        <v>12969</v>
      </c>
      <c r="Y261" s="458">
        <v>34335</v>
      </c>
      <c r="Z261" s="458">
        <v>45846</v>
      </c>
      <c r="AA261" s="457"/>
      <c r="AB261" s="487"/>
      <c r="AC261" s="469"/>
      <c r="AD261" s="457"/>
      <c r="AE261" s="457"/>
      <c r="AF261" s="457" t="s">
        <v>3198</v>
      </c>
      <c r="AG261" s="457"/>
      <c r="AH261" s="457"/>
      <c r="AI261" s="457" t="s">
        <v>3392</v>
      </c>
      <c r="AJ261" s="458">
        <v>45929</v>
      </c>
      <c r="AK261" s="457"/>
      <c r="AL261" s="457"/>
      <c r="AM261" s="458">
        <v>45939</v>
      </c>
      <c r="AN261" s="457"/>
      <c r="AO261" s="457"/>
      <c r="AP261" s="457"/>
      <c r="AQ261" s="457"/>
      <c r="AR261" s="457"/>
      <c r="AS261" s="457"/>
      <c r="AT261" s="456"/>
      <c r="AU261" s="457"/>
      <c r="AV261" s="457"/>
      <c r="AW261" s="457"/>
      <c r="AX261" s="457"/>
      <c r="AY261" s="457"/>
      <c r="AZ261" s="457"/>
      <c r="BA261" s="457"/>
      <c r="BB261" s="457"/>
      <c r="BC261" s="457"/>
      <c r="BD261" s="457"/>
      <c r="BE261" s="457"/>
      <c r="BF261" s="457"/>
      <c r="BG261" s="457"/>
      <c r="BH261" s="457"/>
      <c r="BI261" s="457"/>
      <c r="BJ261" s="457"/>
      <c r="BK261" s="457"/>
      <c r="BL261" s="457"/>
      <c r="BM261" s="457"/>
      <c r="BN261" s="457"/>
      <c r="BO261" s="457"/>
      <c r="BP261" s="457"/>
      <c r="BQ261" s="457"/>
      <c r="BR261" s="457"/>
      <c r="BS261" s="457"/>
      <c r="BT261" s="457"/>
      <c r="BU261" s="457"/>
      <c r="BV261" s="457"/>
      <c r="BW261" s="457"/>
      <c r="BX261" s="457"/>
      <c r="BY261" s="457"/>
      <c r="BZ261" s="457"/>
      <c r="CA261" s="457"/>
      <c r="CB261" s="457"/>
      <c r="CC261" s="457"/>
      <c r="CD261" s="457"/>
      <c r="CE261" s="457"/>
      <c r="CF261" s="457"/>
      <c r="CG261" s="457"/>
      <c r="CH261" s="457"/>
      <c r="CI261" s="457"/>
      <c r="CJ261" s="457"/>
      <c r="CK261" s="457"/>
      <c r="CL261" s="457"/>
      <c r="CM261" s="457"/>
      <c r="CN261" s="457"/>
      <c r="CO261" s="457"/>
      <c r="CP261" s="457"/>
      <c r="CQ261" s="457"/>
      <c r="CR261" s="457"/>
      <c r="CS261" s="457"/>
      <c r="CT261" s="457"/>
      <c r="CU261" s="457"/>
      <c r="CV261" s="457"/>
      <c r="CW261" s="457"/>
      <c r="CX261" s="457"/>
      <c r="CY261" s="457"/>
      <c r="CZ261" s="457"/>
      <c r="DA261" s="457"/>
      <c r="DB261" s="457"/>
      <c r="DC261" s="457"/>
      <c r="DD261" s="457"/>
      <c r="DE261" s="457"/>
      <c r="DF261" s="457"/>
      <c r="DG261" s="457"/>
      <c r="DH261" s="457"/>
      <c r="DI261" s="457"/>
      <c r="DJ261" s="457"/>
      <c r="DK261" s="457"/>
      <c r="DL261" s="457"/>
      <c r="DM261" s="457"/>
      <c r="DN261" s="457"/>
      <c r="DO261" s="457"/>
      <c r="DP261" s="457"/>
      <c r="DQ261" s="457"/>
      <c r="DR261" s="457"/>
      <c r="DS261" s="457"/>
      <c r="DT261" s="457"/>
      <c r="DU261" s="457"/>
      <c r="DV261" s="457"/>
      <c r="DW261" s="457"/>
      <c r="DX261" s="457"/>
      <c r="DY261" s="457"/>
      <c r="DZ261" s="457"/>
      <c r="EA261" s="457"/>
      <c r="EB261" s="457"/>
      <c r="EC261" s="457"/>
      <c r="ED261" s="457"/>
      <c r="EE261" s="457"/>
      <c r="EF261" s="457"/>
      <c r="EG261" s="457"/>
      <c r="EH261" s="457"/>
      <c r="EI261" s="457"/>
    </row>
    <row r="262" spans="1:139" ht="15.75" thickTop="1">
      <c r="A262" s="1">
        <v>261</v>
      </c>
      <c r="B262" t="s">
        <v>6684</v>
      </c>
      <c r="C262" s="2">
        <v>45853</v>
      </c>
      <c r="D262" s="2"/>
      <c r="E262" s="1" t="s">
        <v>6685</v>
      </c>
      <c r="F262" t="s">
        <v>6686</v>
      </c>
      <c r="G262" t="s">
        <v>6687</v>
      </c>
      <c r="H262" s="6" t="s">
        <v>2579</v>
      </c>
      <c r="I262" t="s">
        <v>2580</v>
      </c>
      <c r="J262" s="8"/>
      <c r="K262" s="1" t="s">
        <v>7339</v>
      </c>
      <c r="L262" t="s">
        <v>6685</v>
      </c>
      <c r="M262" s="2">
        <v>45869</v>
      </c>
      <c r="N262" s="1" t="s">
        <v>35</v>
      </c>
      <c r="O262" s="61" t="s">
        <v>12352</v>
      </c>
      <c r="P262" s="14" t="s">
        <v>12498</v>
      </c>
      <c r="Q262" s="187">
        <v>115.7</v>
      </c>
      <c r="R262" s="1">
        <v>1</v>
      </c>
      <c r="S262" s="128">
        <v>0.21</v>
      </c>
      <c r="T262" s="128">
        <v>0</v>
      </c>
      <c r="V262" s="126">
        <f t="shared" si="138"/>
        <v>139.99700000000001</v>
      </c>
      <c r="W262" t="s">
        <v>12912</v>
      </c>
      <c r="X262" s="5" t="s">
        <v>12910</v>
      </c>
      <c r="Y262" s="3">
        <v>30682</v>
      </c>
      <c r="Z262" s="2">
        <v>45853</v>
      </c>
      <c r="AA262" s="2"/>
      <c r="AB262" s="2"/>
      <c r="AC262" s="80"/>
      <c r="AF262" t="s">
        <v>3198</v>
      </c>
      <c r="AI262" t="s">
        <v>12504</v>
      </c>
      <c r="AJ262" s="3">
        <v>45919</v>
      </c>
      <c r="AM262" s="3">
        <v>45940</v>
      </c>
    </row>
    <row r="263" spans="1:139">
      <c r="A263" s="1">
        <v>262</v>
      </c>
      <c r="B263" t="s">
        <v>6684</v>
      </c>
      <c r="C263" s="2">
        <v>45853</v>
      </c>
      <c r="D263" s="2"/>
      <c r="E263" s="1" t="s">
        <v>6685</v>
      </c>
      <c r="F263" t="s">
        <v>6686</v>
      </c>
      <c r="G263" t="s">
        <v>6687</v>
      </c>
      <c r="H263" s="6" t="s">
        <v>2579</v>
      </c>
      <c r="I263" t="s">
        <v>2580</v>
      </c>
      <c r="J263" s="8"/>
      <c r="K263" s="1" t="s">
        <v>7339</v>
      </c>
      <c r="L263" t="s">
        <v>6685</v>
      </c>
      <c r="M263" s="2">
        <v>45869</v>
      </c>
      <c r="N263" s="1" t="s">
        <v>35</v>
      </c>
      <c r="O263" s="61" t="s">
        <v>12352</v>
      </c>
      <c r="P263" s="14" t="s">
        <v>12499</v>
      </c>
      <c r="Q263" s="187">
        <v>115.7</v>
      </c>
      <c r="R263" s="1">
        <v>1</v>
      </c>
      <c r="S263" s="128">
        <v>0.21</v>
      </c>
      <c r="T263" s="128">
        <v>0</v>
      </c>
      <c r="V263" s="126">
        <f t="shared" ref="V263" si="139">SUM(Q263-(Q263*T263))*S263+(Q263-(Q263*T263))</f>
        <v>139.99700000000001</v>
      </c>
      <c r="W263" t="s">
        <v>12798</v>
      </c>
      <c r="X263" s="5" t="s">
        <v>12799</v>
      </c>
      <c r="Y263" s="3">
        <v>37119</v>
      </c>
      <c r="Z263" s="2">
        <v>45853</v>
      </c>
      <c r="AA263" s="2"/>
      <c r="AB263" s="2"/>
      <c r="AC263" s="80"/>
      <c r="AF263" t="s">
        <v>3198</v>
      </c>
      <c r="AI263" t="s">
        <v>12504</v>
      </c>
      <c r="AJ263" s="3">
        <v>45908</v>
      </c>
      <c r="AL263" s="3"/>
      <c r="AM263" s="3">
        <v>45918</v>
      </c>
    </row>
    <row r="264" spans="1:139">
      <c r="A264" s="1">
        <v>263</v>
      </c>
      <c r="B264" t="s">
        <v>6684</v>
      </c>
      <c r="C264" s="2">
        <v>45853</v>
      </c>
      <c r="D264" s="2"/>
      <c r="E264" s="1" t="s">
        <v>6685</v>
      </c>
      <c r="F264" t="s">
        <v>6686</v>
      </c>
      <c r="G264" t="s">
        <v>6687</v>
      </c>
      <c r="H264" s="6" t="s">
        <v>2579</v>
      </c>
      <c r="I264" t="s">
        <v>2580</v>
      </c>
      <c r="J264" s="8"/>
      <c r="K264" s="1" t="s">
        <v>7339</v>
      </c>
      <c r="L264" t="s">
        <v>6685</v>
      </c>
      <c r="M264" s="2">
        <v>45869</v>
      </c>
      <c r="N264" s="1" t="s">
        <v>35</v>
      </c>
      <c r="O264" s="61" t="s">
        <v>12352</v>
      </c>
      <c r="P264" s="14" t="s">
        <v>12500</v>
      </c>
      <c r="Q264" s="187">
        <v>115.7</v>
      </c>
      <c r="R264" s="1">
        <v>1</v>
      </c>
      <c r="S264" s="128">
        <v>0.21</v>
      </c>
      <c r="T264" s="128">
        <v>0</v>
      </c>
      <c r="V264" s="126">
        <f t="shared" ref="V264" si="140">SUM(Q264-(Q264*T264))*S264+(Q264-(Q264*T264))</f>
        <v>139.99700000000001</v>
      </c>
      <c r="W264" t="s">
        <v>12806</v>
      </c>
      <c r="X264" s="5" t="s">
        <v>12807</v>
      </c>
      <c r="Y264" s="3">
        <v>32273</v>
      </c>
      <c r="Z264" s="2">
        <v>45853</v>
      </c>
      <c r="AA264" s="2"/>
      <c r="AB264" s="2"/>
      <c r="AC264" s="80"/>
      <c r="AF264" t="s">
        <v>3198</v>
      </c>
      <c r="AI264" t="s">
        <v>12504</v>
      </c>
      <c r="AJ264" s="3">
        <v>45908</v>
      </c>
      <c r="AM264" s="3">
        <v>45932</v>
      </c>
    </row>
    <row r="265" spans="1:139">
      <c r="A265" s="1">
        <v>264</v>
      </c>
      <c r="B265" t="s">
        <v>6684</v>
      </c>
      <c r="C265" s="2">
        <v>45853</v>
      </c>
      <c r="D265" s="2"/>
      <c r="E265" s="1" t="s">
        <v>6685</v>
      </c>
      <c r="F265" t="s">
        <v>6686</v>
      </c>
      <c r="G265" t="s">
        <v>6687</v>
      </c>
      <c r="H265" s="6" t="s">
        <v>2579</v>
      </c>
      <c r="I265" t="s">
        <v>2580</v>
      </c>
      <c r="J265" s="8"/>
      <c r="K265" s="1" t="s">
        <v>7339</v>
      </c>
      <c r="L265" t="s">
        <v>6685</v>
      </c>
      <c r="M265" s="2">
        <v>45869</v>
      </c>
      <c r="N265" s="1" t="s">
        <v>35</v>
      </c>
      <c r="O265" s="61" t="s">
        <v>12352</v>
      </c>
      <c r="P265" s="14" t="s">
        <v>12501</v>
      </c>
      <c r="Q265" s="187">
        <v>115.7</v>
      </c>
      <c r="R265" s="1">
        <v>1</v>
      </c>
      <c r="S265" s="128">
        <v>0.21</v>
      </c>
      <c r="T265" s="128">
        <v>0</v>
      </c>
      <c r="V265" s="126">
        <f t="shared" ref="V265:V266" si="141">SUM(Q265-(Q265*T265))*S265+(Q265-(Q265*T265))</f>
        <v>139.99700000000001</v>
      </c>
      <c r="W265" t="s">
        <v>12856</v>
      </c>
      <c r="X265" s="5" t="s">
        <v>12821</v>
      </c>
      <c r="Y265" s="3">
        <v>33247</v>
      </c>
      <c r="Z265" s="2">
        <v>45853</v>
      </c>
      <c r="AA265" s="2"/>
      <c r="AB265" s="2"/>
      <c r="AC265" s="80"/>
      <c r="AF265" t="s">
        <v>3198</v>
      </c>
      <c r="AI265" t="s">
        <v>12504</v>
      </c>
      <c r="AJ265" s="3">
        <v>45911</v>
      </c>
      <c r="AM265" s="3">
        <v>45918</v>
      </c>
    </row>
    <row r="266" spans="1:139">
      <c r="A266" s="1">
        <v>265</v>
      </c>
      <c r="B266" t="s">
        <v>6684</v>
      </c>
      <c r="C266" s="2">
        <v>45853</v>
      </c>
      <c r="D266" s="2"/>
      <c r="E266" s="1" t="s">
        <v>6685</v>
      </c>
      <c r="F266" t="s">
        <v>6686</v>
      </c>
      <c r="G266" t="s">
        <v>6687</v>
      </c>
      <c r="H266" s="6" t="s">
        <v>2579</v>
      </c>
      <c r="I266" t="s">
        <v>2580</v>
      </c>
      <c r="J266" s="8"/>
      <c r="K266" s="1" t="s">
        <v>7339</v>
      </c>
      <c r="L266" t="s">
        <v>6685</v>
      </c>
      <c r="M266" s="2">
        <v>45869</v>
      </c>
      <c r="N266" s="1" t="s">
        <v>35</v>
      </c>
      <c r="O266" s="61" t="s">
        <v>12352</v>
      </c>
      <c r="P266" s="14" t="s">
        <v>12502</v>
      </c>
      <c r="Q266" s="187">
        <v>115.7</v>
      </c>
      <c r="R266" s="1">
        <v>1</v>
      </c>
      <c r="S266" s="128">
        <v>0.21</v>
      </c>
      <c r="T266" s="128">
        <v>0</v>
      </c>
      <c r="V266" s="126">
        <f t="shared" si="141"/>
        <v>139.99700000000001</v>
      </c>
      <c r="W266" t="s">
        <v>12800</v>
      </c>
      <c r="X266" s="5" t="s">
        <v>12801</v>
      </c>
      <c r="Y266" s="3">
        <v>32777</v>
      </c>
      <c r="Z266" s="2">
        <v>45853</v>
      </c>
      <c r="AA266" s="2"/>
      <c r="AB266" s="2"/>
      <c r="AC266" s="80"/>
      <c r="AF266" t="s">
        <v>3198</v>
      </c>
      <c r="AI266" t="s">
        <v>12504</v>
      </c>
      <c r="AJ266" s="3">
        <v>45908</v>
      </c>
      <c r="AM266" s="3">
        <v>45918</v>
      </c>
    </row>
    <row r="267" spans="1:139">
      <c r="A267" s="1">
        <v>266</v>
      </c>
      <c r="B267" t="s">
        <v>6684</v>
      </c>
      <c r="C267" s="2">
        <v>45847</v>
      </c>
      <c r="D267" s="2"/>
      <c r="E267" s="1" t="s">
        <v>6685</v>
      </c>
      <c r="F267" t="s">
        <v>6686</v>
      </c>
      <c r="G267" t="s">
        <v>6687</v>
      </c>
      <c r="H267" s="6" t="s">
        <v>2579</v>
      </c>
      <c r="I267" t="s">
        <v>2580</v>
      </c>
      <c r="J267" s="8"/>
      <c r="K267" s="1" t="s">
        <v>7339</v>
      </c>
      <c r="L267" t="s">
        <v>6685</v>
      </c>
      <c r="M267" s="2">
        <v>45869</v>
      </c>
      <c r="N267" s="1" t="s">
        <v>35</v>
      </c>
      <c r="O267" s="61" t="s">
        <v>12352</v>
      </c>
      <c r="P267" s="14" t="s">
        <v>12503</v>
      </c>
      <c r="Q267" s="187">
        <v>115.7</v>
      </c>
      <c r="R267" s="1">
        <v>1</v>
      </c>
      <c r="S267" s="128">
        <v>0.21</v>
      </c>
      <c r="T267" s="128">
        <v>0</v>
      </c>
      <c r="V267" s="126">
        <f t="shared" ref="V267" si="142">SUM(Q267-(Q267*T267))*S267+(Q267-(Q267*T267))</f>
        <v>139.99700000000001</v>
      </c>
      <c r="W267" t="s">
        <v>12746</v>
      </c>
      <c r="X267" s="5" t="s">
        <v>12745</v>
      </c>
      <c r="Y267" s="3">
        <v>37413</v>
      </c>
      <c r="Z267" s="2">
        <v>45847</v>
      </c>
      <c r="AA267" s="2"/>
      <c r="AB267" s="2"/>
      <c r="AC267" s="80"/>
      <c r="AF267" t="s">
        <v>3198</v>
      </c>
      <c r="AI267" s="76" t="s">
        <v>12747</v>
      </c>
      <c r="AJ267" s="3">
        <v>45895</v>
      </c>
      <c r="AM267" s="3"/>
    </row>
    <row r="268" spans="1:139">
      <c r="A268" s="1">
        <v>267</v>
      </c>
      <c r="B268" t="s">
        <v>6684</v>
      </c>
      <c r="C268" s="2">
        <v>45876</v>
      </c>
      <c r="D268" s="2"/>
      <c r="E268" s="1" t="s">
        <v>6685</v>
      </c>
      <c r="F268" t="s">
        <v>6686</v>
      </c>
      <c r="G268" t="s">
        <v>6687</v>
      </c>
      <c r="H268" s="6" t="s">
        <v>2579</v>
      </c>
      <c r="I268" t="s">
        <v>2580</v>
      </c>
      <c r="J268" s="8"/>
      <c r="K268" s="1" t="s">
        <v>7339</v>
      </c>
      <c r="L268" t="s">
        <v>6685</v>
      </c>
      <c r="M268" s="2">
        <v>45869</v>
      </c>
      <c r="N268" s="1" t="s">
        <v>35</v>
      </c>
      <c r="O268" s="61" t="s">
        <v>12352</v>
      </c>
      <c r="P268" s="14" t="s">
        <v>12505</v>
      </c>
      <c r="Q268" s="187">
        <v>115.7</v>
      </c>
      <c r="R268" s="1">
        <v>1</v>
      </c>
      <c r="S268" s="128">
        <v>0.21</v>
      </c>
      <c r="T268" s="128">
        <v>0</v>
      </c>
      <c r="V268" s="126">
        <f t="shared" ref="V268" si="143">SUM(Q268-(Q268*T268))*S268+(Q268-(Q268*T268))</f>
        <v>139.99700000000001</v>
      </c>
      <c r="W268" t="s">
        <v>12913</v>
      </c>
      <c r="X268" s="5" t="s">
        <v>12911</v>
      </c>
      <c r="Y268" s="3">
        <v>32568</v>
      </c>
      <c r="Z268" s="2">
        <v>45847</v>
      </c>
      <c r="AA268" s="2"/>
      <c r="AB268" s="2"/>
      <c r="AC268" s="80"/>
      <c r="AF268" t="s">
        <v>3198</v>
      </c>
      <c r="AI268" s="76" t="s">
        <v>12504</v>
      </c>
      <c r="AJ268" s="3">
        <v>45919</v>
      </c>
      <c r="AM268" s="3"/>
    </row>
    <row r="269" spans="1:139">
      <c r="A269" s="1">
        <v>268</v>
      </c>
      <c r="B269" t="s">
        <v>6684</v>
      </c>
      <c r="C269" s="2">
        <v>45847</v>
      </c>
      <c r="D269" s="2"/>
      <c r="E269" s="1" t="s">
        <v>6685</v>
      </c>
      <c r="F269" t="s">
        <v>6686</v>
      </c>
      <c r="G269" t="s">
        <v>6687</v>
      </c>
      <c r="H269" s="6" t="s">
        <v>2579</v>
      </c>
      <c r="I269" t="s">
        <v>2580</v>
      </c>
      <c r="J269" s="8"/>
      <c r="K269" s="1" t="s">
        <v>7339</v>
      </c>
      <c r="L269" t="s">
        <v>6685</v>
      </c>
      <c r="M269" s="2">
        <v>45869</v>
      </c>
      <c r="N269" s="1" t="s">
        <v>35</v>
      </c>
      <c r="O269" s="61" t="s">
        <v>12352</v>
      </c>
      <c r="P269" s="14" t="s">
        <v>12506</v>
      </c>
      <c r="Q269" s="187">
        <v>115.7</v>
      </c>
      <c r="R269" s="1">
        <v>1</v>
      </c>
      <c r="S269" s="128">
        <v>0.21</v>
      </c>
      <c r="T269" s="128">
        <v>0</v>
      </c>
      <c r="V269" s="126">
        <f t="shared" ref="V269" si="144">SUM(Q269-(Q269*T269))*S269+(Q269-(Q269*T269))</f>
        <v>139.99700000000001</v>
      </c>
      <c r="W269" t="s">
        <v>12743</v>
      </c>
      <c r="X269" s="5" t="s">
        <v>12744</v>
      </c>
      <c r="Y269" s="3">
        <v>36803</v>
      </c>
      <c r="Z269" s="2">
        <v>45847</v>
      </c>
      <c r="AA269" s="2"/>
      <c r="AB269" s="2"/>
      <c r="AC269" s="80"/>
      <c r="AF269" t="s">
        <v>3198</v>
      </c>
      <c r="AI269" t="s">
        <v>12504</v>
      </c>
      <c r="AJ269" s="3">
        <v>45895</v>
      </c>
      <c r="AM269" s="3">
        <v>45918</v>
      </c>
    </row>
    <row r="270" spans="1:139">
      <c r="A270" s="1">
        <v>269</v>
      </c>
      <c r="B270" t="s">
        <v>6684</v>
      </c>
      <c r="C270" s="2">
        <v>45853</v>
      </c>
      <c r="D270" s="2"/>
      <c r="E270" s="1" t="s">
        <v>6685</v>
      </c>
      <c r="F270" t="s">
        <v>6686</v>
      </c>
      <c r="G270" t="s">
        <v>6687</v>
      </c>
      <c r="H270" s="6" t="s">
        <v>2579</v>
      </c>
      <c r="I270" t="s">
        <v>2580</v>
      </c>
      <c r="J270" s="8"/>
      <c r="K270" s="1" t="s">
        <v>7339</v>
      </c>
      <c r="L270" t="s">
        <v>6685</v>
      </c>
      <c r="M270" s="2">
        <v>45869</v>
      </c>
      <c r="N270" s="1" t="s">
        <v>35</v>
      </c>
      <c r="O270" s="61" t="s">
        <v>12352</v>
      </c>
      <c r="P270" s="14" t="s">
        <v>12507</v>
      </c>
      <c r="Q270" s="187">
        <v>115.7</v>
      </c>
      <c r="R270" s="1">
        <v>1</v>
      </c>
      <c r="S270" s="128">
        <v>0.21</v>
      </c>
      <c r="T270" s="128">
        <v>0</v>
      </c>
      <c r="V270" s="126">
        <f t="shared" ref="V270" si="145">SUM(Q270-(Q270*T270))*S270+(Q270-(Q270*T270))</f>
        <v>139.99700000000001</v>
      </c>
      <c r="W270" t="s">
        <v>12570</v>
      </c>
      <c r="X270" s="5" t="s">
        <v>12571</v>
      </c>
      <c r="Y270" s="3">
        <v>32143</v>
      </c>
      <c r="Z270" s="2">
        <v>45853</v>
      </c>
      <c r="AA270" s="2"/>
      <c r="AB270" s="2"/>
      <c r="AC270" s="80"/>
      <c r="AF270" t="s">
        <v>3198</v>
      </c>
      <c r="AI270" s="76" t="s">
        <v>12504</v>
      </c>
      <c r="AJ270" s="3">
        <v>45863</v>
      </c>
      <c r="AM270" s="3"/>
    </row>
    <row r="271" spans="1:139">
      <c r="A271" s="1">
        <v>270</v>
      </c>
      <c r="B271" t="s">
        <v>6684</v>
      </c>
      <c r="C271" s="2">
        <v>45853</v>
      </c>
      <c r="D271" s="2"/>
      <c r="E271" s="1" t="s">
        <v>6685</v>
      </c>
      <c r="F271" t="s">
        <v>6686</v>
      </c>
      <c r="G271" t="s">
        <v>6687</v>
      </c>
      <c r="H271" s="6" t="s">
        <v>2579</v>
      </c>
      <c r="I271" t="s">
        <v>2580</v>
      </c>
      <c r="J271" s="8"/>
      <c r="K271" s="1" t="s">
        <v>7339</v>
      </c>
      <c r="L271" t="s">
        <v>6685</v>
      </c>
      <c r="M271" s="2">
        <v>45869</v>
      </c>
      <c r="N271" s="1" t="s">
        <v>35</v>
      </c>
      <c r="O271" s="61" t="s">
        <v>12352</v>
      </c>
      <c r="P271" s="14" t="s">
        <v>12508</v>
      </c>
      <c r="Q271" s="187">
        <v>115.7</v>
      </c>
      <c r="R271" s="1">
        <v>1</v>
      </c>
      <c r="S271" s="128">
        <v>0.21</v>
      </c>
      <c r="T271" s="128">
        <v>0</v>
      </c>
      <c r="V271" s="126">
        <f t="shared" ref="V271:V272" si="146">SUM(Q271-(Q271*T271))*S271+(Q271-(Q271*T271))</f>
        <v>139.99700000000001</v>
      </c>
      <c r="W271" t="s">
        <v>12857</v>
      </c>
      <c r="X271" s="5" t="s">
        <v>12820</v>
      </c>
      <c r="Y271" s="3">
        <v>34535</v>
      </c>
      <c r="Z271" s="2">
        <v>45853</v>
      </c>
      <c r="AA271" s="2"/>
      <c r="AB271" s="2"/>
      <c r="AC271" s="80"/>
      <c r="AF271" t="s">
        <v>3198</v>
      </c>
      <c r="AI271" s="76" t="s">
        <v>12504</v>
      </c>
      <c r="AJ271" s="3">
        <v>45911</v>
      </c>
      <c r="AM271" s="3"/>
    </row>
    <row r="272" spans="1:139" s="197" customFormat="1">
      <c r="A272" s="1">
        <v>271</v>
      </c>
      <c r="B272" s="61" t="s">
        <v>4321</v>
      </c>
      <c r="C272" s="2">
        <v>45854</v>
      </c>
      <c r="D272" s="2"/>
      <c r="E272" s="1" t="s">
        <v>3427</v>
      </c>
      <c r="F272" s="61" t="s">
        <v>3428</v>
      </c>
      <c r="G272" s="61" t="s">
        <v>3433</v>
      </c>
      <c r="H272" s="6" t="s">
        <v>3429</v>
      </c>
      <c r="I272" s="1" t="s">
        <v>86</v>
      </c>
      <c r="J272" s="1">
        <v>650379091</v>
      </c>
      <c r="K272" s="8" t="s">
        <v>5991</v>
      </c>
      <c r="L272" s="1" t="s">
        <v>3427</v>
      </c>
      <c r="M272" s="2">
        <v>45869</v>
      </c>
      <c r="N272" t="s">
        <v>35</v>
      </c>
      <c r="O272" s="61" t="s">
        <v>9758</v>
      </c>
      <c r="P272" s="14" t="s">
        <v>12509</v>
      </c>
      <c r="Q272" s="187">
        <v>115.7</v>
      </c>
      <c r="R272" s="1">
        <v>1</v>
      </c>
      <c r="S272" s="128">
        <v>0.21</v>
      </c>
      <c r="T272" s="128">
        <v>0</v>
      </c>
      <c r="U272" s="363"/>
      <c r="V272" s="126">
        <f t="shared" si="146"/>
        <v>139.99700000000001</v>
      </c>
      <c r="W272" t="s">
        <v>12753</v>
      </c>
      <c r="X272" s="401" t="s">
        <v>12754</v>
      </c>
      <c r="Y272" s="2">
        <v>35172</v>
      </c>
      <c r="Z272" s="2">
        <v>45854</v>
      </c>
      <c r="AA272" s="2"/>
      <c r="AB272" s="64"/>
      <c r="AC272" s="80"/>
      <c r="AD272"/>
      <c r="AE272"/>
      <c r="AF272" t="s">
        <v>3198</v>
      </c>
      <c r="AG272"/>
      <c r="AH272"/>
      <c r="AI272" s="3" t="s">
        <v>12510</v>
      </c>
      <c r="AJ272" s="2">
        <v>45895</v>
      </c>
      <c r="AK272"/>
      <c r="AL272"/>
      <c r="AM272" s="2">
        <v>45897</v>
      </c>
      <c r="AN272"/>
      <c r="AO272"/>
      <c r="AP272"/>
      <c r="AQ272"/>
      <c r="AR272"/>
      <c r="AS272"/>
      <c r="AT272" s="1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</row>
    <row r="273" spans="1:46">
      <c r="A273" s="1">
        <v>272</v>
      </c>
      <c r="B273" t="s">
        <v>61</v>
      </c>
      <c r="C273" s="2">
        <v>45854</v>
      </c>
      <c r="D273" s="403" t="s">
        <v>9900</v>
      </c>
      <c r="E273" s="1" t="s">
        <v>12511</v>
      </c>
      <c r="F273" t="s">
        <v>12512</v>
      </c>
      <c r="G273" t="s">
        <v>12513</v>
      </c>
      <c r="H273" s="6" t="s">
        <v>219</v>
      </c>
      <c r="I273" t="s">
        <v>4334</v>
      </c>
      <c r="J273" s="8"/>
      <c r="K273" s="1"/>
      <c r="L273" s="1" t="s">
        <v>12511</v>
      </c>
      <c r="M273" s="2">
        <v>45869</v>
      </c>
      <c r="N273" t="s">
        <v>35</v>
      </c>
      <c r="O273" s="61" t="s">
        <v>12352</v>
      </c>
      <c r="P273" s="14" t="s">
        <v>12514</v>
      </c>
      <c r="Q273" s="187">
        <v>115.7</v>
      </c>
      <c r="R273" s="1">
        <v>1</v>
      </c>
      <c r="S273" s="128">
        <v>0.21</v>
      </c>
      <c r="T273" s="128">
        <v>0</v>
      </c>
      <c r="U273" s="363"/>
      <c r="V273" s="126">
        <f t="shared" ref="V273" si="147">SUM(Q273-(Q273*T273))*S273+(Q273-(Q273*T273))</f>
        <v>139.99700000000001</v>
      </c>
      <c r="W273" t="s">
        <v>12751</v>
      </c>
      <c r="X273" s="5" t="s">
        <v>12752</v>
      </c>
      <c r="Y273" s="3">
        <v>37318</v>
      </c>
      <c r="Z273" s="2">
        <v>45854</v>
      </c>
      <c r="AA273" s="2"/>
      <c r="AB273" s="2"/>
      <c r="AC273" s="80"/>
      <c r="AF273" t="s">
        <v>3198</v>
      </c>
      <c r="AI273" s="76" t="s">
        <v>11444</v>
      </c>
      <c r="AJ273" s="3">
        <v>45895</v>
      </c>
      <c r="AK273" t="s">
        <v>12515</v>
      </c>
      <c r="AM273" s="3">
        <v>45897</v>
      </c>
    </row>
    <row r="274" spans="1:46">
      <c r="A274" s="1">
        <v>273</v>
      </c>
      <c r="B274" t="s">
        <v>61</v>
      </c>
      <c r="C274" s="2">
        <v>45854</v>
      </c>
      <c r="D274" s="2"/>
      <c r="E274" s="1" t="s">
        <v>12511</v>
      </c>
      <c r="F274" t="s">
        <v>12512</v>
      </c>
      <c r="G274" t="s">
        <v>12513</v>
      </c>
      <c r="H274" s="6" t="s">
        <v>219</v>
      </c>
      <c r="I274" t="s">
        <v>4334</v>
      </c>
      <c r="J274" s="8"/>
      <c r="K274" s="1"/>
      <c r="L274" s="1" t="s">
        <v>12511</v>
      </c>
      <c r="M274" s="2">
        <v>45869</v>
      </c>
      <c r="N274" t="s">
        <v>35</v>
      </c>
      <c r="O274" s="61" t="s">
        <v>12352</v>
      </c>
      <c r="P274" s="14" t="s">
        <v>12516</v>
      </c>
      <c r="Q274" s="187">
        <v>115.7</v>
      </c>
      <c r="R274" s="1">
        <v>1</v>
      </c>
      <c r="S274" s="128">
        <v>0.21</v>
      </c>
      <c r="T274" s="128">
        <v>0</v>
      </c>
      <c r="U274" s="363"/>
      <c r="V274" s="126">
        <f t="shared" ref="V274:V275" si="148">SUM(Q274-(Q274*T274))*S274+(Q274-(Q274*T274))</f>
        <v>139.99700000000001</v>
      </c>
      <c r="W274" t="s">
        <v>12812</v>
      </c>
      <c r="X274" s="5" t="s">
        <v>12813</v>
      </c>
      <c r="Y274" s="3">
        <v>35828</v>
      </c>
      <c r="Z274" s="2">
        <v>45854</v>
      </c>
      <c r="AA274" s="2"/>
      <c r="AB274" s="2"/>
      <c r="AC274" s="80"/>
      <c r="AF274" t="s">
        <v>3198</v>
      </c>
      <c r="AI274" t="s">
        <v>11444</v>
      </c>
      <c r="AJ274" s="3">
        <v>45908</v>
      </c>
      <c r="AK274" t="s">
        <v>12515</v>
      </c>
      <c r="AM274" s="3">
        <v>45909</v>
      </c>
    </row>
    <row r="275" spans="1:46">
      <c r="A275" s="1" t="s">
        <v>12805</v>
      </c>
      <c r="B275" t="s">
        <v>52</v>
      </c>
      <c r="C275" s="2">
        <v>45854</v>
      </c>
      <c r="D275" s="403" t="s">
        <v>9900</v>
      </c>
      <c r="E275" s="1" t="s">
        <v>12517</v>
      </c>
      <c r="F275" t="s">
        <v>12518</v>
      </c>
      <c r="G275" t="s">
        <v>4461</v>
      </c>
      <c r="H275" s="6" t="s">
        <v>8073</v>
      </c>
      <c r="I275" t="s">
        <v>12519</v>
      </c>
      <c r="J275" s="8"/>
      <c r="K275" s="1"/>
      <c r="L275" s="1" t="s">
        <v>12517</v>
      </c>
      <c r="M275" s="2">
        <v>45869</v>
      </c>
      <c r="N275" t="s">
        <v>35</v>
      </c>
      <c r="O275" s="61" t="s">
        <v>12352</v>
      </c>
      <c r="P275" s="14" t="s">
        <v>12520</v>
      </c>
      <c r="Q275" s="187">
        <v>115.7</v>
      </c>
      <c r="R275" s="1">
        <v>1</v>
      </c>
      <c r="S275" s="128">
        <v>0.21</v>
      </c>
      <c r="T275" s="128">
        <v>0</v>
      </c>
      <c r="U275" s="363"/>
      <c r="V275" s="126">
        <f t="shared" si="148"/>
        <v>139.99700000000001</v>
      </c>
      <c r="W275" t="s">
        <v>12803</v>
      </c>
      <c r="X275" s="5" t="s">
        <v>12804</v>
      </c>
      <c r="Y275" s="3">
        <v>33964</v>
      </c>
      <c r="Z275" s="2">
        <v>45854</v>
      </c>
      <c r="AA275" s="2"/>
      <c r="AB275" s="2"/>
      <c r="AC275" s="80"/>
      <c r="AF275" t="s">
        <v>3198</v>
      </c>
      <c r="AI275" s="76" t="s">
        <v>3392</v>
      </c>
      <c r="AJ275" s="3">
        <v>45908</v>
      </c>
      <c r="AM275" s="3"/>
    </row>
    <row r="276" spans="1:46">
      <c r="A276" s="1">
        <v>275</v>
      </c>
      <c r="B276" s="61" t="s">
        <v>61</v>
      </c>
      <c r="C276" s="2">
        <v>45854</v>
      </c>
      <c r="D276" s="403" t="s">
        <v>9900</v>
      </c>
      <c r="E276" s="1" t="s">
        <v>12521</v>
      </c>
      <c r="F276" s="61" t="s">
        <v>12522</v>
      </c>
      <c r="G276" s="61" t="s">
        <v>12311</v>
      </c>
      <c r="H276" s="6" t="s">
        <v>250</v>
      </c>
      <c r="I276" s="1" t="s">
        <v>5083</v>
      </c>
      <c r="J276" s="44"/>
      <c r="K276" s="44"/>
      <c r="L276" s="1" t="s">
        <v>12521</v>
      </c>
      <c r="M276" s="2">
        <v>45869</v>
      </c>
      <c r="N276" t="s">
        <v>35</v>
      </c>
      <c r="O276" s="61" t="s">
        <v>12352</v>
      </c>
      <c r="P276" s="14" t="s">
        <v>12625</v>
      </c>
      <c r="Q276" s="187">
        <v>115.7</v>
      </c>
      <c r="R276" s="1">
        <v>1</v>
      </c>
      <c r="S276" s="128">
        <v>0.21</v>
      </c>
      <c r="T276" s="128">
        <v>0</v>
      </c>
      <c r="U276" s="363"/>
      <c r="V276" s="126">
        <f t="shared" ref="V276" si="149">SUM(Q276-(Q276*T276))*S276+(Q276-(Q276*T276))</f>
        <v>139.99700000000001</v>
      </c>
      <c r="W276" t="s">
        <v>12814</v>
      </c>
      <c r="X276" s="5" t="s">
        <v>12815</v>
      </c>
      <c r="Y276" s="2">
        <v>38645</v>
      </c>
      <c r="Z276" s="2">
        <v>45854</v>
      </c>
      <c r="AA276" s="2"/>
      <c r="AB276" s="2"/>
      <c r="AC276" s="80"/>
      <c r="AE276" s="3"/>
      <c r="AF276" t="s">
        <v>3198</v>
      </c>
      <c r="AI276" t="s">
        <v>3392</v>
      </c>
      <c r="AJ276" s="3">
        <v>45908</v>
      </c>
      <c r="AM276" s="74">
        <v>45909</v>
      </c>
      <c r="AT276" s="1"/>
    </row>
    <row r="277" spans="1:46">
      <c r="A277" s="1">
        <v>276</v>
      </c>
      <c r="B277" s="61" t="s">
        <v>3526</v>
      </c>
      <c r="C277" s="2">
        <v>45856</v>
      </c>
      <c r="D277" s="403" t="s">
        <v>9900</v>
      </c>
      <c r="E277" s="1" t="s">
        <v>3671</v>
      </c>
      <c r="F277" s="61" t="s">
        <v>12523</v>
      </c>
      <c r="G277" s="61" t="s">
        <v>12524</v>
      </c>
      <c r="H277" s="6" t="s">
        <v>2654</v>
      </c>
      <c r="I277" s="1" t="s">
        <v>2359</v>
      </c>
      <c r="J277" s="44"/>
      <c r="K277" s="44"/>
      <c r="L277" s="1" t="s">
        <v>3671</v>
      </c>
      <c r="M277" s="2">
        <v>45869</v>
      </c>
      <c r="N277" t="s">
        <v>35</v>
      </c>
      <c r="O277" s="61" t="s">
        <v>12352</v>
      </c>
      <c r="P277" s="14" t="s">
        <v>12525</v>
      </c>
      <c r="Q277" s="187">
        <v>115.7</v>
      </c>
      <c r="R277" s="1">
        <v>1</v>
      </c>
      <c r="S277" s="128">
        <v>0.21</v>
      </c>
      <c r="T277" s="128">
        <v>0</v>
      </c>
      <c r="U277" s="363"/>
      <c r="V277" s="126">
        <f t="shared" ref="V277:V280" si="150">SUM(Q277-(Q277*T277))*S277+(Q277-(Q277*T277))</f>
        <v>139.99700000000001</v>
      </c>
      <c r="W277" t="s">
        <v>12808</v>
      </c>
      <c r="X277" s="5" t="s">
        <v>12809</v>
      </c>
      <c r="Y277" s="2">
        <v>34975</v>
      </c>
      <c r="Z277" s="2">
        <v>45856</v>
      </c>
      <c r="AA277" s="2"/>
      <c r="AB277" s="2"/>
      <c r="AC277" s="80"/>
      <c r="AE277" s="3"/>
      <c r="AF277" t="s">
        <v>3198</v>
      </c>
      <c r="AI277" t="s">
        <v>11444</v>
      </c>
      <c r="AJ277" s="2">
        <v>45908</v>
      </c>
      <c r="AL277" s="3"/>
      <c r="AM277" s="3">
        <v>45919</v>
      </c>
      <c r="AT277" s="1"/>
    </row>
    <row r="278" spans="1:46">
      <c r="A278" s="1">
        <v>277</v>
      </c>
      <c r="B278" t="s">
        <v>33</v>
      </c>
      <c r="C278" s="2">
        <v>45856</v>
      </c>
      <c r="D278" s="403" t="s">
        <v>9900</v>
      </c>
      <c r="E278" s="1" t="s">
        <v>10883</v>
      </c>
      <c r="F278" s="14" t="s">
        <v>10884</v>
      </c>
      <c r="G278" t="s">
        <v>10885</v>
      </c>
      <c r="H278" s="6" t="s">
        <v>219</v>
      </c>
      <c r="I278" s="1" t="s">
        <v>4334</v>
      </c>
      <c r="J278" s="8"/>
      <c r="K278" s="114" t="s">
        <v>11744</v>
      </c>
      <c r="L278" t="s">
        <v>237</v>
      </c>
      <c r="M278" s="2">
        <v>45869</v>
      </c>
      <c r="N278" s="1" t="s">
        <v>35</v>
      </c>
      <c r="O278" s="61" t="s">
        <v>9758</v>
      </c>
      <c r="P278" s="14" t="s">
        <v>12526</v>
      </c>
      <c r="Q278" s="92">
        <v>115.7</v>
      </c>
      <c r="R278" s="1">
        <v>1</v>
      </c>
      <c r="S278" s="128">
        <v>0.21</v>
      </c>
      <c r="T278" s="128">
        <v>0</v>
      </c>
      <c r="U278" s="95"/>
      <c r="V278" s="95">
        <f t="shared" si="150"/>
        <v>139.99700000000001</v>
      </c>
      <c r="W278" t="s">
        <v>12970</v>
      </c>
      <c r="X278" s="5" t="s">
        <v>12823</v>
      </c>
      <c r="Y278" s="2">
        <v>36891</v>
      </c>
      <c r="Z278" s="2">
        <v>45856</v>
      </c>
      <c r="AA278" s="377" t="s">
        <v>13377</v>
      </c>
      <c r="AB278" s="2">
        <v>45959</v>
      </c>
      <c r="AC278" s="80" t="s">
        <v>1339</v>
      </c>
      <c r="AF278" t="s">
        <v>3198</v>
      </c>
      <c r="AI278" s="76" t="s">
        <v>3470</v>
      </c>
      <c r="AJ278" s="2">
        <v>45929</v>
      </c>
      <c r="AM278" s="74"/>
      <c r="AT278" s="1"/>
    </row>
    <row r="279" spans="1:46">
      <c r="A279" s="1">
        <v>278</v>
      </c>
      <c r="B279" t="s">
        <v>6684</v>
      </c>
      <c r="C279" s="2">
        <v>45856</v>
      </c>
      <c r="D279" s="2"/>
      <c r="E279" s="1" t="s">
        <v>6685</v>
      </c>
      <c r="F279" t="s">
        <v>6686</v>
      </c>
      <c r="G279" t="s">
        <v>6687</v>
      </c>
      <c r="H279" s="6" t="s">
        <v>2579</v>
      </c>
      <c r="I279" t="s">
        <v>2580</v>
      </c>
      <c r="J279" s="8"/>
      <c r="K279" s="1" t="s">
        <v>7339</v>
      </c>
      <c r="L279" t="s">
        <v>6685</v>
      </c>
      <c r="M279" s="2">
        <v>45869</v>
      </c>
      <c r="N279" s="1" t="s">
        <v>35</v>
      </c>
      <c r="O279" s="61" t="s">
        <v>12352</v>
      </c>
      <c r="P279" s="14" t="s">
        <v>12527</v>
      </c>
      <c r="Q279" s="187">
        <v>115.7</v>
      </c>
      <c r="R279" s="1">
        <v>1</v>
      </c>
      <c r="S279" s="128">
        <v>0.21</v>
      </c>
      <c r="T279" s="128">
        <v>0</v>
      </c>
      <c r="V279" s="126">
        <f t="shared" si="150"/>
        <v>139.99700000000001</v>
      </c>
      <c r="W279" t="s">
        <v>12879</v>
      </c>
      <c r="X279" s="5" t="s">
        <v>12880</v>
      </c>
      <c r="Y279" s="3">
        <v>34961</v>
      </c>
      <c r="Z279" s="2">
        <v>45856</v>
      </c>
      <c r="AA279" s="2"/>
      <c r="AB279" s="2"/>
      <c r="AC279" s="80"/>
      <c r="AF279" t="s">
        <v>3198</v>
      </c>
      <c r="AI279" s="76" t="s">
        <v>12504</v>
      </c>
      <c r="AJ279" s="3">
        <v>45916</v>
      </c>
      <c r="AM279" s="3"/>
    </row>
    <row r="280" spans="1:46">
      <c r="A280" s="1">
        <v>279</v>
      </c>
      <c r="B280" t="s">
        <v>37</v>
      </c>
      <c r="C280" s="2">
        <v>45857</v>
      </c>
      <c r="D280" s="2"/>
      <c r="E280" t="s">
        <v>9060</v>
      </c>
      <c r="F280" t="s">
        <v>6798</v>
      </c>
      <c r="G280" t="s">
        <v>6799</v>
      </c>
      <c r="H280" s="6" t="s">
        <v>2451</v>
      </c>
      <c r="I280" s="1" t="s">
        <v>3681</v>
      </c>
      <c r="J280" s="44">
        <v>642742518</v>
      </c>
      <c r="K280" s="44"/>
      <c r="L280" t="s">
        <v>9060</v>
      </c>
      <c r="M280" s="2">
        <v>45869</v>
      </c>
      <c r="N280" s="1" t="s">
        <v>35</v>
      </c>
      <c r="O280" s="61" t="s">
        <v>7934</v>
      </c>
      <c r="P280" s="14" t="s">
        <v>8853</v>
      </c>
      <c r="Q280" s="187">
        <v>86.78</v>
      </c>
      <c r="R280" s="1">
        <v>1</v>
      </c>
      <c r="S280" s="128">
        <v>0.21</v>
      </c>
      <c r="T280" s="128">
        <v>0</v>
      </c>
      <c r="U280" s="1"/>
      <c r="V280" s="95">
        <f t="shared" si="150"/>
        <v>105.0038</v>
      </c>
      <c r="W280" t="s">
        <v>9060</v>
      </c>
      <c r="X280" s="5" t="s">
        <v>12822</v>
      </c>
      <c r="Y280" s="2">
        <v>34449</v>
      </c>
      <c r="Z280" s="2">
        <v>45857</v>
      </c>
      <c r="AA280" s="377" t="s">
        <v>13080</v>
      </c>
      <c r="AB280" s="3">
        <v>45936</v>
      </c>
      <c r="AC280" s="80" t="s">
        <v>1339</v>
      </c>
      <c r="AF280" t="s">
        <v>3198</v>
      </c>
      <c r="AI280" s="76" t="s">
        <v>3470</v>
      </c>
      <c r="AJ280" s="2">
        <v>45919</v>
      </c>
      <c r="AM280" s="74"/>
      <c r="AT280" s="1"/>
    </row>
    <row r="281" spans="1:46">
      <c r="A281" s="1">
        <v>280</v>
      </c>
      <c r="B281" t="s">
        <v>143</v>
      </c>
      <c r="C281" s="2">
        <v>45858</v>
      </c>
      <c r="D281" s="403" t="s">
        <v>9900</v>
      </c>
      <c r="E281" s="1" t="s">
        <v>12694</v>
      </c>
      <c r="F281" s="375" t="s">
        <v>12528</v>
      </c>
      <c r="G281" t="s">
        <v>12529</v>
      </c>
      <c r="H281" s="6" t="s">
        <v>12530</v>
      </c>
      <c r="I281" s="1" t="s">
        <v>12531</v>
      </c>
      <c r="J281" s="8"/>
      <c r="K281" s="396"/>
      <c r="L281" s="1" t="s">
        <v>12694</v>
      </c>
      <c r="M281" s="2">
        <v>45869</v>
      </c>
      <c r="N281" s="1" t="s">
        <v>35</v>
      </c>
      <c r="O281" s="61" t="s">
        <v>9758</v>
      </c>
      <c r="P281" s="14" t="s">
        <v>12532</v>
      </c>
      <c r="Q281" s="92">
        <v>165.29</v>
      </c>
      <c r="R281" s="1">
        <v>1</v>
      </c>
      <c r="S281" s="128">
        <v>0.21</v>
      </c>
      <c r="T281" s="128">
        <v>0</v>
      </c>
      <c r="U281" s="95"/>
      <c r="V281" s="126">
        <f t="shared" ref="V281:V287" si="151">SUM(Q281-(Q281*T281))*S281+(Q281-(Q281*T281))</f>
        <v>200.0009</v>
      </c>
      <c r="W281" s="1" t="s">
        <v>12694</v>
      </c>
      <c r="X281" s="5" t="s">
        <v>12695</v>
      </c>
      <c r="Y281" s="2">
        <v>31940</v>
      </c>
      <c r="Z281" s="2">
        <v>45858</v>
      </c>
      <c r="AA281" s="377" t="s">
        <v>13377</v>
      </c>
      <c r="AB281" s="2">
        <v>45959</v>
      </c>
      <c r="AC281" s="80" t="s">
        <v>1339</v>
      </c>
      <c r="AF281" t="s">
        <v>3198</v>
      </c>
      <c r="AI281" s="76" t="s">
        <v>3470</v>
      </c>
      <c r="AJ281" s="2">
        <v>45889</v>
      </c>
      <c r="AM281" s="74"/>
      <c r="AT281" s="1"/>
    </row>
    <row r="282" spans="1:46">
      <c r="A282" s="1">
        <v>281</v>
      </c>
      <c r="B282" t="s">
        <v>33</v>
      </c>
      <c r="C282" s="2">
        <v>45856</v>
      </c>
      <c r="D282" s="403" t="s">
        <v>9900</v>
      </c>
      <c r="E282" s="1" t="s">
        <v>12533</v>
      </c>
      <c r="F282" s="14" t="s">
        <v>12534</v>
      </c>
      <c r="G282" t="s">
        <v>10722</v>
      </c>
      <c r="H282" s="6" t="s">
        <v>219</v>
      </c>
      <c r="I282" s="1" t="s">
        <v>4334</v>
      </c>
      <c r="J282" s="8"/>
      <c r="K282" s="114" t="s">
        <v>11744</v>
      </c>
      <c r="L282" t="s">
        <v>237</v>
      </c>
      <c r="M282" s="2">
        <v>45869</v>
      </c>
      <c r="N282" s="1" t="s">
        <v>35</v>
      </c>
      <c r="O282" s="61" t="s">
        <v>7934</v>
      </c>
      <c r="P282" s="14" t="s">
        <v>12535</v>
      </c>
      <c r="Q282" s="92">
        <v>115.7</v>
      </c>
      <c r="R282" s="1">
        <v>1</v>
      </c>
      <c r="S282" s="128">
        <v>0.21</v>
      </c>
      <c r="T282" s="128">
        <v>0</v>
      </c>
      <c r="U282" s="95"/>
      <c r="V282" s="95">
        <f t="shared" si="151"/>
        <v>139.99700000000001</v>
      </c>
      <c r="W282" t="s">
        <v>12536</v>
      </c>
      <c r="X282" s="5" t="s">
        <v>12689</v>
      </c>
      <c r="Y282" s="2">
        <v>28493</v>
      </c>
      <c r="Z282" s="2">
        <v>45858</v>
      </c>
      <c r="AA282" s="2"/>
      <c r="AB282" s="2"/>
      <c r="AC282" s="80"/>
      <c r="AF282" t="s">
        <v>3198</v>
      </c>
      <c r="AI282" s="76" t="s">
        <v>10800</v>
      </c>
      <c r="AJ282" s="2">
        <v>45889</v>
      </c>
      <c r="AM282" s="74"/>
      <c r="AT282" s="1"/>
    </row>
    <row r="283" spans="1:46">
      <c r="A283" s="1">
        <v>282</v>
      </c>
      <c r="B283" s="61" t="s">
        <v>119</v>
      </c>
      <c r="C283" s="2">
        <v>45859</v>
      </c>
      <c r="D283" s="2"/>
      <c r="E283" s="1" t="s">
        <v>613</v>
      </c>
      <c r="F283" s="61" t="s">
        <v>9866</v>
      </c>
      <c r="G283" s="61" t="s">
        <v>3795</v>
      </c>
      <c r="H283" s="6" t="s">
        <v>239</v>
      </c>
      <c r="I283" s="1" t="s">
        <v>2585</v>
      </c>
      <c r="J283" s="1">
        <v>637421137</v>
      </c>
      <c r="K283" s="1" t="s">
        <v>8094</v>
      </c>
      <c r="L283" s="31" t="s">
        <v>174</v>
      </c>
      <c r="M283" s="2">
        <v>45869</v>
      </c>
      <c r="N283" s="1" t="s">
        <v>35</v>
      </c>
      <c r="O283" s="61" t="s">
        <v>7934</v>
      </c>
      <c r="P283" s="14" t="s">
        <v>12540</v>
      </c>
      <c r="Q283" s="92">
        <v>69.42</v>
      </c>
      <c r="R283" s="1">
        <v>1</v>
      </c>
      <c r="S283" s="90">
        <v>0.21</v>
      </c>
      <c r="T283" s="90">
        <v>0</v>
      </c>
      <c r="U283" s="95"/>
      <c r="V283" s="126">
        <f t="shared" si="151"/>
        <v>83.998199999999997</v>
      </c>
      <c r="W283" t="s">
        <v>10633</v>
      </c>
      <c r="X283" s="6" t="s">
        <v>12582</v>
      </c>
      <c r="Y283" s="2">
        <v>30144</v>
      </c>
      <c r="Z283" s="2">
        <v>45859</v>
      </c>
      <c r="AA283" s="377" t="s">
        <v>13079</v>
      </c>
      <c r="AB283" s="2">
        <v>45936</v>
      </c>
      <c r="AC283" s="80" t="s">
        <v>1339</v>
      </c>
      <c r="AF283" t="s">
        <v>3198</v>
      </c>
      <c r="AI283" s="76" t="s">
        <v>3470</v>
      </c>
      <c r="AJ283" s="2">
        <v>45863</v>
      </c>
      <c r="AK283" s="2"/>
      <c r="AM283" s="74"/>
      <c r="AT283" s="1"/>
    </row>
    <row r="284" spans="1:46">
      <c r="A284" s="1">
        <v>283</v>
      </c>
      <c r="B284" t="s">
        <v>37</v>
      </c>
      <c r="C284" s="2">
        <v>45859</v>
      </c>
      <c r="D284" s="2"/>
      <c r="E284" s="1" t="s">
        <v>6574</v>
      </c>
      <c r="F284" s="61" t="s">
        <v>10740</v>
      </c>
      <c r="G284" t="s">
        <v>6576</v>
      </c>
      <c r="H284" s="6" t="s">
        <v>219</v>
      </c>
      <c r="I284" s="1" t="s">
        <v>4334</v>
      </c>
      <c r="J284" s="8"/>
      <c r="K284" s="1"/>
      <c r="L284" s="1" t="s">
        <v>6574</v>
      </c>
      <c r="M284" s="2">
        <v>45869</v>
      </c>
      <c r="N284" s="1" t="s">
        <v>35</v>
      </c>
      <c r="O284" s="61" t="s">
        <v>7934</v>
      </c>
      <c r="P284" s="14" t="s">
        <v>12541</v>
      </c>
      <c r="Q284" s="254">
        <v>115.7</v>
      </c>
      <c r="R284" s="1">
        <v>1</v>
      </c>
      <c r="S284" s="128">
        <v>0.21</v>
      </c>
      <c r="T284" s="128">
        <v>0</v>
      </c>
      <c r="U284" s="363"/>
      <c r="V284" s="126">
        <f t="shared" si="151"/>
        <v>139.99700000000001</v>
      </c>
      <c r="W284" t="s">
        <v>10782</v>
      </c>
      <c r="X284" s="5" t="s">
        <v>12583</v>
      </c>
      <c r="Y284" s="3">
        <v>28465</v>
      </c>
      <c r="Z284" s="2">
        <v>45859</v>
      </c>
      <c r="AA284" s="377" t="s">
        <v>13047</v>
      </c>
      <c r="AB284" s="2">
        <v>45931</v>
      </c>
      <c r="AC284" s="80" t="s">
        <v>1339</v>
      </c>
      <c r="AF284" t="s">
        <v>3198</v>
      </c>
      <c r="AI284" t="s">
        <v>3470</v>
      </c>
      <c r="AJ284" s="2">
        <v>45863</v>
      </c>
      <c r="AM284" s="3">
        <v>45873</v>
      </c>
    </row>
    <row r="285" spans="1:46">
      <c r="A285" s="1">
        <v>284</v>
      </c>
      <c r="B285" t="s">
        <v>1414</v>
      </c>
      <c r="C285" s="2">
        <v>45859</v>
      </c>
      <c r="D285" s="2"/>
      <c r="E285" s="1" t="s">
        <v>1812</v>
      </c>
      <c r="F285" t="s">
        <v>1813</v>
      </c>
      <c r="G285" t="s">
        <v>1994</v>
      </c>
      <c r="H285" s="6" t="s">
        <v>221</v>
      </c>
      <c r="I285" s="1" t="s">
        <v>34</v>
      </c>
      <c r="J285" s="8">
        <v>626326758</v>
      </c>
      <c r="K285" s="8" t="s">
        <v>6019</v>
      </c>
      <c r="L285" t="s">
        <v>1812</v>
      </c>
      <c r="M285" s="2">
        <v>45869</v>
      </c>
      <c r="N285" s="1" t="s">
        <v>35</v>
      </c>
      <c r="O285" s="61" t="s">
        <v>9758</v>
      </c>
      <c r="P285" s="14" t="s">
        <v>12542</v>
      </c>
      <c r="Q285" s="254">
        <v>115.7</v>
      </c>
      <c r="R285" s="1">
        <v>1</v>
      </c>
      <c r="S285" s="90">
        <v>0.21</v>
      </c>
      <c r="T285" s="90">
        <v>0</v>
      </c>
      <c r="V285" s="95">
        <f t="shared" si="151"/>
        <v>139.99700000000001</v>
      </c>
      <c r="W285" t="s">
        <v>12950</v>
      </c>
      <c r="X285" s="6" t="s">
        <v>12824</v>
      </c>
      <c r="Y285" s="2">
        <v>38764</v>
      </c>
      <c r="Z285" s="2">
        <v>45859</v>
      </c>
      <c r="AA285" s="377" t="s">
        <v>13377</v>
      </c>
      <c r="AB285" s="3">
        <v>45959</v>
      </c>
      <c r="AC285" s="80" t="s">
        <v>1339</v>
      </c>
      <c r="AF285" t="s">
        <v>3198</v>
      </c>
      <c r="AI285" s="76" t="s">
        <v>12543</v>
      </c>
      <c r="AJ285" s="2">
        <v>45929</v>
      </c>
      <c r="AM285" s="74"/>
      <c r="AT285" s="1"/>
    </row>
    <row r="286" spans="1:46" ht="15.75" customHeight="1">
      <c r="A286" s="1">
        <v>285</v>
      </c>
      <c r="B286" s="61" t="s">
        <v>11607</v>
      </c>
      <c r="C286" s="2">
        <v>45859</v>
      </c>
      <c r="D286" s="2"/>
      <c r="E286" s="30" t="s">
        <v>458</v>
      </c>
      <c r="F286" t="s">
        <v>84</v>
      </c>
      <c r="G286" s="103" t="s">
        <v>138</v>
      </c>
      <c r="H286" s="30" t="s">
        <v>227</v>
      </c>
      <c r="I286" s="31" t="s">
        <v>203</v>
      </c>
      <c r="J286" s="44"/>
      <c r="K286" s="396" t="s">
        <v>12858</v>
      </c>
      <c r="L286" t="s">
        <v>4432</v>
      </c>
      <c r="M286" s="2">
        <v>45869</v>
      </c>
      <c r="N286" s="1" t="s">
        <v>35</v>
      </c>
      <c r="O286" s="61" t="s">
        <v>7934</v>
      </c>
      <c r="P286" s="14" t="s">
        <v>8874</v>
      </c>
      <c r="Q286" s="187">
        <v>69.42</v>
      </c>
      <c r="R286" s="1">
        <v>1</v>
      </c>
      <c r="S286" s="90">
        <v>0.21</v>
      </c>
      <c r="T286" s="90">
        <v>0</v>
      </c>
      <c r="V286" s="95">
        <f t="shared" si="151"/>
        <v>83.998199999999997</v>
      </c>
      <c r="W286" t="s">
        <v>6541</v>
      </c>
      <c r="X286" s="5" t="s">
        <v>12691</v>
      </c>
      <c r="Y286" s="2">
        <v>29411</v>
      </c>
      <c r="Z286" s="2">
        <v>45859</v>
      </c>
      <c r="AA286" s="377" t="s">
        <v>13041</v>
      </c>
      <c r="AB286" s="2">
        <v>45930</v>
      </c>
      <c r="AC286" s="80" t="s">
        <v>1339</v>
      </c>
      <c r="AD286" s="61"/>
      <c r="AF286" t="s">
        <v>3198</v>
      </c>
      <c r="AI286" s="76" t="s">
        <v>3470</v>
      </c>
      <c r="AJ286" s="2">
        <v>45889</v>
      </c>
      <c r="AM286" s="74"/>
      <c r="AT286" s="1"/>
    </row>
    <row r="287" spans="1:46">
      <c r="A287" s="1">
        <v>286</v>
      </c>
      <c r="B287" t="s">
        <v>9170</v>
      </c>
      <c r="C287" s="2">
        <v>45859</v>
      </c>
      <c r="D287" s="2"/>
      <c r="E287" s="1" t="s">
        <v>256</v>
      </c>
      <c r="F287" s="31" t="s">
        <v>155</v>
      </c>
      <c r="G287" s="31" t="s">
        <v>138</v>
      </c>
      <c r="H287" s="33" t="s">
        <v>227</v>
      </c>
      <c r="I287" s="30" t="s">
        <v>203</v>
      </c>
      <c r="J287" s="30">
        <v>631130911</v>
      </c>
      <c r="K287" s="44" t="s">
        <v>5906</v>
      </c>
      <c r="L287" s="1" t="s">
        <v>4432</v>
      </c>
      <c r="M287" s="2">
        <v>45869</v>
      </c>
      <c r="N287" s="1" t="s">
        <v>35</v>
      </c>
      <c r="O287" s="61" t="s">
        <v>7934</v>
      </c>
      <c r="P287" s="14" t="s">
        <v>12544</v>
      </c>
      <c r="Q287" s="187">
        <v>69.42</v>
      </c>
      <c r="R287" s="1">
        <v>1</v>
      </c>
      <c r="S287" s="90">
        <v>0.21</v>
      </c>
      <c r="T287" s="90">
        <v>0</v>
      </c>
      <c r="U287" s="95"/>
      <c r="V287" s="95">
        <f t="shared" si="151"/>
        <v>83.998199999999997</v>
      </c>
      <c r="W287" t="s">
        <v>6741</v>
      </c>
      <c r="X287" s="5" t="s">
        <v>12692</v>
      </c>
      <c r="Y287" s="2">
        <v>30600</v>
      </c>
      <c r="Z287" s="2">
        <v>45859</v>
      </c>
      <c r="AA287" s="2" t="s">
        <v>13014</v>
      </c>
      <c r="AB287" s="2">
        <v>45930</v>
      </c>
      <c r="AC287" s="80"/>
      <c r="AD287" t="s">
        <v>13015</v>
      </c>
      <c r="AE287" s="3"/>
      <c r="AF287" t="s">
        <v>3198</v>
      </c>
      <c r="AI287" s="76" t="s">
        <v>3470</v>
      </c>
      <c r="AJ287" s="2"/>
      <c r="AL287" s="499" t="s">
        <v>13050</v>
      </c>
      <c r="AM287" s="3"/>
      <c r="AS287" t="s">
        <v>7968</v>
      </c>
    </row>
    <row r="288" spans="1:46">
      <c r="A288" s="1">
        <v>287</v>
      </c>
      <c r="B288" t="s">
        <v>9196</v>
      </c>
      <c r="C288" s="2">
        <v>45860</v>
      </c>
      <c r="D288" s="403" t="s">
        <v>9900</v>
      </c>
      <c r="E288" s="1" t="s">
        <v>12545</v>
      </c>
      <c r="F288" s="375" t="s">
        <v>12546</v>
      </c>
      <c r="G288" t="s">
        <v>12547</v>
      </c>
      <c r="H288" s="6" t="s">
        <v>4604</v>
      </c>
      <c r="I288" s="1" t="s">
        <v>4605</v>
      </c>
      <c r="J288" s="8"/>
      <c r="K288" s="396"/>
      <c r="L288" s="1" t="s">
        <v>12545</v>
      </c>
      <c r="M288" s="2">
        <v>45869</v>
      </c>
      <c r="N288" s="1" t="s">
        <v>35</v>
      </c>
      <c r="O288" s="61" t="s">
        <v>12352</v>
      </c>
      <c r="P288" s="14" t="s">
        <v>12548</v>
      </c>
      <c r="Q288" s="92">
        <v>115.7</v>
      </c>
      <c r="R288" s="1">
        <v>1</v>
      </c>
      <c r="S288" s="128">
        <v>0.21</v>
      </c>
      <c r="T288" s="128">
        <v>0</v>
      </c>
      <c r="U288" s="95"/>
      <c r="V288" s="126">
        <f t="shared" ref="V288:V291" si="152">SUM(Q288-(Q288*T288))*S288+(Q288-(Q288*T288))</f>
        <v>139.99700000000001</v>
      </c>
      <c r="W288" t="s">
        <v>12843</v>
      </c>
      <c r="X288" s="5" t="s">
        <v>12844</v>
      </c>
      <c r="Y288" s="2">
        <v>35969</v>
      </c>
      <c r="Z288" s="2">
        <v>45860</v>
      </c>
      <c r="AA288" s="2"/>
      <c r="AB288" s="2"/>
      <c r="AC288" s="80"/>
      <c r="AF288" t="s">
        <v>3198</v>
      </c>
      <c r="AI288" t="s">
        <v>3392</v>
      </c>
      <c r="AJ288" s="2">
        <v>45911</v>
      </c>
      <c r="AM288" s="74">
        <v>45919</v>
      </c>
      <c r="AT288" s="1"/>
    </row>
    <row r="289" spans="1:139">
      <c r="A289" s="1">
        <v>288</v>
      </c>
      <c r="B289" t="s">
        <v>83</v>
      </c>
      <c r="C289" s="2">
        <v>45860</v>
      </c>
      <c r="D289" s="2"/>
      <c r="E289" s="1" t="s">
        <v>11690</v>
      </c>
      <c r="F289" s="61" t="s">
        <v>11691</v>
      </c>
      <c r="G289" t="s">
        <v>11692</v>
      </c>
      <c r="H289" s="6" t="s">
        <v>236</v>
      </c>
      <c r="I289" s="1" t="s">
        <v>110</v>
      </c>
      <c r="J289" s="1"/>
      <c r="K289" s="396" t="s">
        <v>10487</v>
      </c>
      <c r="L289" s="1" t="s">
        <v>11690</v>
      </c>
      <c r="M289" s="2">
        <v>45869</v>
      </c>
      <c r="N289" s="1" t="s">
        <v>35</v>
      </c>
      <c r="O289" s="61" t="s">
        <v>7925</v>
      </c>
      <c r="P289" s="14" t="s">
        <v>12549</v>
      </c>
      <c r="Q289" s="92">
        <v>115.7</v>
      </c>
      <c r="R289" s="1">
        <v>1</v>
      </c>
      <c r="S289" s="128">
        <v>0.21</v>
      </c>
      <c r="T289" s="128">
        <v>0</v>
      </c>
      <c r="U289" s="95"/>
      <c r="V289" s="126">
        <f t="shared" si="152"/>
        <v>139.99700000000001</v>
      </c>
      <c r="W289" t="s">
        <v>12845</v>
      </c>
      <c r="X289" s="5" t="s">
        <v>12846</v>
      </c>
      <c r="Y289" s="3">
        <v>35246</v>
      </c>
      <c r="Z289" s="2">
        <v>45860</v>
      </c>
      <c r="AA289" s="2"/>
      <c r="AB289" s="2"/>
      <c r="AC289" s="80"/>
      <c r="AF289" t="s">
        <v>3198</v>
      </c>
      <c r="AI289" t="s">
        <v>12254</v>
      </c>
      <c r="AJ289" s="3">
        <v>45911</v>
      </c>
      <c r="AM289" s="3">
        <v>45944</v>
      </c>
    </row>
    <row r="290" spans="1:139">
      <c r="A290" s="1">
        <v>289</v>
      </c>
      <c r="B290" t="s">
        <v>37</v>
      </c>
      <c r="C290" s="2">
        <v>45860</v>
      </c>
      <c r="D290" s="403" t="s">
        <v>9900</v>
      </c>
      <c r="E290" s="1" t="s">
        <v>10626</v>
      </c>
      <c r="F290" s="375" t="s">
        <v>12550</v>
      </c>
      <c r="G290" t="s">
        <v>12551</v>
      </c>
      <c r="H290" s="6" t="s">
        <v>219</v>
      </c>
      <c r="I290" s="1" t="s">
        <v>4334</v>
      </c>
      <c r="J290" s="8"/>
      <c r="K290" s="396"/>
      <c r="L290" s="1" t="s">
        <v>10626</v>
      </c>
      <c r="M290" s="2">
        <v>45869</v>
      </c>
      <c r="N290" s="1" t="s">
        <v>35</v>
      </c>
      <c r="O290" s="61" t="s">
        <v>7934</v>
      </c>
      <c r="P290" s="14" t="s">
        <v>12552</v>
      </c>
      <c r="Q290" s="92">
        <v>86.78</v>
      </c>
      <c r="R290" s="1">
        <v>1</v>
      </c>
      <c r="S290" s="128">
        <v>0.21</v>
      </c>
      <c r="T290" s="128">
        <v>0</v>
      </c>
      <c r="U290" s="95"/>
      <c r="V290" s="126">
        <f t="shared" si="152"/>
        <v>105.0038</v>
      </c>
      <c r="W290" s="1" t="s">
        <v>10626</v>
      </c>
      <c r="X290" s="5" t="s">
        <v>12687</v>
      </c>
      <c r="Y290" s="2">
        <v>36433</v>
      </c>
      <c r="Z290" s="2">
        <v>45860</v>
      </c>
      <c r="AA290" s="377" t="s">
        <v>13079</v>
      </c>
      <c r="AB290" s="2">
        <v>45936</v>
      </c>
      <c r="AC290" s="80" t="s">
        <v>1339</v>
      </c>
      <c r="AF290" t="s">
        <v>3198</v>
      </c>
      <c r="AI290" s="76" t="s">
        <v>3470</v>
      </c>
      <c r="AJ290" s="2">
        <v>45889</v>
      </c>
      <c r="AM290" s="74"/>
      <c r="AT290" s="1"/>
    </row>
    <row r="291" spans="1:139">
      <c r="A291" s="1">
        <v>290</v>
      </c>
      <c r="B291" t="s">
        <v>7245</v>
      </c>
      <c r="C291" s="2">
        <v>45860</v>
      </c>
      <c r="D291" s="2"/>
      <c r="E291" s="1" t="s">
        <v>1522</v>
      </c>
      <c r="F291" s="61" t="s">
        <v>3233</v>
      </c>
      <c r="G291" t="s">
        <v>3241</v>
      </c>
      <c r="H291" s="6" t="s">
        <v>3234</v>
      </c>
      <c r="I291" t="s">
        <v>3235</v>
      </c>
      <c r="J291" s="8">
        <v>680761760</v>
      </c>
      <c r="K291" s="8" t="s">
        <v>6232</v>
      </c>
      <c r="L291" t="s">
        <v>1522</v>
      </c>
      <c r="M291" s="2">
        <v>45869</v>
      </c>
      <c r="N291" s="1" t="s">
        <v>35</v>
      </c>
      <c r="O291" s="14" t="s">
        <v>7926</v>
      </c>
      <c r="P291" s="14" t="s">
        <v>12553</v>
      </c>
      <c r="Q291" s="187">
        <v>115.7</v>
      </c>
      <c r="R291" s="1">
        <v>1</v>
      </c>
      <c r="S291" s="128">
        <v>0.21</v>
      </c>
      <c r="T291" s="128">
        <v>0</v>
      </c>
      <c r="U291" s="363"/>
      <c r="V291" s="126">
        <f t="shared" si="152"/>
        <v>139.99700000000001</v>
      </c>
      <c r="W291" t="s">
        <v>12971</v>
      </c>
      <c r="X291" s="5" t="s">
        <v>12825</v>
      </c>
      <c r="Y291" s="2">
        <v>30826</v>
      </c>
      <c r="Z291" s="2">
        <v>45860</v>
      </c>
      <c r="AA291" s="377" t="s">
        <v>13415</v>
      </c>
      <c r="AB291" s="2">
        <v>45960</v>
      </c>
      <c r="AC291" s="80" t="s">
        <v>1339</v>
      </c>
      <c r="AF291" t="s">
        <v>3198</v>
      </c>
      <c r="AI291" t="s">
        <v>3470</v>
      </c>
      <c r="AJ291" s="2">
        <v>45929</v>
      </c>
      <c r="AM291" s="74">
        <v>45940</v>
      </c>
      <c r="AS291" s="1" t="s">
        <v>7934</v>
      </c>
      <c r="AT291" s="1"/>
    </row>
    <row r="292" spans="1:139" s="197" customFormat="1">
      <c r="A292" s="1">
        <v>291</v>
      </c>
      <c r="B292" s="61" t="s">
        <v>1414</v>
      </c>
      <c r="C292" s="2">
        <v>45861</v>
      </c>
      <c r="D292" s="2"/>
      <c r="E292" s="1" t="s">
        <v>11830</v>
      </c>
      <c r="F292" s="61" t="s">
        <v>11831</v>
      </c>
      <c r="G292" s="61" t="s">
        <v>11832</v>
      </c>
      <c r="H292" s="1">
        <v>4700</v>
      </c>
      <c r="I292" s="1" t="s">
        <v>34</v>
      </c>
      <c r="J292" s="8"/>
      <c r="K292" s="301" t="s">
        <v>11833</v>
      </c>
      <c r="L292" s="1" t="s">
        <v>11830</v>
      </c>
      <c r="M292" s="2">
        <v>45869</v>
      </c>
      <c r="N292" s="1" t="s">
        <v>35</v>
      </c>
      <c r="O292" s="61" t="s">
        <v>9758</v>
      </c>
      <c r="P292" s="14" t="s">
        <v>12554</v>
      </c>
      <c r="Q292" s="187">
        <v>115.7</v>
      </c>
      <c r="R292" s="1">
        <v>1</v>
      </c>
      <c r="S292" s="128">
        <v>0.21</v>
      </c>
      <c r="T292" s="128">
        <v>0</v>
      </c>
      <c r="U292" s="363"/>
      <c r="V292" s="126">
        <f>SUM(Q292-(Q292*T292))*S292+(Q292-(Q292*T292))</f>
        <v>139.99700000000001</v>
      </c>
      <c r="W292" t="s">
        <v>11874</v>
      </c>
      <c r="X292" s="5" t="s">
        <v>12698</v>
      </c>
      <c r="Y292" s="2">
        <v>33604</v>
      </c>
      <c r="Z292" s="2">
        <v>45861</v>
      </c>
      <c r="AA292" s="2"/>
      <c r="AB292" s="2"/>
      <c r="AC292" s="80"/>
      <c r="AD292"/>
      <c r="AE292"/>
      <c r="AF292" t="s">
        <v>3198</v>
      </c>
      <c r="AG292"/>
      <c r="AH292"/>
      <c r="AI292" t="s">
        <v>3470</v>
      </c>
      <c r="AJ292" s="3">
        <v>45889</v>
      </c>
      <c r="AK292"/>
      <c r="AL292" s="2"/>
      <c r="AM292" s="3">
        <v>45895</v>
      </c>
      <c r="AN292"/>
      <c r="AO292"/>
      <c r="AP292"/>
      <c r="AQ292"/>
      <c r="AR292"/>
      <c r="AS292" s="1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</row>
    <row r="293" spans="1:139">
      <c r="A293" s="1">
        <v>292</v>
      </c>
      <c r="B293" t="s">
        <v>33</v>
      </c>
      <c r="C293" s="2">
        <v>45861</v>
      </c>
      <c r="D293" s="403" t="s">
        <v>9900</v>
      </c>
      <c r="E293" s="1" t="s">
        <v>10582</v>
      </c>
      <c r="F293" s="14" t="s">
        <v>12558</v>
      </c>
      <c r="G293" t="s">
        <v>12555</v>
      </c>
      <c r="H293" s="6" t="s">
        <v>220</v>
      </c>
      <c r="I293" s="1" t="s">
        <v>39</v>
      </c>
      <c r="J293" s="8"/>
      <c r="K293" s="114" t="s">
        <v>11744</v>
      </c>
      <c r="L293" t="s">
        <v>237</v>
      </c>
      <c r="M293" s="2">
        <v>45869</v>
      </c>
      <c r="N293" s="1" t="s">
        <v>35</v>
      </c>
      <c r="O293" s="61" t="s">
        <v>7934</v>
      </c>
      <c r="P293" s="14" t="s">
        <v>12556</v>
      </c>
      <c r="Q293" s="92">
        <v>115.7</v>
      </c>
      <c r="R293" s="1">
        <v>1</v>
      </c>
      <c r="S293" s="128">
        <v>0.21</v>
      </c>
      <c r="T293" s="128">
        <v>0</v>
      </c>
      <c r="U293" s="95"/>
      <c r="V293" s="95">
        <f t="shared" ref="V293" si="153">SUM(Q293-(Q293*T293))*S293+(Q293-(Q293*T293))</f>
        <v>139.99700000000001</v>
      </c>
      <c r="W293" t="s">
        <v>10637</v>
      </c>
      <c r="X293" s="5" t="s">
        <v>12584</v>
      </c>
      <c r="Y293" s="2">
        <v>32042</v>
      </c>
      <c r="Z293" s="2">
        <v>45861</v>
      </c>
      <c r="AA293" s="377" t="s">
        <v>13061</v>
      </c>
      <c r="AB293" s="2">
        <v>45936</v>
      </c>
      <c r="AC293" s="80" t="s">
        <v>1339</v>
      </c>
      <c r="AF293" t="s">
        <v>3198</v>
      </c>
      <c r="AI293" t="s">
        <v>3470</v>
      </c>
      <c r="AJ293" s="2">
        <v>45873</v>
      </c>
      <c r="AM293" s="74">
        <v>45873</v>
      </c>
      <c r="AT293" s="1"/>
    </row>
    <row r="294" spans="1:139">
      <c r="A294" s="1">
        <v>293</v>
      </c>
      <c r="B294" t="s">
        <v>33</v>
      </c>
      <c r="C294" s="2">
        <v>45861</v>
      </c>
      <c r="D294" s="403" t="s">
        <v>9900</v>
      </c>
      <c r="E294" s="1" t="s">
        <v>11214</v>
      </c>
      <c r="F294" s="14" t="s">
        <v>12557</v>
      </c>
      <c r="G294" t="s">
        <v>11216</v>
      </c>
      <c r="H294" s="6" t="s">
        <v>221</v>
      </c>
      <c r="I294" s="1" t="s">
        <v>39</v>
      </c>
      <c r="J294" s="8"/>
      <c r="K294" s="114" t="s">
        <v>11744</v>
      </c>
      <c r="L294" t="s">
        <v>237</v>
      </c>
      <c r="M294" s="2">
        <v>45869</v>
      </c>
      <c r="N294" s="1" t="s">
        <v>35</v>
      </c>
      <c r="O294" s="61" t="s">
        <v>12352</v>
      </c>
      <c r="P294" s="14" t="s">
        <v>12559</v>
      </c>
      <c r="Q294" s="92">
        <v>115.7</v>
      </c>
      <c r="R294" s="1">
        <v>1</v>
      </c>
      <c r="S294" s="128">
        <v>0.21</v>
      </c>
      <c r="T294" s="128">
        <v>0</v>
      </c>
      <c r="U294" s="95"/>
      <c r="V294" s="95">
        <f t="shared" ref="V294" si="154">SUM(Q294-(Q294*T294))*S294+(Q294-(Q294*T294))</f>
        <v>139.99700000000001</v>
      </c>
      <c r="W294" t="s">
        <v>12840</v>
      </c>
      <c r="X294" s="5" t="s">
        <v>12839</v>
      </c>
      <c r="Y294" s="2">
        <v>32322</v>
      </c>
      <c r="Z294" s="2">
        <v>45861</v>
      </c>
      <c r="AA294" s="2"/>
      <c r="AB294" s="2"/>
      <c r="AC294" s="80"/>
      <c r="AF294" t="s">
        <v>3198</v>
      </c>
      <c r="AI294" s="76" t="s">
        <v>3392</v>
      </c>
      <c r="AJ294" s="2">
        <v>45911</v>
      </c>
      <c r="AM294" s="74"/>
      <c r="AT294" s="1"/>
    </row>
    <row r="295" spans="1:139">
      <c r="A295" s="1">
        <v>294</v>
      </c>
      <c r="B295" t="s">
        <v>143</v>
      </c>
      <c r="C295" s="2">
        <v>45862</v>
      </c>
      <c r="D295" s="403" t="s">
        <v>9900</v>
      </c>
      <c r="E295" s="1" t="s">
        <v>12826</v>
      </c>
      <c r="F295" s="61" t="s">
        <v>12560</v>
      </c>
      <c r="G295" t="s">
        <v>12561</v>
      </c>
      <c r="H295" s="6" t="s">
        <v>219</v>
      </c>
      <c r="I295" s="1" t="s">
        <v>4334</v>
      </c>
      <c r="J295" s="8"/>
      <c r="K295" s="8"/>
      <c r="L295" s="1" t="s">
        <v>12826</v>
      </c>
      <c r="M295" s="2">
        <v>45869</v>
      </c>
      <c r="N295" s="1" t="s">
        <v>35</v>
      </c>
      <c r="O295" s="61" t="s">
        <v>12352</v>
      </c>
      <c r="P295" s="14" t="s">
        <v>12562</v>
      </c>
      <c r="Q295" s="92">
        <v>165.29</v>
      </c>
      <c r="R295" s="1">
        <v>1</v>
      </c>
      <c r="S295" s="128">
        <v>0.21</v>
      </c>
      <c r="T295" s="128">
        <v>0</v>
      </c>
      <c r="U295" s="95"/>
      <c r="V295" s="95">
        <f t="shared" ref="V295" si="155">SUM(Q295-(Q295*T295))*S295+(Q295-(Q295*T295))</f>
        <v>200.0009</v>
      </c>
      <c r="W295" t="s">
        <v>12826</v>
      </c>
      <c r="X295" s="5" t="s">
        <v>12841</v>
      </c>
      <c r="Y295" s="2">
        <v>31412</v>
      </c>
      <c r="Z295" s="2">
        <v>45862</v>
      </c>
      <c r="AA295" s="2"/>
      <c r="AB295" s="2"/>
      <c r="AC295" s="80"/>
      <c r="AF295" t="s">
        <v>3198</v>
      </c>
      <c r="AI295" t="s">
        <v>12563</v>
      </c>
      <c r="AJ295" s="2">
        <v>45911</v>
      </c>
      <c r="AM295" s="74">
        <v>45959</v>
      </c>
      <c r="AS295" s="1"/>
      <c r="AT295" s="1"/>
    </row>
    <row r="296" spans="1:139">
      <c r="A296" s="1">
        <v>295</v>
      </c>
      <c r="B296" t="s">
        <v>45</v>
      </c>
      <c r="C296" s="2">
        <v>45862</v>
      </c>
      <c r="D296" s="403" t="s">
        <v>9900</v>
      </c>
      <c r="E296" s="1" t="s">
        <v>12564</v>
      </c>
      <c r="F296" t="s">
        <v>12565</v>
      </c>
      <c r="G296" t="s">
        <v>12566</v>
      </c>
      <c r="H296" s="6" t="s">
        <v>220</v>
      </c>
      <c r="I296" s="1" t="s">
        <v>39</v>
      </c>
      <c r="J296" s="1"/>
      <c r="K296" s="396" t="s">
        <v>8356</v>
      </c>
      <c r="L296" s="1" t="s">
        <v>12564</v>
      </c>
      <c r="M296" s="2">
        <v>45869</v>
      </c>
      <c r="N296" s="1" t="s">
        <v>35</v>
      </c>
      <c r="O296" s="61" t="s">
        <v>12352</v>
      </c>
      <c r="P296" s="14" t="s">
        <v>12567</v>
      </c>
      <c r="Q296" s="92">
        <v>115.7</v>
      </c>
      <c r="R296" s="1">
        <v>1</v>
      </c>
      <c r="S296" s="128">
        <v>0.21</v>
      </c>
      <c r="T296" s="128">
        <v>0</v>
      </c>
      <c r="U296" s="95"/>
      <c r="V296" s="95">
        <f t="shared" ref="V296" si="156">SUM(Q296-(Q296*T296))*S296+(Q296-(Q296*T296))</f>
        <v>139.99700000000001</v>
      </c>
      <c r="W296" t="s">
        <v>12837</v>
      </c>
      <c r="X296" s="5" t="s">
        <v>12838</v>
      </c>
      <c r="Y296" s="2">
        <v>35947</v>
      </c>
      <c r="Z296" s="2">
        <v>45862</v>
      </c>
      <c r="AA296" s="3"/>
      <c r="AB296" s="3"/>
      <c r="AC296" s="80"/>
      <c r="AF296" t="s">
        <v>3198</v>
      </c>
      <c r="AI296" t="s">
        <v>3392</v>
      </c>
      <c r="AJ296" s="2">
        <v>45911</v>
      </c>
      <c r="AM296" s="3">
        <v>45888</v>
      </c>
    </row>
    <row r="297" spans="1:139" s="457" customFormat="1" ht="15.75" thickBot="1">
      <c r="A297" s="1">
        <v>296</v>
      </c>
      <c r="B297" s="457" t="s">
        <v>33</v>
      </c>
      <c r="C297" s="458">
        <v>45862</v>
      </c>
      <c r="D297" s="458"/>
      <c r="E297" s="456" t="s">
        <v>5042</v>
      </c>
      <c r="F297" s="457" t="s">
        <v>5043</v>
      </c>
      <c r="G297" s="457" t="s">
        <v>5044</v>
      </c>
      <c r="H297" s="460" t="s">
        <v>219</v>
      </c>
      <c r="I297" s="456" t="s">
        <v>38</v>
      </c>
      <c r="J297" s="461"/>
      <c r="K297" s="457" t="s">
        <v>8186</v>
      </c>
      <c r="L297" s="457" t="s">
        <v>237</v>
      </c>
      <c r="M297" s="458">
        <v>45869</v>
      </c>
      <c r="N297" s="456" t="s">
        <v>35</v>
      </c>
      <c r="O297" s="459" t="s">
        <v>9758</v>
      </c>
      <c r="P297" s="463" t="s">
        <v>12568</v>
      </c>
      <c r="Q297" s="473">
        <v>115.7</v>
      </c>
      <c r="R297" s="456">
        <v>1</v>
      </c>
      <c r="S297" s="483">
        <v>0.21</v>
      </c>
      <c r="T297" s="483">
        <v>0</v>
      </c>
      <c r="U297" s="490"/>
      <c r="V297" s="490">
        <f t="shared" ref="V297" si="157">SUM(Q297-(Q297*T297))*S297+(Q297-(Q297*T297))</f>
        <v>139.99700000000001</v>
      </c>
      <c r="W297" s="457" t="s">
        <v>13098</v>
      </c>
      <c r="X297" s="460" t="s">
        <v>13099</v>
      </c>
      <c r="Y297" s="458">
        <v>35284</v>
      </c>
      <c r="Z297" s="458">
        <v>45862</v>
      </c>
      <c r="AA297" s="470"/>
      <c r="AB297" s="470"/>
      <c r="AC297" s="469"/>
      <c r="AF297" s="457" t="s">
        <v>3198</v>
      </c>
      <c r="AI297" s="457" t="s">
        <v>3392</v>
      </c>
      <c r="AJ297" s="458">
        <v>45938</v>
      </c>
      <c r="AM297" s="478">
        <v>45938</v>
      </c>
      <c r="AT297" s="456"/>
    </row>
    <row r="298" spans="1:139" ht="15.75" thickTop="1">
      <c r="A298" s="1">
        <v>297</v>
      </c>
      <c r="B298" s="61" t="s">
        <v>4321</v>
      </c>
      <c r="C298" s="2">
        <v>45863</v>
      </c>
      <c r="D298" s="2"/>
      <c r="E298" s="1" t="s">
        <v>5988</v>
      </c>
      <c r="F298" t="s">
        <v>5989</v>
      </c>
      <c r="G298" s="61" t="s">
        <v>5990</v>
      </c>
      <c r="H298" s="6" t="s">
        <v>242</v>
      </c>
      <c r="I298" s="1" t="s">
        <v>5083</v>
      </c>
      <c r="J298" s="8"/>
      <c r="K298" s="8" t="s">
        <v>5991</v>
      </c>
      <c r="L298" t="s">
        <v>5988</v>
      </c>
      <c r="M298" s="2">
        <v>45900</v>
      </c>
      <c r="N298" s="1" t="s">
        <v>35</v>
      </c>
      <c r="O298" s="61" t="s">
        <v>7926</v>
      </c>
      <c r="P298" s="14" t="s">
        <v>12587</v>
      </c>
      <c r="Q298" s="187">
        <v>115.7</v>
      </c>
      <c r="R298" s="1">
        <v>1</v>
      </c>
      <c r="S298" s="90">
        <v>0.21</v>
      </c>
      <c r="T298" s="90">
        <v>0</v>
      </c>
      <c r="V298" s="95">
        <f t="shared" ref="V298" si="158">SUM(Q298-(Q298*T298))*S298+(Q298-(Q298*T298))</f>
        <v>139.99700000000001</v>
      </c>
      <c r="W298" t="s">
        <v>12953</v>
      </c>
      <c r="X298" s="5" t="s">
        <v>12954</v>
      </c>
      <c r="Y298" s="2">
        <v>39065</v>
      </c>
      <c r="Z298" s="2">
        <v>45863</v>
      </c>
      <c r="AA298" s="2"/>
      <c r="AB298" s="2"/>
      <c r="AC298" s="80"/>
      <c r="AF298" t="s">
        <v>3198</v>
      </c>
      <c r="AI298" s="76" t="s">
        <v>3470</v>
      </c>
      <c r="AJ298" s="3">
        <v>45929</v>
      </c>
      <c r="AK298" s="61"/>
      <c r="AL298" s="3"/>
      <c r="AM298" s="74"/>
      <c r="AT298" s="1"/>
    </row>
    <row r="299" spans="1:139">
      <c r="A299" s="1">
        <v>298</v>
      </c>
      <c r="B299" s="61" t="s">
        <v>4321</v>
      </c>
      <c r="C299" s="2">
        <v>45863</v>
      </c>
      <c r="D299" s="2"/>
      <c r="E299" s="1" t="s">
        <v>5988</v>
      </c>
      <c r="F299" t="s">
        <v>5989</v>
      </c>
      <c r="G299" s="61" t="s">
        <v>5990</v>
      </c>
      <c r="H299" s="6" t="s">
        <v>242</v>
      </c>
      <c r="I299" s="1" t="s">
        <v>5083</v>
      </c>
      <c r="J299" s="8"/>
      <c r="K299" s="8" t="s">
        <v>5991</v>
      </c>
      <c r="L299" t="s">
        <v>5988</v>
      </c>
      <c r="M299" s="2">
        <v>45900</v>
      </c>
      <c r="N299" s="1" t="s">
        <v>35</v>
      </c>
      <c r="O299" s="61" t="s">
        <v>7926</v>
      </c>
      <c r="P299" s="14" t="s">
        <v>12588</v>
      </c>
      <c r="Q299" s="187">
        <v>115.7</v>
      </c>
      <c r="R299" s="1">
        <v>1</v>
      </c>
      <c r="S299" s="90">
        <v>0.21</v>
      </c>
      <c r="T299" s="90">
        <v>0</v>
      </c>
      <c r="V299" s="95">
        <f t="shared" ref="V299" si="159">SUM(Q299-(Q299*T299))*S299+(Q299-(Q299*T299))</f>
        <v>139.99700000000001</v>
      </c>
      <c r="W299" t="s">
        <v>12951</v>
      </c>
      <c r="X299" s="5" t="s">
        <v>12952</v>
      </c>
      <c r="Y299" s="2">
        <v>31894</v>
      </c>
      <c r="Z299" s="2">
        <v>45863</v>
      </c>
      <c r="AA299" s="2"/>
      <c r="AB299" s="2"/>
      <c r="AC299" s="80"/>
      <c r="AF299" t="s">
        <v>3198</v>
      </c>
      <c r="AI299" t="s">
        <v>3470</v>
      </c>
      <c r="AJ299" s="3">
        <v>45929</v>
      </c>
      <c r="AK299" s="61"/>
      <c r="AL299" s="3"/>
      <c r="AM299" s="74">
        <v>45932</v>
      </c>
      <c r="AT299" s="1"/>
    </row>
    <row r="300" spans="1:139">
      <c r="A300" s="1">
        <v>299</v>
      </c>
      <c r="B300" s="61" t="s">
        <v>4321</v>
      </c>
      <c r="C300" s="2">
        <v>45863</v>
      </c>
      <c r="D300" s="2"/>
      <c r="E300" s="1" t="s">
        <v>5988</v>
      </c>
      <c r="F300" t="s">
        <v>5989</v>
      </c>
      <c r="G300" s="61" t="s">
        <v>5990</v>
      </c>
      <c r="H300" s="6" t="s">
        <v>242</v>
      </c>
      <c r="I300" s="1" t="s">
        <v>5083</v>
      </c>
      <c r="J300" s="8"/>
      <c r="K300" s="8" t="s">
        <v>5991</v>
      </c>
      <c r="L300" t="s">
        <v>5988</v>
      </c>
      <c r="M300" s="2">
        <v>45900</v>
      </c>
      <c r="N300" s="1" t="s">
        <v>35</v>
      </c>
      <c r="O300" s="61" t="s">
        <v>7926</v>
      </c>
      <c r="P300" s="14" t="s">
        <v>12589</v>
      </c>
      <c r="Q300" s="187">
        <v>115.7</v>
      </c>
      <c r="R300" s="1">
        <v>1</v>
      </c>
      <c r="S300" s="90">
        <v>0.21</v>
      </c>
      <c r="T300" s="90">
        <v>0</v>
      </c>
      <c r="V300" s="95">
        <f t="shared" ref="V300" si="160">SUM(Q300-(Q300*T300))*S300+(Q300-(Q300*T300))</f>
        <v>139.99700000000001</v>
      </c>
      <c r="W300" t="s">
        <v>12922</v>
      </c>
      <c r="X300" s="5" t="s">
        <v>12923</v>
      </c>
      <c r="Y300" s="2">
        <v>36350</v>
      </c>
      <c r="Z300" s="2">
        <v>45863</v>
      </c>
      <c r="AA300" s="377" t="s">
        <v>13061</v>
      </c>
      <c r="AB300" s="2">
        <v>45932</v>
      </c>
      <c r="AC300" s="80" t="s">
        <v>1339</v>
      </c>
      <c r="AF300" t="s">
        <v>3198</v>
      </c>
      <c r="AI300" t="s">
        <v>3470</v>
      </c>
      <c r="AJ300" s="3">
        <v>45919</v>
      </c>
      <c r="AK300" s="61"/>
      <c r="AL300" s="3"/>
      <c r="AM300" s="74">
        <v>45929</v>
      </c>
      <c r="AT300" s="1"/>
    </row>
    <row r="301" spans="1:139">
      <c r="A301" s="1">
        <v>300</v>
      </c>
      <c r="B301" s="61" t="s">
        <v>33</v>
      </c>
      <c r="C301" s="2">
        <v>45866</v>
      </c>
      <c r="D301" s="2"/>
      <c r="E301" s="1" t="s">
        <v>4330</v>
      </c>
      <c r="F301" s="61" t="s">
        <v>4331</v>
      </c>
      <c r="G301" s="61" t="s">
        <v>4333</v>
      </c>
      <c r="H301" s="6" t="s">
        <v>219</v>
      </c>
      <c r="I301" s="1" t="s">
        <v>4334</v>
      </c>
      <c r="J301" s="1"/>
      <c r="K301" s="114" t="s">
        <v>11744</v>
      </c>
      <c r="L301" s="1" t="s">
        <v>237</v>
      </c>
      <c r="M301" s="2">
        <v>45900</v>
      </c>
      <c r="N301" s="1" t="s">
        <v>35</v>
      </c>
      <c r="O301" s="61" t="s">
        <v>12352</v>
      </c>
      <c r="P301" s="14" t="s">
        <v>12590</v>
      </c>
      <c r="Q301" s="187">
        <v>115.7</v>
      </c>
      <c r="R301" s="1">
        <v>1</v>
      </c>
      <c r="S301" s="128">
        <v>0.21</v>
      </c>
      <c r="T301" s="128">
        <v>0</v>
      </c>
      <c r="U301" s="363"/>
      <c r="V301" s="95">
        <f t="shared" ref="V301" si="161">SUM(Q301-(Q301*T301))*S301+(Q301-(Q301*T301))</f>
        <v>139.99700000000001</v>
      </c>
      <c r="W301" t="s">
        <v>12848</v>
      </c>
      <c r="X301" s="5" t="s">
        <v>12849</v>
      </c>
      <c r="Y301" s="2">
        <v>34444</v>
      </c>
      <c r="Z301" s="2">
        <v>45866</v>
      </c>
      <c r="AA301" s="2"/>
      <c r="AB301" s="2"/>
      <c r="AC301" s="80"/>
      <c r="AD301" s="61"/>
      <c r="AF301" t="s">
        <v>3198</v>
      </c>
      <c r="AI301" t="s">
        <v>3392</v>
      </c>
      <c r="AJ301" s="2">
        <v>45911</v>
      </c>
      <c r="AM301" s="3">
        <v>45923</v>
      </c>
    </row>
    <row r="302" spans="1:139">
      <c r="A302" s="1">
        <v>301</v>
      </c>
      <c r="B302" t="s">
        <v>9196</v>
      </c>
      <c r="C302" s="2">
        <v>45866</v>
      </c>
      <c r="D302" s="403" t="s">
        <v>9900</v>
      </c>
      <c r="E302" s="1" t="s">
        <v>3858</v>
      </c>
      <c r="F302" s="61" t="s">
        <v>12591</v>
      </c>
      <c r="G302" t="s">
        <v>12592</v>
      </c>
      <c r="H302" s="6" t="s">
        <v>293</v>
      </c>
      <c r="I302" s="1" t="s">
        <v>1380</v>
      </c>
      <c r="J302" s="8"/>
      <c r="K302" s="1" t="s">
        <v>7759</v>
      </c>
      <c r="L302" s="1" t="s">
        <v>3858</v>
      </c>
      <c r="M302" s="2">
        <v>45900</v>
      </c>
      <c r="N302" s="1" t="s">
        <v>35</v>
      </c>
      <c r="O302" s="61" t="s">
        <v>12352</v>
      </c>
      <c r="P302" s="14" t="s">
        <v>12593</v>
      </c>
      <c r="Q302" s="187">
        <v>115.7</v>
      </c>
      <c r="R302" s="1">
        <v>1</v>
      </c>
      <c r="S302" s="128">
        <v>0.21</v>
      </c>
      <c r="T302" s="128">
        <v>0</v>
      </c>
      <c r="U302" s="363"/>
      <c r="V302" s="95">
        <f t="shared" ref="V302" si="162">SUM(Q302-(Q302*T302))*S302+(Q302-(Q302*T302))</f>
        <v>139.99700000000001</v>
      </c>
      <c r="W302" t="s">
        <v>12850</v>
      </c>
      <c r="X302" s="5" t="s">
        <v>12851</v>
      </c>
      <c r="Y302" s="2">
        <v>26854</v>
      </c>
      <c r="Z302" s="2">
        <v>45866</v>
      </c>
      <c r="AA302" s="2"/>
      <c r="AB302" s="2"/>
      <c r="AC302" s="80"/>
      <c r="AF302" t="s">
        <v>3198</v>
      </c>
      <c r="AI302" s="76" t="s">
        <v>3392</v>
      </c>
      <c r="AJ302" s="2">
        <v>45911</v>
      </c>
      <c r="AM302" s="74"/>
      <c r="AS302" s="1"/>
      <c r="AT302" s="1"/>
    </row>
    <row r="303" spans="1:139">
      <c r="A303" s="1">
        <v>302</v>
      </c>
      <c r="B303" s="61" t="s">
        <v>33</v>
      </c>
      <c r="C303" s="2">
        <v>45863</v>
      </c>
      <c r="D303" s="2"/>
      <c r="E303" s="1" t="s">
        <v>11791</v>
      </c>
      <c r="F303" s="61" t="s">
        <v>10396</v>
      </c>
      <c r="G303" t="s">
        <v>10397</v>
      </c>
      <c r="H303" s="6" t="s">
        <v>236</v>
      </c>
      <c r="I303" s="1" t="s">
        <v>34</v>
      </c>
      <c r="J303" s="8">
        <v>684061208</v>
      </c>
      <c r="K303" s="114" t="s">
        <v>11744</v>
      </c>
      <c r="L303" t="s">
        <v>237</v>
      </c>
      <c r="M303" s="2">
        <v>45900</v>
      </c>
      <c r="N303" s="1" t="s">
        <v>35</v>
      </c>
      <c r="O303" s="61" t="s">
        <v>12352</v>
      </c>
      <c r="P303" s="14" t="s">
        <v>12594</v>
      </c>
      <c r="Q303" s="187">
        <v>115.7</v>
      </c>
      <c r="R303" s="1">
        <v>1</v>
      </c>
      <c r="S303" s="128">
        <v>0.21</v>
      </c>
      <c r="T303" s="128">
        <v>0</v>
      </c>
      <c r="U303" s="363"/>
      <c r="V303" s="95">
        <f t="shared" ref="V303:V306" si="163">SUM(Q303-(Q303*T303))*S303+(Q303-(Q303*T303))</f>
        <v>139.99700000000001</v>
      </c>
      <c r="W303" s="1" t="s">
        <v>12939</v>
      </c>
      <c r="X303" s="5" t="s">
        <v>12940</v>
      </c>
      <c r="Y303" s="2">
        <v>34144</v>
      </c>
      <c r="Z303" s="2">
        <v>45866</v>
      </c>
      <c r="AA303" s="2"/>
      <c r="AB303" s="2"/>
      <c r="AC303" s="80"/>
      <c r="AF303" t="s">
        <v>3198</v>
      </c>
      <c r="AI303" t="s">
        <v>12595</v>
      </c>
      <c r="AJ303" s="2">
        <v>45929</v>
      </c>
      <c r="AM303" s="74">
        <v>45938</v>
      </c>
      <c r="AT303" s="1"/>
    </row>
    <row r="304" spans="1:139" s="197" customFormat="1">
      <c r="A304" s="1">
        <v>303</v>
      </c>
      <c r="B304" s="61" t="s">
        <v>4321</v>
      </c>
      <c r="C304" s="2">
        <v>45863</v>
      </c>
      <c r="D304" s="2"/>
      <c r="E304" s="1" t="s">
        <v>3427</v>
      </c>
      <c r="F304" s="61" t="s">
        <v>3428</v>
      </c>
      <c r="G304" s="61" t="s">
        <v>3433</v>
      </c>
      <c r="H304" s="6" t="s">
        <v>3429</v>
      </c>
      <c r="I304" s="1" t="s">
        <v>86</v>
      </c>
      <c r="J304" s="1">
        <v>650379091</v>
      </c>
      <c r="K304" s="8" t="s">
        <v>5991</v>
      </c>
      <c r="L304" s="1" t="s">
        <v>3427</v>
      </c>
      <c r="M304" s="2">
        <v>45900</v>
      </c>
      <c r="N304" t="s">
        <v>35</v>
      </c>
      <c r="O304" s="61" t="s">
        <v>12352</v>
      </c>
      <c r="P304" s="14" t="s">
        <v>12596</v>
      </c>
      <c r="Q304" s="187">
        <v>115.7</v>
      </c>
      <c r="R304" s="1">
        <v>1</v>
      </c>
      <c r="S304" s="128">
        <v>0.21</v>
      </c>
      <c r="T304" s="128">
        <v>0</v>
      </c>
      <c r="U304" s="363"/>
      <c r="V304" s="126">
        <f t="shared" si="163"/>
        <v>139.99700000000001</v>
      </c>
      <c r="W304" t="s">
        <v>12909</v>
      </c>
      <c r="X304" s="438" t="s">
        <v>12908</v>
      </c>
      <c r="Y304" s="2">
        <v>36349</v>
      </c>
      <c r="Z304" s="2">
        <v>45866</v>
      </c>
      <c r="AA304" s="2"/>
      <c r="AB304" s="64"/>
      <c r="AC304" s="80"/>
      <c r="AD304"/>
      <c r="AE304"/>
      <c r="AF304" t="s">
        <v>3198</v>
      </c>
      <c r="AG304"/>
      <c r="AH304"/>
      <c r="AI304" t="s">
        <v>12597</v>
      </c>
      <c r="AJ304" s="2">
        <v>45929</v>
      </c>
      <c r="AK304"/>
      <c r="AL304"/>
      <c r="AM304" s="2">
        <v>45940</v>
      </c>
      <c r="AN304"/>
      <c r="AO304"/>
      <c r="AP304"/>
      <c r="AQ304"/>
      <c r="AR304"/>
      <c r="AS304"/>
      <c r="AT304" s="1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</row>
    <row r="305" spans="1:138">
      <c r="A305" s="1">
        <v>304</v>
      </c>
      <c r="B305" s="61" t="s">
        <v>33</v>
      </c>
      <c r="C305" s="2">
        <v>45863</v>
      </c>
      <c r="D305" s="2"/>
      <c r="E305" s="1" t="s">
        <v>7513</v>
      </c>
      <c r="F305" s="61" t="s">
        <v>10891</v>
      </c>
      <c r="G305" t="s">
        <v>7515</v>
      </c>
      <c r="H305" s="6" t="s">
        <v>304</v>
      </c>
      <c r="I305" s="1" t="s">
        <v>68</v>
      </c>
      <c r="J305" s="1"/>
      <c r="K305" s="114" t="s">
        <v>11744</v>
      </c>
      <c r="L305" s="1" t="s">
        <v>237</v>
      </c>
      <c r="M305" s="2">
        <v>45900</v>
      </c>
      <c r="N305" s="1" t="s">
        <v>35</v>
      </c>
      <c r="O305" s="375" t="s">
        <v>7934</v>
      </c>
      <c r="P305" s="14" t="s">
        <v>12598</v>
      </c>
      <c r="Q305" s="92">
        <v>69.42</v>
      </c>
      <c r="R305" s="1">
        <v>1</v>
      </c>
      <c r="S305" s="128">
        <v>0.21</v>
      </c>
      <c r="T305" s="128">
        <v>0</v>
      </c>
      <c r="U305" s="363"/>
      <c r="V305" s="126">
        <f t="shared" si="163"/>
        <v>83.998199999999997</v>
      </c>
      <c r="W305" t="s">
        <v>10957</v>
      </c>
      <c r="X305" s="5" t="s">
        <v>12702</v>
      </c>
      <c r="Y305" s="2">
        <v>33165</v>
      </c>
      <c r="Z305" s="2">
        <v>45863</v>
      </c>
      <c r="AA305" s="2"/>
      <c r="AB305" s="2"/>
      <c r="AC305" s="80"/>
      <c r="AD305" s="61"/>
      <c r="AF305" t="s">
        <v>3198</v>
      </c>
      <c r="AI305" s="76" t="s">
        <v>3470</v>
      </c>
      <c r="AJ305" s="2">
        <v>45890</v>
      </c>
      <c r="AM305" s="3"/>
      <c r="AS305" s="1"/>
      <c r="AT305" s="1"/>
    </row>
    <row r="306" spans="1:138">
      <c r="A306" s="1">
        <v>305</v>
      </c>
      <c r="B306" t="s">
        <v>6684</v>
      </c>
      <c r="C306" s="2">
        <v>45863</v>
      </c>
      <c r="D306" s="2"/>
      <c r="E306" s="1" t="s">
        <v>6685</v>
      </c>
      <c r="F306" t="s">
        <v>6686</v>
      </c>
      <c r="G306" t="s">
        <v>6687</v>
      </c>
      <c r="H306" s="6" t="s">
        <v>2579</v>
      </c>
      <c r="I306" t="s">
        <v>2580</v>
      </c>
      <c r="J306" s="8"/>
      <c r="K306" s="1" t="s">
        <v>7339</v>
      </c>
      <c r="L306" t="s">
        <v>6685</v>
      </c>
      <c r="M306" s="2">
        <v>45900</v>
      </c>
      <c r="N306" s="1" t="s">
        <v>35</v>
      </c>
      <c r="O306" s="61" t="s">
        <v>7934</v>
      </c>
      <c r="P306" s="14" t="s">
        <v>12599</v>
      </c>
      <c r="Q306" s="187">
        <v>69.42</v>
      </c>
      <c r="R306" s="1">
        <v>1</v>
      </c>
      <c r="S306" s="128">
        <v>0.21</v>
      </c>
      <c r="T306" s="128">
        <v>0</v>
      </c>
      <c r="V306" s="126">
        <f t="shared" si="163"/>
        <v>83.998199999999997</v>
      </c>
      <c r="W306" t="s">
        <v>10694</v>
      </c>
      <c r="X306" s="5" t="s">
        <v>12740</v>
      </c>
      <c r="Y306" s="3">
        <v>30385</v>
      </c>
      <c r="Z306" s="2">
        <v>45863</v>
      </c>
      <c r="AA306" s="377" t="s">
        <v>13080</v>
      </c>
      <c r="AB306" s="2">
        <v>45940</v>
      </c>
      <c r="AC306" s="80" t="s">
        <v>1339</v>
      </c>
      <c r="AF306" t="s">
        <v>3198</v>
      </c>
      <c r="AI306" t="s">
        <v>3470</v>
      </c>
      <c r="AJ306" s="3">
        <v>45895</v>
      </c>
      <c r="AM306" s="3">
        <v>45909</v>
      </c>
    </row>
    <row r="307" spans="1:138">
      <c r="A307" s="1">
        <v>306</v>
      </c>
      <c r="B307" s="61" t="s">
        <v>4321</v>
      </c>
      <c r="C307" s="2">
        <v>45863</v>
      </c>
      <c r="D307" s="2"/>
      <c r="E307" s="1" t="s">
        <v>10942</v>
      </c>
      <c r="F307" t="s">
        <v>10943</v>
      </c>
      <c r="G307" s="61" t="s">
        <v>10944</v>
      </c>
      <c r="H307" s="6" t="s">
        <v>239</v>
      </c>
      <c r="I307" s="1" t="s">
        <v>86</v>
      </c>
      <c r="J307" s="8"/>
      <c r="K307" s="301" t="s">
        <v>5991</v>
      </c>
      <c r="L307" s="1" t="s">
        <v>6375</v>
      </c>
      <c r="M307" s="2">
        <v>45900</v>
      </c>
      <c r="N307" s="1" t="s">
        <v>35</v>
      </c>
      <c r="O307" s="61" t="s">
        <v>7934</v>
      </c>
      <c r="P307" s="14" t="s">
        <v>12600</v>
      </c>
      <c r="Q307" s="187">
        <v>69.42</v>
      </c>
      <c r="R307" s="1">
        <v>1</v>
      </c>
      <c r="S307" s="128">
        <v>0.21</v>
      </c>
      <c r="T307" s="128">
        <v>0</v>
      </c>
      <c r="V307" s="126">
        <f t="shared" ref="V307:V308" si="164">SUM(Q307-(Q307*T307))*S307+(Q307-(Q307*T307))</f>
        <v>83.998199999999997</v>
      </c>
      <c r="W307" t="s">
        <v>10946</v>
      </c>
      <c r="X307" s="5" t="s">
        <v>13437</v>
      </c>
      <c r="Y307" s="2">
        <v>37325</v>
      </c>
      <c r="Z307" s="2">
        <v>45863</v>
      </c>
      <c r="AA307" s="2"/>
      <c r="AB307" s="64"/>
      <c r="AC307" s="80"/>
      <c r="AF307" t="s">
        <v>3198</v>
      </c>
      <c r="AI307" s="76" t="s">
        <v>3470</v>
      </c>
      <c r="AJ307" s="2">
        <v>45940</v>
      </c>
      <c r="AM307" s="3"/>
    </row>
    <row r="308" spans="1:138" s="197" customFormat="1">
      <c r="A308" s="1">
        <v>307</v>
      </c>
      <c r="B308" s="61" t="s">
        <v>1414</v>
      </c>
      <c r="C308" s="2">
        <v>45874</v>
      </c>
      <c r="D308" s="1"/>
      <c r="E308" s="1" t="s">
        <v>1079</v>
      </c>
      <c r="F308" s="61" t="s">
        <v>41</v>
      </c>
      <c r="G308" s="61" t="s">
        <v>2115</v>
      </c>
      <c r="H308" s="1" t="s">
        <v>230</v>
      </c>
      <c r="I308" t="s">
        <v>1262</v>
      </c>
      <c r="J308" s="8">
        <v>631212115</v>
      </c>
      <c r="K308" s="8" t="s">
        <v>6306</v>
      </c>
      <c r="L308" t="s">
        <v>1079</v>
      </c>
      <c r="M308" s="2">
        <v>45900</v>
      </c>
      <c r="N308" s="1" t="s">
        <v>35</v>
      </c>
      <c r="O308" s="61" t="s">
        <v>7934</v>
      </c>
      <c r="P308" s="14" t="s">
        <v>12610</v>
      </c>
      <c r="Q308" s="187">
        <v>69.42</v>
      </c>
      <c r="R308" s="1">
        <v>1</v>
      </c>
      <c r="S308" s="128">
        <v>0.21</v>
      </c>
      <c r="T308" s="128">
        <v>0</v>
      </c>
      <c r="U308" s="363"/>
      <c r="V308" s="126">
        <f t="shared" si="164"/>
        <v>83.998199999999997</v>
      </c>
      <c r="W308" t="s">
        <v>10192</v>
      </c>
      <c r="X308" s="5" t="s">
        <v>12855</v>
      </c>
      <c r="Y308" s="2">
        <v>37374</v>
      </c>
      <c r="Z308" s="2">
        <v>45874</v>
      </c>
      <c r="AA308" s="377" t="s">
        <v>13123</v>
      </c>
      <c r="AB308" s="64">
        <v>45959</v>
      </c>
      <c r="AC308" s="80" t="s">
        <v>1339</v>
      </c>
      <c r="AD308"/>
      <c r="AE308"/>
      <c r="AF308" t="s">
        <v>3198</v>
      </c>
      <c r="AG308"/>
      <c r="AH308"/>
      <c r="AI308" s="76" t="s">
        <v>3470</v>
      </c>
      <c r="AJ308" s="3">
        <v>45911</v>
      </c>
      <c r="AK308"/>
      <c r="AL308" s="2"/>
      <c r="AM308" s="3"/>
      <c r="AN308"/>
      <c r="AO308"/>
      <c r="AP308"/>
      <c r="AQ308"/>
      <c r="AR308"/>
      <c r="AS308" s="1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</row>
    <row r="309" spans="1:138">
      <c r="A309" s="1">
        <v>308</v>
      </c>
      <c r="B309" t="s">
        <v>37</v>
      </c>
      <c r="C309" s="2">
        <v>45874</v>
      </c>
      <c r="D309" s="2"/>
      <c r="E309" s="1" t="s">
        <v>6978</v>
      </c>
      <c r="F309" t="s">
        <v>6916</v>
      </c>
      <c r="G309" s="61" t="s">
        <v>6917</v>
      </c>
      <c r="H309" s="6" t="s">
        <v>2451</v>
      </c>
      <c r="I309" s="1" t="s">
        <v>3681</v>
      </c>
      <c r="J309" s="8">
        <v>632370645</v>
      </c>
      <c r="K309" s="8"/>
      <c r="L309" t="s">
        <v>6978</v>
      </c>
      <c r="M309" s="2">
        <v>45900</v>
      </c>
      <c r="N309" s="1" t="s">
        <v>35</v>
      </c>
      <c r="O309" s="61" t="s">
        <v>7934</v>
      </c>
      <c r="P309" s="14" t="s">
        <v>8920</v>
      </c>
      <c r="Q309" s="187">
        <v>69.42</v>
      </c>
      <c r="R309" s="1">
        <v>1</v>
      </c>
      <c r="S309" s="128">
        <v>0.21</v>
      </c>
      <c r="T309" s="128">
        <v>0</v>
      </c>
      <c r="V309" s="95">
        <f t="shared" ref="V309" si="165">SUM(Q309-(Q309*T309))*S309+(Q309-(Q309*T309))</f>
        <v>83.998199999999997</v>
      </c>
      <c r="W309" t="s">
        <v>6978</v>
      </c>
      <c r="X309" s="5" t="s">
        <v>12854</v>
      </c>
      <c r="Y309" s="2">
        <v>29610</v>
      </c>
      <c r="Z309" s="2">
        <v>45874</v>
      </c>
      <c r="AA309" s="377" t="s">
        <v>13123</v>
      </c>
      <c r="AB309" s="3">
        <v>45940</v>
      </c>
      <c r="AC309" s="80" t="s">
        <v>1339</v>
      </c>
      <c r="AD309" s="61"/>
      <c r="AF309" t="s">
        <v>3198</v>
      </c>
      <c r="AI309" t="s">
        <v>3470</v>
      </c>
      <c r="AJ309" s="2">
        <v>45911</v>
      </c>
      <c r="AM309" s="74">
        <v>45940</v>
      </c>
      <c r="AT309" s="1"/>
    </row>
    <row r="310" spans="1:138">
      <c r="A310" s="1">
        <v>309</v>
      </c>
      <c r="B310" t="s">
        <v>33</v>
      </c>
      <c r="C310" s="2">
        <v>45874</v>
      </c>
      <c r="D310" s="2"/>
      <c r="E310" s="1" t="s">
        <v>5021</v>
      </c>
      <c r="F310" t="s">
        <v>5014</v>
      </c>
      <c r="G310" t="s">
        <v>5020</v>
      </c>
      <c r="H310" s="6" t="s">
        <v>219</v>
      </c>
      <c r="I310" s="1" t="s">
        <v>38</v>
      </c>
      <c r="J310" s="1"/>
      <c r="K310" s="114" t="s">
        <v>11744</v>
      </c>
      <c r="L310" s="1" t="s">
        <v>237</v>
      </c>
      <c r="M310" s="2">
        <v>45900</v>
      </c>
      <c r="N310" s="1" t="s">
        <v>35</v>
      </c>
      <c r="O310" s="61" t="s">
        <v>7925</v>
      </c>
      <c r="P310" s="14" t="s">
        <v>12618</v>
      </c>
      <c r="Q310" s="92">
        <v>0</v>
      </c>
      <c r="R310" s="1">
        <v>1</v>
      </c>
      <c r="S310" s="128">
        <v>0.21</v>
      </c>
      <c r="T310" s="128">
        <v>0.2</v>
      </c>
      <c r="U310" s="363"/>
      <c r="V310" s="126">
        <f t="shared" ref="V310" si="166">SUM(Q310-(Q310*T310))*S310+(Q310-(Q310*T310))</f>
        <v>0</v>
      </c>
      <c r="W310" t="s">
        <v>10351</v>
      </c>
      <c r="X310" s="5" t="s">
        <v>12869</v>
      </c>
      <c r="Y310" s="2">
        <v>35042</v>
      </c>
      <c r="Z310" s="2">
        <v>45874</v>
      </c>
      <c r="AA310" s="2"/>
      <c r="AB310" s="2"/>
      <c r="AC310" s="80"/>
      <c r="AD310" s="61"/>
      <c r="AF310" t="s">
        <v>3198</v>
      </c>
      <c r="AI310" t="s">
        <v>3392</v>
      </c>
      <c r="AJ310" s="2">
        <v>45916</v>
      </c>
      <c r="AM310" s="3">
        <v>45924</v>
      </c>
      <c r="AS310" s="1"/>
      <c r="AT310" s="1"/>
    </row>
    <row r="311" spans="1:138">
      <c r="A311" s="1">
        <v>310</v>
      </c>
      <c r="B311" t="s">
        <v>33</v>
      </c>
      <c r="C311" s="2">
        <v>45874</v>
      </c>
      <c r="D311" s="403" t="s">
        <v>9900</v>
      </c>
      <c r="E311" s="1" t="s">
        <v>12611</v>
      </c>
      <c r="F311" t="s">
        <v>12612</v>
      </c>
      <c r="G311" t="s">
        <v>12613</v>
      </c>
      <c r="H311" s="6" t="s">
        <v>219</v>
      </c>
      <c r="I311" s="1" t="s">
        <v>38</v>
      </c>
      <c r="J311" s="1"/>
      <c r="K311" s="114" t="s">
        <v>11744</v>
      </c>
      <c r="L311" s="1" t="s">
        <v>237</v>
      </c>
      <c r="M311" s="2">
        <v>45900</v>
      </c>
      <c r="N311" s="1" t="s">
        <v>35</v>
      </c>
      <c r="O311" s="61" t="s">
        <v>7934</v>
      </c>
      <c r="P311" s="14" t="s">
        <v>12614</v>
      </c>
      <c r="Q311" s="92">
        <v>69.42</v>
      </c>
      <c r="R311" s="1">
        <v>1</v>
      </c>
      <c r="S311" s="128">
        <v>0.21</v>
      </c>
      <c r="T311" s="128">
        <v>0</v>
      </c>
      <c r="U311" s="363"/>
      <c r="V311" s="126">
        <f t="shared" ref="V311:V312" si="167">SUM(Q311-(Q311*T311))*S311+(Q311-(Q311*T311))</f>
        <v>83.998199999999997</v>
      </c>
      <c r="W311" t="s">
        <v>6931</v>
      </c>
      <c r="X311" s="5" t="s">
        <v>12853</v>
      </c>
      <c r="Y311" s="2">
        <v>26512</v>
      </c>
      <c r="Z311" s="2">
        <v>45874</v>
      </c>
      <c r="AA311" s="377" t="s">
        <v>13377</v>
      </c>
      <c r="AB311" s="2">
        <v>45959</v>
      </c>
      <c r="AC311" s="80" t="s">
        <v>1339</v>
      </c>
      <c r="AD311" s="61"/>
      <c r="AF311" t="s">
        <v>3198</v>
      </c>
      <c r="AI311" s="76" t="s">
        <v>3470</v>
      </c>
      <c r="AJ311" s="2">
        <v>45911</v>
      </c>
      <c r="AM311" s="3"/>
      <c r="AS311" s="1"/>
      <c r="AT311" s="1"/>
    </row>
    <row r="312" spans="1:138">
      <c r="A312" s="1">
        <v>311</v>
      </c>
      <c r="B312" t="s">
        <v>7245</v>
      </c>
      <c r="C312" s="2">
        <v>45874</v>
      </c>
      <c r="D312" s="2"/>
      <c r="E312" s="1" t="s">
        <v>1522</v>
      </c>
      <c r="F312" s="61" t="s">
        <v>3233</v>
      </c>
      <c r="G312" t="s">
        <v>3241</v>
      </c>
      <c r="H312" s="6" t="s">
        <v>3234</v>
      </c>
      <c r="I312" t="s">
        <v>3235</v>
      </c>
      <c r="J312" s="8">
        <v>680761760</v>
      </c>
      <c r="K312" s="8" t="s">
        <v>6232</v>
      </c>
      <c r="L312" t="s">
        <v>1522</v>
      </c>
      <c r="M312" s="2">
        <v>45900</v>
      </c>
      <c r="N312" s="1" t="s">
        <v>35</v>
      </c>
      <c r="O312" s="14" t="s">
        <v>7926</v>
      </c>
      <c r="P312" s="14" t="s">
        <v>12615</v>
      </c>
      <c r="Q312" s="187">
        <v>115.7</v>
      </c>
      <c r="R312" s="1">
        <v>1</v>
      </c>
      <c r="S312" s="128">
        <v>0.21</v>
      </c>
      <c r="T312" s="128">
        <v>0</v>
      </c>
      <c r="U312" s="363"/>
      <c r="V312" s="126">
        <f t="shared" si="167"/>
        <v>139.99700000000001</v>
      </c>
      <c r="W312" t="s">
        <v>12818</v>
      </c>
      <c r="X312" s="5" t="s">
        <v>12819</v>
      </c>
      <c r="Y312" s="2">
        <v>28340</v>
      </c>
      <c r="Z312" s="2">
        <v>45874</v>
      </c>
      <c r="AA312" s="2"/>
      <c r="AB312" s="2"/>
      <c r="AC312" s="80"/>
      <c r="AF312" t="s">
        <v>3198</v>
      </c>
      <c r="AI312" t="s">
        <v>3470</v>
      </c>
      <c r="AJ312" s="2">
        <v>45908</v>
      </c>
      <c r="AM312" s="74">
        <v>45909</v>
      </c>
      <c r="AS312" s="1"/>
      <c r="AT312" s="1"/>
    </row>
    <row r="313" spans="1:138">
      <c r="A313" s="1">
        <v>312</v>
      </c>
      <c r="B313" t="s">
        <v>1414</v>
      </c>
      <c r="C313" s="2">
        <v>45874</v>
      </c>
      <c r="D313" s="2"/>
      <c r="E313" s="1" t="s">
        <v>3632</v>
      </c>
      <c r="F313" s="61" t="s">
        <v>3633</v>
      </c>
      <c r="G313" s="61" t="s">
        <v>3634</v>
      </c>
      <c r="H313" s="6" t="s">
        <v>221</v>
      </c>
      <c r="I313" s="1" t="s">
        <v>34</v>
      </c>
      <c r="J313" s="1">
        <v>649862685</v>
      </c>
      <c r="K313" s="114" t="s">
        <v>12616</v>
      </c>
      <c r="L313" s="1" t="s">
        <v>3632</v>
      </c>
      <c r="M313" s="2">
        <v>45900</v>
      </c>
      <c r="N313" s="1" t="s">
        <v>35</v>
      </c>
      <c r="O313" s="14" t="s">
        <v>7926</v>
      </c>
      <c r="P313" s="14" t="s">
        <v>12617</v>
      </c>
      <c r="Q313" s="187">
        <v>115.7</v>
      </c>
      <c r="R313" s="1">
        <v>1</v>
      </c>
      <c r="S313" s="128">
        <v>0.21</v>
      </c>
      <c r="T313" s="128">
        <v>0</v>
      </c>
      <c r="U313" s="363"/>
      <c r="V313" s="126">
        <f t="shared" ref="V313" si="168">SUM(Q313-(Q313*T313))*S313+(Q313-(Q313*T313))</f>
        <v>139.99700000000001</v>
      </c>
      <c r="W313" t="s">
        <v>12957</v>
      </c>
      <c r="X313" s="5" t="s">
        <v>12958</v>
      </c>
      <c r="Y313" s="3">
        <v>36151</v>
      </c>
      <c r="Z313" s="2">
        <v>45874</v>
      </c>
      <c r="AA313" s="2"/>
      <c r="AB313" s="2"/>
      <c r="AC313" s="80"/>
      <c r="AF313" t="s">
        <v>3198</v>
      </c>
      <c r="AI313" t="s">
        <v>3470</v>
      </c>
      <c r="AJ313" s="3">
        <v>45929</v>
      </c>
      <c r="AM313" s="3">
        <v>45938</v>
      </c>
    </row>
    <row r="314" spans="1:138">
      <c r="A314" s="1">
        <v>313</v>
      </c>
      <c r="B314" t="s">
        <v>40</v>
      </c>
      <c r="C314" s="2">
        <v>45874</v>
      </c>
      <c r="D314" s="2"/>
      <c r="E314" s="1" t="s">
        <v>6289</v>
      </c>
      <c r="F314" t="s">
        <v>6290</v>
      </c>
      <c r="G314" t="s">
        <v>6291</v>
      </c>
      <c r="H314" s="6" t="s">
        <v>230</v>
      </c>
      <c r="I314" s="1" t="s">
        <v>1262</v>
      </c>
      <c r="J314" s="14">
        <v>629762110</v>
      </c>
      <c r="K314" s="1" t="s">
        <v>6293</v>
      </c>
      <c r="L314" s="1" t="s">
        <v>6289</v>
      </c>
      <c r="M314" s="2">
        <v>45900</v>
      </c>
      <c r="N314" s="1" t="s">
        <v>35</v>
      </c>
      <c r="O314" s="61" t="s">
        <v>12352</v>
      </c>
      <c r="P314" s="14" t="s">
        <v>12619</v>
      </c>
      <c r="Q314" s="187">
        <v>115.7</v>
      </c>
      <c r="R314" s="1">
        <v>1</v>
      </c>
      <c r="S314" s="128">
        <v>0.21</v>
      </c>
      <c r="T314" s="128">
        <v>0</v>
      </c>
      <c r="U314" s="363"/>
      <c r="V314" s="126">
        <f t="shared" ref="V314" si="169">SUM(Q314-(Q314*T314))*S314+(Q314-(Q314*T314))</f>
        <v>139.99700000000001</v>
      </c>
      <c r="W314" s="1" t="s">
        <v>12870</v>
      </c>
      <c r="X314" s="5" t="s">
        <v>12871</v>
      </c>
      <c r="Y314" s="2">
        <v>36288</v>
      </c>
      <c r="Z314" s="2">
        <v>45874</v>
      </c>
      <c r="AA314" s="2"/>
      <c r="AB314" s="2"/>
      <c r="AC314" s="133"/>
      <c r="AF314" t="s">
        <v>3198</v>
      </c>
      <c r="AI314" t="s">
        <v>3392</v>
      </c>
      <c r="AJ314" s="3">
        <v>45916</v>
      </c>
      <c r="AM314" s="3">
        <v>45929</v>
      </c>
    </row>
    <row r="315" spans="1:138">
      <c r="A315" s="1">
        <v>314</v>
      </c>
      <c r="B315" t="s">
        <v>40</v>
      </c>
      <c r="C315" s="2">
        <v>45874</v>
      </c>
      <c r="D315" s="403" t="s">
        <v>9900</v>
      </c>
      <c r="E315" s="1" t="s">
        <v>12620</v>
      </c>
      <c r="F315" t="s">
        <v>12621</v>
      </c>
      <c r="G315" t="s">
        <v>12622</v>
      </c>
      <c r="H315" s="6" t="s">
        <v>221</v>
      </c>
      <c r="I315" s="1" t="s">
        <v>34</v>
      </c>
      <c r="J315" s="14"/>
      <c r="K315" s="396" t="s">
        <v>12623</v>
      </c>
      <c r="L315" s="1" t="s">
        <v>12620</v>
      </c>
      <c r="M315" s="2">
        <v>45900</v>
      </c>
      <c r="N315" s="1" t="s">
        <v>35</v>
      </c>
      <c r="O315" s="61" t="s">
        <v>12352</v>
      </c>
      <c r="P315" s="14" t="s">
        <v>12624</v>
      </c>
      <c r="Q315" s="187">
        <v>115.7</v>
      </c>
      <c r="R315" s="1">
        <v>1</v>
      </c>
      <c r="S315" s="128">
        <v>0.21</v>
      </c>
      <c r="T315" s="128">
        <v>0</v>
      </c>
      <c r="U315" s="363"/>
      <c r="V315" s="126">
        <f t="shared" ref="V315:V319" si="170">SUM(Q315-(Q315*T315))*S315+(Q315-(Q315*T315))</f>
        <v>139.99700000000001</v>
      </c>
      <c r="W315" s="1" t="s">
        <v>12874</v>
      </c>
      <c r="X315" s="5" t="s">
        <v>12875</v>
      </c>
      <c r="Y315" s="2">
        <v>29414</v>
      </c>
      <c r="Z315" s="2">
        <v>45874</v>
      </c>
      <c r="AA315" s="2"/>
      <c r="AB315" s="2"/>
      <c r="AC315" s="133"/>
      <c r="AF315" t="s">
        <v>3198</v>
      </c>
      <c r="AI315" t="s">
        <v>3392</v>
      </c>
      <c r="AJ315" s="3">
        <v>45916</v>
      </c>
      <c r="AM315" s="3">
        <v>45918</v>
      </c>
    </row>
    <row r="316" spans="1:138">
      <c r="A316" s="1">
        <v>315</v>
      </c>
      <c r="B316" t="s">
        <v>10787</v>
      </c>
      <c r="C316" s="2">
        <v>45875</v>
      </c>
      <c r="D316" s="2"/>
      <c r="E316" s="1" t="s">
        <v>10788</v>
      </c>
      <c r="F316" s="61" t="s">
        <v>10789</v>
      </c>
      <c r="G316" s="61" t="s">
        <v>10790</v>
      </c>
      <c r="H316" s="6" t="s">
        <v>241</v>
      </c>
      <c r="I316" s="1" t="s">
        <v>60</v>
      </c>
      <c r="J316" s="1"/>
      <c r="K316" s="1"/>
      <c r="L316" s="1" t="s">
        <v>10788</v>
      </c>
      <c r="M316" s="2">
        <v>45900</v>
      </c>
      <c r="N316" t="s">
        <v>35</v>
      </c>
      <c r="O316" s="14" t="s">
        <v>7934</v>
      </c>
      <c r="P316" s="14" t="s">
        <v>12627</v>
      </c>
      <c r="Q316" s="187">
        <v>0</v>
      </c>
      <c r="R316" s="1">
        <v>1</v>
      </c>
      <c r="S316" s="90">
        <v>0.21</v>
      </c>
      <c r="T316" s="90">
        <v>0</v>
      </c>
      <c r="U316" s="363"/>
      <c r="V316" s="126">
        <f t="shared" si="170"/>
        <v>0</v>
      </c>
      <c r="W316" t="s">
        <v>10792</v>
      </c>
      <c r="X316" s="5" t="s">
        <v>12878</v>
      </c>
      <c r="Y316" s="2">
        <v>34263</v>
      </c>
      <c r="Z316" s="2">
        <v>45875</v>
      </c>
      <c r="AA316" s="377" t="s">
        <v>13335</v>
      </c>
      <c r="AB316" s="2">
        <v>45957</v>
      </c>
      <c r="AC316" s="80" t="s">
        <v>1339</v>
      </c>
      <c r="AE316" s="133"/>
      <c r="AF316" t="s">
        <v>3198</v>
      </c>
      <c r="AI316" s="76" t="s">
        <v>3470</v>
      </c>
      <c r="AJ316" s="2"/>
      <c r="AM316" s="3"/>
    </row>
    <row r="317" spans="1:138">
      <c r="A317" s="1">
        <v>316</v>
      </c>
      <c r="B317" t="s">
        <v>119</v>
      </c>
      <c r="C317" s="2">
        <v>45875</v>
      </c>
      <c r="D317" s="2"/>
      <c r="E317" s="1" t="s">
        <v>4011</v>
      </c>
      <c r="F317" s="61" t="s">
        <v>4012</v>
      </c>
      <c r="G317" s="61" t="s">
        <v>4024</v>
      </c>
      <c r="H317" s="6" t="s">
        <v>239</v>
      </c>
      <c r="I317" s="1" t="s">
        <v>86</v>
      </c>
      <c r="J317" s="430"/>
      <c r="K317" s="396"/>
      <c r="L317" s="1" t="s">
        <v>4011</v>
      </c>
      <c r="M317" s="2">
        <v>45900</v>
      </c>
      <c r="N317" s="1" t="s">
        <v>35</v>
      </c>
      <c r="O317" s="61" t="s">
        <v>12352</v>
      </c>
      <c r="P317" s="14" t="s">
        <v>12628</v>
      </c>
      <c r="Q317" s="187">
        <v>115.7</v>
      </c>
      <c r="R317" s="1">
        <v>1</v>
      </c>
      <c r="S317" s="128">
        <v>0.21</v>
      </c>
      <c r="T317" s="128">
        <v>0</v>
      </c>
      <c r="U317" s="363"/>
      <c r="V317" s="126">
        <f t="shared" si="170"/>
        <v>139.99700000000001</v>
      </c>
      <c r="W317" t="s">
        <v>12920</v>
      </c>
      <c r="X317" s="5" t="s">
        <v>12921</v>
      </c>
      <c r="Y317" s="3">
        <v>31610</v>
      </c>
      <c r="Z317" s="2">
        <v>45875</v>
      </c>
      <c r="AA317" s="2"/>
      <c r="AB317" s="2"/>
      <c r="AC317" s="80"/>
      <c r="AF317" t="s">
        <v>3198</v>
      </c>
      <c r="AI317" t="s">
        <v>3392</v>
      </c>
      <c r="AJ317" s="3">
        <v>45919</v>
      </c>
      <c r="AM317" s="3">
        <v>45923</v>
      </c>
    </row>
    <row r="318" spans="1:138">
      <c r="A318" s="1">
        <v>317</v>
      </c>
      <c r="B318" t="s">
        <v>6684</v>
      </c>
      <c r="C318" s="2">
        <v>45875</v>
      </c>
      <c r="D318" s="2"/>
      <c r="E318" s="1" t="s">
        <v>6685</v>
      </c>
      <c r="F318" t="s">
        <v>6686</v>
      </c>
      <c r="G318" t="s">
        <v>6687</v>
      </c>
      <c r="H318" s="6" t="s">
        <v>2579</v>
      </c>
      <c r="I318" t="s">
        <v>2580</v>
      </c>
      <c r="J318" s="8"/>
      <c r="K318" s="1" t="s">
        <v>7339</v>
      </c>
      <c r="L318" t="s">
        <v>6685</v>
      </c>
      <c r="M318" s="2">
        <v>45900</v>
      </c>
      <c r="N318" s="1" t="s">
        <v>35</v>
      </c>
      <c r="O318" s="61" t="s">
        <v>12352</v>
      </c>
      <c r="P318" s="14" t="s">
        <v>12629</v>
      </c>
      <c r="Q318" s="187">
        <v>115.7</v>
      </c>
      <c r="R318" s="1">
        <v>1</v>
      </c>
      <c r="S318" s="128">
        <v>0.21</v>
      </c>
      <c r="T318" s="128">
        <v>0</v>
      </c>
      <c r="V318" s="126">
        <f t="shared" si="170"/>
        <v>139.99700000000001</v>
      </c>
      <c r="W318" t="s">
        <v>12877</v>
      </c>
      <c r="X318" s="5" t="s">
        <v>12876</v>
      </c>
      <c r="Y318" s="3">
        <v>37712</v>
      </c>
      <c r="Z318" s="2">
        <v>45875</v>
      </c>
      <c r="AA318" s="2"/>
      <c r="AB318" s="2"/>
      <c r="AC318" s="80"/>
      <c r="AF318" t="s">
        <v>3198</v>
      </c>
      <c r="AI318" t="s">
        <v>3392</v>
      </c>
      <c r="AJ318" s="3">
        <v>45916</v>
      </c>
      <c r="AM318" s="3">
        <v>45939</v>
      </c>
    </row>
    <row r="319" spans="1:138">
      <c r="A319" s="1">
        <v>318</v>
      </c>
      <c r="B319" t="s">
        <v>37</v>
      </c>
      <c r="C319" s="2">
        <v>45875</v>
      </c>
      <c r="D319" s="2"/>
      <c r="E319" s="1" t="s">
        <v>10725</v>
      </c>
      <c r="F319" s="61" t="s">
        <v>10703</v>
      </c>
      <c r="G319" t="s">
        <v>10704</v>
      </c>
      <c r="H319" s="6" t="s">
        <v>219</v>
      </c>
      <c r="I319" t="s">
        <v>38</v>
      </c>
      <c r="J319" s="8">
        <v>641955051</v>
      </c>
      <c r="K319" s="1"/>
      <c r="L319" s="1" t="s">
        <v>10725</v>
      </c>
      <c r="M319" s="2">
        <v>45900</v>
      </c>
      <c r="N319" s="1" t="s">
        <v>35</v>
      </c>
      <c r="O319" s="14" t="s">
        <v>7934</v>
      </c>
      <c r="P319" s="14" t="s">
        <v>12630</v>
      </c>
      <c r="Q319" s="187">
        <v>86.78</v>
      </c>
      <c r="R319" s="1">
        <v>1</v>
      </c>
      <c r="S319" s="128">
        <v>0.21</v>
      </c>
      <c r="T319" s="128">
        <v>0</v>
      </c>
      <c r="U319" s="363"/>
      <c r="V319" s="126">
        <f t="shared" si="170"/>
        <v>105.0038</v>
      </c>
      <c r="W319" s="1" t="s">
        <v>10725</v>
      </c>
      <c r="X319" s="5" t="s">
        <v>12735</v>
      </c>
      <c r="Y319" s="3">
        <v>36162</v>
      </c>
      <c r="Z319" s="2">
        <v>45875</v>
      </c>
      <c r="AA319" s="377" t="s">
        <v>13130</v>
      </c>
      <c r="AB319" s="2">
        <v>45940</v>
      </c>
      <c r="AC319" s="80" t="s">
        <v>1339</v>
      </c>
      <c r="AF319" t="s">
        <v>3198</v>
      </c>
      <c r="AI319" t="s">
        <v>3470</v>
      </c>
      <c r="AJ319" s="2">
        <v>45895</v>
      </c>
      <c r="AM319" s="3">
        <v>45902</v>
      </c>
    </row>
    <row r="320" spans="1:138">
      <c r="A320" s="1">
        <v>319</v>
      </c>
      <c r="B320" t="s">
        <v>33</v>
      </c>
      <c r="C320" s="2">
        <v>45875</v>
      </c>
      <c r="D320" s="2"/>
      <c r="E320" s="1" t="s">
        <v>5773</v>
      </c>
      <c r="F320" s="61" t="s">
        <v>5774</v>
      </c>
      <c r="G320" s="61" t="s">
        <v>5775</v>
      </c>
      <c r="H320" s="6" t="s">
        <v>220</v>
      </c>
      <c r="I320" s="1" t="s">
        <v>39</v>
      </c>
      <c r="J320" s="1"/>
      <c r="K320" s="114" t="s">
        <v>11744</v>
      </c>
      <c r="L320" t="s">
        <v>237</v>
      </c>
      <c r="M320" s="2">
        <v>45900</v>
      </c>
      <c r="N320" s="1" t="s">
        <v>35</v>
      </c>
      <c r="O320" s="61" t="s">
        <v>12352</v>
      </c>
      <c r="P320" s="14" t="s">
        <v>12631</v>
      </c>
      <c r="Q320" s="187">
        <v>115.7</v>
      </c>
      <c r="R320" s="1">
        <v>1</v>
      </c>
      <c r="S320" s="128">
        <v>0.21</v>
      </c>
      <c r="T320" s="128">
        <v>0</v>
      </c>
      <c r="U320" s="363"/>
      <c r="V320" s="126">
        <f t="shared" ref="V320" si="171">SUM(Q320-(Q320*T320))*S320+(Q320-(Q320*T320))</f>
        <v>139.99700000000001</v>
      </c>
      <c r="W320" t="s">
        <v>12948</v>
      </c>
      <c r="X320" s="5" t="s">
        <v>12949</v>
      </c>
      <c r="Y320" s="3">
        <v>29142</v>
      </c>
      <c r="Z320" s="2">
        <v>45875</v>
      </c>
      <c r="AA320" s="2"/>
      <c r="AB320" s="2"/>
      <c r="AC320" s="80"/>
      <c r="AE320" s="3"/>
      <c r="AF320" t="s">
        <v>3198</v>
      </c>
      <c r="AI320" t="s">
        <v>3392</v>
      </c>
      <c r="AJ320" s="2">
        <v>45929</v>
      </c>
      <c r="AM320" s="74">
        <v>45937</v>
      </c>
      <c r="AS320" s="1"/>
      <c r="AT320" s="1"/>
    </row>
    <row r="321" spans="1:46">
      <c r="A321" s="1">
        <v>320</v>
      </c>
      <c r="B321" t="s">
        <v>33</v>
      </c>
      <c r="C321" s="2">
        <v>45875</v>
      </c>
      <c r="D321" s="2"/>
      <c r="E321" s="1" t="s">
        <v>2669</v>
      </c>
      <c r="F321" s="61" t="s">
        <v>10755</v>
      </c>
      <c r="G321" s="61" t="s">
        <v>3850</v>
      </c>
      <c r="H321" s="6" t="s">
        <v>304</v>
      </c>
      <c r="I321" s="1" t="s">
        <v>3851</v>
      </c>
      <c r="J321" s="8" t="s">
        <v>5048</v>
      </c>
      <c r="K321" s="114" t="s">
        <v>11744</v>
      </c>
      <c r="L321" s="31" t="s">
        <v>237</v>
      </c>
      <c r="M321" s="2">
        <v>45900</v>
      </c>
      <c r="N321" s="1" t="s">
        <v>35</v>
      </c>
      <c r="O321" s="61" t="s">
        <v>7934</v>
      </c>
      <c r="P321" s="14" t="s">
        <v>12632</v>
      </c>
      <c r="Q321" s="187">
        <v>69.42</v>
      </c>
      <c r="R321" s="1">
        <v>1</v>
      </c>
      <c r="S321" s="128">
        <v>0.21</v>
      </c>
      <c r="T321" s="128">
        <v>0</v>
      </c>
      <c r="V321" s="95">
        <f t="shared" ref="V321" si="172">SUM(Q321-(Q321*T321))*S321+(Q321-(Q321*T321))</f>
        <v>83.998199999999997</v>
      </c>
      <c r="W321" t="s">
        <v>10747</v>
      </c>
      <c r="X321" s="5" t="s">
        <v>12734</v>
      </c>
      <c r="Y321" s="2">
        <v>34974</v>
      </c>
      <c r="Z321" s="2">
        <v>45875</v>
      </c>
      <c r="AA321" s="377" t="s">
        <v>13130</v>
      </c>
      <c r="AB321" s="2">
        <v>45940</v>
      </c>
      <c r="AC321" s="80" t="s">
        <v>1339</v>
      </c>
      <c r="AF321" t="s">
        <v>3198</v>
      </c>
      <c r="AI321" t="s">
        <v>3470</v>
      </c>
      <c r="AJ321" s="2">
        <v>45895</v>
      </c>
      <c r="AM321" s="74">
        <v>45918</v>
      </c>
      <c r="AT321" s="1"/>
    </row>
    <row r="322" spans="1:46">
      <c r="A322" s="1">
        <v>321</v>
      </c>
      <c r="B322" t="s">
        <v>33</v>
      </c>
      <c r="C322" s="2">
        <v>45875</v>
      </c>
      <c r="D322" s="403" t="s">
        <v>9900</v>
      </c>
      <c r="E322" s="1" t="s">
        <v>12633</v>
      </c>
      <c r="F322" s="61" t="s">
        <v>12634</v>
      </c>
      <c r="G322" t="s">
        <v>12635</v>
      </c>
      <c r="H322" s="6" t="s">
        <v>219</v>
      </c>
      <c r="I322" s="1" t="s">
        <v>38</v>
      </c>
      <c r="J322" s="8"/>
      <c r="K322" s="114" t="s">
        <v>11744</v>
      </c>
      <c r="L322" s="31" t="s">
        <v>237</v>
      </c>
      <c r="M322" s="2">
        <v>45900</v>
      </c>
      <c r="N322" s="1" t="s">
        <v>35</v>
      </c>
      <c r="O322" s="61" t="s">
        <v>7934</v>
      </c>
      <c r="P322" s="14" t="s">
        <v>12636</v>
      </c>
      <c r="Q322" s="187">
        <v>69.42</v>
      </c>
      <c r="R322" s="1">
        <v>1</v>
      </c>
      <c r="S322" s="128">
        <v>0.21</v>
      </c>
      <c r="T322" s="128">
        <v>0</v>
      </c>
      <c r="U322" s="363"/>
      <c r="V322" s="126">
        <f t="shared" ref="V322:V324" si="173">SUM(Q322-(Q322*T322))*S322+(Q322-(Q322*T322))</f>
        <v>83.998199999999997</v>
      </c>
      <c r="W322" t="s">
        <v>10727</v>
      </c>
      <c r="X322" s="5" t="s">
        <v>12741</v>
      </c>
      <c r="Y322" s="3">
        <v>35805</v>
      </c>
      <c r="Z322" s="2">
        <v>45875</v>
      </c>
      <c r="AA322" s="2"/>
      <c r="AB322" s="2"/>
      <c r="AC322" s="80"/>
      <c r="AF322" t="s">
        <v>3198</v>
      </c>
      <c r="AI322" s="76" t="s">
        <v>3470</v>
      </c>
      <c r="AJ322" s="2">
        <v>45895</v>
      </c>
      <c r="AM322" s="3"/>
    </row>
    <row r="323" spans="1:46">
      <c r="A323" s="1">
        <v>322</v>
      </c>
      <c r="B323" t="s">
        <v>6684</v>
      </c>
      <c r="C323" s="2">
        <v>45875</v>
      </c>
      <c r="D323" s="2"/>
      <c r="E323" s="1" t="s">
        <v>6685</v>
      </c>
      <c r="F323" t="s">
        <v>6686</v>
      </c>
      <c r="G323" t="s">
        <v>6687</v>
      </c>
      <c r="H323" s="6" t="s">
        <v>2579</v>
      </c>
      <c r="I323" t="s">
        <v>2580</v>
      </c>
      <c r="J323" s="8"/>
      <c r="K323" s="1" t="s">
        <v>7339</v>
      </c>
      <c r="L323" t="s">
        <v>6685</v>
      </c>
      <c r="M323" s="2">
        <v>45900</v>
      </c>
      <c r="N323" s="1" t="s">
        <v>35</v>
      </c>
      <c r="O323" s="61" t="s">
        <v>12352</v>
      </c>
      <c r="P323" s="14" t="s">
        <v>12637</v>
      </c>
      <c r="Q323" s="187">
        <v>115.7</v>
      </c>
      <c r="R323" s="1">
        <v>1</v>
      </c>
      <c r="S323" s="128">
        <v>0.21</v>
      </c>
      <c r="T323" s="128">
        <v>0</v>
      </c>
      <c r="V323" s="126">
        <f t="shared" si="173"/>
        <v>139.99700000000001</v>
      </c>
      <c r="W323" t="s">
        <v>12889</v>
      </c>
      <c r="X323" s="5" t="s">
        <v>12890</v>
      </c>
      <c r="Y323" s="3">
        <v>38140</v>
      </c>
      <c r="Z323" s="2">
        <v>45875</v>
      </c>
      <c r="AA323" s="2"/>
      <c r="AB323" s="2"/>
      <c r="AC323" s="80"/>
      <c r="AF323" t="s">
        <v>3198</v>
      </c>
      <c r="AI323" t="s">
        <v>3392</v>
      </c>
      <c r="AJ323" s="3">
        <v>45916</v>
      </c>
      <c r="AM323" s="3">
        <v>45925</v>
      </c>
    </row>
    <row r="324" spans="1:46">
      <c r="A324" s="1">
        <v>323</v>
      </c>
      <c r="B324" t="s">
        <v>33</v>
      </c>
      <c r="C324" s="2">
        <v>45875</v>
      </c>
      <c r="D324" s="2"/>
      <c r="E324" s="1" t="s">
        <v>4537</v>
      </c>
      <c r="F324" t="s">
        <v>4540</v>
      </c>
      <c r="G324" s="61" t="s">
        <v>6316</v>
      </c>
      <c r="H324" s="6" t="s">
        <v>220</v>
      </c>
      <c r="I324" s="1" t="s">
        <v>39</v>
      </c>
      <c r="J324" s="8"/>
      <c r="K324" s="114" t="s">
        <v>11744</v>
      </c>
      <c r="L324" t="s">
        <v>237</v>
      </c>
      <c r="M324" s="2">
        <v>45900</v>
      </c>
      <c r="N324" s="1" t="s">
        <v>35</v>
      </c>
      <c r="O324" s="61" t="s">
        <v>12352</v>
      </c>
      <c r="P324" s="14" t="s">
        <v>12638</v>
      </c>
      <c r="Q324" s="187">
        <v>115.7</v>
      </c>
      <c r="R324" s="1">
        <v>1</v>
      </c>
      <c r="S324" s="128">
        <v>0.21</v>
      </c>
      <c r="T324" s="128">
        <v>0</v>
      </c>
      <c r="U324" s="95"/>
      <c r="V324" s="95">
        <f t="shared" si="173"/>
        <v>139.99700000000001</v>
      </c>
      <c r="W324" t="s">
        <v>12872</v>
      </c>
      <c r="X324" s="5" t="s">
        <v>12873</v>
      </c>
      <c r="Y324" s="2">
        <v>29943</v>
      </c>
      <c r="Z324" s="2">
        <v>45875</v>
      </c>
      <c r="AA324" s="2"/>
      <c r="AB324" s="2"/>
      <c r="AC324" s="80"/>
      <c r="AF324" t="s">
        <v>3198</v>
      </c>
      <c r="AI324" s="76" t="s">
        <v>3392</v>
      </c>
      <c r="AJ324" s="2">
        <v>45916</v>
      </c>
      <c r="AM324" s="74"/>
      <c r="AT324" s="1"/>
    </row>
    <row r="325" spans="1:46">
      <c r="A325" s="1">
        <v>324</v>
      </c>
      <c r="B325" t="s">
        <v>33</v>
      </c>
      <c r="C325" s="2">
        <v>45875</v>
      </c>
      <c r="D325" s="2"/>
      <c r="E325" s="1" t="s">
        <v>5773</v>
      </c>
      <c r="F325" s="61" t="s">
        <v>5774</v>
      </c>
      <c r="G325" s="61" t="s">
        <v>5775</v>
      </c>
      <c r="H325" s="6" t="s">
        <v>220</v>
      </c>
      <c r="I325" s="1" t="s">
        <v>39</v>
      </c>
      <c r="J325" s="1"/>
      <c r="K325" s="114" t="s">
        <v>11744</v>
      </c>
      <c r="L325" t="s">
        <v>237</v>
      </c>
      <c r="M325" s="2">
        <v>45900</v>
      </c>
      <c r="N325" s="1" t="s">
        <v>35</v>
      </c>
      <c r="O325" s="61" t="s">
        <v>9758</v>
      </c>
      <c r="P325" s="14" t="s">
        <v>12639</v>
      </c>
      <c r="Q325" s="187">
        <v>115.7</v>
      </c>
      <c r="R325" s="1">
        <v>1</v>
      </c>
      <c r="S325" s="128">
        <v>0.21</v>
      </c>
      <c r="T325" s="128">
        <v>0</v>
      </c>
      <c r="U325" s="363"/>
      <c r="V325" s="126">
        <f t="shared" ref="V325" si="174">SUM(Q325-(Q325*T325))*S325+(Q325-(Q325*T325))</f>
        <v>139.99700000000001</v>
      </c>
      <c r="W325" t="s">
        <v>12972</v>
      </c>
      <c r="X325" s="5" t="s">
        <v>12973</v>
      </c>
      <c r="Y325" s="3">
        <v>29142</v>
      </c>
      <c r="Z325" s="2">
        <v>45875</v>
      </c>
      <c r="AA325" s="2"/>
      <c r="AB325" s="2"/>
      <c r="AC325" s="80"/>
      <c r="AE325" s="3"/>
      <c r="AF325" t="s">
        <v>3198</v>
      </c>
      <c r="AI325" t="s">
        <v>3470</v>
      </c>
      <c r="AJ325" s="2">
        <v>45929</v>
      </c>
      <c r="AM325" s="74">
        <v>45938</v>
      </c>
      <c r="AS325" s="1"/>
      <c r="AT325" s="1"/>
    </row>
    <row r="326" spans="1:46">
      <c r="A326" s="1">
        <v>325</v>
      </c>
      <c r="B326" s="61" t="s">
        <v>1414</v>
      </c>
      <c r="C326" s="2">
        <v>45876</v>
      </c>
      <c r="D326" s="2"/>
      <c r="E326" s="1" t="s">
        <v>3559</v>
      </c>
      <c r="F326" s="61" t="s">
        <v>3560</v>
      </c>
      <c r="G326" s="61" t="s">
        <v>3561</v>
      </c>
      <c r="H326" s="6" t="s">
        <v>230</v>
      </c>
      <c r="I326" s="1" t="s">
        <v>1262</v>
      </c>
      <c r="J326" s="1">
        <v>607536828</v>
      </c>
      <c r="K326" t="s">
        <v>7850</v>
      </c>
      <c r="L326" t="s">
        <v>3559</v>
      </c>
      <c r="M326" s="2">
        <v>45900</v>
      </c>
      <c r="N326" s="1" t="s">
        <v>35</v>
      </c>
      <c r="O326" s="61" t="s">
        <v>12352</v>
      </c>
      <c r="P326" s="14" t="s">
        <v>12646</v>
      </c>
      <c r="Q326" s="187">
        <v>115.7</v>
      </c>
      <c r="R326" s="1">
        <v>1</v>
      </c>
      <c r="S326" s="90">
        <v>0.21</v>
      </c>
      <c r="T326" s="90">
        <v>0</v>
      </c>
      <c r="U326" s="1"/>
      <c r="V326" s="95">
        <f t="shared" ref="V326" si="175">SUM(Q326-(Q326*T326))*S326+(Q326-(Q326*T326))</f>
        <v>139.99700000000001</v>
      </c>
      <c r="W326" t="s">
        <v>12894</v>
      </c>
      <c r="X326" s="5" t="s">
        <v>12895</v>
      </c>
      <c r="Y326" s="2">
        <v>29987</v>
      </c>
      <c r="Z326" s="2">
        <v>45876</v>
      </c>
      <c r="AA326" s="2"/>
      <c r="AB326" s="3"/>
      <c r="AC326" s="80"/>
      <c r="AF326" t="s">
        <v>3198</v>
      </c>
      <c r="AI326" s="76" t="s">
        <v>3392</v>
      </c>
      <c r="AJ326" s="2">
        <v>45916</v>
      </c>
      <c r="AK326" s="2"/>
      <c r="AM326" s="2"/>
      <c r="AT326" s="1"/>
    </row>
    <row r="327" spans="1:46">
      <c r="A327" s="1">
        <v>326</v>
      </c>
      <c r="B327" t="s">
        <v>33</v>
      </c>
      <c r="C327" s="2">
        <v>45876</v>
      </c>
      <c r="E327" s="1" t="s">
        <v>8064</v>
      </c>
      <c r="F327" s="61" t="s">
        <v>8065</v>
      </c>
      <c r="G327" t="s">
        <v>8066</v>
      </c>
      <c r="H327" s="6" t="s">
        <v>219</v>
      </c>
      <c r="I327" s="1" t="s">
        <v>4334</v>
      </c>
      <c r="J327" s="1"/>
      <c r="K327" s="114" t="s">
        <v>11744</v>
      </c>
      <c r="L327" t="s">
        <v>237</v>
      </c>
      <c r="M327" s="2">
        <v>45900</v>
      </c>
      <c r="N327" t="s">
        <v>35</v>
      </c>
      <c r="O327" s="61" t="s">
        <v>9758</v>
      </c>
      <c r="P327" s="14" t="s">
        <v>12647</v>
      </c>
      <c r="Q327" s="92">
        <v>115.7</v>
      </c>
      <c r="R327" s="1">
        <v>1</v>
      </c>
      <c r="S327" s="128">
        <v>0.21</v>
      </c>
      <c r="T327" s="128">
        <v>0</v>
      </c>
      <c r="U327" s="95"/>
      <c r="V327" s="126">
        <f t="shared" ref="V327" si="176">SUM(Q327-(Q327*T327))*S327+(Q327-(Q327*T327))</f>
        <v>139.99700000000001</v>
      </c>
      <c r="W327" t="s">
        <v>12816</v>
      </c>
      <c r="X327" s="5" t="s">
        <v>12817</v>
      </c>
      <c r="Y327" s="3">
        <v>37835</v>
      </c>
      <c r="Z327" s="2">
        <v>45876</v>
      </c>
      <c r="AA327" s="2"/>
      <c r="AB327" s="2"/>
      <c r="AC327" s="80"/>
      <c r="AF327" t="s">
        <v>3198</v>
      </c>
      <c r="AI327" t="s">
        <v>12648</v>
      </c>
      <c r="AJ327" s="3">
        <v>45908</v>
      </c>
      <c r="AM327" s="3">
        <v>45923</v>
      </c>
      <c r="AS327" t="s">
        <v>7772</v>
      </c>
    </row>
    <row r="328" spans="1:46">
      <c r="A328" s="1">
        <v>327</v>
      </c>
      <c r="B328" t="s">
        <v>1242</v>
      </c>
      <c r="C328" s="2">
        <v>45877</v>
      </c>
      <c r="D328" s="2"/>
      <c r="E328" s="1" t="s">
        <v>344</v>
      </c>
      <c r="F328" s="61" t="s">
        <v>345</v>
      </c>
      <c r="G328" s="61" t="s">
        <v>1249</v>
      </c>
      <c r="H328" s="6" t="s">
        <v>221</v>
      </c>
      <c r="I328" s="1" t="s">
        <v>34</v>
      </c>
      <c r="J328" s="1">
        <v>677842922</v>
      </c>
      <c r="K328" s="1" t="s">
        <v>5905</v>
      </c>
      <c r="L328" s="30" t="s">
        <v>1250</v>
      </c>
      <c r="M328" s="2">
        <v>45900</v>
      </c>
      <c r="N328" t="s">
        <v>35</v>
      </c>
      <c r="O328" s="14" t="s">
        <v>12352</v>
      </c>
      <c r="P328" s="14" t="s">
        <v>12658</v>
      </c>
      <c r="Q328" s="92">
        <v>115.7</v>
      </c>
      <c r="R328" s="1">
        <v>1</v>
      </c>
      <c r="S328" s="128">
        <v>0.21</v>
      </c>
      <c r="T328" s="128">
        <v>0</v>
      </c>
      <c r="U328" s="95"/>
      <c r="V328" s="126">
        <f t="shared" ref="V328" si="177">SUM(Q328-(Q328*T328))*S328+(Q328-(Q328*T328))</f>
        <v>139.99700000000001</v>
      </c>
      <c r="W328" t="s">
        <v>12974</v>
      </c>
      <c r="X328" s="5" t="s">
        <v>12975</v>
      </c>
      <c r="Y328" s="2">
        <v>34707</v>
      </c>
      <c r="Z328" s="2">
        <v>45877</v>
      </c>
      <c r="AA328" s="61"/>
      <c r="AB328" s="3"/>
      <c r="AC328" s="80"/>
      <c r="AF328" t="s">
        <v>3198</v>
      </c>
      <c r="AI328" t="s">
        <v>3392</v>
      </c>
      <c r="AJ328" s="2">
        <v>45929</v>
      </c>
      <c r="AL328" s="3"/>
      <c r="AM328" s="3">
        <v>45939</v>
      </c>
    </row>
    <row r="329" spans="1:46">
      <c r="A329" s="1">
        <v>328</v>
      </c>
      <c r="B329" t="s">
        <v>1242</v>
      </c>
      <c r="C329" s="2">
        <v>45877</v>
      </c>
      <c r="D329" s="2"/>
      <c r="E329" s="61" t="s">
        <v>1243</v>
      </c>
      <c r="F329" t="s">
        <v>1244</v>
      </c>
      <c r="G329" t="s">
        <v>1245</v>
      </c>
      <c r="H329" s="6" t="s">
        <v>227</v>
      </c>
      <c r="I329" t="s">
        <v>34</v>
      </c>
      <c r="J329" s="8">
        <v>632341539</v>
      </c>
      <c r="K329" s="8" t="s">
        <v>5905</v>
      </c>
      <c r="L329" s="31" t="s">
        <v>1250</v>
      </c>
      <c r="M329" s="2">
        <v>45900</v>
      </c>
      <c r="N329" s="1" t="s">
        <v>35</v>
      </c>
      <c r="O329" s="375" t="s">
        <v>12352</v>
      </c>
      <c r="P329" s="14" t="s">
        <v>12659</v>
      </c>
      <c r="Q329" s="92">
        <v>115.7</v>
      </c>
      <c r="R329" s="1">
        <v>1</v>
      </c>
      <c r="S329" s="128">
        <v>0.21</v>
      </c>
      <c r="T329" s="128">
        <v>0</v>
      </c>
      <c r="U329" s="95"/>
      <c r="V329" s="126">
        <f t="shared" ref="V329" si="178">SUM(Q329-(Q329*T329))*S329+(Q329-(Q329*T329))</f>
        <v>139.99700000000001</v>
      </c>
      <c r="W329" t="s">
        <v>12976</v>
      </c>
      <c r="X329" s="5" t="s">
        <v>12977</v>
      </c>
      <c r="Y329" s="3">
        <v>34689</v>
      </c>
      <c r="Z329" s="2">
        <v>45877</v>
      </c>
      <c r="AA329" s="61"/>
      <c r="AB329" s="64"/>
      <c r="AC329" s="133"/>
      <c r="AD329" s="61"/>
      <c r="AF329" t="s">
        <v>3198</v>
      </c>
      <c r="AH329" s="3"/>
      <c r="AI329" t="s">
        <v>3392</v>
      </c>
      <c r="AJ329" s="2">
        <v>45929</v>
      </c>
      <c r="AL329" s="3"/>
      <c r="AM329" s="74">
        <v>45939</v>
      </c>
      <c r="AT329" s="1"/>
    </row>
    <row r="330" spans="1:46">
      <c r="A330" s="1">
        <v>329</v>
      </c>
      <c r="B330" s="61" t="s">
        <v>40</v>
      </c>
      <c r="C330" s="2">
        <v>45888</v>
      </c>
      <c r="D330" s="403" t="s">
        <v>9900</v>
      </c>
      <c r="E330" s="1" t="s">
        <v>6185</v>
      </c>
      <c r="F330" s="61" t="s">
        <v>12654</v>
      </c>
      <c r="G330" s="61" t="s">
        <v>12655</v>
      </c>
      <c r="H330" s="6" t="s">
        <v>12656</v>
      </c>
      <c r="I330" s="1" t="s">
        <v>12657</v>
      </c>
      <c r="J330" s="1"/>
      <c r="K330" s="1" t="s">
        <v>12623</v>
      </c>
      <c r="L330" s="1" t="s">
        <v>6185</v>
      </c>
      <c r="M330" s="2">
        <v>45900</v>
      </c>
      <c r="N330" s="1" t="s">
        <v>35</v>
      </c>
      <c r="O330" s="61" t="s">
        <v>12352</v>
      </c>
      <c r="P330" s="14" t="s">
        <v>12660</v>
      </c>
      <c r="Q330" s="92">
        <v>115.7</v>
      </c>
      <c r="R330" s="1">
        <v>1</v>
      </c>
      <c r="S330" s="128">
        <v>0.21</v>
      </c>
      <c r="T330" s="128">
        <v>0</v>
      </c>
      <c r="U330" s="95"/>
      <c r="V330" s="126">
        <f t="shared" ref="V330" si="179">SUM(Q330-(Q330*T330))*S330+(Q330-(Q330*T330))</f>
        <v>139.99700000000001</v>
      </c>
      <c r="W330" t="s">
        <v>13003</v>
      </c>
      <c r="X330" s="5" t="s">
        <v>13004</v>
      </c>
      <c r="Y330" s="2">
        <v>34127</v>
      </c>
      <c r="Z330" s="2">
        <v>45888</v>
      </c>
      <c r="AA330" s="2"/>
      <c r="AB330" s="2"/>
      <c r="AC330" s="80"/>
      <c r="AF330" t="s">
        <v>3198</v>
      </c>
      <c r="AI330" s="76" t="s">
        <v>3392</v>
      </c>
      <c r="AJ330" s="2">
        <v>45930</v>
      </c>
      <c r="AK330" s="2"/>
      <c r="AM330" s="2"/>
      <c r="AT330" s="1"/>
    </row>
    <row r="331" spans="1:46">
      <c r="A331" s="1">
        <v>330</v>
      </c>
      <c r="B331" t="s">
        <v>33</v>
      </c>
      <c r="C331" s="2">
        <v>45888</v>
      </c>
      <c r="D331" s="403" t="s">
        <v>9900</v>
      </c>
      <c r="E331" s="1" t="s">
        <v>12661</v>
      </c>
      <c r="F331" s="61" t="s">
        <v>12662</v>
      </c>
      <c r="G331" s="61" t="s">
        <v>12663</v>
      </c>
      <c r="H331" s="6" t="s">
        <v>236</v>
      </c>
      <c r="I331" s="1" t="s">
        <v>34</v>
      </c>
      <c r="J331" s="1"/>
      <c r="K331" s="114" t="s">
        <v>11744</v>
      </c>
      <c r="L331" t="s">
        <v>237</v>
      </c>
      <c r="M331" s="2">
        <v>45900</v>
      </c>
      <c r="N331" s="1" t="s">
        <v>35</v>
      </c>
      <c r="O331" s="61" t="s">
        <v>12352</v>
      </c>
      <c r="P331" s="14" t="s">
        <v>12664</v>
      </c>
      <c r="Q331" s="92">
        <v>115.7</v>
      </c>
      <c r="R331" s="1">
        <v>1</v>
      </c>
      <c r="S331" s="128">
        <v>0.21</v>
      </c>
      <c r="T331" s="128">
        <v>0</v>
      </c>
      <c r="U331" s="95"/>
      <c r="V331" s="126">
        <f t="shared" ref="V331:V332" si="180">SUM(Q331-(Q331*T331))*S331+(Q331-(Q331*T331))</f>
        <v>139.99700000000001</v>
      </c>
      <c r="W331" t="s">
        <v>13010</v>
      </c>
      <c r="X331" s="5" t="s">
        <v>13011</v>
      </c>
      <c r="Y331" s="2">
        <v>36549</v>
      </c>
      <c r="Z331" s="2">
        <v>45888</v>
      </c>
      <c r="AA331" s="2"/>
      <c r="AB331" s="2"/>
      <c r="AC331" s="80"/>
      <c r="AF331" t="s">
        <v>3198</v>
      </c>
      <c r="AI331" t="s">
        <v>3392</v>
      </c>
      <c r="AJ331" s="2">
        <v>45930</v>
      </c>
      <c r="AK331" s="2"/>
      <c r="AM331" s="2">
        <v>45938</v>
      </c>
      <c r="AT331" s="1"/>
    </row>
    <row r="332" spans="1:46">
      <c r="A332" s="1">
        <v>331</v>
      </c>
      <c r="B332" s="61" t="s">
        <v>40</v>
      </c>
      <c r="C332" s="2">
        <v>45888</v>
      </c>
      <c r="D332" s="403" t="s">
        <v>9900</v>
      </c>
      <c r="E332" s="1" t="s">
        <v>12667</v>
      </c>
      <c r="F332" s="61" t="s">
        <v>12665</v>
      </c>
      <c r="G332" s="61" t="s">
        <v>12666</v>
      </c>
      <c r="H332" s="6" t="s">
        <v>221</v>
      </c>
      <c r="I332" s="1" t="s">
        <v>34</v>
      </c>
      <c r="J332" s="1"/>
      <c r="K332" s="1" t="s">
        <v>12623</v>
      </c>
      <c r="L332" s="1" t="s">
        <v>12667</v>
      </c>
      <c r="M332" s="2">
        <v>45900</v>
      </c>
      <c r="N332" s="1" t="s">
        <v>35</v>
      </c>
      <c r="O332" s="61" t="s">
        <v>12352</v>
      </c>
      <c r="P332" s="14" t="s">
        <v>12668</v>
      </c>
      <c r="Q332" s="92">
        <v>115.7</v>
      </c>
      <c r="R332" s="1">
        <v>1</v>
      </c>
      <c r="S332" s="128">
        <v>0.21</v>
      </c>
      <c r="T332" s="128">
        <v>0</v>
      </c>
      <c r="U332" s="95"/>
      <c r="V332" s="126">
        <f t="shared" si="180"/>
        <v>139.99700000000001</v>
      </c>
      <c r="W332" t="s">
        <v>13020</v>
      </c>
      <c r="X332" s="5" t="s">
        <v>13021</v>
      </c>
      <c r="Y332" s="2">
        <v>32134</v>
      </c>
      <c r="Z332" s="2">
        <v>45888</v>
      </c>
      <c r="AA332" s="2"/>
      <c r="AB332" s="2"/>
      <c r="AC332" s="80"/>
      <c r="AF332" t="s">
        <v>3198</v>
      </c>
      <c r="AI332" t="s">
        <v>3392</v>
      </c>
      <c r="AJ332" s="2">
        <v>45930</v>
      </c>
      <c r="AK332" s="2"/>
      <c r="AM332" s="2">
        <v>45939</v>
      </c>
      <c r="AT332" s="1"/>
    </row>
    <row r="333" spans="1:46">
      <c r="A333" s="1">
        <v>332</v>
      </c>
      <c r="B333" s="61" t="s">
        <v>40</v>
      </c>
      <c r="C333" s="2">
        <v>45888</v>
      </c>
      <c r="D333" s="403" t="s">
        <v>9900</v>
      </c>
      <c r="E333" s="1" t="s">
        <v>12669</v>
      </c>
      <c r="F333" s="61" t="s">
        <v>12670</v>
      </c>
      <c r="G333" s="61" t="s">
        <v>12671</v>
      </c>
      <c r="H333" s="6" t="s">
        <v>12672</v>
      </c>
      <c r="I333" s="1" t="s">
        <v>12673</v>
      </c>
      <c r="J333" s="1"/>
      <c r="K333" s="1" t="s">
        <v>12623</v>
      </c>
      <c r="L333" s="1" t="s">
        <v>12669</v>
      </c>
      <c r="M333" s="2">
        <v>45900</v>
      </c>
      <c r="N333" s="1" t="s">
        <v>35</v>
      </c>
      <c r="O333" s="61" t="s">
        <v>12352</v>
      </c>
      <c r="P333" s="14" t="s">
        <v>12674</v>
      </c>
      <c r="Q333" s="92">
        <v>115.7</v>
      </c>
      <c r="R333" s="1">
        <v>1</v>
      </c>
      <c r="S333" s="128">
        <v>0.21</v>
      </c>
      <c r="T333" s="128">
        <v>0</v>
      </c>
      <c r="U333" s="95"/>
      <c r="V333" s="126">
        <f t="shared" ref="V333" si="181">SUM(Q333-(Q333*T333))*S333+(Q333-(Q333*T333))</f>
        <v>139.99700000000001</v>
      </c>
      <c r="W333" t="s">
        <v>13035</v>
      </c>
      <c r="X333" s="5" t="s">
        <v>13036</v>
      </c>
      <c r="Y333" s="2">
        <v>32682</v>
      </c>
      <c r="Z333" s="2">
        <v>45888</v>
      </c>
      <c r="AA333" s="2"/>
      <c r="AB333" s="2"/>
      <c r="AC333" s="80"/>
      <c r="AF333" t="s">
        <v>3198</v>
      </c>
      <c r="AI333" t="s">
        <v>3392</v>
      </c>
      <c r="AJ333" s="2">
        <v>45930</v>
      </c>
      <c r="AK333" s="2"/>
      <c r="AM333" s="2">
        <v>45940</v>
      </c>
      <c r="AT333" s="1"/>
    </row>
    <row r="334" spans="1:46">
      <c r="A334" s="1">
        <v>333</v>
      </c>
      <c r="B334" t="s">
        <v>40</v>
      </c>
      <c r="C334" s="2">
        <v>45888</v>
      </c>
      <c r="D334" s="2"/>
      <c r="E334" s="1" t="s">
        <v>5779</v>
      </c>
      <c r="F334" s="61" t="s">
        <v>6948</v>
      </c>
      <c r="G334" s="61" t="s">
        <v>5781</v>
      </c>
      <c r="H334" s="6" t="s">
        <v>227</v>
      </c>
      <c r="I334" s="1" t="s">
        <v>4719</v>
      </c>
      <c r="J334" s="295">
        <v>661226886</v>
      </c>
      <c r="K334" s="1" t="s">
        <v>6678</v>
      </c>
      <c r="L334" t="s">
        <v>5779</v>
      </c>
      <c r="M334" s="2">
        <v>45900</v>
      </c>
      <c r="N334" s="1" t="s">
        <v>35</v>
      </c>
      <c r="O334" s="375" t="s">
        <v>12352</v>
      </c>
      <c r="P334" s="14" t="s">
        <v>12675</v>
      </c>
      <c r="Q334" s="92">
        <v>115.7</v>
      </c>
      <c r="R334" s="1">
        <v>1</v>
      </c>
      <c r="S334" s="128">
        <v>0.21</v>
      </c>
      <c r="T334" s="128">
        <v>0</v>
      </c>
      <c r="U334" s="95"/>
      <c r="V334" s="126">
        <f t="shared" ref="V334:V337" si="182">SUM(Q334-(Q334*T334))*S334+(Q334-(Q334*T334))</f>
        <v>139.99700000000001</v>
      </c>
      <c r="W334" t="s">
        <v>13042</v>
      </c>
      <c r="X334" s="5" t="s">
        <v>13043</v>
      </c>
      <c r="Y334" s="2">
        <v>34429</v>
      </c>
      <c r="Z334" s="2">
        <v>45888</v>
      </c>
      <c r="AA334" s="2"/>
      <c r="AB334" s="2"/>
      <c r="AC334" s="133"/>
      <c r="AF334" t="s">
        <v>3198</v>
      </c>
      <c r="AI334" t="s">
        <v>12254</v>
      </c>
      <c r="AJ334" s="2">
        <v>45930</v>
      </c>
      <c r="AK334" s="1"/>
      <c r="AM334" s="74">
        <v>45939</v>
      </c>
      <c r="AT334" s="1"/>
    </row>
    <row r="335" spans="1:46">
      <c r="A335" s="1">
        <v>334</v>
      </c>
      <c r="B335" t="s">
        <v>3526</v>
      </c>
      <c r="C335" s="2">
        <v>45888</v>
      </c>
      <c r="D335" s="403" t="s">
        <v>9900</v>
      </c>
      <c r="E335" s="1" t="s">
        <v>204</v>
      </c>
      <c r="F335" s="61" t="s">
        <v>12676</v>
      </c>
      <c r="G335" t="s">
        <v>12677</v>
      </c>
      <c r="H335" s="6" t="s">
        <v>242</v>
      </c>
      <c r="I335" s="1" t="s">
        <v>12678</v>
      </c>
      <c r="J335" s="427"/>
      <c r="K335" s="1" t="s">
        <v>7759</v>
      </c>
      <c r="L335" s="1" t="s">
        <v>204</v>
      </c>
      <c r="M335" s="2">
        <v>45900</v>
      </c>
      <c r="N335" s="1" t="s">
        <v>35</v>
      </c>
      <c r="O335" s="61" t="s">
        <v>7933</v>
      </c>
      <c r="P335" s="14" t="s">
        <v>12679</v>
      </c>
      <c r="Q335" s="187">
        <v>100</v>
      </c>
      <c r="R335" s="1">
        <v>1</v>
      </c>
      <c r="S335" s="128">
        <v>0.21</v>
      </c>
      <c r="T335" s="128">
        <v>0</v>
      </c>
      <c r="U335" s="363"/>
      <c r="V335" s="126">
        <f t="shared" si="182"/>
        <v>121</v>
      </c>
      <c r="W335" t="s">
        <v>12763</v>
      </c>
      <c r="X335" s="5" t="s">
        <v>12680</v>
      </c>
      <c r="Y335" s="3">
        <v>35707</v>
      </c>
      <c r="Z335" s="2">
        <v>45888</v>
      </c>
      <c r="AA335" s="3"/>
      <c r="AB335" s="2"/>
      <c r="AC335" s="80"/>
      <c r="AF335" t="s">
        <v>3198</v>
      </c>
      <c r="AI335" s="76" t="s">
        <v>3392</v>
      </c>
      <c r="AJ335" s="3"/>
      <c r="AM335" s="3"/>
    </row>
    <row r="336" spans="1:46">
      <c r="A336" s="1">
        <v>335</v>
      </c>
      <c r="B336" t="s">
        <v>33</v>
      </c>
      <c r="C336" s="2">
        <v>45888</v>
      </c>
      <c r="D336" s="403" t="s">
        <v>9900</v>
      </c>
      <c r="E336" s="1" t="s">
        <v>3777</v>
      </c>
      <c r="F336" s="61" t="s">
        <v>11805</v>
      </c>
      <c r="G336" t="s">
        <v>11806</v>
      </c>
      <c r="H336" s="6" t="s">
        <v>11807</v>
      </c>
      <c r="I336" s="1" t="s">
        <v>11808</v>
      </c>
      <c r="J336" s="1"/>
      <c r="K336" s="114" t="s">
        <v>11744</v>
      </c>
      <c r="L336" t="s">
        <v>237</v>
      </c>
      <c r="M336" s="2">
        <v>45900</v>
      </c>
      <c r="N336" s="1" t="s">
        <v>35</v>
      </c>
      <c r="O336" s="61" t="s">
        <v>12352</v>
      </c>
      <c r="P336" s="14" t="s">
        <v>12681</v>
      </c>
      <c r="Q336" s="92">
        <v>115.7</v>
      </c>
      <c r="R336" s="1">
        <v>1</v>
      </c>
      <c r="S336" s="128">
        <v>0.21</v>
      </c>
      <c r="T336" s="128">
        <v>0</v>
      </c>
      <c r="U336" s="95"/>
      <c r="V336" s="126">
        <f t="shared" si="182"/>
        <v>139.99700000000001</v>
      </c>
      <c r="W336" t="s">
        <v>11810</v>
      </c>
      <c r="X336" s="5" t="s">
        <v>13044</v>
      </c>
      <c r="Y336" s="3">
        <v>32143</v>
      </c>
      <c r="Z336" s="2">
        <v>45888</v>
      </c>
      <c r="AA336" s="3"/>
      <c r="AB336" s="2"/>
      <c r="AC336" s="80"/>
      <c r="AF336" t="s">
        <v>3198</v>
      </c>
      <c r="AI336" s="76" t="s">
        <v>10800</v>
      </c>
      <c r="AJ336" s="3">
        <v>45930</v>
      </c>
      <c r="AM336" s="3"/>
    </row>
    <row r="337" spans="1:46">
      <c r="A337" s="1">
        <v>336</v>
      </c>
      <c r="B337" t="s">
        <v>33</v>
      </c>
      <c r="C337" s="2">
        <v>45859</v>
      </c>
      <c r="D337" s="2"/>
      <c r="E337" s="1" t="s">
        <v>5773</v>
      </c>
      <c r="F337" s="61" t="s">
        <v>5774</v>
      </c>
      <c r="G337" s="61" t="s">
        <v>5775</v>
      </c>
      <c r="H337" s="6" t="s">
        <v>220</v>
      </c>
      <c r="I337" s="1" t="s">
        <v>39</v>
      </c>
      <c r="J337" s="1"/>
      <c r="K337" s="114" t="s">
        <v>11744</v>
      </c>
      <c r="L337" t="s">
        <v>237</v>
      </c>
      <c r="M337" s="2">
        <v>45900</v>
      </c>
      <c r="N337" s="1" t="s">
        <v>35</v>
      </c>
      <c r="O337" s="61" t="s">
        <v>7934</v>
      </c>
      <c r="P337" s="14" t="s">
        <v>12682</v>
      </c>
      <c r="Q337" s="187">
        <v>69.42</v>
      </c>
      <c r="R337" s="1">
        <v>1</v>
      </c>
      <c r="S337" s="128">
        <v>0.21</v>
      </c>
      <c r="T337" s="128">
        <v>0</v>
      </c>
      <c r="U337" s="363"/>
      <c r="V337" s="126">
        <f t="shared" si="182"/>
        <v>83.998199999999997</v>
      </c>
      <c r="W337" t="s">
        <v>12683</v>
      </c>
      <c r="X337" s="5" t="s">
        <v>12684</v>
      </c>
      <c r="Y337" s="3">
        <v>35966</v>
      </c>
      <c r="Z337" s="2">
        <v>45859</v>
      </c>
      <c r="AA337" s="2"/>
      <c r="AB337" s="2"/>
      <c r="AC337" s="80"/>
      <c r="AE337" s="3"/>
      <c r="AF337" t="s">
        <v>3198</v>
      </c>
      <c r="AI337" s="76" t="s">
        <v>3470</v>
      </c>
      <c r="AJ337" s="2"/>
      <c r="AM337" s="74"/>
      <c r="AS337" s="1"/>
      <c r="AT337" s="1"/>
    </row>
    <row r="338" spans="1:46">
      <c r="A338" s="1">
        <v>337</v>
      </c>
      <c r="B338" t="s">
        <v>111</v>
      </c>
      <c r="C338" s="2">
        <v>45890</v>
      </c>
      <c r="D338" s="2"/>
      <c r="E338" s="1" t="s">
        <v>4875</v>
      </c>
      <c r="F338" t="s">
        <v>9054</v>
      </c>
      <c r="G338" t="s">
        <v>9055</v>
      </c>
      <c r="H338" s="6" t="s">
        <v>928</v>
      </c>
      <c r="I338" s="1" t="s">
        <v>49</v>
      </c>
      <c r="J338" s="1">
        <v>631891555</v>
      </c>
      <c r="K338" s="1"/>
      <c r="L338" s="1" t="s">
        <v>4875</v>
      </c>
      <c r="M338" s="2">
        <v>45900</v>
      </c>
      <c r="N338" s="1" t="s">
        <v>35</v>
      </c>
      <c r="O338" s="375" t="s">
        <v>7934</v>
      </c>
      <c r="P338" s="14" t="s">
        <v>9056</v>
      </c>
      <c r="Q338" s="92">
        <v>86.78</v>
      </c>
      <c r="R338" s="1">
        <v>1</v>
      </c>
      <c r="S338" s="128">
        <v>0.21</v>
      </c>
      <c r="T338" s="128">
        <v>0</v>
      </c>
      <c r="U338" s="363"/>
      <c r="V338" s="95">
        <f t="shared" ref="V338" si="183">SUM(Q338-(Q338*T338))*S338+(Q338-(Q338*T338))</f>
        <v>105.0038</v>
      </c>
      <c r="W338" s="1" t="s">
        <v>4875</v>
      </c>
      <c r="X338" s="5" t="s">
        <v>12705</v>
      </c>
      <c r="Y338" s="2">
        <v>30218</v>
      </c>
      <c r="Z338" s="2">
        <v>45890</v>
      </c>
      <c r="AA338" s="2"/>
      <c r="AB338" s="2"/>
      <c r="AC338" s="80"/>
      <c r="AD338" s="61"/>
      <c r="AF338" t="s">
        <v>3198</v>
      </c>
      <c r="AI338" s="502" t="s">
        <v>3470</v>
      </c>
      <c r="AJ338" s="3">
        <v>45929</v>
      </c>
      <c r="AM338" s="3">
        <v>45929</v>
      </c>
      <c r="AT338" s="1"/>
    </row>
    <row r="339" spans="1:46">
      <c r="A339" s="1">
        <v>338</v>
      </c>
      <c r="B339" t="s">
        <v>3526</v>
      </c>
      <c r="C339" s="2">
        <v>45890</v>
      </c>
      <c r="D339" s="2"/>
      <c r="E339" s="1" t="s">
        <v>4512</v>
      </c>
      <c r="F339" t="s">
        <v>10295</v>
      </c>
      <c r="G339" t="s">
        <v>4614</v>
      </c>
      <c r="H339" s="6" t="s">
        <v>242</v>
      </c>
      <c r="I339" s="1" t="s">
        <v>86</v>
      </c>
      <c r="J339" s="1">
        <v>673821555</v>
      </c>
      <c r="K339" s="8" t="s">
        <v>7157</v>
      </c>
      <c r="L339" s="1" t="s">
        <v>6215</v>
      </c>
      <c r="M339" s="2">
        <v>45900</v>
      </c>
      <c r="N339" s="1" t="s">
        <v>35</v>
      </c>
      <c r="O339" s="61" t="s">
        <v>9758</v>
      </c>
      <c r="P339" s="14" t="s">
        <v>10604</v>
      </c>
      <c r="Q339" s="187">
        <v>115.7</v>
      </c>
      <c r="R339" s="1">
        <v>1</v>
      </c>
      <c r="S339" s="90">
        <v>0.21</v>
      </c>
      <c r="T339" s="90">
        <v>0</v>
      </c>
      <c r="U339" s="363"/>
      <c r="V339" s="95">
        <f t="shared" ref="V339:V340" si="184">SUM(Q339-(Q339*T339))*S339+(Q339-(Q339*T339))</f>
        <v>139.99700000000001</v>
      </c>
      <c r="W339" t="s">
        <v>10649</v>
      </c>
      <c r="X339" s="5" t="s">
        <v>12959</v>
      </c>
      <c r="Y339" s="2">
        <v>36677</v>
      </c>
      <c r="Z339" s="2">
        <v>45890</v>
      </c>
      <c r="AA339" s="2"/>
      <c r="AB339" s="2"/>
      <c r="AC339" s="80"/>
      <c r="AF339" t="s">
        <v>3198</v>
      </c>
      <c r="AI339" t="s">
        <v>3470</v>
      </c>
      <c r="AJ339" s="3">
        <v>45929</v>
      </c>
      <c r="AM339" s="3">
        <v>45939</v>
      </c>
      <c r="AS339" s="1" t="s">
        <v>7936</v>
      </c>
    </row>
    <row r="340" spans="1:46">
      <c r="A340" s="1">
        <v>339</v>
      </c>
      <c r="B340" s="61" t="s">
        <v>33</v>
      </c>
      <c r="C340" s="2">
        <v>45890</v>
      </c>
      <c r="D340" s="2"/>
      <c r="E340" s="1" t="s">
        <v>1777</v>
      </c>
      <c r="F340" s="61" t="s">
        <v>1778</v>
      </c>
      <c r="G340" s="61" t="s">
        <v>4479</v>
      </c>
      <c r="H340" s="6" t="s">
        <v>304</v>
      </c>
      <c r="I340" t="s">
        <v>4480</v>
      </c>
      <c r="J340" s="8"/>
      <c r="K340" s="114" t="s">
        <v>11744</v>
      </c>
      <c r="L340" t="s">
        <v>237</v>
      </c>
      <c r="M340" s="2">
        <v>45900</v>
      </c>
      <c r="N340" s="1" t="s">
        <v>35</v>
      </c>
      <c r="O340" s="61" t="s">
        <v>7934</v>
      </c>
      <c r="P340" s="14" t="s">
        <v>9131</v>
      </c>
      <c r="Q340" s="163">
        <v>69.42</v>
      </c>
      <c r="R340" s="1">
        <v>1</v>
      </c>
      <c r="S340" s="90">
        <v>0.21</v>
      </c>
      <c r="T340" s="90">
        <v>0</v>
      </c>
      <c r="V340" s="95">
        <f t="shared" si="184"/>
        <v>83.998199999999997</v>
      </c>
      <c r="W340" t="s">
        <v>6894</v>
      </c>
      <c r="X340" s="5" t="s">
        <v>13341</v>
      </c>
      <c r="Y340" s="2">
        <v>32436</v>
      </c>
      <c r="Z340" s="2">
        <v>45890</v>
      </c>
      <c r="AA340" s="61"/>
      <c r="AB340" s="3"/>
      <c r="AC340" s="80"/>
      <c r="AF340" t="s">
        <v>3198</v>
      </c>
      <c r="AI340" s="76" t="s">
        <v>3470</v>
      </c>
      <c r="AJ340" s="2">
        <v>45959</v>
      </c>
      <c r="AK340" s="1"/>
      <c r="AM340" s="74"/>
      <c r="AT340" s="1"/>
    </row>
    <row r="341" spans="1:46">
      <c r="A341" s="1">
        <v>340</v>
      </c>
      <c r="B341" s="61" t="s">
        <v>33</v>
      </c>
      <c r="C341" s="2">
        <v>45890</v>
      </c>
      <c r="D341" s="2"/>
      <c r="E341" s="1" t="s">
        <v>1777</v>
      </c>
      <c r="F341" s="61" t="s">
        <v>1778</v>
      </c>
      <c r="G341" s="61" t="s">
        <v>4479</v>
      </c>
      <c r="H341" s="6" t="s">
        <v>304</v>
      </c>
      <c r="I341" t="s">
        <v>4480</v>
      </c>
      <c r="J341" s="8"/>
      <c r="K341" s="114" t="s">
        <v>11744</v>
      </c>
      <c r="L341" t="s">
        <v>237</v>
      </c>
      <c r="M341" s="2">
        <v>45900</v>
      </c>
      <c r="N341" s="1" t="s">
        <v>35</v>
      </c>
      <c r="O341" s="61" t="s">
        <v>12352</v>
      </c>
      <c r="P341" s="14" t="s">
        <v>12706</v>
      </c>
      <c r="Q341" s="163">
        <v>115.7</v>
      </c>
      <c r="R341" s="1">
        <v>1</v>
      </c>
      <c r="S341" s="90">
        <v>0.21</v>
      </c>
      <c r="T341" s="90">
        <v>0</v>
      </c>
      <c r="V341" s="95">
        <f t="shared" ref="V341" si="185">SUM(Q341-(Q341*T341))*S341+(Q341-(Q341*T341))</f>
        <v>139.99700000000001</v>
      </c>
      <c r="W341" t="s">
        <v>12914</v>
      </c>
      <c r="X341" s="5" t="s">
        <v>12915</v>
      </c>
      <c r="Y341" s="2">
        <v>23377</v>
      </c>
      <c r="Z341" s="2">
        <v>45890</v>
      </c>
      <c r="AA341" s="61"/>
      <c r="AB341" s="3"/>
      <c r="AC341" s="80"/>
      <c r="AF341" t="s">
        <v>3198</v>
      </c>
      <c r="AI341" t="s">
        <v>3392</v>
      </c>
      <c r="AJ341" s="2">
        <v>45919</v>
      </c>
      <c r="AK341" s="1"/>
      <c r="AM341" s="74">
        <v>45923</v>
      </c>
      <c r="AT341" s="1"/>
    </row>
    <row r="342" spans="1:46">
      <c r="A342" s="1">
        <v>341</v>
      </c>
      <c r="B342" t="s">
        <v>37</v>
      </c>
      <c r="C342" s="2">
        <v>45890</v>
      </c>
      <c r="D342" s="2"/>
      <c r="E342" s="1" t="s">
        <v>12163</v>
      </c>
      <c r="F342" s="375" t="s">
        <v>12164</v>
      </c>
      <c r="G342" t="s">
        <v>12165</v>
      </c>
      <c r="H342" s="6" t="s">
        <v>12166</v>
      </c>
      <c r="I342" s="1" t="s">
        <v>12167</v>
      </c>
      <c r="J342" s="8"/>
      <c r="K342" s="396"/>
      <c r="L342" s="1" t="s">
        <v>12163</v>
      </c>
      <c r="M342" s="2">
        <v>45900</v>
      </c>
      <c r="N342" s="1" t="s">
        <v>35</v>
      </c>
      <c r="O342" s="61" t="s">
        <v>12352</v>
      </c>
      <c r="P342" s="14" t="s">
        <v>12707</v>
      </c>
      <c r="Q342" s="92">
        <v>0</v>
      </c>
      <c r="R342" s="1">
        <v>1</v>
      </c>
      <c r="S342" s="128">
        <v>0.21</v>
      </c>
      <c r="T342" s="128">
        <v>0</v>
      </c>
      <c r="U342" s="95"/>
      <c r="V342" s="126">
        <f t="shared" ref="V342" si="186">SUM(Q342-(Q342*T342))*S342+(Q342-(Q342*T342))</f>
        <v>0</v>
      </c>
      <c r="W342" s="1" t="s">
        <v>12163</v>
      </c>
      <c r="X342" s="5" t="s">
        <v>12710</v>
      </c>
      <c r="Y342" s="2">
        <v>32152</v>
      </c>
      <c r="Z342" s="2">
        <v>45890</v>
      </c>
      <c r="AB342" s="2"/>
      <c r="AC342" s="80"/>
      <c r="AF342" t="s">
        <v>3198</v>
      </c>
      <c r="AI342" s="76" t="s">
        <v>12708</v>
      </c>
      <c r="AJ342" s="2"/>
      <c r="AM342" s="74"/>
      <c r="AT342" s="1"/>
    </row>
    <row r="343" spans="1:46" s="457" customFormat="1" ht="15.75" thickBot="1">
      <c r="A343" s="1">
        <v>342</v>
      </c>
      <c r="B343" s="459" t="s">
        <v>61</v>
      </c>
      <c r="C343" s="458">
        <v>45890</v>
      </c>
      <c r="D343" s="458"/>
      <c r="E343" s="456" t="s">
        <v>12521</v>
      </c>
      <c r="F343" s="459" t="s">
        <v>12522</v>
      </c>
      <c r="G343" s="459" t="s">
        <v>12311</v>
      </c>
      <c r="H343" s="460" t="s">
        <v>250</v>
      </c>
      <c r="I343" s="456" t="s">
        <v>5083</v>
      </c>
      <c r="J343" s="491"/>
      <c r="K343" s="491"/>
      <c r="L343" s="456" t="s">
        <v>12521</v>
      </c>
      <c r="M343" s="458">
        <v>45900</v>
      </c>
      <c r="N343" s="457" t="s">
        <v>35</v>
      </c>
      <c r="O343" s="459" t="s">
        <v>12352</v>
      </c>
      <c r="P343" s="463" t="s">
        <v>12709</v>
      </c>
      <c r="Q343" s="464">
        <v>115.7</v>
      </c>
      <c r="R343" s="456">
        <v>1</v>
      </c>
      <c r="S343" s="483">
        <v>0.21</v>
      </c>
      <c r="T343" s="483">
        <v>0</v>
      </c>
      <c r="U343" s="466"/>
      <c r="V343" s="467">
        <f t="shared" ref="V343:V345" si="187">SUM(Q343-(Q343*T343))*S343+(Q343-(Q343*T343))</f>
        <v>139.99700000000001</v>
      </c>
      <c r="W343" s="457" t="s">
        <v>12918</v>
      </c>
      <c r="X343" s="468" t="s">
        <v>12919</v>
      </c>
      <c r="Y343" s="458">
        <v>35810</v>
      </c>
      <c r="Z343" s="458">
        <v>45890</v>
      </c>
      <c r="AA343" s="458"/>
      <c r="AB343" s="458"/>
      <c r="AC343" s="469"/>
      <c r="AE343" s="470"/>
      <c r="AF343" s="457" t="s">
        <v>3198</v>
      </c>
      <c r="AI343" s="457" t="s">
        <v>3392</v>
      </c>
      <c r="AJ343" s="458">
        <v>45919</v>
      </c>
      <c r="AM343" s="478">
        <v>45925</v>
      </c>
      <c r="AT343" s="456"/>
    </row>
    <row r="344" spans="1:46" ht="15.75" thickTop="1">
      <c r="A344" s="1">
        <v>343</v>
      </c>
      <c r="B344" t="s">
        <v>137</v>
      </c>
      <c r="C344" s="2">
        <v>45894</v>
      </c>
      <c r="D344" s="2"/>
      <c r="E344" s="1" t="s">
        <v>10665</v>
      </c>
      <c r="F344" s="61" t="s">
        <v>10666</v>
      </c>
      <c r="G344" t="s">
        <v>10667</v>
      </c>
      <c r="H344" s="6" t="s">
        <v>221</v>
      </c>
      <c r="I344" s="1" t="s">
        <v>34</v>
      </c>
      <c r="J344" s="8"/>
      <c r="K344" s="1" t="s">
        <v>5905</v>
      </c>
      <c r="L344" s="1" t="s">
        <v>1250</v>
      </c>
      <c r="M344" s="2">
        <v>45900</v>
      </c>
      <c r="N344" s="1" t="s">
        <v>35</v>
      </c>
      <c r="O344" s="61" t="s">
        <v>7934</v>
      </c>
      <c r="P344" s="14" t="s">
        <v>12712</v>
      </c>
      <c r="Q344" s="254">
        <v>69.42</v>
      </c>
      <c r="R344" s="1">
        <v>1</v>
      </c>
      <c r="S344" s="128">
        <v>0.21</v>
      </c>
      <c r="T344" s="128">
        <v>0</v>
      </c>
      <c r="U344" s="363"/>
      <c r="V344" s="126">
        <f t="shared" si="187"/>
        <v>83.998199999999997</v>
      </c>
      <c r="W344" t="s">
        <v>10669</v>
      </c>
      <c r="X344" s="5" t="s">
        <v>12749</v>
      </c>
      <c r="Y344" s="3">
        <v>33177</v>
      </c>
      <c r="Z344" s="2">
        <v>45894</v>
      </c>
      <c r="AA344" s="284" t="s">
        <v>13361</v>
      </c>
      <c r="AB344" s="2">
        <v>45959</v>
      </c>
      <c r="AC344" s="80" t="s">
        <v>1339</v>
      </c>
      <c r="AF344" t="s">
        <v>3198</v>
      </c>
      <c r="AI344" s="76" t="s">
        <v>3470</v>
      </c>
      <c r="AJ344" s="3">
        <v>45895</v>
      </c>
      <c r="AM344" s="3"/>
    </row>
    <row r="345" spans="1:46">
      <c r="A345" s="1">
        <v>344</v>
      </c>
      <c r="B345" t="s">
        <v>5635</v>
      </c>
      <c r="C345" s="2">
        <v>45894</v>
      </c>
      <c r="D345" s="403" t="s">
        <v>9900</v>
      </c>
      <c r="E345" s="1" t="s">
        <v>12713</v>
      </c>
      <c r="F345" s="61" t="s">
        <v>12714</v>
      </c>
      <c r="G345" t="s">
        <v>12715</v>
      </c>
      <c r="H345" s="6" t="s">
        <v>1424</v>
      </c>
      <c r="I345" s="1" t="s">
        <v>1425</v>
      </c>
      <c r="J345" s="8"/>
      <c r="K345" s="301" t="s">
        <v>10609</v>
      </c>
      <c r="L345" s="1" t="s">
        <v>12713</v>
      </c>
      <c r="M345" s="2">
        <v>45900</v>
      </c>
      <c r="N345" s="1" t="s">
        <v>35</v>
      </c>
      <c r="O345" s="61" t="s">
        <v>12352</v>
      </c>
      <c r="P345" s="14" t="s">
        <v>12716</v>
      </c>
      <c r="Q345" s="187">
        <v>115.7</v>
      </c>
      <c r="R345" s="1">
        <v>1</v>
      </c>
      <c r="S345" s="128">
        <v>0.21</v>
      </c>
      <c r="T345" s="128">
        <v>0</v>
      </c>
      <c r="V345" s="95">
        <f t="shared" si="187"/>
        <v>139.99700000000001</v>
      </c>
      <c r="W345" t="s">
        <v>12966</v>
      </c>
      <c r="X345" s="5" t="s">
        <v>12967</v>
      </c>
      <c r="Y345" s="2">
        <v>35211</v>
      </c>
      <c r="Z345" s="2">
        <v>45894</v>
      </c>
      <c r="AA345" s="3"/>
      <c r="AB345" s="2"/>
      <c r="AC345" s="80"/>
      <c r="AF345" t="s">
        <v>3198</v>
      </c>
      <c r="AI345" t="s">
        <v>3392</v>
      </c>
      <c r="AJ345" s="3">
        <v>45929</v>
      </c>
      <c r="AM345" s="74">
        <v>45939</v>
      </c>
      <c r="AT345" s="1"/>
    </row>
    <row r="346" spans="1:46">
      <c r="A346" s="1">
        <v>345</v>
      </c>
      <c r="B346" t="s">
        <v>137</v>
      </c>
      <c r="C346" s="2">
        <v>45894</v>
      </c>
      <c r="D346" s="403" t="s">
        <v>9900</v>
      </c>
      <c r="E346" s="1" t="s">
        <v>12717</v>
      </c>
      <c r="F346" s="61" t="s">
        <v>12718</v>
      </c>
      <c r="G346" t="s">
        <v>12719</v>
      </c>
      <c r="H346" s="6" t="s">
        <v>221</v>
      </c>
      <c r="I346" s="1" t="s">
        <v>34</v>
      </c>
      <c r="J346" s="8"/>
      <c r="K346" s="1" t="s">
        <v>5905</v>
      </c>
      <c r="L346" s="1" t="s">
        <v>1250</v>
      </c>
      <c r="M346" s="2">
        <v>45900</v>
      </c>
      <c r="N346" s="1" t="s">
        <v>35</v>
      </c>
      <c r="O346" s="61" t="s">
        <v>12352</v>
      </c>
      <c r="P346" s="14" t="s">
        <v>12720</v>
      </c>
      <c r="Q346" s="187">
        <v>115.7</v>
      </c>
      <c r="R346" s="1">
        <v>1</v>
      </c>
      <c r="S346" s="128">
        <v>0.21</v>
      </c>
      <c r="T346" s="128">
        <v>0</v>
      </c>
      <c r="V346" s="95">
        <f t="shared" ref="V346:V347" si="188">SUM(Q346-(Q346*T346))*S346+(Q346-(Q346*T346))</f>
        <v>139.99700000000001</v>
      </c>
      <c r="W346" t="s">
        <v>13039</v>
      </c>
      <c r="X346" s="5" t="s">
        <v>13040</v>
      </c>
      <c r="Y346" s="3">
        <v>36090</v>
      </c>
      <c r="Z346" s="2">
        <v>45894</v>
      </c>
      <c r="AA346" s="2"/>
      <c r="AB346" s="2"/>
      <c r="AC346" s="80"/>
      <c r="AF346" t="s">
        <v>3198</v>
      </c>
      <c r="AI346" t="s">
        <v>3392</v>
      </c>
      <c r="AJ346" s="3">
        <v>45930</v>
      </c>
      <c r="AM346" s="3">
        <v>45940</v>
      </c>
    </row>
    <row r="347" spans="1:46">
      <c r="A347" s="1">
        <v>346</v>
      </c>
      <c r="B347" s="61" t="s">
        <v>33</v>
      </c>
      <c r="C347" s="2">
        <v>45894</v>
      </c>
      <c r="D347" s="2"/>
      <c r="E347" s="1" t="s">
        <v>12721</v>
      </c>
      <c r="F347" s="61" t="s">
        <v>12722</v>
      </c>
      <c r="G347" s="61" t="s">
        <v>12723</v>
      </c>
      <c r="H347" s="6" t="s">
        <v>12724</v>
      </c>
      <c r="I347" t="s">
        <v>12725</v>
      </c>
      <c r="J347" s="8"/>
      <c r="K347" s="114" t="s">
        <v>11744</v>
      </c>
      <c r="L347" t="s">
        <v>237</v>
      </c>
      <c r="M347" s="2">
        <v>45900</v>
      </c>
      <c r="N347" s="1" t="s">
        <v>35</v>
      </c>
      <c r="O347" s="61" t="s">
        <v>7934</v>
      </c>
      <c r="P347" s="14" t="s">
        <v>12726</v>
      </c>
      <c r="Q347" s="163">
        <v>69.42</v>
      </c>
      <c r="R347" s="1">
        <v>1</v>
      </c>
      <c r="S347" s="90">
        <v>0.21</v>
      </c>
      <c r="T347" s="90">
        <v>0</v>
      </c>
      <c r="V347" s="95">
        <f t="shared" si="188"/>
        <v>83.998199999999997</v>
      </c>
      <c r="W347" t="s">
        <v>12866</v>
      </c>
      <c r="X347" s="5" t="s">
        <v>12867</v>
      </c>
      <c r="Y347" s="2">
        <v>23377</v>
      </c>
      <c r="Z347" s="2">
        <v>45894</v>
      </c>
      <c r="AA347" s="61"/>
      <c r="AB347" s="3"/>
      <c r="AC347" s="80"/>
      <c r="AF347" t="s">
        <v>3198</v>
      </c>
      <c r="AI347" s="76" t="s">
        <v>3392</v>
      </c>
      <c r="AJ347" s="2"/>
      <c r="AK347" s="1"/>
      <c r="AM347" s="74"/>
      <c r="AT347" s="1"/>
    </row>
    <row r="348" spans="1:46">
      <c r="A348" s="1">
        <v>347</v>
      </c>
      <c r="B348" t="s">
        <v>37</v>
      </c>
      <c r="C348" s="2">
        <v>45894</v>
      </c>
      <c r="D348" s="2"/>
      <c r="E348" t="s">
        <v>7177</v>
      </c>
      <c r="F348" t="s">
        <v>7141</v>
      </c>
      <c r="G348" s="61" t="s">
        <v>7142</v>
      </c>
      <c r="H348" s="1">
        <v>4130</v>
      </c>
      <c r="I348" s="1" t="s">
        <v>3681</v>
      </c>
      <c r="J348" s="8">
        <v>632227336</v>
      </c>
      <c r="K348" s="8"/>
      <c r="L348" t="s">
        <v>7177</v>
      </c>
      <c r="M348" s="2">
        <v>45900</v>
      </c>
      <c r="N348" s="164" t="s">
        <v>35</v>
      </c>
      <c r="O348" s="61" t="s">
        <v>7934</v>
      </c>
      <c r="P348" s="14" t="s">
        <v>9096</v>
      </c>
      <c r="Q348" s="187">
        <v>86.78</v>
      </c>
      <c r="R348" s="1">
        <v>1</v>
      </c>
      <c r="S348" s="128">
        <v>0.21</v>
      </c>
      <c r="T348" s="128">
        <v>0</v>
      </c>
      <c r="U348" s="363"/>
      <c r="V348" s="95">
        <f t="shared" ref="V348:V350" si="189">SUM(Q348-(Q348*T348))*S348+(Q348-(Q348*T348))</f>
        <v>105.0038</v>
      </c>
      <c r="W348" t="s">
        <v>7177</v>
      </c>
      <c r="X348" s="5" t="s">
        <v>13120</v>
      </c>
      <c r="Y348" s="2">
        <v>32465</v>
      </c>
      <c r="Z348" s="2">
        <v>45894</v>
      </c>
      <c r="AA348" s="61"/>
      <c r="AB348" s="3"/>
      <c r="AC348" s="80"/>
      <c r="AE348" s="3"/>
      <c r="AF348" t="s">
        <v>3198</v>
      </c>
      <c r="AI348" s="76" t="s">
        <v>3470</v>
      </c>
      <c r="AJ348" s="2">
        <v>45940</v>
      </c>
      <c r="AM348" s="74"/>
      <c r="AT348" s="1"/>
    </row>
    <row r="349" spans="1:46">
      <c r="A349" s="1">
        <v>348</v>
      </c>
      <c r="B349" t="s">
        <v>33</v>
      </c>
      <c r="C349" s="2">
        <v>45894</v>
      </c>
      <c r="D349" s="2"/>
      <c r="E349" s="1" t="s">
        <v>5021</v>
      </c>
      <c r="F349" t="s">
        <v>5014</v>
      </c>
      <c r="G349" t="s">
        <v>5020</v>
      </c>
      <c r="H349" s="6" t="s">
        <v>219</v>
      </c>
      <c r="I349" s="1" t="s">
        <v>38</v>
      </c>
      <c r="J349" s="1"/>
      <c r="K349" s="114" t="s">
        <v>11744</v>
      </c>
      <c r="L349" s="1" t="s">
        <v>237</v>
      </c>
      <c r="M349" s="2">
        <v>45900</v>
      </c>
      <c r="N349" s="1" t="s">
        <v>35</v>
      </c>
      <c r="O349" s="61" t="s">
        <v>7934</v>
      </c>
      <c r="P349" s="14" t="s">
        <v>12727</v>
      </c>
      <c r="Q349" s="92">
        <v>86.78</v>
      </c>
      <c r="R349" s="1">
        <v>1</v>
      </c>
      <c r="S349" s="128">
        <v>0.21</v>
      </c>
      <c r="T349" s="128">
        <v>0</v>
      </c>
      <c r="U349" s="363"/>
      <c r="V349" s="95">
        <f t="shared" ref="V349" si="190">SUM(Q349-(Q349*T349))*S349+(Q349-(Q349*T349))</f>
        <v>105.0038</v>
      </c>
      <c r="W349" t="s">
        <v>12728</v>
      </c>
      <c r="X349" s="5" t="s">
        <v>12750</v>
      </c>
      <c r="Y349" s="2">
        <v>34052</v>
      </c>
      <c r="Z349" s="2">
        <v>45894</v>
      </c>
      <c r="AA349" s="284" t="s">
        <v>13374</v>
      </c>
      <c r="AB349" s="2">
        <v>45959</v>
      </c>
      <c r="AC349" s="80" t="s">
        <v>1339</v>
      </c>
      <c r="AD349" s="61"/>
      <c r="AF349" t="s">
        <v>3198</v>
      </c>
      <c r="AI349" t="s">
        <v>3470</v>
      </c>
      <c r="AJ349" s="2">
        <v>45895</v>
      </c>
      <c r="AM349" s="74"/>
      <c r="AS349" s="1" t="s">
        <v>7977</v>
      </c>
      <c r="AT349" s="1"/>
    </row>
    <row r="350" spans="1:46">
      <c r="A350" s="1">
        <v>349</v>
      </c>
      <c r="B350" t="s">
        <v>37</v>
      </c>
      <c r="C350" s="2">
        <v>45894</v>
      </c>
      <c r="D350" s="2"/>
      <c r="E350" s="1" t="s">
        <v>9080</v>
      </c>
      <c r="F350" t="s">
        <v>9081</v>
      </c>
      <c r="G350" t="s">
        <v>9082</v>
      </c>
      <c r="H350" s="6" t="s">
        <v>245</v>
      </c>
      <c r="I350" s="1" t="s">
        <v>54</v>
      </c>
      <c r="J350" s="1">
        <v>643250244</v>
      </c>
      <c r="K350" s="1"/>
      <c r="L350" s="1" t="s">
        <v>9080</v>
      </c>
      <c r="M350" s="2">
        <v>45900</v>
      </c>
      <c r="N350" s="1" t="s">
        <v>35</v>
      </c>
      <c r="O350" s="375" t="s">
        <v>7934</v>
      </c>
      <c r="P350" s="14" t="s">
        <v>9083</v>
      </c>
      <c r="Q350" s="92">
        <v>86.78</v>
      </c>
      <c r="R350" s="1">
        <v>1</v>
      </c>
      <c r="S350" s="128">
        <v>0.21</v>
      </c>
      <c r="T350" s="128">
        <v>0</v>
      </c>
      <c r="U350" s="363"/>
      <c r="V350" s="95">
        <f t="shared" si="189"/>
        <v>105.0038</v>
      </c>
      <c r="W350" s="1" t="s">
        <v>9080</v>
      </c>
      <c r="X350" s="5" t="s">
        <v>13114</v>
      </c>
      <c r="Y350" s="2">
        <v>33849</v>
      </c>
      <c r="Z350" s="2">
        <v>45894</v>
      </c>
      <c r="AA350" s="61"/>
      <c r="AB350" s="3"/>
      <c r="AC350" s="80"/>
      <c r="AD350" s="61"/>
      <c r="AF350" t="s">
        <v>3198</v>
      </c>
      <c r="AI350" s="76" t="s">
        <v>3470</v>
      </c>
      <c r="AJ350" s="2">
        <v>45940</v>
      </c>
      <c r="AM350" s="3"/>
      <c r="AT350" s="1"/>
    </row>
    <row r="351" spans="1:46">
      <c r="A351" s="1">
        <v>350</v>
      </c>
      <c r="B351" t="s">
        <v>3526</v>
      </c>
      <c r="C351" s="2">
        <v>45894</v>
      </c>
      <c r="D351" s="403" t="s">
        <v>9900</v>
      </c>
      <c r="E351" s="1" t="s">
        <v>12730</v>
      </c>
      <c r="F351" t="s">
        <v>12731</v>
      </c>
      <c r="G351" t="s">
        <v>12412</v>
      </c>
      <c r="H351" s="6" t="s">
        <v>220</v>
      </c>
      <c r="I351" s="1" t="s">
        <v>39</v>
      </c>
      <c r="J351" s="1"/>
      <c r="K351" s="301" t="s">
        <v>7759</v>
      </c>
      <c r="L351" s="1" t="s">
        <v>12730</v>
      </c>
      <c r="M351" s="2">
        <v>45900</v>
      </c>
      <c r="N351" s="1" t="s">
        <v>35</v>
      </c>
      <c r="O351" s="61" t="s">
        <v>9758</v>
      </c>
      <c r="P351" s="14" t="s">
        <v>12732</v>
      </c>
      <c r="Q351" s="187">
        <v>115.7</v>
      </c>
      <c r="R351" s="1">
        <v>1</v>
      </c>
      <c r="S351" s="90">
        <v>0.21</v>
      </c>
      <c r="T351" s="90">
        <v>0</v>
      </c>
      <c r="U351" s="363"/>
      <c r="V351" s="95">
        <f t="shared" ref="V351" si="191">SUM(Q351-(Q351*T351))*S351+(Q351-(Q351*T351))</f>
        <v>139.99700000000001</v>
      </c>
      <c r="W351" t="s">
        <v>12896</v>
      </c>
      <c r="X351" s="5" t="s">
        <v>12897</v>
      </c>
      <c r="Y351" s="2">
        <v>26218</v>
      </c>
      <c r="Z351" s="2">
        <v>45894</v>
      </c>
      <c r="AA351" s="2"/>
      <c r="AB351" s="2"/>
      <c r="AC351" s="80"/>
      <c r="AF351" t="s">
        <v>3198</v>
      </c>
      <c r="AI351" t="s">
        <v>12733</v>
      </c>
      <c r="AJ351" s="3">
        <v>45916</v>
      </c>
      <c r="AM351" s="3">
        <v>45919</v>
      </c>
      <c r="AS351" s="1" t="s">
        <v>7936</v>
      </c>
    </row>
    <row r="352" spans="1:46">
      <c r="A352" s="1">
        <v>351</v>
      </c>
      <c r="B352" t="s">
        <v>33</v>
      </c>
      <c r="C352" s="2">
        <v>45895</v>
      </c>
      <c r="D352" s="2"/>
      <c r="E352" s="1" t="s">
        <v>12736</v>
      </c>
      <c r="F352" t="s">
        <v>12737</v>
      </c>
      <c r="G352" t="s">
        <v>12738</v>
      </c>
      <c r="H352" s="6" t="s">
        <v>304</v>
      </c>
      <c r="I352" s="1" t="s">
        <v>68</v>
      </c>
      <c r="J352" s="1"/>
      <c r="K352" s="114" t="s">
        <v>11744</v>
      </c>
      <c r="L352" s="1" t="s">
        <v>12736</v>
      </c>
      <c r="M352" s="2">
        <v>45900</v>
      </c>
      <c r="N352" s="1" t="s">
        <v>35</v>
      </c>
      <c r="O352" s="61" t="s">
        <v>12352</v>
      </c>
      <c r="P352" s="14" t="s">
        <v>12739</v>
      </c>
      <c r="Q352" s="187">
        <v>115.7</v>
      </c>
      <c r="R352" s="1">
        <v>1</v>
      </c>
      <c r="S352" s="90">
        <v>0.21</v>
      </c>
      <c r="T352" s="90">
        <v>0</v>
      </c>
      <c r="U352" s="363"/>
      <c r="V352" s="95">
        <f t="shared" ref="V352:V354" si="192">SUM(Q352-(Q352*T352))*S352+(Q352-(Q352*T352))</f>
        <v>139.99700000000001</v>
      </c>
      <c r="W352" t="s">
        <v>13005</v>
      </c>
      <c r="X352" s="5" t="s">
        <v>13006</v>
      </c>
      <c r="Y352" s="2">
        <v>36752</v>
      </c>
      <c r="Z352" s="2">
        <v>45895</v>
      </c>
      <c r="AA352" s="61"/>
      <c r="AB352" s="2"/>
      <c r="AC352" s="80"/>
      <c r="AD352" s="61"/>
      <c r="AF352" t="s">
        <v>3198</v>
      </c>
      <c r="AI352" t="s">
        <v>3392</v>
      </c>
      <c r="AJ352" s="2">
        <v>45930</v>
      </c>
      <c r="AM352" s="74">
        <v>45940</v>
      </c>
      <c r="AS352" s="1" t="s">
        <v>7977</v>
      </c>
      <c r="AT352" s="1"/>
    </row>
    <row r="353" spans="1:46">
      <c r="A353" s="1">
        <v>352</v>
      </c>
      <c r="B353" s="61" t="s">
        <v>52</v>
      </c>
      <c r="C353" s="2">
        <v>45896</v>
      </c>
      <c r="D353" s="2"/>
      <c r="E353" s="1" t="s">
        <v>66</v>
      </c>
      <c r="F353" s="61" t="s">
        <v>65</v>
      </c>
      <c r="G353" s="61" t="s">
        <v>3666</v>
      </c>
      <c r="H353" s="6" t="s">
        <v>230</v>
      </c>
      <c r="I353" s="1" t="s">
        <v>34</v>
      </c>
      <c r="J353" s="8">
        <v>646968420</v>
      </c>
      <c r="K353" s="8" t="s">
        <v>5906</v>
      </c>
      <c r="L353" t="s">
        <v>4432</v>
      </c>
      <c r="M353" s="2">
        <v>45900</v>
      </c>
      <c r="N353" s="1" t="s">
        <v>35</v>
      </c>
      <c r="O353" s="61" t="s">
        <v>12352</v>
      </c>
      <c r="P353" s="14" t="s">
        <v>12755</v>
      </c>
      <c r="Q353" s="144">
        <v>115.7</v>
      </c>
      <c r="R353" s="1">
        <v>1</v>
      </c>
      <c r="S353" s="90">
        <v>0.21</v>
      </c>
      <c r="T353" s="90">
        <v>0</v>
      </c>
      <c r="U353" s="363"/>
      <c r="V353" s="95">
        <f t="shared" si="192"/>
        <v>139.99700000000001</v>
      </c>
      <c r="W353" t="s">
        <v>13018</v>
      </c>
      <c r="X353" s="5" t="s">
        <v>13019</v>
      </c>
      <c r="Y353" s="2">
        <v>37732</v>
      </c>
      <c r="Z353" s="2">
        <v>45896</v>
      </c>
      <c r="AA353" s="61"/>
      <c r="AB353" s="64"/>
      <c r="AC353" s="80"/>
      <c r="AF353" t="s">
        <v>3198</v>
      </c>
      <c r="AI353" t="s">
        <v>3392</v>
      </c>
      <c r="AJ353" s="2">
        <v>45930</v>
      </c>
      <c r="AK353" s="1"/>
      <c r="AM353" s="74">
        <v>45938</v>
      </c>
      <c r="AT353" s="1"/>
    </row>
    <row r="354" spans="1:46">
      <c r="A354" s="1">
        <v>353</v>
      </c>
      <c r="B354" t="s">
        <v>33</v>
      </c>
      <c r="C354" s="2">
        <v>45896</v>
      </c>
      <c r="D354" s="2"/>
      <c r="E354" s="1" t="s">
        <v>11006</v>
      </c>
      <c r="F354" s="61" t="s">
        <v>11007</v>
      </c>
      <c r="G354" s="61" t="s">
        <v>11008</v>
      </c>
      <c r="H354" s="6" t="s">
        <v>220</v>
      </c>
      <c r="I354" s="1" t="s">
        <v>11009</v>
      </c>
      <c r="J354" s="8"/>
      <c r="K354" s="114" t="s">
        <v>11744</v>
      </c>
      <c r="L354" t="s">
        <v>237</v>
      </c>
      <c r="M354" s="2">
        <v>45900</v>
      </c>
      <c r="N354" s="1" t="s">
        <v>35</v>
      </c>
      <c r="O354" s="61" t="s">
        <v>12352</v>
      </c>
      <c r="P354" s="14" t="s">
        <v>12756</v>
      </c>
      <c r="Q354" s="187">
        <v>115.7</v>
      </c>
      <c r="R354" s="1">
        <v>1</v>
      </c>
      <c r="S354" s="90">
        <v>0.21</v>
      </c>
      <c r="T354" s="128">
        <v>0</v>
      </c>
      <c r="U354" s="363"/>
      <c r="V354" s="126">
        <f t="shared" si="192"/>
        <v>139.99700000000001</v>
      </c>
      <c r="W354" t="s">
        <v>11085</v>
      </c>
      <c r="X354" s="5" t="s">
        <v>12882</v>
      </c>
      <c r="Y354" s="2">
        <v>38966</v>
      </c>
      <c r="Z354" s="2">
        <v>45896</v>
      </c>
      <c r="AA354" s="61"/>
      <c r="AB354" s="2"/>
      <c r="AC354" s="80"/>
      <c r="AF354" t="s">
        <v>3198</v>
      </c>
      <c r="AI354" s="76" t="s">
        <v>3392</v>
      </c>
      <c r="AJ354" s="2">
        <v>45916</v>
      </c>
      <c r="AM354" s="3">
        <v>45924</v>
      </c>
    </row>
    <row r="355" spans="1:46">
      <c r="A355" s="1">
        <v>354</v>
      </c>
      <c r="B355" t="s">
        <v>4321</v>
      </c>
      <c r="C355" s="2">
        <v>45896</v>
      </c>
      <c r="D355" s="2"/>
      <c r="E355" s="1" t="s">
        <v>5380</v>
      </c>
      <c r="F355" s="61" t="s">
        <v>3800</v>
      </c>
      <c r="G355" s="61" t="s">
        <v>3801</v>
      </c>
      <c r="H355" s="6" t="s">
        <v>2654</v>
      </c>
      <c r="I355" s="1" t="s">
        <v>2359</v>
      </c>
      <c r="J355" s="8">
        <v>627436272</v>
      </c>
      <c r="K355" s="396" t="s">
        <v>5991</v>
      </c>
      <c r="L355" t="s">
        <v>3965</v>
      </c>
      <c r="M355" s="2">
        <v>45900</v>
      </c>
      <c r="N355" s="1" t="s">
        <v>35</v>
      </c>
      <c r="O355" s="61" t="s">
        <v>12352</v>
      </c>
      <c r="P355" s="14" t="s">
        <v>12757</v>
      </c>
      <c r="Q355" s="187">
        <v>115.7</v>
      </c>
      <c r="R355" s="1">
        <v>1</v>
      </c>
      <c r="S355" s="90">
        <v>0.21</v>
      </c>
      <c r="T355" s="128">
        <v>0</v>
      </c>
      <c r="U355" s="363"/>
      <c r="V355" s="126">
        <f t="shared" ref="V355:V359" si="193">SUM(Q355-(Q355*T355))*S355+(Q355-(Q355*T355))</f>
        <v>139.99700000000001</v>
      </c>
      <c r="W355" t="s">
        <v>13016</v>
      </c>
      <c r="X355" s="5" t="s">
        <v>13017</v>
      </c>
      <c r="Y355" s="2">
        <v>36211</v>
      </c>
      <c r="Z355" s="2">
        <v>45896</v>
      </c>
      <c r="AA355" s="61"/>
      <c r="AB355" s="2"/>
      <c r="AC355" s="133"/>
      <c r="AF355" t="s">
        <v>3198</v>
      </c>
      <c r="AI355" s="76" t="s">
        <v>3392</v>
      </c>
      <c r="AJ355" s="2">
        <v>45930</v>
      </c>
      <c r="AM355" s="74"/>
      <c r="AT355" s="1"/>
    </row>
    <row r="356" spans="1:46">
      <c r="A356" s="1">
        <v>355</v>
      </c>
      <c r="B356" s="61" t="s">
        <v>33</v>
      </c>
      <c r="C356" s="2">
        <v>45896</v>
      </c>
      <c r="D356" s="2"/>
      <c r="E356" s="1" t="s">
        <v>4330</v>
      </c>
      <c r="F356" s="61" t="s">
        <v>4331</v>
      </c>
      <c r="G356" s="61" t="s">
        <v>4333</v>
      </c>
      <c r="H356" s="6" t="s">
        <v>219</v>
      </c>
      <c r="I356" s="1" t="s">
        <v>4334</v>
      </c>
      <c r="J356" s="1"/>
      <c r="K356" s="114" t="s">
        <v>11744</v>
      </c>
      <c r="L356" s="1" t="s">
        <v>237</v>
      </c>
      <c r="M356" s="2">
        <v>45900</v>
      </c>
      <c r="N356" s="1" t="s">
        <v>35</v>
      </c>
      <c r="O356" s="61" t="s">
        <v>12352</v>
      </c>
      <c r="P356" s="14" t="s">
        <v>12758</v>
      </c>
      <c r="Q356" s="187">
        <v>115.7</v>
      </c>
      <c r="R356" s="1">
        <v>1</v>
      </c>
      <c r="S356" s="128">
        <v>0.21</v>
      </c>
      <c r="T356" s="128">
        <v>0</v>
      </c>
      <c r="U356" s="363"/>
      <c r="V356" s="95">
        <f t="shared" si="193"/>
        <v>139.99700000000001</v>
      </c>
      <c r="W356" t="s">
        <v>13012</v>
      </c>
      <c r="X356" s="5" t="s">
        <v>13013</v>
      </c>
      <c r="Y356" s="2">
        <v>37728</v>
      </c>
      <c r="Z356" s="2">
        <v>45896</v>
      </c>
      <c r="AA356" s="61"/>
      <c r="AB356" s="2"/>
      <c r="AC356" s="80"/>
      <c r="AD356" s="61"/>
      <c r="AF356" t="s">
        <v>3198</v>
      </c>
      <c r="AI356" t="s">
        <v>3392</v>
      </c>
      <c r="AJ356" s="2">
        <v>45930</v>
      </c>
      <c r="AM356" s="3">
        <v>45940</v>
      </c>
    </row>
    <row r="357" spans="1:46">
      <c r="A357" s="1">
        <v>356</v>
      </c>
      <c r="B357" t="s">
        <v>5635</v>
      </c>
      <c r="C357" s="2">
        <v>45875</v>
      </c>
      <c r="D357" s="403" t="s">
        <v>9900</v>
      </c>
      <c r="E357" s="1" t="s">
        <v>12759</v>
      </c>
      <c r="F357" s="61" t="s">
        <v>12760</v>
      </c>
      <c r="G357" t="s">
        <v>12761</v>
      </c>
      <c r="H357" s="6" t="s">
        <v>2273</v>
      </c>
      <c r="I357" s="1" t="s">
        <v>2274</v>
      </c>
      <c r="J357" s="8"/>
      <c r="K357" s="301" t="s">
        <v>10609</v>
      </c>
      <c r="L357" s="1" t="s">
        <v>12759</v>
      </c>
      <c r="M357" s="2">
        <v>45900</v>
      </c>
      <c r="N357" s="1" t="s">
        <v>35</v>
      </c>
      <c r="O357" s="61" t="s">
        <v>12352</v>
      </c>
      <c r="P357" s="14" t="s">
        <v>12762</v>
      </c>
      <c r="Q357" s="187">
        <v>115.7</v>
      </c>
      <c r="R357" s="1">
        <v>1</v>
      </c>
      <c r="S357" s="128">
        <v>0.21</v>
      </c>
      <c r="T357" s="128">
        <v>0</v>
      </c>
      <c r="V357" s="95">
        <f t="shared" si="193"/>
        <v>139.99700000000001</v>
      </c>
      <c r="W357" t="s">
        <v>12955</v>
      </c>
      <c r="X357" s="5" t="s">
        <v>12956</v>
      </c>
      <c r="Y357" s="2">
        <v>35723</v>
      </c>
      <c r="Z357" s="2">
        <v>45875</v>
      </c>
      <c r="AA357" s="3"/>
      <c r="AB357" s="2"/>
      <c r="AC357" s="80"/>
      <c r="AF357" t="s">
        <v>3198</v>
      </c>
      <c r="AI357" t="s">
        <v>3392</v>
      </c>
      <c r="AJ357" s="3">
        <v>45929</v>
      </c>
      <c r="AM357" s="3">
        <v>45940</v>
      </c>
      <c r="AT357" s="1"/>
    </row>
    <row r="358" spans="1:46">
      <c r="A358" s="1">
        <v>357</v>
      </c>
      <c r="B358" s="61" t="s">
        <v>4321</v>
      </c>
      <c r="C358" s="2">
        <v>45901</v>
      </c>
      <c r="D358" s="2"/>
      <c r="E358" s="1" t="s">
        <v>5988</v>
      </c>
      <c r="F358" t="s">
        <v>5989</v>
      </c>
      <c r="G358" s="61" t="s">
        <v>5990</v>
      </c>
      <c r="H358" s="6" t="s">
        <v>242</v>
      </c>
      <c r="I358" s="1" t="s">
        <v>5083</v>
      </c>
      <c r="J358" s="8"/>
      <c r="K358" s="8" t="s">
        <v>5991</v>
      </c>
      <c r="L358" t="s">
        <v>5988</v>
      </c>
      <c r="M358" s="2">
        <v>45930</v>
      </c>
      <c r="N358" s="1" t="s">
        <v>35</v>
      </c>
      <c r="O358" s="61" t="s">
        <v>7926</v>
      </c>
      <c r="P358" s="14" t="s">
        <v>12764</v>
      </c>
      <c r="Q358" s="187">
        <v>115.7</v>
      </c>
      <c r="R358" s="1">
        <v>1</v>
      </c>
      <c r="S358" s="90">
        <v>0.21</v>
      </c>
      <c r="T358" s="90">
        <v>0</v>
      </c>
      <c r="V358" s="95">
        <f t="shared" si="193"/>
        <v>139.99700000000001</v>
      </c>
      <c r="W358" t="s">
        <v>12941</v>
      </c>
      <c r="X358" s="5" t="s">
        <v>12942</v>
      </c>
      <c r="Y358" s="2">
        <v>35333</v>
      </c>
      <c r="Z358" s="2">
        <v>45903</v>
      </c>
      <c r="AA358" s="2"/>
      <c r="AB358" s="2"/>
      <c r="AC358" s="80"/>
      <c r="AF358" t="s">
        <v>3198</v>
      </c>
      <c r="AI358" t="s">
        <v>3470</v>
      </c>
      <c r="AJ358" s="3">
        <v>45929</v>
      </c>
      <c r="AK358" s="61"/>
      <c r="AL358" s="3"/>
      <c r="AM358" s="74">
        <v>45932</v>
      </c>
      <c r="AT358" s="1"/>
    </row>
    <row r="359" spans="1:46">
      <c r="A359" s="1">
        <v>358</v>
      </c>
      <c r="B359" s="61" t="s">
        <v>37</v>
      </c>
      <c r="C359" s="2">
        <v>45901</v>
      </c>
      <c r="D359" s="2"/>
      <c r="E359" s="1" t="s">
        <v>10959</v>
      </c>
      <c r="F359" s="61" t="s">
        <v>10893</v>
      </c>
      <c r="G359" t="s">
        <v>10894</v>
      </c>
      <c r="H359" s="6" t="s">
        <v>219</v>
      </c>
      <c r="I359" s="1" t="s">
        <v>38</v>
      </c>
      <c r="J359" s="1" t="s">
        <v>10895</v>
      </c>
      <c r="K359" s="1"/>
      <c r="L359" s="1" t="s">
        <v>10959</v>
      </c>
      <c r="M359" s="2">
        <v>45930</v>
      </c>
      <c r="N359" s="1" t="s">
        <v>35</v>
      </c>
      <c r="O359" s="375" t="s">
        <v>7934</v>
      </c>
      <c r="P359" s="14" t="s">
        <v>12765</v>
      </c>
      <c r="Q359" s="92">
        <v>86.78</v>
      </c>
      <c r="R359" s="1">
        <v>1</v>
      </c>
      <c r="S359" s="128">
        <v>0.21</v>
      </c>
      <c r="T359" s="128">
        <v>0</v>
      </c>
      <c r="U359" s="363"/>
      <c r="V359" s="126">
        <f t="shared" si="193"/>
        <v>105.0038</v>
      </c>
      <c r="W359" t="s">
        <v>10959</v>
      </c>
      <c r="X359" s="5" t="s">
        <v>13360</v>
      </c>
      <c r="Y359" s="2">
        <v>30394</v>
      </c>
      <c r="Z359" s="2">
        <v>45901</v>
      </c>
      <c r="AA359" s="284" t="s">
        <v>13335</v>
      </c>
      <c r="AB359" s="2">
        <v>45959</v>
      </c>
      <c r="AC359" s="80" t="s">
        <v>1339</v>
      </c>
      <c r="AD359" s="61"/>
      <c r="AF359" t="s">
        <v>3198</v>
      </c>
      <c r="AI359" t="s">
        <v>3470</v>
      </c>
      <c r="AJ359" s="2">
        <v>45564</v>
      </c>
      <c r="AM359" s="2">
        <v>45564</v>
      </c>
      <c r="AS359" s="1"/>
      <c r="AT359" s="1"/>
    </row>
    <row r="360" spans="1:46">
      <c r="A360" s="1">
        <v>359</v>
      </c>
      <c r="B360" s="61" t="s">
        <v>37</v>
      </c>
      <c r="C360" s="2">
        <v>45901</v>
      </c>
      <c r="D360" s="403" t="s">
        <v>9900</v>
      </c>
      <c r="E360" s="410" t="s">
        <v>13023</v>
      </c>
      <c r="F360" s="61" t="s">
        <v>12766</v>
      </c>
      <c r="G360" s="61" t="s">
        <v>12767</v>
      </c>
      <c r="H360" s="6" t="s">
        <v>7966</v>
      </c>
      <c r="I360" s="1" t="s">
        <v>7965</v>
      </c>
      <c r="J360" s="8" t="s">
        <v>12768</v>
      </c>
      <c r="K360" s="8"/>
      <c r="L360" s="410" t="s">
        <v>13023</v>
      </c>
      <c r="M360" s="2">
        <v>45930</v>
      </c>
      <c r="N360" s="1" t="s">
        <v>35</v>
      </c>
      <c r="O360" s="375" t="s">
        <v>12352</v>
      </c>
      <c r="P360" s="14" t="s">
        <v>12769</v>
      </c>
      <c r="Q360" s="144">
        <v>165.29</v>
      </c>
      <c r="R360" s="1">
        <v>1</v>
      </c>
      <c r="S360" s="90">
        <v>0.21</v>
      </c>
      <c r="T360" s="90">
        <v>0</v>
      </c>
      <c r="U360" s="363"/>
      <c r="V360" s="126">
        <f t="shared" ref="V360:V362" si="194">SUM(Q360-(Q360*T360))*S360+(Q360-(Q360*T360))</f>
        <v>200.0009</v>
      </c>
      <c r="W360" s="76" t="s">
        <v>13023</v>
      </c>
      <c r="X360" s="5" t="s">
        <v>13024</v>
      </c>
      <c r="Y360" s="2">
        <v>29606</v>
      </c>
      <c r="Z360" s="2">
        <v>45903</v>
      </c>
      <c r="AA360" s="61"/>
      <c r="AB360" s="2"/>
      <c r="AC360" s="80"/>
      <c r="AF360" t="s">
        <v>3198</v>
      </c>
      <c r="AI360" t="s">
        <v>3392</v>
      </c>
      <c r="AJ360" s="3">
        <v>45930</v>
      </c>
      <c r="AK360" s="1"/>
      <c r="AM360" s="74">
        <v>45938</v>
      </c>
      <c r="AT360" s="1"/>
    </row>
    <row r="361" spans="1:46">
      <c r="A361" s="1">
        <v>360</v>
      </c>
      <c r="B361" t="s">
        <v>37</v>
      </c>
      <c r="C361" s="2">
        <v>45901</v>
      </c>
      <c r="D361" s="403" t="s">
        <v>9900</v>
      </c>
      <c r="E361" s="1" t="s">
        <v>12770</v>
      </c>
      <c r="F361" t="s">
        <v>12771</v>
      </c>
      <c r="G361" t="s">
        <v>12772</v>
      </c>
      <c r="H361" s="6" t="s">
        <v>7966</v>
      </c>
      <c r="I361" t="s">
        <v>7965</v>
      </c>
      <c r="J361" s="8" t="s">
        <v>12773</v>
      </c>
      <c r="K361" s="1"/>
      <c r="L361" s="1" t="s">
        <v>12770</v>
      </c>
      <c r="M361" s="2">
        <v>45930</v>
      </c>
      <c r="N361" s="1" t="s">
        <v>35</v>
      </c>
      <c r="O361" s="61" t="s">
        <v>7934</v>
      </c>
      <c r="P361" s="14" t="s">
        <v>12774</v>
      </c>
      <c r="Q361" s="187">
        <v>86.78</v>
      </c>
      <c r="R361" s="1">
        <v>1</v>
      </c>
      <c r="S361" s="128">
        <v>0.21</v>
      </c>
      <c r="T361" s="128">
        <v>0</v>
      </c>
      <c r="V361" s="126">
        <f t="shared" si="194"/>
        <v>105.0038</v>
      </c>
      <c r="W361" t="s">
        <v>10635</v>
      </c>
      <c r="X361" s="5" t="s">
        <v>13359</v>
      </c>
      <c r="Y361" s="3">
        <v>28535</v>
      </c>
      <c r="Z361" s="2">
        <v>45901</v>
      </c>
      <c r="AA361" s="284" t="s">
        <v>13335</v>
      </c>
      <c r="AB361" s="2">
        <v>45959</v>
      </c>
      <c r="AC361" s="80" t="s">
        <v>1339</v>
      </c>
      <c r="AF361" t="s">
        <v>3198</v>
      </c>
      <c r="AI361" s="76" t="s">
        <v>3470</v>
      </c>
      <c r="AJ361" s="3">
        <v>45923</v>
      </c>
      <c r="AM361" s="3">
        <v>45923</v>
      </c>
    </row>
    <row r="362" spans="1:46">
      <c r="A362" s="1">
        <v>361</v>
      </c>
      <c r="B362" s="61" t="s">
        <v>40</v>
      </c>
      <c r="C362" s="2">
        <v>45904</v>
      </c>
      <c r="D362" s="403" t="s">
        <v>9900</v>
      </c>
      <c r="E362" s="1" t="s">
        <v>7417</v>
      </c>
      <c r="F362" s="61" t="s">
        <v>7415</v>
      </c>
      <c r="G362" s="61" t="s">
        <v>12775</v>
      </c>
      <c r="H362" s="6" t="s">
        <v>221</v>
      </c>
      <c r="I362" s="1" t="s">
        <v>34</v>
      </c>
      <c r="J362" s="1"/>
      <c r="K362" s="1" t="s">
        <v>12623</v>
      </c>
      <c r="L362" s="1" t="s">
        <v>7417</v>
      </c>
      <c r="M362" s="2">
        <v>45930</v>
      </c>
      <c r="N362" s="1" t="s">
        <v>35</v>
      </c>
      <c r="O362" s="61" t="s">
        <v>12352</v>
      </c>
      <c r="P362" s="14" t="s">
        <v>12776</v>
      </c>
      <c r="Q362" s="92">
        <v>115.7</v>
      </c>
      <c r="R362" s="1">
        <v>1</v>
      </c>
      <c r="S362" s="128">
        <v>0.21</v>
      </c>
      <c r="T362" s="128">
        <v>0</v>
      </c>
      <c r="U362" s="95"/>
      <c r="V362" s="126">
        <f t="shared" si="194"/>
        <v>139.99700000000001</v>
      </c>
      <c r="W362" t="s">
        <v>13027</v>
      </c>
      <c r="X362" s="5" t="s">
        <v>13028</v>
      </c>
      <c r="Y362" s="2">
        <v>38270</v>
      </c>
      <c r="Z362" s="2">
        <v>45904</v>
      </c>
      <c r="AA362" s="2"/>
      <c r="AB362" s="2"/>
      <c r="AC362" s="80"/>
      <c r="AF362" t="s">
        <v>3198</v>
      </c>
      <c r="AI362" t="s">
        <v>3392</v>
      </c>
      <c r="AJ362" s="2">
        <v>45930</v>
      </c>
      <c r="AK362" s="2"/>
      <c r="AM362" s="2">
        <v>45939</v>
      </c>
      <c r="AT362" s="1"/>
    </row>
    <row r="363" spans="1:46">
      <c r="A363" s="1">
        <v>362</v>
      </c>
      <c r="B363" t="s">
        <v>45</v>
      </c>
      <c r="C363" s="2">
        <v>45903</v>
      </c>
      <c r="D363" s="403" t="s">
        <v>9900</v>
      </c>
      <c r="E363" s="1" t="s">
        <v>12777</v>
      </c>
      <c r="F363" t="s">
        <v>12778</v>
      </c>
      <c r="G363" t="s">
        <v>12779</v>
      </c>
      <c r="H363" s="6" t="s">
        <v>241</v>
      </c>
      <c r="I363" s="1" t="s">
        <v>60</v>
      </c>
      <c r="J363" s="1"/>
      <c r="K363" s="396" t="s">
        <v>8356</v>
      </c>
      <c r="L363" s="1" t="s">
        <v>12777</v>
      </c>
      <c r="M363" s="2">
        <v>45930</v>
      </c>
      <c r="N363" s="1" t="s">
        <v>35</v>
      </c>
      <c r="O363" s="61" t="s">
        <v>12352</v>
      </c>
      <c r="P363" s="14" t="s">
        <v>13107</v>
      </c>
      <c r="Q363" s="92">
        <v>115.7</v>
      </c>
      <c r="R363" s="1">
        <v>1</v>
      </c>
      <c r="S363" s="128">
        <v>0.21</v>
      </c>
      <c r="T363" s="128">
        <v>0</v>
      </c>
      <c r="U363" s="95"/>
      <c r="V363" s="126">
        <f t="shared" ref="V363:V367" si="195">SUM(Q363-(Q363*T363))*S363+(Q363-(Q363*T363))</f>
        <v>139.99700000000001</v>
      </c>
      <c r="W363" t="s">
        <v>13108</v>
      </c>
      <c r="X363" s="5" t="s">
        <v>13109</v>
      </c>
      <c r="Y363" s="2">
        <v>38022</v>
      </c>
      <c r="Z363" s="2">
        <v>45903</v>
      </c>
      <c r="AA363" s="2"/>
      <c r="AB363" s="3"/>
      <c r="AC363" s="80"/>
      <c r="AF363" t="s">
        <v>3198</v>
      </c>
      <c r="AI363" s="76" t="s">
        <v>3392</v>
      </c>
      <c r="AJ363" s="2">
        <v>45940</v>
      </c>
      <c r="AM363" s="3"/>
    </row>
    <row r="364" spans="1:46">
      <c r="A364" s="1">
        <v>363</v>
      </c>
      <c r="B364" t="s">
        <v>5635</v>
      </c>
      <c r="C364" s="2">
        <v>45904</v>
      </c>
      <c r="D364" s="403" t="s">
        <v>9900</v>
      </c>
      <c r="E364" s="1" t="s">
        <v>12780</v>
      </c>
      <c r="F364" s="61" t="s">
        <v>12781</v>
      </c>
      <c r="G364" t="s">
        <v>12782</v>
      </c>
      <c r="H364" s="6" t="s">
        <v>1424</v>
      </c>
      <c r="I364" s="1" t="s">
        <v>12519</v>
      </c>
      <c r="J364" s="8"/>
      <c r="K364" s="301" t="s">
        <v>10609</v>
      </c>
      <c r="L364" s="1" t="s">
        <v>12780</v>
      </c>
      <c r="M364" s="2">
        <v>45930</v>
      </c>
      <c r="N364" s="1" t="s">
        <v>35</v>
      </c>
      <c r="O364" s="61" t="s">
        <v>7934</v>
      </c>
      <c r="P364" s="14" t="s">
        <v>12783</v>
      </c>
      <c r="Q364" s="187">
        <v>115.7</v>
      </c>
      <c r="R364" s="1">
        <v>1</v>
      </c>
      <c r="S364" s="128">
        <v>0.21</v>
      </c>
      <c r="T364" s="128">
        <v>0</v>
      </c>
      <c r="V364" s="95">
        <f t="shared" si="195"/>
        <v>139.99700000000001</v>
      </c>
      <c r="W364" t="s">
        <v>13137</v>
      </c>
      <c r="X364" s="5" t="s">
        <v>12784</v>
      </c>
      <c r="Y364" s="2">
        <v>32365</v>
      </c>
      <c r="Z364" s="2">
        <v>45904</v>
      </c>
      <c r="AA364" s="3"/>
      <c r="AB364" s="2"/>
      <c r="AC364" s="80"/>
      <c r="AF364" t="s">
        <v>3198</v>
      </c>
      <c r="AI364" s="76" t="s">
        <v>3470</v>
      </c>
      <c r="AJ364" s="3"/>
      <c r="AM364" s="74"/>
      <c r="AT364" s="1"/>
    </row>
    <row r="365" spans="1:46">
      <c r="A365" s="1">
        <v>364</v>
      </c>
      <c r="B365" t="s">
        <v>33</v>
      </c>
      <c r="C365" s="2">
        <v>45904</v>
      </c>
      <c r="D365" s="2"/>
      <c r="E365" s="1" t="s">
        <v>12661</v>
      </c>
      <c r="F365" s="61" t="s">
        <v>12662</v>
      </c>
      <c r="G365" s="61" t="s">
        <v>12663</v>
      </c>
      <c r="H365" s="6" t="s">
        <v>236</v>
      </c>
      <c r="I365" s="1" t="s">
        <v>34</v>
      </c>
      <c r="J365" s="1"/>
      <c r="K365" s="114" t="s">
        <v>11744</v>
      </c>
      <c r="L365" t="s">
        <v>237</v>
      </c>
      <c r="M365" s="2">
        <v>45930</v>
      </c>
      <c r="N365" s="1" t="s">
        <v>35</v>
      </c>
      <c r="O365" s="61" t="s">
        <v>12352</v>
      </c>
      <c r="P365" s="14" t="s">
        <v>12785</v>
      </c>
      <c r="Q365" s="92">
        <v>115.7</v>
      </c>
      <c r="R365" s="1">
        <v>1</v>
      </c>
      <c r="S365" s="128">
        <v>0.21</v>
      </c>
      <c r="T365" s="128">
        <v>0</v>
      </c>
      <c r="U365" s="95"/>
      <c r="V365" s="126">
        <f t="shared" si="195"/>
        <v>139.99700000000001</v>
      </c>
      <c r="W365" t="s">
        <v>13029</v>
      </c>
      <c r="X365" s="5" t="s">
        <v>13030</v>
      </c>
      <c r="Y365" s="2">
        <v>34343</v>
      </c>
      <c r="Z365" s="2">
        <v>45904</v>
      </c>
      <c r="AA365" s="2"/>
      <c r="AB365" s="2"/>
      <c r="AC365" s="80"/>
      <c r="AF365" t="s">
        <v>3198</v>
      </c>
      <c r="AI365" t="s">
        <v>3392</v>
      </c>
      <c r="AJ365" s="2">
        <v>45930</v>
      </c>
      <c r="AK365" s="2"/>
      <c r="AM365" s="2">
        <v>45938</v>
      </c>
      <c r="AT365" s="1"/>
    </row>
    <row r="366" spans="1:46">
      <c r="A366" s="1">
        <v>365</v>
      </c>
      <c r="B366" t="s">
        <v>45</v>
      </c>
      <c r="C366" s="2">
        <v>45904</v>
      </c>
      <c r="D366" s="2"/>
      <c r="E366" s="1" t="s">
        <v>12564</v>
      </c>
      <c r="F366" t="s">
        <v>12565</v>
      </c>
      <c r="G366" t="s">
        <v>12566</v>
      </c>
      <c r="H366" s="6" t="s">
        <v>220</v>
      </c>
      <c r="I366" s="1" t="s">
        <v>39</v>
      </c>
      <c r="J366" s="1"/>
      <c r="K366" s="396" t="s">
        <v>8356</v>
      </c>
      <c r="L366" s="1" t="s">
        <v>12564</v>
      </c>
      <c r="M366" s="2">
        <v>45930</v>
      </c>
      <c r="N366" s="1" t="s">
        <v>35</v>
      </c>
      <c r="O366" s="61" t="s">
        <v>12352</v>
      </c>
      <c r="P366" s="14" t="s">
        <v>12786</v>
      </c>
      <c r="Q366" s="92">
        <v>115.7</v>
      </c>
      <c r="R366" s="1">
        <v>1</v>
      </c>
      <c r="S366" s="128">
        <v>0.21</v>
      </c>
      <c r="T366" s="128">
        <v>0</v>
      </c>
      <c r="U366" s="95"/>
      <c r="V366" s="95">
        <f t="shared" si="195"/>
        <v>139.99700000000001</v>
      </c>
      <c r="W366" t="s">
        <v>13033</v>
      </c>
      <c r="X366" s="5" t="s">
        <v>13034</v>
      </c>
      <c r="Y366" s="2">
        <v>27760</v>
      </c>
      <c r="Z366" s="2">
        <v>45904</v>
      </c>
      <c r="AA366" s="3"/>
      <c r="AB366" s="3"/>
      <c r="AC366" s="80"/>
      <c r="AF366" t="s">
        <v>3198</v>
      </c>
      <c r="AI366" s="76" t="s">
        <v>3392</v>
      </c>
      <c r="AJ366" s="2">
        <v>45930</v>
      </c>
      <c r="AM366" s="3"/>
    </row>
    <row r="367" spans="1:46">
      <c r="A367" s="1">
        <v>366</v>
      </c>
      <c r="B367" t="s">
        <v>4321</v>
      </c>
      <c r="C367" s="2">
        <v>45904</v>
      </c>
      <c r="D367" s="2"/>
      <c r="E367" s="1" t="s">
        <v>9135</v>
      </c>
      <c r="F367" t="s">
        <v>9136</v>
      </c>
      <c r="G367" t="s">
        <v>9137</v>
      </c>
      <c r="H367" s="6" t="s">
        <v>242</v>
      </c>
      <c r="I367" s="1" t="s">
        <v>86</v>
      </c>
      <c r="J367" s="30"/>
      <c r="K367" s="8" t="s">
        <v>5991</v>
      </c>
      <c r="L367" s="1" t="s">
        <v>9135</v>
      </c>
      <c r="M367" s="2">
        <v>45930</v>
      </c>
      <c r="N367" s="1" t="s">
        <v>35</v>
      </c>
      <c r="O367" s="61" t="s">
        <v>7934</v>
      </c>
      <c r="P367" s="14" t="s">
        <v>13417</v>
      </c>
      <c r="Q367" s="187">
        <v>115.7</v>
      </c>
      <c r="R367" s="1">
        <v>1</v>
      </c>
      <c r="S367" s="90">
        <v>0.21</v>
      </c>
      <c r="T367" s="90">
        <v>0</v>
      </c>
      <c r="U367" s="363"/>
      <c r="V367" s="95">
        <f t="shared" si="195"/>
        <v>139.99700000000001</v>
      </c>
      <c r="W367" s="1" t="s">
        <v>12787</v>
      </c>
      <c r="X367" s="5" t="s">
        <v>13418</v>
      </c>
      <c r="Y367" s="2">
        <v>38097</v>
      </c>
      <c r="Z367" s="2">
        <v>45904</v>
      </c>
      <c r="AA367" s="3"/>
      <c r="AB367" s="2"/>
      <c r="AC367" s="80"/>
      <c r="AD367" t="s">
        <v>13419</v>
      </c>
      <c r="AF367" t="s">
        <v>3198</v>
      </c>
      <c r="AI367" s="76" t="s">
        <v>3470</v>
      </c>
      <c r="AJ367" s="2"/>
      <c r="AM367" s="3"/>
    </row>
    <row r="368" spans="1:46">
      <c r="A368" s="1">
        <v>367</v>
      </c>
      <c r="B368" t="s">
        <v>5635</v>
      </c>
      <c r="C368" s="2">
        <v>45904</v>
      </c>
      <c r="D368" s="403" t="s">
        <v>9900</v>
      </c>
      <c r="E368" s="1" t="s">
        <v>12788</v>
      </c>
      <c r="F368" s="61" t="s">
        <v>12789</v>
      </c>
      <c r="G368" t="s">
        <v>12790</v>
      </c>
      <c r="H368" s="6" t="s">
        <v>2273</v>
      </c>
      <c r="I368" s="1" t="s">
        <v>34</v>
      </c>
      <c r="J368" s="8"/>
      <c r="K368" s="301" t="s">
        <v>10609</v>
      </c>
      <c r="L368" s="1" t="s">
        <v>12788</v>
      </c>
      <c r="M368" s="2">
        <v>45930</v>
      </c>
      <c r="N368" s="1" t="s">
        <v>35</v>
      </c>
      <c r="O368" s="61" t="s">
        <v>12352</v>
      </c>
      <c r="P368" s="14" t="s">
        <v>12791</v>
      </c>
      <c r="Q368" s="187">
        <v>115.7</v>
      </c>
      <c r="R368" s="1">
        <v>1</v>
      </c>
      <c r="S368" s="128">
        <v>0.21</v>
      </c>
      <c r="T368" s="128">
        <v>0</v>
      </c>
      <c r="V368" s="95">
        <f t="shared" ref="V368:V369" si="196">SUM(Q368-(Q368*T368))*S368+(Q368-(Q368*T368))</f>
        <v>139.99700000000001</v>
      </c>
      <c r="X368" s="5" t="s">
        <v>12792</v>
      </c>
      <c r="Y368" s="2">
        <v>36287</v>
      </c>
      <c r="Z368" s="2">
        <v>45904</v>
      </c>
      <c r="AA368" s="3"/>
      <c r="AB368" s="2"/>
      <c r="AC368" s="80"/>
      <c r="AF368" t="s">
        <v>3198</v>
      </c>
      <c r="AI368" s="76" t="s">
        <v>3470</v>
      </c>
      <c r="AJ368" s="3"/>
      <c r="AM368" s="74"/>
      <c r="AT368" s="1"/>
    </row>
    <row r="369" spans="1:46">
      <c r="A369" s="1">
        <v>368</v>
      </c>
      <c r="B369" t="s">
        <v>37</v>
      </c>
      <c r="C369" s="2">
        <v>45904</v>
      </c>
      <c r="D369" s="2"/>
      <c r="E369" s="1" t="s">
        <v>10778</v>
      </c>
      <c r="F369" s="61" t="s">
        <v>10767</v>
      </c>
      <c r="G369" s="61" t="s">
        <v>10768</v>
      </c>
      <c r="H369" s="6" t="s">
        <v>7966</v>
      </c>
      <c r="I369" s="1" t="s">
        <v>7965</v>
      </c>
      <c r="J369" s="1"/>
      <c r="K369" s="1"/>
      <c r="L369" s="1" t="s">
        <v>10778</v>
      </c>
      <c r="M369" s="2">
        <v>45930</v>
      </c>
      <c r="N369" s="164" t="s">
        <v>35</v>
      </c>
      <c r="O369" s="61" t="s">
        <v>9511</v>
      </c>
      <c r="P369" s="14" t="s">
        <v>12793</v>
      </c>
      <c r="Q369" s="187">
        <v>86.78</v>
      </c>
      <c r="R369" s="1">
        <v>1</v>
      </c>
      <c r="S369" s="90">
        <v>0.21</v>
      </c>
      <c r="T369" s="90">
        <v>0</v>
      </c>
      <c r="U369" s="363"/>
      <c r="V369" s="126">
        <f t="shared" si="196"/>
        <v>105.0038</v>
      </c>
      <c r="W369" s="1" t="s">
        <v>10778</v>
      </c>
      <c r="X369" s="5" t="s">
        <v>13476</v>
      </c>
      <c r="Y369" s="2">
        <v>38214</v>
      </c>
      <c r="Z369" s="2">
        <v>45904</v>
      </c>
      <c r="AA369" s="182" t="s">
        <v>13133</v>
      </c>
      <c r="AB369" s="2">
        <v>45930</v>
      </c>
      <c r="AC369" s="80" t="s">
        <v>1339</v>
      </c>
      <c r="AF369" t="s">
        <v>3198</v>
      </c>
      <c r="AI369" t="s">
        <v>3392</v>
      </c>
      <c r="AJ369" s="2">
        <v>45923</v>
      </c>
      <c r="AM369" s="3">
        <v>45923</v>
      </c>
    </row>
    <row r="370" spans="1:46">
      <c r="A370" s="1">
        <v>369</v>
      </c>
      <c r="B370" t="s">
        <v>33</v>
      </c>
      <c r="C370" s="2">
        <v>45904</v>
      </c>
      <c r="D370" s="2"/>
      <c r="E370" s="1" t="s">
        <v>2417</v>
      </c>
      <c r="F370" s="61" t="s">
        <v>9867</v>
      </c>
      <c r="G370" s="61" t="s">
        <v>7706</v>
      </c>
      <c r="H370" s="6" t="s">
        <v>219</v>
      </c>
      <c r="I370" s="1" t="s">
        <v>38</v>
      </c>
      <c r="J370" s="1"/>
      <c r="K370" s="114" t="s">
        <v>11744</v>
      </c>
      <c r="L370" s="30" t="s">
        <v>237</v>
      </c>
      <c r="M370" s="2">
        <v>45930</v>
      </c>
      <c r="N370" s="1" t="s">
        <v>35</v>
      </c>
      <c r="O370" s="61" t="s">
        <v>7925</v>
      </c>
      <c r="P370" s="14" t="s">
        <v>12794</v>
      </c>
      <c r="Q370" s="187">
        <v>115.7</v>
      </c>
      <c r="R370" s="1">
        <v>1</v>
      </c>
      <c r="S370" s="90">
        <v>0.21</v>
      </c>
      <c r="T370" s="90">
        <v>0</v>
      </c>
      <c r="U370" s="363"/>
      <c r="V370" s="126">
        <f t="shared" ref="V370" si="197">SUM(Q370-(Q370*T370))*S370+(Q370-(Q370*T370))</f>
        <v>139.99700000000001</v>
      </c>
      <c r="W370" t="s">
        <v>13037</v>
      </c>
      <c r="X370" s="5" t="s">
        <v>13038</v>
      </c>
      <c r="Y370" s="2">
        <v>37057</v>
      </c>
      <c r="Z370" s="2">
        <v>45904</v>
      </c>
      <c r="AA370" s="3"/>
      <c r="AB370" s="2"/>
      <c r="AC370" s="80"/>
      <c r="AF370" t="s">
        <v>3198</v>
      </c>
      <c r="AI370" t="s">
        <v>3392</v>
      </c>
      <c r="AJ370" s="2">
        <v>45930</v>
      </c>
      <c r="AM370" s="3">
        <v>45938</v>
      </c>
      <c r="AT370" s="1"/>
    </row>
    <row r="371" spans="1:46">
      <c r="A371" s="1">
        <v>370</v>
      </c>
      <c r="B371" t="s">
        <v>33</v>
      </c>
      <c r="C371" s="2">
        <v>45904</v>
      </c>
      <c r="D371" s="2"/>
      <c r="E371" s="1" t="s">
        <v>5440</v>
      </c>
      <c r="F371" s="61" t="s">
        <v>11901</v>
      </c>
      <c r="G371" s="61" t="s">
        <v>5442</v>
      </c>
      <c r="H371" s="6" t="s">
        <v>236</v>
      </c>
      <c r="I371" s="1" t="s">
        <v>34</v>
      </c>
      <c r="J371" s="8"/>
      <c r="K371" s="114" t="s">
        <v>11744</v>
      </c>
      <c r="L371" t="s">
        <v>237</v>
      </c>
      <c r="M371" s="2">
        <v>45930</v>
      </c>
      <c r="N371" s="1" t="s">
        <v>35</v>
      </c>
      <c r="O371" s="61" t="s">
        <v>7934</v>
      </c>
      <c r="P371" s="14" t="s">
        <v>13117</v>
      </c>
      <c r="Q371" s="187">
        <v>115.7</v>
      </c>
      <c r="R371" s="1">
        <v>1</v>
      </c>
      <c r="S371" s="90">
        <v>0.21</v>
      </c>
      <c r="T371" s="90">
        <v>0</v>
      </c>
      <c r="U371" s="363"/>
      <c r="V371" s="126">
        <f t="shared" ref="V371" si="198">SUM(Q371-(Q371*T371))*S371+(Q371-(Q371*T371))</f>
        <v>139.99700000000001</v>
      </c>
      <c r="W371" t="s">
        <v>13115</v>
      </c>
      <c r="X371" s="5" t="s">
        <v>13116</v>
      </c>
      <c r="Y371" s="2">
        <v>34474</v>
      </c>
      <c r="Z371" s="2">
        <v>45904</v>
      </c>
      <c r="AA371" s="3"/>
      <c r="AB371" s="2"/>
      <c r="AC371" s="80"/>
      <c r="AE371" s="3"/>
      <c r="AF371" t="s">
        <v>3198</v>
      </c>
      <c r="AI371" t="s">
        <v>3470</v>
      </c>
      <c r="AJ371" s="2">
        <v>45940</v>
      </c>
      <c r="AM371" s="3">
        <v>45952</v>
      </c>
    </row>
    <row r="372" spans="1:46">
      <c r="A372" s="1">
        <v>371</v>
      </c>
      <c r="B372" t="s">
        <v>33</v>
      </c>
      <c r="C372" s="2">
        <v>45905</v>
      </c>
      <c r="D372" s="2"/>
      <c r="E372" s="1" t="s">
        <v>12293</v>
      </c>
      <c r="F372" t="s">
        <v>12294</v>
      </c>
      <c r="G372" t="s">
        <v>12295</v>
      </c>
      <c r="H372" s="6" t="s">
        <v>12296</v>
      </c>
      <c r="I372" s="1" t="s">
        <v>12297</v>
      </c>
      <c r="J372" s="8"/>
      <c r="K372" s="114" t="s">
        <v>11744</v>
      </c>
      <c r="L372" s="1" t="s">
        <v>237</v>
      </c>
      <c r="M372" s="2">
        <v>45930</v>
      </c>
      <c r="N372" s="1" t="s">
        <v>35</v>
      </c>
      <c r="O372" s="14" t="s">
        <v>9758</v>
      </c>
      <c r="P372" s="14" t="s">
        <v>12795</v>
      </c>
      <c r="Q372" s="187">
        <v>115.7</v>
      </c>
      <c r="R372" s="1">
        <v>1</v>
      </c>
      <c r="S372" s="90">
        <v>0.21</v>
      </c>
      <c r="T372" s="90">
        <v>0</v>
      </c>
      <c r="U372" s="363"/>
      <c r="V372" s="126">
        <f t="shared" ref="V372:V378" si="199">SUM(Q372-(Q372*T372))*S372+(Q372-(Q372*T372))</f>
        <v>139.99700000000001</v>
      </c>
      <c r="W372" t="s">
        <v>13103</v>
      </c>
      <c r="X372" s="5" t="s">
        <v>12929</v>
      </c>
      <c r="Y372" s="2">
        <v>32967</v>
      </c>
      <c r="Z372" s="2">
        <v>45905</v>
      </c>
      <c r="AA372" s="3"/>
      <c r="AB372" s="2"/>
      <c r="AC372" s="80"/>
      <c r="AF372" t="s">
        <v>3198</v>
      </c>
      <c r="AI372" t="s">
        <v>3470</v>
      </c>
      <c r="AJ372" s="2">
        <v>45940</v>
      </c>
      <c r="AL372" s="3"/>
      <c r="AM372" s="74">
        <v>45944</v>
      </c>
      <c r="AT372" s="1"/>
    </row>
    <row r="373" spans="1:46">
      <c r="A373" s="1">
        <v>372</v>
      </c>
      <c r="B373" t="s">
        <v>83</v>
      </c>
      <c r="C373" s="2">
        <v>45905</v>
      </c>
      <c r="D373" s="2"/>
      <c r="E373" s="1" t="s">
        <v>11690</v>
      </c>
      <c r="F373" s="61" t="s">
        <v>11691</v>
      </c>
      <c r="G373" t="s">
        <v>11692</v>
      </c>
      <c r="H373" s="6" t="s">
        <v>236</v>
      </c>
      <c r="I373" s="1" t="s">
        <v>110</v>
      </c>
      <c r="J373" s="1"/>
      <c r="K373" s="396" t="s">
        <v>10487</v>
      </c>
      <c r="L373" s="1" t="s">
        <v>11690</v>
      </c>
      <c r="M373" s="2">
        <v>45930</v>
      </c>
      <c r="N373" s="1" t="s">
        <v>35</v>
      </c>
      <c r="O373" s="61" t="s">
        <v>12352</v>
      </c>
      <c r="P373" s="14" t="s">
        <v>12796</v>
      </c>
      <c r="Q373" s="92">
        <v>115.7</v>
      </c>
      <c r="R373" s="1">
        <v>1</v>
      </c>
      <c r="S373" s="128">
        <v>0.21</v>
      </c>
      <c r="T373" s="128">
        <v>0</v>
      </c>
      <c r="U373" s="95"/>
      <c r="V373" s="126">
        <f t="shared" si="199"/>
        <v>139.99700000000001</v>
      </c>
      <c r="W373" t="s">
        <v>13045</v>
      </c>
      <c r="X373" s="5" t="s">
        <v>13046</v>
      </c>
      <c r="Y373" s="3">
        <v>35260</v>
      </c>
      <c r="Z373" s="2">
        <v>45905</v>
      </c>
      <c r="AA373" s="2"/>
      <c r="AB373" s="2"/>
      <c r="AC373" s="80"/>
      <c r="AF373" t="s">
        <v>3198</v>
      </c>
      <c r="AI373" t="s">
        <v>12254</v>
      </c>
      <c r="AJ373" s="3">
        <v>45931</v>
      </c>
      <c r="AM373" s="74">
        <v>45944</v>
      </c>
    </row>
    <row r="374" spans="1:46">
      <c r="A374" s="1">
        <v>373</v>
      </c>
      <c r="B374" t="s">
        <v>6684</v>
      </c>
      <c r="C374" s="2">
        <v>45847</v>
      </c>
      <c r="D374" s="2"/>
      <c r="E374" s="1" t="s">
        <v>6685</v>
      </c>
      <c r="F374" t="s">
        <v>6686</v>
      </c>
      <c r="G374" t="s">
        <v>6687</v>
      </c>
      <c r="H374" s="6" t="s">
        <v>2579</v>
      </c>
      <c r="I374" t="s">
        <v>2580</v>
      </c>
      <c r="J374" s="8"/>
      <c r="K374" s="1" t="s">
        <v>7339</v>
      </c>
      <c r="L374" t="s">
        <v>6685</v>
      </c>
      <c r="M374" s="2">
        <v>45930</v>
      </c>
      <c r="N374" s="1" t="s">
        <v>35</v>
      </c>
      <c r="O374" s="61" t="s">
        <v>12352</v>
      </c>
      <c r="P374" s="14" t="s">
        <v>12797</v>
      </c>
      <c r="Q374" s="187">
        <v>115.7</v>
      </c>
      <c r="R374" s="1">
        <v>1</v>
      </c>
      <c r="S374" s="128">
        <v>0.21</v>
      </c>
      <c r="T374" s="128">
        <v>0</v>
      </c>
      <c r="V374" s="126">
        <f t="shared" si="199"/>
        <v>139.99700000000001</v>
      </c>
      <c r="W374" t="s">
        <v>12810</v>
      </c>
      <c r="X374" s="5" t="s">
        <v>12811</v>
      </c>
      <c r="Y374" s="3">
        <v>31169</v>
      </c>
      <c r="Z374" s="2">
        <v>45847</v>
      </c>
      <c r="AA374" s="2"/>
      <c r="AB374" s="2"/>
      <c r="AC374" s="80"/>
      <c r="AF374" t="s">
        <v>3198</v>
      </c>
      <c r="AI374" t="s">
        <v>12504</v>
      </c>
      <c r="AJ374" s="3">
        <v>45908</v>
      </c>
      <c r="AM374" s="3">
        <v>45923</v>
      </c>
    </row>
    <row r="375" spans="1:46" s="457" customFormat="1" ht="15.75" thickBot="1">
      <c r="A375" s="456">
        <v>374</v>
      </c>
      <c r="B375" s="459" t="s">
        <v>4321</v>
      </c>
      <c r="C375" s="458">
        <v>45908</v>
      </c>
      <c r="D375" s="458"/>
      <c r="E375" s="456" t="s">
        <v>4505</v>
      </c>
      <c r="F375" s="459" t="s">
        <v>11437</v>
      </c>
      <c r="G375" s="457" t="s">
        <v>11438</v>
      </c>
      <c r="H375" s="460" t="s">
        <v>239</v>
      </c>
      <c r="I375" s="456" t="s">
        <v>86</v>
      </c>
      <c r="J375" s="461"/>
      <c r="K375" s="492" t="s">
        <v>5991</v>
      </c>
      <c r="L375" s="456" t="s">
        <v>4505</v>
      </c>
      <c r="M375" s="458">
        <v>45930</v>
      </c>
      <c r="N375" s="456" t="s">
        <v>35</v>
      </c>
      <c r="O375" s="493" t="s">
        <v>12352</v>
      </c>
      <c r="P375" s="463" t="s">
        <v>12802</v>
      </c>
      <c r="Q375" s="464">
        <v>115.7</v>
      </c>
      <c r="R375" s="456">
        <v>1</v>
      </c>
      <c r="S375" s="465">
        <v>0.21</v>
      </c>
      <c r="T375" s="465">
        <v>0</v>
      </c>
      <c r="U375" s="490"/>
      <c r="V375" s="467">
        <f t="shared" si="199"/>
        <v>139.99700000000001</v>
      </c>
      <c r="W375" s="457" t="s">
        <v>13121</v>
      </c>
      <c r="X375" s="468" t="s">
        <v>13122</v>
      </c>
      <c r="Y375" s="458">
        <v>30950</v>
      </c>
      <c r="Z375" s="458">
        <v>45908</v>
      </c>
      <c r="AA375" s="458"/>
      <c r="AB375" s="458"/>
      <c r="AC375" s="469"/>
      <c r="AF375" s="457" t="s">
        <v>3198</v>
      </c>
      <c r="AI375" s="457" t="s">
        <v>10232</v>
      </c>
      <c r="AJ375" s="458">
        <v>45940</v>
      </c>
      <c r="AM375" s="478">
        <v>45957</v>
      </c>
      <c r="AT375" s="456"/>
    </row>
    <row r="376" spans="1:46" ht="15.75" thickTop="1">
      <c r="A376" s="1">
        <v>375</v>
      </c>
      <c r="B376" t="s">
        <v>40</v>
      </c>
      <c r="C376" s="2">
        <v>45909</v>
      </c>
      <c r="D376" s="2"/>
      <c r="E376" s="1" t="s">
        <v>2423</v>
      </c>
      <c r="F376" t="s">
        <v>12827</v>
      </c>
      <c r="G376" s="61" t="s">
        <v>6342</v>
      </c>
      <c r="H376" s="6" t="s">
        <v>221</v>
      </c>
      <c r="I376" s="1" t="s">
        <v>34</v>
      </c>
      <c r="J376" s="295">
        <v>647354016</v>
      </c>
      <c r="K376" s="8"/>
      <c r="L376" t="s">
        <v>2423</v>
      </c>
      <c r="M376" s="2">
        <v>45930</v>
      </c>
      <c r="N376" s="1" t="s">
        <v>35</v>
      </c>
      <c r="O376" s="375" t="s">
        <v>12352</v>
      </c>
      <c r="P376" s="14" t="s">
        <v>12828</v>
      </c>
      <c r="Q376" s="187">
        <v>115.7</v>
      </c>
      <c r="R376" s="1">
        <v>1</v>
      </c>
      <c r="S376" s="90">
        <v>0.21</v>
      </c>
      <c r="T376" s="90">
        <v>0</v>
      </c>
      <c r="V376" s="95">
        <f t="shared" si="199"/>
        <v>139.99700000000001</v>
      </c>
      <c r="W376" t="s">
        <v>13364</v>
      </c>
      <c r="X376" s="6" t="s">
        <v>13365</v>
      </c>
      <c r="Y376" s="2">
        <v>30177</v>
      </c>
      <c r="Z376" s="2">
        <v>45909</v>
      </c>
      <c r="AA376" s="3"/>
      <c r="AB376" s="3"/>
      <c r="AC376" s="80"/>
      <c r="AF376" t="s">
        <v>3198</v>
      </c>
      <c r="AI376" s="76" t="s">
        <v>3392</v>
      </c>
      <c r="AJ376" s="2">
        <v>45959</v>
      </c>
      <c r="AM376" s="74"/>
      <c r="AT376" s="1"/>
    </row>
    <row r="377" spans="1:46">
      <c r="A377" s="1">
        <v>376</v>
      </c>
      <c r="B377" t="s">
        <v>119</v>
      </c>
      <c r="C377" s="2">
        <v>45909</v>
      </c>
      <c r="D377" s="403" t="s">
        <v>9900</v>
      </c>
      <c r="E377" s="1" t="s">
        <v>12829</v>
      </c>
      <c r="F377" s="61" t="s">
        <v>12830</v>
      </c>
      <c r="G377" s="61" t="s">
        <v>12831</v>
      </c>
      <c r="H377" s="6" t="s">
        <v>242</v>
      </c>
      <c r="I377" s="1" t="s">
        <v>5083</v>
      </c>
      <c r="J377" s="430"/>
      <c r="K377" s="396" t="s">
        <v>10432</v>
      </c>
      <c r="L377" s="1" t="s">
        <v>12829</v>
      </c>
      <c r="M377" s="2">
        <v>45930</v>
      </c>
      <c r="N377" s="1" t="s">
        <v>35</v>
      </c>
      <c r="O377" s="61" t="s">
        <v>12352</v>
      </c>
      <c r="P377" s="14" t="s">
        <v>12832</v>
      </c>
      <c r="Q377" s="187">
        <v>115.7</v>
      </c>
      <c r="R377" s="1">
        <v>1</v>
      </c>
      <c r="S377" s="128">
        <v>0.21</v>
      </c>
      <c r="T377" s="128">
        <v>0</v>
      </c>
      <c r="U377" s="363"/>
      <c r="V377" s="126">
        <f t="shared" si="199"/>
        <v>139.99700000000001</v>
      </c>
      <c r="X377" s="5" t="s">
        <v>12833</v>
      </c>
      <c r="Y377" s="3">
        <v>31048</v>
      </c>
      <c r="Z377" s="2">
        <v>45909</v>
      </c>
      <c r="AA377" s="2"/>
      <c r="AB377" s="2"/>
      <c r="AC377" s="80"/>
      <c r="AF377" t="s">
        <v>3198</v>
      </c>
      <c r="AI377" s="76" t="s">
        <v>3392</v>
      </c>
      <c r="AJ377" s="3"/>
      <c r="AM377" s="3"/>
    </row>
    <row r="378" spans="1:46">
      <c r="A378" s="1">
        <v>377</v>
      </c>
      <c r="B378" t="s">
        <v>1242</v>
      </c>
      <c r="C378" s="2">
        <v>45909</v>
      </c>
      <c r="D378" s="2"/>
      <c r="E378" s="1" t="s">
        <v>11720</v>
      </c>
      <c r="F378" s="61" t="s">
        <v>11721</v>
      </c>
      <c r="G378" t="s">
        <v>11722</v>
      </c>
      <c r="H378" s="6" t="s">
        <v>221</v>
      </c>
      <c r="I378" s="1" t="s">
        <v>34</v>
      </c>
      <c r="J378" s="1"/>
      <c r="K378" s="8" t="s">
        <v>5905</v>
      </c>
      <c r="L378" s="31" t="s">
        <v>1250</v>
      </c>
      <c r="M378" s="2">
        <v>45930</v>
      </c>
      <c r="N378" s="1" t="s">
        <v>35</v>
      </c>
      <c r="O378" s="61" t="s">
        <v>12352</v>
      </c>
      <c r="P378" s="14" t="s">
        <v>12834</v>
      </c>
      <c r="Q378" s="92">
        <v>115.7</v>
      </c>
      <c r="R378" s="1">
        <v>1</v>
      </c>
      <c r="S378" s="90">
        <v>0.21</v>
      </c>
      <c r="T378" s="90">
        <v>0</v>
      </c>
      <c r="V378" s="95">
        <f t="shared" si="199"/>
        <v>139.99700000000001</v>
      </c>
      <c r="X378" s="5" t="s">
        <v>12835</v>
      </c>
      <c r="Y378" s="3">
        <v>25126</v>
      </c>
      <c r="Z378" s="2">
        <v>45909</v>
      </c>
      <c r="AA378" s="2"/>
      <c r="AB378" s="2"/>
      <c r="AC378" s="80"/>
      <c r="AF378" t="s">
        <v>3198</v>
      </c>
      <c r="AI378" s="76" t="s">
        <v>12836</v>
      </c>
      <c r="AJ378" s="2"/>
      <c r="AM378" s="3"/>
    </row>
    <row r="379" spans="1:46">
      <c r="A379" s="1">
        <v>378</v>
      </c>
      <c r="B379" t="s">
        <v>40</v>
      </c>
      <c r="C379" s="2">
        <v>45910</v>
      </c>
      <c r="D379" s="2"/>
      <c r="E379" s="1" t="s">
        <v>1940</v>
      </c>
      <c r="F379" t="s">
        <v>1941</v>
      </c>
      <c r="G379" t="s">
        <v>1942</v>
      </c>
      <c r="H379" s="6" t="s">
        <v>236</v>
      </c>
      <c r="I379" t="s">
        <v>110</v>
      </c>
      <c r="J379">
        <v>653848933</v>
      </c>
      <c r="K379" s="1" t="s">
        <v>12623</v>
      </c>
      <c r="L379" s="1" t="s">
        <v>1940</v>
      </c>
      <c r="M379" s="2">
        <v>45930</v>
      </c>
      <c r="N379" s="1" t="s">
        <v>35</v>
      </c>
      <c r="O379" s="61" t="s">
        <v>9758</v>
      </c>
      <c r="P379" s="14" t="s">
        <v>11652</v>
      </c>
      <c r="Q379" s="92">
        <v>0</v>
      </c>
      <c r="R379" s="1">
        <v>1</v>
      </c>
      <c r="S379" s="90">
        <v>0.21</v>
      </c>
      <c r="T379" s="90">
        <v>0</v>
      </c>
      <c r="V379" s="95">
        <f t="shared" ref="V379:V380" si="200">SUM(Q379-(Q379*T379))*S379+(Q379-(Q379*T379))</f>
        <v>0</v>
      </c>
      <c r="W379" t="s">
        <v>11680</v>
      </c>
      <c r="X379" s="5" t="s">
        <v>13022</v>
      </c>
      <c r="Y379" s="3">
        <v>25993</v>
      </c>
      <c r="Z379" s="2">
        <v>45910</v>
      </c>
      <c r="AA379" s="2"/>
      <c r="AB379" s="2"/>
      <c r="AC379" s="80"/>
      <c r="AF379" t="s">
        <v>3198</v>
      </c>
      <c r="AI379" t="s">
        <v>3470</v>
      </c>
      <c r="AJ379" s="2">
        <v>45930</v>
      </c>
      <c r="AM379" s="3">
        <v>45938</v>
      </c>
    </row>
    <row r="380" spans="1:46">
      <c r="A380" s="1">
        <v>379</v>
      </c>
      <c r="B380" t="s">
        <v>83</v>
      </c>
      <c r="C380" s="2">
        <v>45915</v>
      </c>
      <c r="D380" s="2"/>
      <c r="E380" s="1" t="s">
        <v>11690</v>
      </c>
      <c r="F380" s="61" t="s">
        <v>11691</v>
      </c>
      <c r="G380" t="s">
        <v>11692</v>
      </c>
      <c r="H380" s="6" t="s">
        <v>236</v>
      </c>
      <c r="I380" s="1" t="s">
        <v>110</v>
      </c>
      <c r="J380" s="1"/>
      <c r="K380" s="396" t="s">
        <v>10487</v>
      </c>
      <c r="L380" s="1" t="s">
        <v>11690</v>
      </c>
      <c r="M380" s="2">
        <v>45930</v>
      </c>
      <c r="N380" s="1" t="s">
        <v>35</v>
      </c>
      <c r="O380" s="61" t="s">
        <v>12352</v>
      </c>
      <c r="P380" s="14" t="s">
        <v>12859</v>
      </c>
      <c r="Q380" s="92">
        <v>115.7</v>
      </c>
      <c r="R380" s="1">
        <v>1</v>
      </c>
      <c r="S380" s="128">
        <v>0.21</v>
      </c>
      <c r="T380" s="128">
        <v>0</v>
      </c>
      <c r="U380" s="95"/>
      <c r="V380" s="126">
        <f t="shared" si="200"/>
        <v>139.99700000000001</v>
      </c>
      <c r="W380" t="s">
        <v>13048</v>
      </c>
      <c r="X380" s="5" t="s">
        <v>13049</v>
      </c>
      <c r="Y380" s="3">
        <v>37353</v>
      </c>
      <c r="Z380" s="2">
        <v>45915</v>
      </c>
      <c r="AA380" s="2"/>
      <c r="AB380" s="2"/>
      <c r="AC380" s="80"/>
      <c r="AF380" t="s">
        <v>3198</v>
      </c>
      <c r="AI380" s="76" t="s">
        <v>12254</v>
      </c>
      <c r="AJ380" s="3">
        <v>45931</v>
      </c>
      <c r="AM380" s="3">
        <v>45933</v>
      </c>
    </row>
    <row r="381" spans="1:46">
      <c r="A381" s="1">
        <v>380</v>
      </c>
      <c r="B381" t="s">
        <v>37</v>
      </c>
      <c r="C381" s="2">
        <v>45915</v>
      </c>
      <c r="D381" s="403" t="s">
        <v>9900</v>
      </c>
      <c r="E381" s="1" t="s">
        <v>12860</v>
      </c>
      <c r="F381" s="61" t="s">
        <v>12861</v>
      </c>
      <c r="G381" t="s">
        <v>12862</v>
      </c>
      <c r="H381" s="6" t="s">
        <v>220</v>
      </c>
      <c r="I381" s="1" t="s">
        <v>39</v>
      </c>
      <c r="J381" s="1"/>
      <c r="K381" s="396"/>
      <c r="L381" s="1" t="s">
        <v>12860</v>
      </c>
      <c r="M381" s="2">
        <v>45930</v>
      </c>
      <c r="N381" s="1" t="s">
        <v>35</v>
      </c>
      <c r="O381" s="61" t="s">
        <v>7934</v>
      </c>
      <c r="P381" s="14" t="s">
        <v>12863</v>
      </c>
      <c r="Q381" s="254">
        <v>86.78</v>
      </c>
      <c r="R381" s="1">
        <v>1</v>
      </c>
      <c r="S381" s="128">
        <v>0.21</v>
      </c>
      <c r="T381" s="128">
        <v>0</v>
      </c>
      <c r="U381" s="95"/>
      <c r="V381" s="126">
        <f t="shared" ref="V381" si="201">SUM(Q381-(Q381*T381))*S381+(Q381-(Q381*T381))</f>
        <v>105.0038</v>
      </c>
      <c r="X381" s="5" t="s">
        <v>12864</v>
      </c>
      <c r="Y381" s="3">
        <v>38904</v>
      </c>
      <c r="Z381" s="2">
        <v>45915</v>
      </c>
      <c r="AA381" s="2"/>
      <c r="AB381" s="2"/>
      <c r="AC381" s="80"/>
      <c r="AF381" t="s">
        <v>3198</v>
      </c>
      <c r="AI381" s="76" t="s">
        <v>3470</v>
      </c>
      <c r="AJ381" s="3"/>
      <c r="AM381" s="3"/>
    </row>
    <row r="382" spans="1:46">
      <c r="A382" s="1">
        <v>381</v>
      </c>
      <c r="B382" t="s">
        <v>37</v>
      </c>
      <c r="C382" s="2">
        <v>45916</v>
      </c>
      <c r="D382" s="2"/>
      <c r="E382" s="1" t="s">
        <v>9007</v>
      </c>
      <c r="F382" s="14" t="s">
        <v>9008</v>
      </c>
      <c r="G382" t="s">
        <v>9009</v>
      </c>
      <c r="H382" s="6" t="s">
        <v>220</v>
      </c>
      <c r="I382" s="1" t="s">
        <v>39</v>
      </c>
      <c r="J382" s="8">
        <v>643484599</v>
      </c>
      <c r="K382" s="1"/>
      <c r="L382" s="1" t="s">
        <v>9007</v>
      </c>
      <c r="M382" s="2">
        <v>45930</v>
      </c>
      <c r="N382" s="1" t="s">
        <v>35</v>
      </c>
      <c r="O382" s="61" t="s">
        <v>7934</v>
      </c>
      <c r="P382" s="14" t="s">
        <v>9010</v>
      </c>
      <c r="Q382" s="187">
        <v>86.78</v>
      </c>
      <c r="R382" s="1">
        <v>1</v>
      </c>
      <c r="S382" s="128">
        <v>0.21</v>
      </c>
      <c r="T382" s="128">
        <v>0</v>
      </c>
      <c r="V382" s="95">
        <f t="shared" ref="V382" si="202">SUM(Q382-(Q382*T382))*S382+(Q382-(Q382*T382))</f>
        <v>105.0038</v>
      </c>
      <c r="W382" s="1" t="s">
        <v>9007</v>
      </c>
      <c r="X382" s="5" t="s">
        <v>12881</v>
      </c>
      <c r="Y382" s="2">
        <v>36076</v>
      </c>
      <c r="Z382" s="2">
        <v>45916</v>
      </c>
      <c r="AA382" s="2"/>
      <c r="AB382" s="2"/>
      <c r="AC382" s="80"/>
      <c r="AF382" t="s">
        <v>3198</v>
      </c>
      <c r="AI382" s="76" t="s">
        <v>3470</v>
      </c>
      <c r="AJ382" s="2"/>
      <c r="AM382" s="74"/>
      <c r="AT382" s="1"/>
    </row>
    <row r="383" spans="1:46">
      <c r="A383" s="1">
        <v>382</v>
      </c>
      <c r="B383" t="s">
        <v>37</v>
      </c>
      <c r="C383" s="2">
        <v>45916</v>
      </c>
      <c r="D383" s="403" t="s">
        <v>9900</v>
      </c>
      <c r="E383" s="1" t="s">
        <v>12883</v>
      </c>
      <c r="F383" s="61" t="s">
        <v>12884</v>
      </c>
      <c r="G383" t="s">
        <v>12885</v>
      </c>
      <c r="H383" s="6" t="s">
        <v>3988</v>
      </c>
      <c r="I383" s="1" t="s">
        <v>7218</v>
      </c>
      <c r="J383" s="1" t="s">
        <v>12888</v>
      </c>
      <c r="K383" s="396"/>
      <c r="L383" s="1" t="s">
        <v>12883</v>
      </c>
      <c r="M383" s="2">
        <v>45930</v>
      </c>
      <c r="N383" s="1" t="s">
        <v>35</v>
      </c>
      <c r="O383" s="61" t="s">
        <v>12354</v>
      </c>
      <c r="P383" s="14" t="s">
        <v>12887</v>
      </c>
      <c r="Q383" s="92">
        <v>165.29</v>
      </c>
      <c r="R383" s="1">
        <v>1</v>
      </c>
      <c r="S383" s="128">
        <v>0.21</v>
      </c>
      <c r="T383" s="128">
        <v>0</v>
      </c>
      <c r="U383" s="95"/>
      <c r="V383" s="126">
        <f t="shared" ref="V383" si="203">SUM(Q383-(Q383*T383))*S383+(Q383-(Q383*T383))</f>
        <v>200.0009</v>
      </c>
      <c r="X383" s="5" t="s">
        <v>12886</v>
      </c>
      <c r="Y383" s="3">
        <v>45638</v>
      </c>
      <c r="Z383" s="2">
        <v>45916</v>
      </c>
      <c r="AA383" s="2"/>
      <c r="AB383" s="2"/>
      <c r="AC383" s="80"/>
      <c r="AF383" t="s">
        <v>3198</v>
      </c>
      <c r="AI383" s="76" t="s">
        <v>3392</v>
      </c>
      <c r="AJ383" s="3"/>
      <c r="AM383" s="3"/>
    </row>
    <row r="384" spans="1:46">
      <c r="A384" s="1">
        <v>383</v>
      </c>
      <c r="B384" t="s">
        <v>33</v>
      </c>
      <c r="C384" s="2">
        <v>45916</v>
      </c>
      <c r="D384" s="403" t="s">
        <v>9900</v>
      </c>
      <c r="E384" s="1" t="s">
        <v>5418</v>
      </c>
      <c r="F384" t="s">
        <v>12891</v>
      </c>
      <c r="G384" t="s">
        <v>12892</v>
      </c>
      <c r="H384" s="6" t="s">
        <v>221</v>
      </c>
      <c r="I384" s="1" t="s">
        <v>34</v>
      </c>
      <c r="J384" s="8"/>
      <c r="K384" s="114" t="s">
        <v>11744</v>
      </c>
      <c r="L384" s="1" t="s">
        <v>237</v>
      </c>
      <c r="M384" s="2">
        <v>45930</v>
      </c>
      <c r="N384" s="1" t="s">
        <v>35</v>
      </c>
      <c r="O384" s="14" t="s">
        <v>9758</v>
      </c>
      <c r="P384" s="14" t="s">
        <v>12893</v>
      </c>
      <c r="Q384" s="187">
        <v>115.7</v>
      </c>
      <c r="R384" s="1">
        <v>1</v>
      </c>
      <c r="S384" s="90">
        <v>0.21</v>
      </c>
      <c r="T384" s="90">
        <v>0</v>
      </c>
      <c r="U384" s="363"/>
      <c r="V384" s="126">
        <f t="shared" ref="V384:V386" si="204">SUM(Q384-(Q384*T384))*S384+(Q384-(Q384*T384))</f>
        <v>139.99700000000001</v>
      </c>
      <c r="W384" t="s">
        <v>13025</v>
      </c>
      <c r="X384" s="5" t="s">
        <v>13026</v>
      </c>
      <c r="Y384" s="2">
        <v>39299</v>
      </c>
      <c r="Z384" s="2">
        <v>45916</v>
      </c>
      <c r="AA384" s="3"/>
      <c r="AB384" s="2"/>
      <c r="AC384" s="80"/>
      <c r="AF384" t="s">
        <v>3198</v>
      </c>
      <c r="AI384" t="s">
        <v>3470</v>
      </c>
      <c r="AJ384" s="2">
        <v>45930</v>
      </c>
      <c r="AL384" s="3"/>
      <c r="AM384" s="74">
        <v>45940</v>
      </c>
      <c r="AT384" s="1"/>
    </row>
    <row r="385" spans="1:46">
      <c r="A385" s="1">
        <v>384</v>
      </c>
      <c r="B385" t="s">
        <v>37</v>
      </c>
      <c r="C385" s="2">
        <v>45917</v>
      </c>
      <c r="D385" s="2"/>
      <c r="E385" s="1" t="s">
        <v>10739</v>
      </c>
      <c r="F385" s="61" t="s">
        <v>10716</v>
      </c>
      <c r="G385" t="s">
        <v>10717</v>
      </c>
      <c r="H385" s="6" t="s">
        <v>238</v>
      </c>
      <c r="I385" s="1" t="s">
        <v>48</v>
      </c>
      <c r="J385" s="8">
        <v>632566036</v>
      </c>
      <c r="K385" s="1"/>
      <c r="L385" s="1" t="s">
        <v>10739</v>
      </c>
      <c r="M385" s="2">
        <v>45930</v>
      </c>
      <c r="N385" s="1" t="s">
        <v>35</v>
      </c>
      <c r="O385" s="61" t="s">
        <v>7934</v>
      </c>
      <c r="P385" s="14" t="s">
        <v>12898</v>
      </c>
      <c r="Q385" s="254">
        <v>86.78</v>
      </c>
      <c r="R385" s="1">
        <v>1</v>
      </c>
      <c r="S385" s="128">
        <v>0.21</v>
      </c>
      <c r="T385" s="128">
        <v>0</v>
      </c>
      <c r="U385" s="363"/>
      <c r="V385" s="126">
        <f t="shared" si="204"/>
        <v>105.0038</v>
      </c>
      <c r="W385" s="1" t="s">
        <v>10739</v>
      </c>
      <c r="X385" s="5" t="s">
        <v>12899</v>
      </c>
      <c r="Y385" s="3">
        <v>30707</v>
      </c>
      <c r="Z385" s="2">
        <v>45917</v>
      </c>
      <c r="AA385" s="3"/>
      <c r="AB385" s="2"/>
      <c r="AC385" s="80"/>
      <c r="AF385" t="s">
        <v>3198</v>
      </c>
      <c r="AI385" s="76" t="s">
        <v>3470</v>
      </c>
      <c r="AJ385" s="3"/>
      <c r="AM385" s="3"/>
    </row>
    <row r="386" spans="1:46">
      <c r="A386" s="1">
        <v>385</v>
      </c>
      <c r="B386" t="s">
        <v>8482</v>
      </c>
      <c r="C386" s="2">
        <v>45917</v>
      </c>
      <c r="D386" s="2"/>
      <c r="E386" s="1" t="s">
        <v>8483</v>
      </c>
      <c r="F386" t="s">
        <v>8484</v>
      </c>
      <c r="G386" t="s">
        <v>8485</v>
      </c>
      <c r="H386" s="6" t="s">
        <v>294</v>
      </c>
      <c r="I386" s="1" t="s">
        <v>103</v>
      </c>
      <c r="J386" s="5">
        <v>667740137</v>
      </c>
      <c r="K386" s="1" t="s">
        <v>12900</v>
      </c>
      <c r="L386" s="1" t="s">
        <v>8483</v>
      </c>
      <c r="M386" s="2">
        <v>45930</v>
      </c>
      <c r="N386" s="1" t="s">
        <v>35</v>
      </c>
      <c r="O386" s="61" t="s">
        <v>7934</v>
      </c>
      <c r="P386" s="14" t="s">
        <v>12901</v>
      </c>
      <c r="Q386" s="187">
        <v>115.7</v>
      </c>
      <c r="R386" s="1">
        <v>1</v>
      </c>
      <c r="S386" s="90">
        <v>0.21</v>
      </c>
      <c r="T386" s="90">
        <v>0</v>
      </c>
      <c r="V386" s="95">
        <f t="shared" si="204"/>
        <v>139.99700000000001</v>
      </c>
      <c r="W386" t="s">
        <v>12902</v>
      </c>
      <c r="X386" s="406" t="s">
        <v>13106</v>
      </c>
      <c r="Y386" s="2">
        <v>32509</v>
      </c>
      <c r="Z386" s="2">
        <v>45917</v>
      </c>
      <c r="AA386" s="3"/>
      <c r="AB386" s="2"/>
      <c r="AC386" s="80"/>
      <c r="AF386" t="s">
        <v>3198</v>
      </c>
      <c r="AI386" s="287" t="s">
        <v>12903</v>
      </c>
      <c r="AJ386" s="2">
        <v>45940</v>
      </c>
      <c r="AL386" s="3"/>
      <c r="AM386" s="74"/>
      <c r="AT386" s="1"/>
    </row>
    <row r="387" spans="1:46" s="457" customFormat="1" ht="15.75" thickBot="1">
      <c r="A387" s="456">
        <v>386</v>
      </c>
      <c r="B387" s="457" t="s">
        <v>33</v>
      </c>
      <c r="C387" s="458">
        <v>45917</v>
      </c>
      <c r="D387" s="482" t="s">
        <v>9900</v>
      </c>
      <c r="E387" s="456" t="s">
        <v>12904</v>
      </c>
      <c r="F387" s="457" t="s">
        <v>12905</v>
      </c>
      <c r="G387" s="457" t="s">
        <v>12906</v>
      </c>
      <c r="H387" s="460" t="s">
        <v>241</v>
      </c>
      <c r="I387" s="456" t="s">
        <v>60</v>
      </c>
      <c r="J387" s="461"/>
      <c r="K387" s="462" t="s">
        <v>11744</v>
      </c>
      <c r="L387" s="456" t="s">
        <v>237</v>
      </c>
      <c r="M387" s="458">
        <v>45930</v>
      </c>
      <c r="N387" s="456" t="s">
        <v>35</v>
      </c>
      <c r="O387" s="463" t="s">
        <v>12352</v>
      </c>
      <c r="P387" s="463" t="s">
        <v>12907</v>
      </c>
      <c r="Q387" s="464">
        <v>115.7</v>
      </c>
      <c r="R387" s="456">
        <v>1</v>
      </c>
      <c r="S387" s="465">
        <v>0.21</v>
      </c>
      <c r="T387" s="465">
        <v>0</v>
      </c>
      <c r="U387" s="466"/>
      <c r="V387" s="467">
        <f t="shared" ref="V387:V389" si="205">SUM(Q387-(Q387*T387))*S387+(Q387-(Q387*T387))</f>
        <v>139.99700000000001</v>
      </c>
      <c r="W387" s="457" t="s">
        <v>13119</v>
      </c>
      <c r="X387" s="468" t="s">
        <v>13118</v>
      </c>
      <c r="Y387" s="458">
        <v>32997</v>
      </c>
      <c r="Z387" s="458">
        <v>45917</v>
      </c>
      <c r="AA387" s="470"/>
      <c r="AB387" s="458"/>
      <c r="AC387" s="469"/>
      <c r="AF387" s="457" t="s">
        <v>3198</v>
      </c>
      <c r="AI387" s="488" t="s">
        <v>3392</v>
      </c>
      <c r="AJ387" s="458">
        <v>45940</v>
      </c>
      <c r="AL387" s="470"/>
      <c r="AM387" s="478"/>
      <c r="AT387" s="456"/>
    </row>
    <row r="388" spans="1:46" ht="15.75" thickTop="1">
      <c r="A388" s="1">
        <v>387</v>
      </c>
      <c r="B388" t="s">
        <v>33</v>
      </c>
      <c r="C388" s="2">
        <v>45918</v>
      </c>
      <c r="D388" s="2"/>
      <c r="E388" s="1" t="s">
        <v>5440</v>
      </c>
      <c r="F388" s="61" t="s">
        <v>11901</v>
      </c>
      <c r="G388" s="61" t="s">
        <v>5442</v>
      </c>
      <c r="H388" s="6" t="s">
        <v>236</v>
      </c>
      <c r="I388" s="1" t="s">
        <v>34</v>
      </c>
      <c r="J388" s="8"/>
      <c r="K388" s="114" t="s">
        <v>11744</v>
      </c>
      <c r="L388" t="s">
        <v>237</v>
      </c>
      <c r="M388" s="2">
        <v>45930</v>
      </c>
      <c r="N388" s="1" t="s">
        <v>35</v>
      </c>
      <c r="O388" s="61" t="s">
        <v>12352</v>
      </c>
      <c r="P388" s="14" t="s">
        <v>13134</v>
      </c>
      <c r="Q388" s="187">
        <v>115.7</v>
      </c>
      <c r="R388" s="1">
        <v>1</v>
      </c>
      <c r="S388" s="90">
        <v>0.21</v>
      </c>
      <c r="T388" s="90">
        <v>0</v>
      </c>
      <c r="U388" s="363"/>
      <c r="V388" s="126">
        <f t="shared" si="205"/>
        <v>139.99700000000001</v>
      </c>
      <c r="W388" t="s">
        <v>13031</v>
      </c>
      <c r="X388" s="5" t="s">
        <v>13032</v>
      </c>
      <c r="Y388" s="2">
        <v>37796</v>
      </c>
      <c r="Z388" s="2">
        <v>45918</v>
      </c>
      <c r="AA388" s="3"/>
      <c r="AB388" s="2"/>
      <c r="AC388" s="80"/>
      <c r="AE388" s="3"/>
      <c r="AF388" t="s">
        <v>3198</v>
      </c>
      <c r="AI388" t="s">
        <v>3470</v>
      </c>
      <c r="AJ388" s="2">
        <v>45930</v>
      </c>
      <c r="AM388" s="3">
        <v>45944</v>
      </c>
    </row>
    <row r="389" spans="1:46">
      <c r="A389" s="1">
        <v>388</v>
      </c>
      <c r="B389" t="s">
        <v>45</v>
      </c>
      <c r="C389" s="2">
        <v>45922</v>
      </c>
      <c r="D389" s="2"/>
      <c r="E389" s="1" t="s">
        <v>12777</v>
      </c>
      <c r="F389" t="s">
        <v>12778</v>
      </c>
      <c r="G389" t="s">
        <v>12779</v>
      </c>
      <c r="H389" s="6" t="s">
        <v>241</v>
      </c>
      <c r="I389" s="1" t="s">
        <v>60</v>
      </c>
      <c r="J389" s="1"/>
      <c r="K389" s="396" t="s">
        <v>8356</v>
      </c>
      <c r="L389" s="1" t="s">
        <v>12777</v>
      </c>
      <c r="M389" s="2">
        <v>45930</v>
      </c>
      <c r="N389" s="1" t="s">
        <v>35</v>
      </c>
      <c r="O389" s="61" t="s">
        <v>12352</v>
      </c>
      <c r="P389" s="14" t="s">
        <v>12924</v>
      </c>
      <c r="Q389" s="92">
        <v>115.7</v>
      </c>
      <c r="R389" s="1">
        <v>1</v>
      </c>
      <c r="S389" s="128">
        <v>0.21</v>
      </c>
      <c r="T389" s="128">
        <v>0</v>
      </c>
      <c r="U389" s="95"/>
      <c r="V389" s="126">
        <f t="shared" si="205"/>
        <v>139.99700000000001</v>
      </c>
      <c r="W389" t="s">
        <v>13110</v>
      </c>
      <c r="X389" s="5" t="s">
        <v>13111</v>
      </c>
      <c r="Y389" s="2">
        <v>36526</v>
      </c>
      <c r="Z389" s="2">
        <v>45922</v>
      </c>
      <c r="AA389" s="2"/>
      <c r="AB389" s="3"/>
      <c r="AC389" s="80"/>
      <c r="AF389" t="s">
        <v>3198</v>
      </c>
      <c r="AI389" t="s">
        <v>12925</v>
      </c>
      <c r="AJ389" s="2">
        <v>45940</v>
      </c>
      <c r="AM389" s="3">
        <v>45940</v>
      </c>
    </row>
    <row r="390" spans="1:46">
      <c r="A390" s="1">
        <v>389</v>
      </c>
      <c r="B390" t="s">
        <v>3526</v>
      </c>
      <c r="C390" s="2">
        <v>45922</v>
      </c>
      <c r="D390" s="2"/>
      <c r="E390" s="1" t="s">
        <v>9100</v>
      </c>
      <c r="F390" t="s">
        <v>9107</v>
      </c>
      <c r="G390" t="s">
        <v>9101</v>
      </c>
      <c r="H390" s="6" t="s">
        <v>294</v>
      </c>
      <c r="I390" s="1" t="s">
        <v>49</v>
      </c>
      <c r="J390" s="30"/>
      <c r="K390" s="1" t="s">
        <v>7759</v>
      </c>
      <c r="L390" s="1" t="s">
        <v>9100</v>
      </c>
      <c r="M390" s="2">
        <v>45930</v>
      </c>
      <c r="N390" s="1" t="s">
        <v>35</v>
      </c>
      <c r="O390" s="61" t="s">
        <v>7934</v>
      </c>
      <c r="P390" s="14" t="s">
        <v>9102</v>
      </c>
      <c r="Q390" s="187">
        <v>86.78</v>
      </c>
      <c r="R390" s="1">
        <v>1</v>
      </c>
      <c r="S390" s="90">
        <v>0.21</v>
      </c>
      <c r="T390" s="90">
        <v>0</v>
      </c>
      <c r="U390" s="363"/>
      <c r="V390" s="95">
        <f t="shared" ref="V390" si="206">SUM(Q390-(Q390*T390))*S390+(Q390-(Q390*T390))</f>
        <v>105.0038</v>
      </c>
      <c r="W390" s="1"/>
      <c r="X390" s="5" t="s">
        <v>13479</v>
      </c>
      <c r="Y390" s="2">
        <v>31205</v>
      </c>
      <c r="Z390" s="2">
        <v>45922</v>
      </c>
      <c r="AA390" s="2"/>
      <c r="AB390" s="3"/>
      <c r="AC390" s="80"/>
      <c r="AF390" t="s">
        <v>3198</v>
      </c>
      <c r="AI390" s="76" t="s">
        <v>3470</v>
      </c>
      <c r="AJ390" s="2"/>
      <c r="AM390" s="3"/>
    </row>
    <row r="391" spans="1:46">
      <c r="A391" s="1">
        <v>390</v>
      </c>
      <c r="B391" t="s">
        <v>143</v>
      </c>
      <c r="C391" s="2">
        <v>45922</v>
      </c>
      <c r="D391" s="403" t="s">
        <v>9900</v>
      </c>
      <c r="E391" s="1" t="s">
        <v>13104</v>
      </c>
      <c r="F391" t="s">
        <v>12926</v>
      </c>
      <c r="G391" t="s">
        <v>10519</v>
      </c>
      <c r="H391" s="6" t="s">
        <v>236</v>
      </c>
      <c r="I391" s="1" t="s">
        <v>110</v>
      </c>
      <c r="J391" s="1" t="s">
        <v>12927</v>
      </c>
      <c r="K391" s="396"/>
      <c r="L391" s="1" t="s">
        <v>13104</v>
      </c>
      <c r="M391" s="2">
        <v>45930</v>
      </c>
      <c r="N391" s="1" t="s">
        <v>35</v>
      </c>
      <c r="O391" s="61" t="s">
        <v>12352</v>
      </c>
      <c r="P391" s="14" t="s">
        <v>12928</v>
      </c>
      <c r="Q391" s="92">
        <v>165.29</v>
      </c>
      <c r="R391" s="1">
        <v>1</v>
      </c>
      <c r="S391" s="128">
        <v>0.21</v>
      </c>
      <c r="T391" s="128">
        <v>0</v>
      </c>
      <c r="U391" s="95"/>
      <c r="V391" s="126">
        <f t="shared" ref="V391" si="207">SUM(Q391-(Q391*T391))*S391+(Q391-(Q391*T391))</f>
        <v>200.0009</v>
      </c>
      <c r="W391" t="s">
        <v>13104</v>
      </c>
      <c r="X391" s="5" t="s">
        <v>13105</v>
      </c>
      <c r="Y391" s="2">
        <v>30682</v>
      </c>
      <c r="Z391" s="2">
        <v>45922</v>
      </c>
      <c r="AA391" s="2"/>
      <c r="AB391" s="3"/>
      <c r="AC391" s="80"/>
      <c r="AF391" t="s">
        <v>3198</v>
      </c>
      <c r="AI391" s="76" t="s">
        <v>3392</v>
      </c>
      <c r="AJ391" s="2">
        <v>45940</v>
      </c>
      <c r="AM391" s="3"/>
    </row>
    <row r="392" spans="1:46">
      <c r="A392" s="1">
        <v>391</v>
      </c>
      <c r="B392" t="s">
        <v>33</v>
      </c>
      <c r="C392" s="2">
        <v>45922</v>
      </c>
      <c r="D392" s="2"/>
      <c r="E392" s="1" t="s">
        <v>5021</v>
      </c>
      <c r="F392" t="s">
        <v>5014</v>
      </c>
      <c r="G392" t="s">
        <v>5020</v>
      </c>
      <c r="H392" s="6" t="s">
        <v>219</v>
      </c>
      <c r="I392" s="1" t="s">
        <v>38</v>
      </c>
      <c r="J392" s="1"/>
      <c r="K392" s="114" t="s">
        <v>11744</v>
      </c>
      <c r="L392" s="1" t="s">
        <v>237</v>
      </c>
      <c r="M392" s="2">
        <v>45930</v>
      </c>
      <c r="N392" s="1" t="s">
        <v>35</v>
      </c>
      <c r="O392" s="14" t="s">
        <v>7934</v>
      </c>
      <c r="P392" s="14" t="s">
        <v>12930</v>
      </c>
      <c r="Q392" s="92">
        <v>69.42</v>
      </c>
      <c r="R392" s="1">
        <v>1</v>
      </c>
      <c r="S392" s="128">
        <v>0.21</v>
      </c>
      <c r="T392" s="128">
        <v>0</v>
      </c>
      <c r="U392" s="363"/>
      <c r="V392" s="95">
        <f>SUM(Q392-(Q392*T392))*S392+(Q392-(Q392*T392))</f>
        <v>83.998199999999997</v>
      </c>
      <c r="W392" t="s">
        <v>9549</v>
      </c>
      <c r="X392" s="5" t="s">
        <v>13455</v>
      </c>
      <c r="Y392" s="2">
        <v>35091</v>
      </c>
      <c r="Z392" s="2">
        <v>45922</v>
      </c>
      <c r="AA392" s="2"/>
      <c r="AB392" s="2"/>
      <c r="AC392" s="80"/>
      <c r="AD392" s="61"/>
      <c r="AF392" t="s">
        <v>3198</v>
      </c>
      <c r="AI392" s="76" t="s">
        <v>3470</v>
      </c>
      <c r="AJ392" s="2"/>
      <c r="AM392" s="2"/>
      <c r="AS392" s="1"/>
      <c r="AT392" s="1"/>
    </row>
    <row r="393" spans="1:46">
      <c r="A393" s="1">
        <v>392</v>
      </c>
      <c r="B393" t="s">
        <v>4321</v>
      </c>
      <c r="C393" s="2">
        <v>45922</v>
      </c>
      <c r="D393" s="2"/>
      <c r="E393" s="1" t="s">
        <v>4731</v>
      </c>
      <c r="F393" s="14" t="s">
        <v>4732</v>
      </c>
      <c r="G393" t="s">
        <v>4733</v>
      </c>
      <c r="H393" s="6" t="s">
        <v>250</v>
      </c>
      <c r="I393" s="1" t="s">
        <v>86</v>
      </c>
      <c r="J393" s="295">
        <v>678011818</v>
      </c>
      <c r="K393" s="301" t="s">
        <v>5991</v>
      </c>
      <c r="L393" t="s">
        <v>4731</v>
      </c>
      <c r="M393" s="2">
        <v>45930</v>
      </c>
      <c r="N393" s="1" t="s">
        <v>35</v>
      </c>
      <c r="O393" s="61" t="s">
        <v>7934</v>
      </c>
      <c r="P393" s="14" t="s">
        <v>9133</v>
      </c>
      <c r="Q393" s="92">
        <v>69.42</v>
      </c>
      <c r="R393" s="1">
        <v>1</v>
      </c>
      <c r="S393" s="90">
        <v>0.21</v>
      </c>
      <c r="T393" s="90">
        <v>0</v>
      </c>
      <c r="V393" s="95">
        <f t="shared" ref="V393" si="208">SUM(Q393-(Q393*T393))*S393+(Q393-(Q393*T393))</f>
        <v>83.998199999999997</v>
      </c>
      <c r="W393" t="s">
        <v>6896</v>
      </c>
      <c r="X393" s="5" t="s">
        <v>12931</v>
      </c>
      <c r="Y393" s="2">
        <v>30776</v>
      </c>
      <c r="Z393" s="2">
        <v>45922</v>
      </c>
      <c r="AA393" s="2"/>
      <c r="AB393" s="3"/>
      <c r="AC393" s="80"/>
      <c r="AF393" t="s">
        <v>3198</v>
      </c>
      <c r="AI393" s="76" t="s">
        <v>3470</v>
      </c>
      <c r="AJ393" s="2"/>
      <c r="AM393" s="74"/>
      <c r="AT393" s="1"/>
    </row>
    <row r="394" spans="1:46">
      <c r="A394" s="1">
        <v>393</v>
      </c>
      <c r="B394" t="s">
        <v>5635</v>
      </c>
      <c r="C394" s="2">
        <v>45922</v>
      </c>
      <c r="D394" s="403" t="s">
        <v>9900</v>
      </c>
      <c r="E394" s="1" t="s">
        <v>12932</v>
      </c>
      <c r="F394" s="375" t="s">
        <v>12933</v>
      </c>
      <c r="G394" t="s">
        <v>12934</v>
      </c>
      <c r="H394" s="6" t="s">
        <v>1402</v>
      </c>
      <c r="I394" s="1" t="s">
        <v>49</v>
      </c>
      <c r="J394" s="295"/>
      <c r="K394" s="301" t="s">
        <v>7800</v>
      </c>
      <c r="L394" s="1" t="s">
        <v>12932</v>
      </c>
      <c r="M394" s="2">
        <v>45930</v>
      </c>
      <c r="N394" s="1" t="s">
        <v>35</v>
      </c>
      <c r="O394" s="61" t="s">
        <v>12352</v>
      </c>
      <c r="P394" s="14" t="s">
        <v>12935</v>
      </c>
      <c r="Q394" s="92">
        <v>115.7</v>
      </c>
      <c r="R394" s="1">
        <v>1</v>
      </c>
      <c r="S394" s="90">
        <v>0.21</v>
      </c>
      <c r="T394" s="90">
        <v>0</v>
      </c>
      <c r="U394" s="363"/>
      <c r="V394" s="126">
        <f t="shared" ref="V394:V403" si="209">SUM(Q394-(Q394*T394))*S394+(Q394-(Q394*T394))</f>
        <v>139.99700000000001</v>
      </c>
      <c r="W394" t="s">
        <v>13124</v>
      </c>
      <c r="X394" s="5" t="s">
        <v>13125</v>
      </c>
      <c r="Y394" s="2">
        <v>29879</v>
      </c>
      <c r="Z394" s="2">
        <v>45922</v>
      </c>
      <c r="AA394" s="2"/>
      <c r="AB394" s="2"/>
      <c r="AC394" s="80"/>
      <c r="AF394" t="s">
        <v>3198</v>
      </c>
      <c r="AI394" s="76" t="s">
        <v>3392</v>
      </c>
      <c r="AJ394" s="2">
        <v>45940</v>
      </c>
      <c r="AM394" s="74"/>
      <c r="AT394" s="1"/>
    </row>
    <row r="395" spans="1:46">
      <c r="A395" s="1">
        <v>394</v>
      </c>
      <c r="B395" t="s">
        <v>33</v>
      </c>
      <c r="C395" s="2">
        <v>45922</v>
      </c>
      <c r="D395" s="2"/>
      <c r="E395" s="1" t="s">
        <v>5282</v>
      </c>
      <c r="F395" t="s">
        <v>5283</v>
      </c>
      <c r="G395" s="1" t="s">
        <v>5284</v>
      </c>
      <c r="H395" s="6" t="s">
        <v>3709</v>
      </c>
      <c r="I395" s="1" t="s">
        <v>5285</v>
      </c>
      <c r="J395" s="1"/>
      <c r="K395" s="114" t="s">
        <v>11744</v>
      </c>
      <c r="L395" s="1" t="s">
        <v>5282</v>
      </c>
      <c r="M395" s="2">
        <v>45930</v>
      </c>
      <c r="N395" s="1" t="s">
        <v>35</v>
      </c>
      <c r="O395" s="61" t="s">
        <v>12352</v>
      </c>
      <c r="P395" s="14" t="s">
        <v>12936</v>
      </c>
      <c r="Q395" s="92">
        <v>115.7</v>
      </c>
      <c r="R395" s="1">
        <v>1</v>
      </c>
      <c r="S395" s="90">
        <v>0.21</v>
      </c>
      <c r="T395" s="90">
        <v>0</v>
      </c>
      <c r="U395" s="363"/>
      <c r="V395" s="126">
        <f t="shared" ref="V395" si="210">SUM(Q395-(Q395*T395))*S395+(Q395-(Q395*T395))</f>
        <v>139.99700000000001</v>
      </c>
      <c r="W395" t="s">
        <v>13112</v>
      </c>
      <c r="X395" s="5" t="s">
        <v>13113</v>
      </c>
      <c r="Y395" s="2">
        <v>37386</v>
      </c>
      <c r="Z395" s="2">
        <v>45922</v>
      </c>
      <c r="AA395" s="2"/>
      <c r="AB395" s="64"/>
      <c r="AC395" s="80"/>
      <c r="AF395" t="s">
        <v>3198</v>
      </c>
      <c r="AI395" t="s">
        <v>12937</v>
      </c>
      <c r="AJ395" s="2">
        <v>45940</v>
      </c>
      <c r="AM395" s="3">
        <v>45952</v>
      </c>
      <c r="AT395" s="1"/>
    </row>
    <row r="396" spans="1:46">
      <c r="A396" s="1">
        <v>395</v>
      </c>
      <c r="B396" t="s">
        <v>4321</v>
      </c>
      <c r="C396" s="2">
        <v>45929</v>
      </c>
      <c r="D396" s="403" t="s">
        <v>9900</v>
      </c>
      <c r="E396" s="1" t="s">
        <v>12943</v>
      </c>
      <c r="F396" s="14" t="s">
        <v>12944</v>
      </c>
      <c r="G396" t="s">
        <v>12945</v>
      </c>
      <c r="H396" s="6" t="s">
        <v>239</v>
      </c>
      <c r="I396" s="1" t="s">
        <v>2585</v>
      </c>
      <c r="J396" s="295"/>
      <c r="K396" s="8" t="s">
        <v>5991</v>
      </c>
      <c r="L396" s="1" t="s">
        <v>12943</v>
      </c>
      <c r="M396" s="2">
        <v>45930</v>
      </c>
      <c r="N396" s="1" t="s">
        <v>35</v>
      </c>
      <c r="O396" s="61" t="s">
        <v>12352</v>
      </c>
      <c r="P396" s="14" t="s">
        <v>12946</v>
      </c>
      <c r="Q396" s="92">
        <v>115.7</v>
      </c>
      <c r="R396" s="1">
        <v>1</v>
      </c>
      <c r="S396" s="90">
        <v>0.21</v>
      </c>
      <c r="T396" s="90">
        <v>0</v>
      </c>
      <c r="V396" s="95">
        <f t="shared" ref="V396" si="211">SUM(Q396-(Q396*T396))*S396+(Q396-(Q396*T396))</f>
        <v>139.99700000000001</v>
      </c>
      <c r="W396" t="s">
        <v>13344</v>
      </c>
      <c r="X396" s="5" t="s">
        <v>13345</v>
      </c>
      <c r="Y396" s="2">
        <v>36140</v>
      </c>
      <c r="Z396" s="2">
        <v>45929</v>
      </c>
      <c r="AA396" s="2"/>
      <c r="AB396" s="3"/>
      <c r="AC396" s="80"/>
      <c r="AF396" t="s">
        <v>3198</v>
      </c>
      <c r="AI396" s="76" t="s">
        <v>12947</v>
      </c>
      <c r="AJ396" s="2">
        <v>45959</v>
      </c>
      <c r="AM396" s="74"/>
      <c r="AT396" s="1"/>
    </row>
    <row r="397" spans="1:46">
      <c r="A397" s="1">
        <v>396</v>
      </c>
      <c r="B397" t="s">
        <v>4321</v>
      </c>
      <c r="C397" s="2">
        <v>45929</v>
      </c>
      <c r="D397" s="403" t="s">
        <v>9900</v>
      </c>
      <c r="E397" s="1" t="s">
        <v>12978</v>
      </c>
      <c r="F397" s="375" t="s">
        <v>12979</v>
      </c>
      <c r="G397" t="s">
        <v>12980</v>
      </c>
      <c r="H397" s="6" t="s">
        <v>239</v>
      </c>
      <c r="I397" s="1" t="s">
        <v>2585</v>
      </c>
      <c r="J397" s="295"/>
      <c r="K397" s="8" t="s">
        <v>5991</v>
      </c>
      <c r="L397" s="1" t="s">
        <v>12978</v>
      </c>
      <c r="M397" s="2">
        <v>45930</v>
      </c>
      <c r="N397" s="1" t="s">
        <v>35</v>
      </c>
      <c r="O397" s="61" t="s">
        <v>9758</v>
      </c>
      <c r="P397" s="14" t="s">
        <v>12981</v>
      </c>
      <c r="Q397" s="92">
        <v>115.7</v>
      </c>
      <c r="R397" s="1">
        <v>1</v>
      </c>
      <c r="S397" s="90">
        <v>0.21</v>
      </c>
      <c r="T397" s="90">
        <v>0</v>
      </c>
      <c r="V397" s="95">
        <f t="shared" ref="V397" si="212">SUM(Q397-(Q397*T397))*S397+(Q397-(Q397*T397))</f>
        <v>139.99700000000001</v>
      </c>
      <c r="X397" s="5" t="s">
        <v>13480</v>
      </c>
      <c r="Y397" s="2">
        <v>35179</v>
      </c>
      <c r="Z397" s="2">
        <v>45929</v>
      </c>
      <c r="AA397" s="2"/>
      <c r="AB397" s="2"/>
      <c r="AC397" s="80"/>
      <c r="AF397" t="s">
        <v>3198</v>
      </c>
      <c r="AI397" s="76" t="s">
        <v>10751</v>
      </c>
      <c r="AJ397" s="2"/>
      <c r="AM397" s="74"/>
      <c r="AT397" s="1"/>
    </row>
    <row r="398" spans="1:46">
      <c r="A398" s="1">
        <v>397</v>
      </c>
      <c r="B398" t="s">
        <v>1242</v>
      </c>
      <c r="C398" s="2">
        <v>45929</v>
      </c>
      <c r="D398" s="2"/>
      <c r="E398" s="1" t="s">
        <v>8761</v>
      </c>
      <c r="F398" t="s">
        <v>8762</v>
      </c>
      <c r="G398" t="s">
        <v>7441</v>
      </c>
      <c r="H398" s="6" t="s">
        <v>221</v>
      </c>
      <c r="I398" s="1" t="s">
        <v>34</v>
      </c>
      <c r="J398" s="295"/>
      <c r="K398" s="8" t="s">
        <v>5905</v>
      </c>
      <c r="L398" s="31" t="s">
        <v>1250</v>
      </c>
      <c r="M398" s="2">
        <v>45930</v>
      </c>
      <c r="N398" s="1" t="s">
        <v>35</v>
      </c>
      <c r="O398" s="61" t="s">
        <v>7928</v>
      </c>
      <c r="P398" s="14" t="s">
        <v>12982</v>
      </c>
      <c r="Q398" s="92">
        <v>115.7</v>
      </c>
      <c r="R398" s="1">
        <v>1</v>
      </c>
      <c r="S398" s="90">
        <v>0.21</v>
      </c>
      <c r="T398" s="90">
        <v>0</v>
      </c>
      <c r="V398" s="95">
        <f t="shared" ref="V398" si="213">SUM(Q398-(Q398*T398))*S398+(Q398-(Q398*T398))</f>
        <v>139.99700000000001</v>
      </c>
      <c r="W398" t="s">
        <v>13349</v>
      </c>
      <c r="X398" s="5" t="s">
        <v>13348</v>
      </c>
      <c r="Y398" s="2">
        <v>35614</v>
      </c>
      <c r="Z398" s="2">
        <v>45929</v>
      </c>
      <c r="AA398" s="2"/>
      <c r="AB398" s="2"/>
      <c r="AC398" s="80"/>
      <c r="AF398" t="s">
        <v>3198</v>
      </c>
      <c r="AI398" s="76" t="s">
        <v>3392</v>
      </c>
      <c r="AJ398" s="2">
        <v>45959</v>
      </c>
      <c r="AK398" s="74"/>
      <c r="AL398" s="74"/>
      <c r="AM398" s="74"/>
      <c r="AT398" s="1"/>
    </row>
    <row r="399" spans="1:46">
      <c r="A399" s="1">
        <v>398</v>
      </c>
      <c r="B399" s="61" t="s">
        <v>52</v>
      </c>
      <c r="C399" s="2">
        <v>45929</v>
      </c>
      <c r="D399" s="2"/>
      <c r="E399" s="1" t="s">
        <v>12983</v>
      </c>
      <c r="F399" s="61" t="s">
        <v>13000</v>
      </c>
      <c r="G399" s="61" t="s">
        <v>12984</v>
      </c>
      <c r="H399" s="6" t="s">
        <v>221</v>
      </c>
      <c r="I399" s="1" t="s">
        <v>34</v>
      </c>
      <c r="J399" s="8"/>
      <c r="K399" s="8" t="s">
        <v>5906</v>
      </c>
      <c r="L399" t="s">
        <v>4432</v>
      </c>
      <c r="M399" s="2">
        <v>45930</v>
      </c>
      <c r="N399" s="1" t="s">
        <v>35</v>
      </c>
      <c r="O399" s="61" t="s">
        <v>9758</v>
      </c>
      <c r="P399" s="14" t="s">
        <v>12999</v>
      </c>
      <c r="Q399" s="144">
        <v>115.7</v>
      </c>
      <c r="R399" s="1">
        <v>1</v>
      </c>
      <c r="S399" s="90">
        <v>0.21</v>
      </c>
      <c r="T399" s="90">
        <v>0</v>
      </c>
      <c r="U399" s="363"/>
      <c r="V399" s="95">
        <f t="shared" ref="V399" si="214">SUM(Q399-(Q399*T399))*S399+(Q399-(Q399*T399))</f>
        <v>139.99700000000001</v>
      </c>
      <c r="W399" t="s">
        <v>13126</v>
      </c>
      <c r="X399" s="5" t="s">
        <v>13127</v>
      </c>
      <c r="Y399" s="2">
        <v>34678</v>
      </c>
      <c r="Z399" s="2">
        <v>45929</v>
      </c>
      <c r="AA399" s="61"/>
      <c r="AB399" s="64"/>
      <c r="AC399" s="80"/>
      <c r="AF399" t="s">
        <v>3198</v>
      </c>
      <c r="AI399" t="s">
        <v>3470</v>
      </c>
      <c r="AJ399" s="3">
        <v>45940</v>
      </c>
      <c r="AK399" s="1"/>
      <c r="AM399" s="74">
        <v>45957</v>
      </c>
      <c r="AT399" s="1"/>
    </row>
    <row r="400" spans="1:46">
      <c r="A400" s="1">
        <v>399</v>
      </c>
      <c r="B400" t="s">
        <v>5635</v>
      </c>
      <c r="C400" s="2">
        <v>45929</v>
      </c>
      <c r="D400" s="403" t="s">
        <v>9900</v>
      </c>
      <c r="E400" s="1" t="s">
        <v>12985</v>
      </c>
      <c r="F400" s="375" t="s">
        <v>12986</v>
      </c>
      <c r="G400" t="s">
        <v>12987</v>
      </c>
      <c r="H400" s="6" t="s">
        <v>964</v>
      </c>
      <c r="I400" s="1" t="s">
        <v>1366</v>
      </c>
      <c r="J400" s="295"/>
      <c r="K400" s="301" t="s">
        <v>7805</v>
      </c>
      <c r="L400" s="1" t="s">
        <v>12985</v>
      </c>
      <c r="M400" s="2">
        <v>45930</v>
      </c>
      <c r="N400" s="1" t="s">
        <v>35</v>
      </c>
      <c r="O400" s="61" t="s">
        <v>12352</v>
      </c>
      <c r="P400" s="14" t="s">
        <v>13350</v>
      </c>
      <c r="Q400" s="144">
        <v>115.7</v>
      </c>
      <c r="R400" s="1">
        <v>1</v>
      </c>
      <c r="S400" s="90">
        <v>0.21</v>
      </c>
      <c r="T400" s="90">
        <v>0</v>
      </c>
      <c r="U400" s="363"/>
      <c r="V400" s="95">
        <f t="shared" ref="V400" si="215">SUM(Q400-(Q400*T400))*S400+(Q400-(Q400*T400))</f>
        <v>139.99700000000001</v>
      </c>
      <c r="W400" t="s">
        <v>13351</v>
      </c>
      <c r="X400" s="5" t="s">
        <v>13352</v>
      </c>
      <c r="Y400" s="2">
        <v>33279</v>
      </c>
      <c r="Z400" s="2">
        <v>45929</v>
      </c>
      <c r="AA400" s="2"/>
      <c r="AB400" s="2"/>
      <c r="AC400" s="80"/>
      <c r="AF400" t="s">
        <v>3198</v>
      </c>
      <c r="AI400" s="76" t="s">
        <v>3392</v>
      </c>
      <c r="AJ400" s="2">
        <v>45959</v>
      </c>
      <c r="AM400" s="74"/>
      <c r="AT400" s="1"/>
    </row>
    <row r="401" spans="1:46">
      <c r="A401" s="1">
        <v>400</v>
      </c>
      <c r="B401" t="s">
        <v>5635</v>
      </c>
      <c r="C401" s="2">
        <v>45929</v>
      </c>
      <c r="D401" s="2"/>
      <c r="E401" s="1" t="s">
        <v>12985</v>
      </c>
      <c r="F401" s="375" t="s">
        <v>12986</v>
      </c>
      <c r="G401" t="s">
        <v>12987</v>
      </c>
      <c r="H401" s="6" t="s">
        <v>964</v>
      </c>
      <c r="I401" s="1" t="s">
        <v>1366</v>
      </c>
      <c r="J401" s="295"/>
      <c r="K401" s="301" t="s">
        <v>7805</v>
      </c>
      <c r="L401" s="1" t="s">
        <v>12985</v>
      </c>
      <c r="M401" s="2">
        <v>45930</v>
      </c>
      <c r="N401" s="1" t="s">
        <v>35</v>
      </c>
      <c r="O401" s="61" t="s">
        <v>12352</v>
      </c>
      <c r="P401" s="14" t="s">
        <v>12988</v>
      </c>
      <c r="Q401" s="144">
        <v>115.7</v>
      </c>
      <c r="R401" s="1">
        <v>1</v>
      </c>
      <c r="S401" s="90">
        <v>0.21</v>
      </c>
      <c r="T401" s="90">
        <v>0</v>
      </c>
      <c r="U401" s="363"/>
      <c r="V401" s="95">
        <f t="shared" ref="V401:V402" si="216">SUM(Q401-(Q401*T401))*S401+(Q401-(Q401*T401))</f>
        <v>139.99700000000001</v>
      </c>
      <c r="W401" t="s">
        <v>13370</v>
      </c>
      <c r="X401" s="5" t="s">
        <v>13371</v>
      </c>
      <c r="Y401" s="2">
        <v>31948</v>
      </c>
      <c r="Z401" s="2">
        <v>45929</v>
      </c>
      <c r="AA401" s="2"/>
      <c r="AB401" s="2"/>
      <c r="AC401" s="80"/>
      <c r="AF401" t="s">
        <v>3198</v>
      </c>
      <c r="AI401" s="503" t="s">
        <v>3392</v>
      </c>
      <c r="AJ401" s="2">
        <v>45959</v>
      </c>
      <c r="AM401" s="74">
        <v>45965</v>
      </c>
      <c r="AT401" s="1"/>
    </row>
    <row r="402" spans="1:46">
      <c r="A402" s="1">
        <v>401</v>
      </c>
      <c r="B402" t="s">
        <v>33</v>
      </c>
      <c r="C402" s="2">
        <v>45929</v>
      </c>
      <c r="D402" s="2"/>
      <c r="E402" s="1" t="s">
        <v>8131</v>
      </c>
      <c r="F402" t="s">
        <v>8132</v>
      </c>
      <c r="G402" t="s">
        <v>8133</v>
      </c>
      <c r="H402" s="6" t="s">
        <v>219</v>
      </c>
      <c r="I402" s="1" t="s">
        <v>4334</v>
      </c>
      <c r="J402" s="1"/>
      <c r="K402" s="114" t="s">
        <v>11744</v>
      </c>
      <c r="L402" s="1" t="s">
        <v>237</v>
      </c>
      <c r="M402" s="2">
        <v>45930</v>
      </c>
      <c r="N402" s="1" t="s">
        <v>35</v>
      </c>
      <c r="O402" s="61" t="s">
        <v>9758</v>
      </c>
      <c r="P402" s="14" t="s">
        <v>12989</v>
      </c>
      <c r="Q402" s="144">
        <v>115.7</v>
      </c>
      <c r="R402" s="1">
        <v>1</v>
      </c>
      <c r="S402" s="128">
        <v>0.21</v>
      </c>
      <c r="T402" s="128">
        <v>0</v>
      </c>
      <c r="U402" s="1"/>
      <c r="V402" s="95">
        <f t="shared" si="216"/>
        <v>139.99700000000001</v>
      </c>
      <c r="W402" t="s">
        <v>13128</v>
      </c>
      <c r="X402" s="5" t="s">
        <v>13129</v>
      </c>
      <c r="Y402" s="3">
        <v>39055</v>
      </c>
      <c r="Z402" s="2">
        <v>45929</v>
      </c>
      <c r="AA402" s="2"/>
      <c r="AB402" s="64"/>
      <c r="AC402" s="80"/>
      <c r="AF402" t="s">
        <v>3198</v>
      </c>
      <c r="AI402" t="s">
        <v>3470</v>
      </c>
      <c r="AJ402" s="3">
        <v>45940</v>
      </c>
      <c r="AM402" s="3">
        <v>45944</v>
      </c>
    </row>
    <row r="403" spans="1:46">
      <c r="A403" s="1">
        <v>402</v>
      </c>
      <c r="B403" t="s">
        <v>37</v>
      </c>
      <c r="C403" s="2">
        <v>45929</v>
      </c>
      <c r="D403" s="403" t="s">
        <v>9900</v>
      </c>
      <c r="E403" s="1" t="s">
        <v>12990</v>
      </c>
      <c r="F403" s="375" t="s">
        <v>12991</v>
      </c>
      <c r="G403" t="s">
        <v>12992</v>
      </c>
      <c r="H403" s="6" t="s">
        <v>12993</v>
      </c>
      <c r="I403" s="1" t="s">
        <v>12994</v>
      </c>
      <c r="J403" s="295"/>
      <c r="K403" s="8"/>
      <c r="L403" s="1" t="s">
        <v>12990</v>
      </c>
      <c r="M403" s="2">
        <v>45930</v>
      </c>
      <c r="N403" s="1" t="s">
        <v>35</v>
      </c>
      <c r="O403" s="61" t="s">
        <v>7934</v>
      </c>
      <c r="P403" s="14" t="s">
        <v>12995</v>
      </c>
      <c r="Q403" s="92">
        <v>86.78</v>
      </c>
      <c r="R403" s="1">
        <v>1</v>
      </c>
      <c r="S403" s="90">
        <v>0.21</v>
      </c>
      <c r="T403" s="90">
        <v>0</v>
      </c>
      <c r="U403" s="363"/>
      <c r="V403" s="126">
        <f t="shared" si="209"/>
        <v>105.0038</v>
      </c>
      <c r="W403" t="s">
        <v>12990</v>
      </c>
      <c r="X403" s="5" t="s">
        <v>13384</v>
      </c>
      <c r="Y403" s="2">
        <v>38074</v>
      </c>
      <c r="Z403" s="2">
        <v>45929</v>
      </c>
      <c r="AA403" s="2"/>
      <c r="AB403" s="2"/>
      <c r="AC403" s="80"/>
      <c r="AF403" t="s">
        <v>3198</v>
      </c>
      <c r="AI403" s="503" t="s">
        <v>3470</v>
      </c>
      <c r="AJ403" s="2">
        <v>45959</v>
      </c>
      <c r="AM403" s="74">
        <v>45965</v>
      </c>
      <c r="AT403" s="1"/>
    </row>
    <row r="404" spans="1:46">
      <c r="A404" s="1">
        <v>403</v>
      </c>
      <c r="B404" t="s">
        <v>1511</v>
      </c>
      <c r="C404" s="2">
        <v>45929</v>
      </c>
      <c r="D404" s="2"/>
      <c r="E404" t="s">
        <v>105</v>
      </c>
      <c r="F404" s="61" t="s">
        <v>132</v>
      </c>
      <c r="G404" s="61" t="s">
        <v>10324</v>
      </c>
      <c r="H404" s="6" t="s">
        <v>239</v>
      </c>
      <c r="I404" s="1" t="s">
        <v>86</v>
      </c>
      <c r="J404" s="8">
        <v>634741583</v>
      </c>
      <c r="K404" s="1"/>
      <c r="L404" s="1" t="s">
        <v>105</v>
      </c>
      <c r="M404" s="2">
        <v>45930</v>
      </c>
      <c r="N404" s="1" t="s">
        <v>35</v>
      </c>
      <c r="O404" s="61" t="s">
        <v>7934</v>
      </c>
      <c r="P404" s="14" t="s">
        <v>12996</v>
      </c>
      <c r="Q404" s="92">
        <v>86.78</v>
      </c>
      <c r="R404" s="1">
        <v>1</v>
      </c>
      <c r="S404" s="90">
        <v>0.21</v>
      </c>
      <c r="T404" s="90">
        <v>0</v>
      </c>
      <c r="U404" s="363"/>
      <c r="V404" s="126">
        <f t="shared" ref="V404" si="217">SUM(Q404-(Q404*T404))*S404+(Q404-(Q404*T404))</f>
        <v>105.0038</v>
      </c>
      <c r="W404" t="s">
        <v>10358</v>
      </c>
      <c r="X404" s="5" t="s">
        <v>12997</v>
      </c>
      <c r="Y404" s="2">
        <v>38672</v>
      </c>
      <c r="Z404" s="2">
        <v>45929</v>
      </c>
      <c r="AA404" s="2"/>
      <c r="AB404" s="3"/>
      <c r="AC404" s="80"/>
      <c r="AF404" t="s">
        <v>3198</v>
      </c>
      <c r="AI404" s="76" t="s">
        <v>3470</v>
      </c>
      <c r="AJ404" s="2"/>
      <c r="AM404" s="74"/>
      <c r="AS404" s="96"/>
      <c r="AT404" s="1"/>
    </row>
    <row r="405" spans="1:46">
      <c r="A405" s="1">
        <v>404</v>
      </c>
      <c r="B405" t="s">
        <v>4321</v>
      </c>
      <c r="C405" s="2">
        <v>45930</v>
      </c>
      <c r="D405" s="2"/>
      <c r="E405" s="1" t="s">
        <v>11018</v>
      </c>
      <c r="F405" s="61" t="s">
        <v>11019</v>
      </c>
      <c r="G405" s="61" t="s">
        <v>11020</v>
      </c>
      <c r="H405" s="6" t="s">
        <v>250</v>
      </c>
      <c r="I405" s="1" t="s">
        <v>86</v>
      </c>
      <c r="J405" s="8"/>
      <c r="K405" s="8" t="s">
        <v>5991</v>
      </c>
      <c r="L405" s="1" t="s">
        <v>11018</v>
      </c>
      <c r="M405" s="2">
        <v>45930</v>
      </c>
      <c r="N405" s="1" t="s">
        <v>35</v>
      </c>
      <c r="O405" s="61" t="s">
        <v>7934</v>
      </c>
      <c r="P405" s="14" t="s">
        <v>12998</v>
      </c>
      <c r="Q405" s="187">
        <v>115.7</v>
      </c>
      <c r="R405" s="1">
        <v>1</v>
      </c>
      <c r="S405" s="90">
        <v>0.21</v>
      </c>
      <c r="T405" s="128">
        <v>0</v>
      </c>
      <c r="U405" s="363"/>
      <c r="V405" s="126">
        <f t="shared" ref="V405:V406" si="218">SUM(Q405-(Q405*T405))*S405+(Q405-(Q405*T405))</f>
        <v>139.99700000000001</v>
      </c>
      <c r="W405" t="s">
        <v>11022</v>
      </c>
      <c r="X405" s="5" t="s">
        <v>13379</v>
      </c>
      <c r="Y405" s="2">
        <v>32174</v>
      </c>
      <c r="Z405" s="2">
        <v>45930</v>
      </c>
      <c r="AA405" s="2"/>
      <c r="AB405" s="2"/>
      <c r="AC405" s="80"/>
      <c r="AF405" t="s">
        <v>3198</v>
      </c>
      <c r="AI405" t="s">
        <v>3470</v>
      </c>
      <c r="AJ405" s="2">
        <v>45959</v>
      </c>
      <c r="AM405" s="3">
        <v>45961</v>
      </c>
    </row>
    <row r="406" spans="1:46" s="457" customFormat="1" ht="14.25" customHeight="1" thickBot="1">
      <c r="A406" s="456">
        <v>405</v>
      </c>
      <c r="B406" s="457" t="s">
        <v>9170</v>
      </c>
      <c r="C406" s="458">
        <v>45930</v>
      </c>
      <c r="D406" s="458"/>
      <c r="E406" s="456" t="s">
        <v>256</v>
      </c>
      <c r="F406" s="494" t="s">
        <v>155</v>
      </c>
      <c r="G406" s="495" t="s">
        <v>138</v>
      </c>
      <c r="H406" s="496" t="s">
        <v>227</v>
      </c>
      <c r="I406" s="472" t="s">
        <v>203</v>
      </c>
      <c r="J406" s="472">
        <v>659409676</v>
      </c>
      <c r="K406" s="497" t="s">
        <v>12858</v>
      </c>
      <c r="L406" s="456" t="s">
        <v>256</v>
      </c>
      <c r="M406" s="458">
        <v>45930</v>
      </c>
      <c r="N406" s="456" t="s">
        <v>35</v>
      </c>
      <c r="O406" s="459" t="s">
        <v>7934</v>
      </c>
      <c r="P406" s="463" t="s">
        <v>13001</v>
      </c>
      <c r="Q406" s="464">
        <v>69.42</v>
      </c>
      <c r="R406" s="456">
        <v>1</v>
      </c>
      <c r="S406" s="483">
        <v>0.21</v>
      </c>
      <c r="T406" s="483">
        <v>0</v>
      </c>
      <c r="U406" s="466"/>
      <c r="V406" s="467">
        <f t="shared" si="218"/>
        <v>83.998199999999997</v>
      </c>
      <c r="W406" s="457" t="s">
        <v>6571</v>
      </c>
      <c r="X406" s="468" t="s">
        <v>13002</v>
      </c>
      <c r="Y406" s="498">
        <v>28378</v>
      </c>
      <c r="Z406" s="458">
        <v>45930</v>
      </c>
      <c r="AA406" s="458"/>
      <c r="AB406" s="458"/>
      <c r="AC406" s="469"/>
      <c r="AF406" s="457" t="s">
        <v>3198</v>
      </c>
      <c r="AI406" s="488" t="s">
        <v>3470</v>
      </c>
      <c r="AJ406" s="470"/>
      <c r="AM406" s="478"/>
      <c r="AS406" s="456"/>
    </row>
    <row r="407" spans="1:46" ht="15.75" thickTop="1">
      <c r="A407" s="1">
        <v>406</v>
      </c>
      <c r="B407" t="s">
        <v>33</v>
      </c>
      <c r="C407" s="2">
        <v>45930</v>
      </c>
      <c r="D407" s="2"/>
      <c r="E407" s="1" t="s">
        <v>5021</v>
      </c>
      <c r="F407" t="s">
        <v>5014</v>
      </c>
      <c r="G407" t="s">
        <v>5020</v>
      </c>
      <c r="H407" s="6" t="s">
        <v>219</v>
      </c>
      <c r="I407" s="1" t="s">
        <v>38</v>
      </c>
      <c r="J407" s="1"/>
      <c r="K407" s="114" t="s">
        <v>11744</v>
      </c>
      <c r="L407" s="1" t="s">
        <v>237</v>
      </c>
      <c r="M407" s="2">
        <v>45930</v>
      </c>
      <c r="N407" s="1" t="s">
        <v>35</v>
      </c>
      <c r="O407" s="14" t="s">
        <v>12352</v>
      </c>
      <c r="P407" s="14" t="s">
        <v>13058</v>
      </c>
      <c r="Q407" s="92">
        <v>115.7</v>
      </c>
      <c r="R407" s="1">
        <v>1</v>
      </c>
      <c r="S407" s="128">
        <v>0.21</v>
      </c>
      <c r="T407" s="128">
        <v>0</v>
      </c>
      <c r="U407" s="363"/>
      <c r="V407" s="95">
        <f>SUM(Q407-(Q407*T407))*S407+(Q407-(Q407*T407))</f>
        <v>139.99700000000001</v>
      </c>
      <c r="W407" t="s">
        <v>13342</v>
      </c>
      <c r="X407" s="5" t="s">
        <v>13343</v>
      </c>
      <c r="Y407" s="2">
        <v>36443</v>
      </c>
      <c r="Z407" s="2">
        <v>45930</v>
      </c>
      <c r="AA407" s="2"/>
      <c r="AB407" s="2"/>
      <c r="AC407" s="80"/>
      <c r="AD407" s="61"/>
      <c r="AF407" t="s">
        <v>3198</v>
      </c>
      <c r="AI407" t="s">
        <v>3392</v>
      </c>
      <c r="AJ407" s="2">
        <v>45959</v>
      </c>
      <c r="AM407" s="2">
        <v>45960</v>
      </c>
      <c r="AS407" s="1"/>
      <c r="AT407" s="1"/>
    </row>
    <row r="408" spans="1:46">
      <c r="A408" s="1">
        <v>407</v>
      </c>
      <c r="B408" t="s">
        <v>1414</v>
      </c>
      <c r="C408" s="2">
        <v>45930</v>
      </c>
      <c r="D408" s="403" t="s">
        <v>9900</v>
      </c>
      <c r="E408" s="1" t="s">
        <v>13007</v>
      </c>
      <c r="F408" s="375" t="s">
        <v>13008</v>
      </c>
      <c r="G408" t="s">
        <v>13009</v>
      </c>
      <c r="H408" s="6" t="s">
        <v>221</v>
      </c>
      <c r="I408" s="1" t="s">
        <v>34</v>
      </c>
      <c r="J408" s="295"/>
      <c r="K408" s="8"/>
      <c r="L408" s="1" t="s">
        <v>13007</v>
      </c>
      <c r="M408" s="2">
        <v>45930</v>
      </c>
      <c r="N408" s="1" t="s">
        <v>35</v>
      </c>
      <c r="O408" s="61" t="s">
        <v>12352</v>
      </c>
      <c r="P408" s="14" t="s">
        <v>13059</v>
      </c>
      <c r="Q408" s="92">
        <v>115.7</v>
      </c>
      <c r="R408" s="1">
        <v>1</v>
      </c>
      <c r="S408" s="128">
        <v>0.21</v>
      </c>
      <c r="T408" s="128">
        <v>0</v>
      </c>
      <c r="U408" s="363"/>
      <c r="V408" s="95">
        <f>SUM(Q408-(Q408*T408))*S408+(Q408-(Q408*T408))</f>
        <v>139.99700000000001</v>
      </c>
      <c r="W408" t="s">
        <v>13131</v>
      </c>
      <c r="X408" s="5" t="s">
        <v>13132</v>
      </c>
      <c r="Y408" s="2">
        <v>35234</v>
      </c>
      <c r="Z408" s="2">
        <v>45930</v>
      </c>
      <c r="AA408" s="2"/>
      <c r="AB408" s="2"/>
      <c r="AC408" s="80"/>
      <c r="AF408" t="s">
        <v>3198</v>
      </c>
      <c r="AI408" t="s">
        <v>3392</v>
      </c>
      <c r="AJ408" s="2">
        <v>45940</v>
      </c>
      <c r="AM408" s="74">
        <v>45957</v>
      </c>
      <c r="AT408" s="1"/>
    </row>
    <row r="409" spans="1:46">
      <c r="A409" s="1">
        <v>408</v>
      </c>
      <c r="B409" t="s">
        <v>37</v>
      </c>
      <c r="C409" s="2">
        <v>45932</v>
      </c>
      <c r="D409" s="403" t="s">
        <v>9900</v>
      </c>
      <c r="E409" s="1" t="s">
        <v>13051</v>
      </c>
      <c r="F409" s="375" t="s">
        <v>13052</v>
      </c>
      <c r="G409" t="s">
        <v>13053</v>
      </c>
      <c r="H409" s="6" t="s">
        <v>7966</v>
      </c>
      <c r="I409" s="1" t="s">
        <v>7965</v>
      </c>
      <c r="J409" s="295" t="s">
        <v>13054</v>
      </c>
      <c r="K409" s="8"/>
      <c r="L409" s="1" t="s">
        <v>13051</v>
      </c>
      <c r="M409" s="2">
        <v>45961</v>
      </c>
      <c r="N409" s="1" t="s">
        <v>35</v>
      </c>
      <c r="O409" s="61" t="s">
        <v>7934</v>
      </c>
      <c r="P409" s="14" t="s">
        <v>13055</v>
      </c>
      <c r="Q409" s="92">
        <v>86.78</v>
      </c>
      <c r="R409" s="1">
        <v>1</v>
      </c>
      <c r="S409" s="90">
        <v>0.21</v>
      </c>
      <c r="T409" s="90">
        <v>0</v>
      </c>
      <c r="U409" s="363"/>
      <c r="V409" s="126">
        <f t="shared" ref="V409:V410" si="219">SUM(Q409-(Q409*T409))*S409+(Q409-(Q409*T409))</f>
        <v>105.0038</v>
      </c>
      <c r="W409" t="s">
        <v>13051</v>
      </c>
      <c r="X409" s="5" t="s">
        <v>13056</v>
      </c>
      <c r="Y409" s="2">
        <v>36026</v>
      </c>
      <c r="Z409" s="2">
        <v>45932</v>
      </c>
      <c r="AA409" s="2"/>
      <c r="AB409" s="2"/>
      <c r="AC409" s="80"/>
      <c r="AF409" t="s">
        <v>3198</v>
      </c>
      <c r="AI409" s="76" t="s">
        <v>3470</v>
      </c>
      <c r="AJ409" s="2"/>
      <c r="AM409" s="74"/>
      <c r="AT409" s="1"/>
    </row>
    <row r="410" spans="1:46">
      <c r="A410" s="1">
        <v>409</v>
      </c>
      <c r="B410" t="s">
        <v>9170</v>
      </c>
      <c r="C410" s="2">
        <v>45931</v>
      </c>
      <c r="D410" s="2"/>
      <c r="E410" s="1" t="s">
        <v>256</v>
      </c>
      <c r="F410" s="31" t="s">
        <v>155</v>
      </c>
      <c r="G410" s="31" t="s">
        <v>138</v>
      </c>
      <c r="H410" s="33" t="s">
        <v>227</v>
      </c>
      <c r="I410" s="30" t="s">
        <v>203</v>
      </c>
      <c r="J410" s="30">
        <v>631130911</v>
      </c>
      <c r="K410" s="44"/>
      <c r="L410" s="1" t="s">
        <v>4432</v>
      </c>
      <c r="M410" s="2">
        <v>45961</v>
      </c>
      <c r="N410" s="1" t="s">
        <v>35</v>
      </c>
      <c r="O410" s="61" t="s">
        <v>7934</v>
      </c>
      <c r="P410" s="14" t="s">
        <v>12544</v>
      </c>
      <c r="Q410" s="187">
        <v>0</v>
      </c>
      <c r="R410" s="1">
        <v>1</v>
      </c>
      <c r="S410" s="90">
        <v>0.21</v>
      </c>
      <c r="T410" s="90">
        <v>0</v>
      </c>
      <c r="U410" s="95"/>
      <c r="V410" s="95">
        <f t="shared" si="219"/>
        <v>0</v>
      </c>
      <c r="W410" t="s">
        <v>6741</v>
      </c>
      <c r="X410" s="5" t="s">
        <v>13057</v>
      </c>
      <c r="Y410" s="2">
        <v>30600</v>
      </c>
      <c r="Z410" s="2">
        <v>45931</v>
      </c>
      <c r="AA410" s="2"/>
      <c r="AB410" s="2"/>
      <c r="AC410" s="80"/>
      <c r="AE410" s="3"/>
      <c r="AF410" t="s">
        <v>3198</v>
      </c>
      <c r="AG410" s="499" t="s">
        <v>13050</v>
      </c>
      <c r="AI410" s="76" t="s">
        <v>3470</v>
      </c>
      <c r="AJ410" s="2"/>
      <c r="AM410" s="3"/>
      <c r="AS410" t="s">
        <v>7968</v>
      </c>
    </row>
    <row r="411" spans="1:46" ht="14.25" customHeight="1">
      <c r="A411" s="1">
        <v>410</v>
      </c>
      <c r="B411" t="s">
        <v>52</v>
      </c>
      <c r="C411" s="2">
        <v>45932</v>
      </c>
      <c r="D411" s="2"/>
      <c r="E411" s="1" t="s">
        <v>70</v>
      </c>
      <c r="F411" s="61" t="s">
        <v>3543</v>
      </c>
      <c r="G411" s="61" t="s">
        <v>3544</v>
      </c>
      <c r="H411" s="6" t="s">
        <v>221</v>
      </c>
      <c r="I411" s="1" t="s">
        <v>34</v>
      </c>
      <c r="J411" s="1">
        <v>645871002</v>
      </c>
      <c r="K411" s="1" t="s">
        <v>5906</v>
      </c>
      <c r="L411" s="1" t="s">
        <v>4432</v>
      </c>
      <c r="M411" s="2">
        <v>45961</v>
      </c>
      <c r="N411" s="1" t="s">
        <v>35</v>
      </c>
      <c r="O411" s="375" t="s">
        <v>12352</v>
      </c>
      <c r="P411" s="14" t="s">
        <v>13060</v>
      </c>
      <c r="Q411" s="187">
        <v>115.7</v>
      </c>
      <c r="R411" s="1">
        <v>1</v>
      </c>
      <c r="S411" s="128">
        <v>0.21</v>
      </c>
      <c r="T411" s="128">
        <v>0</v>
      </c>
      <c r="U411" s="95"/>
      <c r="V411" s="95">
        <f t="shared" ref="V411" si="220">SUM(Q411-(Q411*T411))*S411+(Q411-(Q411*T411))</f>
        <v>139.99700000000001</v>
      </c>
      <c r="W411" t="s">
        <v>13346</v>
      </c>
      <c r="X411" s="5" t="s">
        <v>13347</v>
      </c>
      <c r="Y411" s="211">
        <v>32734</v>
      </c>
      <c r="Z411" s="2">
        <v>45932</v>
      </c>
      <c r="AA411" s="2"/>
      <c r="AB411" s="2"/>
      <c r="AC411" s="80"/>
      <c r="AF411" t="s">
        <v>3198</v>
      </c>
      <c r="AI411" s="76" t="s">
        <v>3392</v>
      </c>
      <c r="AJ411" s="3">
        <v>45959</v>
      </c>
      <c r="AM411" s="74"/>
      <c r="AS411" s="1"/>
    </row>
    <row r="412" spans="1:46">
      <c r="A412" s="1">
        <v>411</v>
      </c>
      <c r="B412" t="s">
        <v>1242</v>
      </c>
      <c r="C412" s="2">
        <v>45932</v>
      </c>
      <c r="D412" s="2"/>
      <c r="E412" s="31" t="s">
        <v>1250</v>
      </c>
      <c r="F412" s="61" t="s">
        <v>13062</v>
      </c>
      <c r="G412" s="61" t="s">
        <v>9204</v>
      </c>
      <c r="H412" s="6" t="s">
        <v>221</v>
      </c>
      <c r="I412" s="1" t="s">
        <v>34</v>
      </c>
      <c r="J412" s="8"/>
      <c r="K412" s="8" t="s">
        <v>5905</v>
      </c>
      <c r="L412" s="31" t="s">
        <v>1250</v>
      </c>
      <c r="M412" s="2">
        <v>45961</v>
      </c>
      <c r="N412" s="1" t="s">
        <v>35</v>
      </c>
      <c r="O412" s="61" t="s">
        <v>12352</v>
      </c>
      <c r="P412" s="14" t="s">
        <v>13063</v>
      </c>
      <c r="Q412" s="187">
        <v>115.7</v>
      </c>
      <c r="R412" s="1">
        <v>1</v>
      </c>
      <c r="S412" s="128">
        <v>0.21</v>
      </c>
      <c r="T412" s="128">
        <v>0</v>
      </c>
      <c r="U412" s="363"/>
      <c r="V412" s="95">
        <f t="shared" ref="V412" si="221">SUM(Q412-(Q412*T412))*S412+(Q412-(Q412*T412))</f>
        <v>139.99700000000001</v>
      </c>
      <c r="X412" s="5" t="s">
        <v>13068</v>
      </c>
      <c r="Y412" s="2">
        <v>39534</v>
      </c>
      <c r="Z412" s="2">
        <v>45932</v>
      </c>
      <c r="AA412" s="2"/>
      <c r="AB412" s="2"/>
      <c r="AC412" s="80"/>
      <c r="AF412" t="s">
        <v>3198</v>
      </c>
      <c r="AI412" s="76" t="s">
        <v>3392</v>
      </c>
      <c r="AJ412" s="2"/>
      <c r="AM412" s="74"/>
      <c r="AT412" s="1"/>
    </row>
    <row r="413" spans="1:46">
      <c r="A413" s="1">
        <v>412</v>
      </c>
      <c r="B413" t="s">
        <v>13064</v>
      </c>
      <c r="C413" s="2">
        <v>45932</v>
      </c>
      <c r="D413" s="403" t="s">
        <v>9900</v>
      </c>
      <c r="E413" s="1" t="s">
        <v>13065</v>
      </c>
      <c r="F413" s="375" t="s">
        <v>13097</v>
      </c>
      <c r="G413" t="s">
        <v>13066</v>
      </c>
      <c r="H413" s="6" t="s">
        <v>9516</v>
      </c>
      <c r="I413" s="1" t="s">
        <v>49</v>
      </c>
      <c r="J413" s="295"/>
      <c r="K413" s="8" t="s">
        <v>7759</v>
      </c>
      <c r="L413" s="1" t="s">
        <v>13065</v>
      </c>
      <c r="M413" s="2">
        <v>45961</v>
      </c>
      <c r="N413" s="1" t="s">
        <v>35</v>
      </c>
      <c r="O413" s="61" t="s">
        <v>9758</v>
      </c>
      <c r="P413" s="14" t="s">
        <v>13067</v>
      </c>
      <c r="Q413" s="187">
        <v>115.7</v>
      </c>
      <c r="R413" s="1">
        <v>1</v>
      </c>
      <c r="S413" s="128">
        <v>0.21</v>
      </c>
      <c r="T413" s="128">
        <v>0</v>
      </c>
      <c r="U413" s="363"/>
      <c r="V413" s="95">
        <f t="shared" ref="V413:V414" si="222">SUM(Q413-(Q413*T413))*S413+(Q413-(Q413*T413))</f>
        <v>139.99700000000001</v>
      </c>
      <c r="W413" t="s">
        <v>13135</v>
      </c>
      <c r="X413" s="5" t="s">
        <v>13136</v>
      </c>
      <c r="Y413" s="2">
        <v>36285</v>
      </c>
      <c r="Z413" s="2">
        <v>45932</v>
      </c>
      <c r="AA413" s="2"/>
      <c r="AB413" s="2"/>
      <c r="AC413" s="80"/>
      <c r="AF413" t="s">
        <v>3198</v>
      </c>
      <c r="AI413" s="76" t="s">
        <v>3470</v>
      </c>
      <c r="AJ413" s="2">
        <v>45944</v>
      </c>
      <c r="AM413" s="74"/>
      <c r="AT413" s="1"/>
    </row>
    <row r="414" spans="1:46">
      <c r="A414" s="1">
        <v>413</v>
      </c>
      <c r="B414" t="s">
        <v>33</v>
      </c>
      <c r="C414" s="2">
        <v>45933</v>
      </c>
      <c r="D414" s="2"/>
      <c r="E414" s="1" t="s">
        <v>1617</v>
      </c>
      <c r="F414" t="s">
        <v>1618</v>
      </c>
      <c r="G414" t="s">
        <v>8918</v>
      </c>
      <c r="H414" s="6" t="s">
        <v>304</v>
      </c>
      <c r="I414" s="1" t="s">
        <v>3851</v>
      </c>
      <c r="J414" s="295"/>
      <c r="K414" s="114" t="s">
        <v>11744</v>
      </c>
      <c r="L414" t="s">
        <v>237</v>
      </c>
      <c r="M414" s="2">
        <v>45961</v>
      </c>
      <c r="N414" s="1" t="s">
        <v>35</v>
      </c>
      <c r="O414" s="61" t="s">
        <v>7934</v>
      </c>
      <c r="P414" s="14" t="s">
        <v>13071</v>
      </c>
      <c r="Q414" s="187">
        <v>69.42</v>
      </c>
      <c r="R414" s="1">
        <v>1</v>
      </c>
      <c r="S414" s="128">
        <v>0.21</v>
      </c>
      <c r="T414" s="128">
        <v>0</v>
      </c>
      <c r="U414" s="363"/>
      <c r="V414" s="95">
        <f t="shared" si="222"/>
        <v>83.998199999999997</v>
      </c>
      <c r="X414" s="5" t="s">
        <v>13072</v>
      </c>
      <c r="Y414" s="2">
        <v>35108</v>
      </c>
      <c r="Z414" s="2">
        <v>45933</v>
      </c>
      <c r="AA414" s="2"/>
      <c r="AB414" s="2"/>
      <c r="AC414" s="80"/>
      <c r="AF414" t="s">
        <v>3198</v>
      </c>
      <c r="AI414" s="76" t="s">
        <v>3470</v>
      </c>
      <c r="AJ414" s="2"/>
      <c r="AM414" s="74"/>
      <c r="AT414" s="1"/>
    </row>
    <row r="415" spans="1:46">
      <c r="A415" s="1">
        <v>414</v>
      </c>
      <c r="B415" t="s">
        <v>40</v>
      </c>
      <c r="C415" s="2">
        <v>45933</v>
      </c>
      <c r="D415" s="403" t="s">
        <v>9900</v>
      </c>
      <c r="E415" s="1" t="s">
        <v>13073</v>
      </c>
      <c r="F415" s="61" t="s">
        <v>13074</v>
      </c>
      <c r="G415" t="s">
        <v>13075</v>
      </c>
      <c r="H415" s="6" t="s">
        <v>221</v>
      </c>
      <c r="I415" s="1" t="s">
        <v>34</v>
      </c>
      <c r="J415" s="295"/>
      <c r="K415" s="1" t="s">
        <v>12623</v>
      </c>
      <c r="L415" s="1" t="s">
        <v>13073</v>
      </c>
      <c r="M415" s="2">
        <v>45961</v>
      </c>
      <c r="N415" s="1" t="s">
        <v>35</v>
      </c>
      <c r="O415" s="61" t="s">
        <v>7934</v>
      </c>
      <c r="P415" s="14" t="s">
        <v>13076</v>
      </c>
      <c r="Q415" s="187">
        <v>69.42</v>
      </c>
      <c r="R415" s="1">
        <v>1</v>
      </c>
      <c r="S415" s="128">
        <v>0.21</v>
      </c>
      <c r="T415" s="128">
        <v>0</v>
      </c>
      <c r="U415" s="363"/>
      <c r="V415" s="95">
        <f t="shared" ref="V415:V416" si="223">SUM(Q415-(Q415*T415))*S415+(Q415-(Q415*T415))</f>
        <v>83.998199999999997</v>
      </c>
      <c r="X415" s="5" t="s">
        <v>13077</v>
      </c>
      <c r="Y415" s="2">
        <v>30614</v>
      </c>
      <c r="Z415" s="2">
        <v>45933</v>
      </c>
      <c r="AA415" s="2"/>
      <c r="AB415" s="2"/>
      <c r="AC415" s="80"/>
      <c r="AF415" t="s">
        <v>3198</v>
      </c>
      <c r="AI415" s="76" t="s">
        <v>3470</v>
      </c>
      <c r="AJ415" s="2"/>
      <c r="AM415" s="74"/>
      <c r="AT415" s="1"/>
    </row>
    <row r="416" spans="1:46">
      <c r="A416" s="1">
        <v>415</v>
      </c>
      <c r="B416" t="s">
        <v>1414</v>
      </c>
      <c r="C416" s="2">
        <v>45936</v>
      </c>
      <c r="D416" s="2"/>
      <c r="E416" s="2" t="s">
        <v>11939</v>
      </c>
      <c r="F416" s="61" t="s">
        <v>11940</v>
      </c>
      <c r="G416" t="s">
        <v>11941</v>
      </c>
      <c r="H416" s="6" t="s">
        <v>219</v>
      </c>
      <c r="I416" s="1" t="s">
        <v>38</v>
      </c>
      <c r="J416" s="8"/>
      <c r="K416" s="396" t="s">
        <v>8355</v>
      </c>
      <c r="L416" s="2" t="s">
        <v>11939</v>
      </c>
      <c r="M416" s="2">
        <v>45961</v>
      </c>
      <c r="N416" s="1" t="s">
        <v>35</v>
      </c>
      <c r="O416" s="61" t="s">
        <v>12352</v>
      </c>
      <c r="P416" s="14" t="s">
        <v>13081</v>
      </c>
      <c r="Q416" s="254">
        <v>115.7</v>
      </c>
      <c r="R416" s="1">
        <v>1</v>
      </c>
      <c r="S416" s="128">
        <v>0.21</v>
      </c>
      <c r="T416" s="128">
        <v>0</v>
      </c>
      <c r="U416" s="363"/>
      <c r="V416" s="126">
        <f t="shared" si="223"/>
        <v>139.99700000000001</v>
      </c>
      <c r="W416" t="s">
        <v>13413</v>
      </c>
      <c r="X416" s="5" t="s">
        <v>13337</v>
      </c>
      <c r="Y416" s="3">
        <v>37022</v>
      </c>
      <c r="Z416" s="2">
        <v>45936</v>
      </c>
      <c r="AA416" s="2"/>
      <c r="AB416" s="2"/>
      <c r="AC416" s="80"/>
      <c r="AF416" t="s">
        <v>3198</v>
      </c>
      <c r="AI416" s="76" t="s">
        <v>3392</v>
      </c>
      <c r="AJ416" s="3">
        <v>45960</v>
      </c>
      <c r="AM416" s="3"/>
    </row>
    <row r="417" spans="1:46">
      <c r="A417" s="1">
        <v>416</v>
      </c>
      <c r="B417" t="s">
        <v>4321</v>
      </c>
      <c r="C417" s="2">
        <v>45936</v>
      </c>
      <c r="D417" s="2"/>
      <c r="E417" s="1" t="s">
        <v>11208</v>
      </c>
      <c r="F417" s="61" t="s">
        <v>11209</v>
      </c>
      <c r="G417" t="s">
        <v>11210</v>
      </c>
      <c r="H417" s="6" t="s">
        <v>242</v>
      </c>
      <c r="I417" s="1" t="s">
        <v>86</v>
      </c>
      <c r="J417" s="430"/>
      <c r="K417" s="8" t="s">
        <v>5991</v>
      </c>
      <c r="L417" s="1" t="s">
        <v>11208</v>
      </c>
      <c r="M417" s="2">
        <v>45961</v>
      </c>
      <c r="N417" s="1" t="s">
        <v>35</v>
      </c>
      <c r="O417" s="61" t="s">
        <v>12352</v>
      </c>
      <c r="P417" s="14" t="s">
        <v>13082</v>
      </c>
      <c r="Q417" s="254">
        <v>115.7</v>
      </c>
      <c r="R417" s="1">
        <v>1</v>
      </c>
      <c r="S417" s="128">
        <v>0.21</v>
      </c>
      <c r="T417" s="128">
        <v>0</v>
      </c>
      <c r="U417" s="363"/>
      <c r="V417" s="126">
        <f t="shared" ref="V417" si="224">SUM(Q417-(Q417*T417))*S417+(Q417-(Q417*T417))</f>
        <v>139.99700000000001</v>
      </c>
      <c r="W417" t="s">
        <v>13414</v>
      </c>
      <c r="X417" s="5" t="s">
        <v>13338</v>
      </c>
      <c r="Y417" s="2">
        <v>34179</v>
      </c>
      <c r="Z417" s="2">
        <v>45936</v>
      </c>
      <c r="AA417" s="2"/>
      <c r="AB417" s="2"/>
      <c r="AC417" s="80"/>
      <c r="AE417" s="3"/>
      <c r="AF417" t="s">
        <v>3198</v>
      </c>
      <c r="AI417" s="76" t="s">
        <v>3470</v>
      </c>
      <c r="AJ417" s="2">
        <v>45960</v>
      </c>
      <c r="AM417" s="3"/>
    </row>
    <row r="418" spans="1:46" ht="14.25" customHeight="1">
      <c r="A418" s="1">
        <v>417</v>
      </c>
      <c r="B418" t="s">
        <v>33</v>
      </c>
      <c r="C418" s="2">
        <v>45936</v>
      </c>
      <c r="D418" s="2"/>
      <c r="E418" s="1" t="s">
        <v>3327</v>
      </c>
      <c r="F418" s="61" t="s">
        <v>9869</v>
      </c>
      <c r="G418" t="s">
        <v>3329</v>
      </c>
      <c r="H418" s="6" t="s">
        <v>304</v>
      </c>
      <c r="I418" s="1" t="s">
        <v>68</v>
      </c>
      <c r="J418" s="8"/>
      <c r="K418" s="114" t="s">
        <v>11744</v>
      </c>
      <c r="L418" s="30" t="s">
        <v>237</v>
      </c>
      <c r="M418" s="2">
        <v>45961</v>
      </c>
      <c r="N418" s="1" t="s">
        <v>35</v>
      </c>
      <c r="O418" s="61" t="s">
        <v>12352</v>
      </c>
      <c r="P418" s="14" t="s">
        <v>13083</v>
      </c>
      <c r="Q418" s="187">
        <v>115.7</v>
      </c>
      <c r="R418" s="1">
        <v>1</v>
      </c>
      <c r="S418" s="128">
        <v>0.21</v>
      </c>
      <c r="T418" s="128">
        <v>0</v>
      </c>
      <c r="U418" s="363"/>
      <c r="V418" s="126">
        <f>SUM(Q418-(Q418*T418))*S418+(Q418-(Q418*T418))</f>
        <v>139.99700000000001</v>
      </c>
      <c r="W418" t="s">
        <v>13375</v>
      </c>
      <c r="X418" s="5" t="s">
        <v>13376</v>
      </c>
      <c r="Y418" s="2">
        <v>35297</v>
      </c>
      <c r="Z418" s="2">
        <v>45936</v>
      </c>
      <c r="AA418" s="61"/>
      <c r="AB418" s="2"/>
      <c r="AC418" s="133"/>
      <c r="AF418" t="s">
        <v>3198</v>
      </c>
      <c r="AI418" t="s">
        <v>12430</v>
      </c>
      <c r="AJ418" s="3">
        <v>45959</v>
      </c>
      <c r="AM418" s="3">
        <v>45961</v>
      </c>
      <c r="AS418" s="1"/>
    </row>
    <row r="419" spans="1:46">
      <c r="A419" s="1">
        <v>418</v>
      </c>
      <c r="B419" s="61" t="s">
        <v>6684</v>
      </c>
      <c r="C419" s="2">
        <v>45936</v>
      </c>
      <c r="D419" s="2"/>
      <c r="E419" s="1" t="s">
        <v>6685</v>
      </c>
      <c r="F419" t="s">
        <v>6686</v>
      </c>
      <c r="G419" t="s">
        <v>6687</v>
      </c>
      <c r="H419" s="6" t="s">
        <v>2579</v>
      </c>
      <c r="I419" t="s">
        <v>2580</v>
      </c>
      <c r="J419" s="8"/>
      <c r="K419" s="1" t="s">
        <v>7339</v>
      </c>
      <c r="L419" t="s">
        <v>6685</v>
      </c>
      <c r="M419" s="2">
        <v>45961</v>
      </c>
      <c r="N419" s="1" t="s">
        <v>35</v>
      </c>
      <c r="O419" s="61" t="s">
        <v>12352</v>
      </c>
      <c r="P419" s="14" t="s">
        <v>13084</v>
      </c>
      <c r="Q419" s="187">
        <v>115.7</v>
      </c>
      <c r="R419" s="1">
        <v>1</v>
      </c>
      <c r="S419" s="128">
        <v>0.21</v>
      </c>
      <c r="T419" s="128">
        <v>0</v>
      </c>
      <c r="U419" s="363"/>
      <c r="V419" s="126">
        <f>SUM(Q419-(Q419*T419))*S419+(Q419-(Q419*T419))</f>
        <v>139.99700000000001</v>
      </c>
      <c r="X419" s="5" t="s">
        <v>13085</v>
      </c>
      <c r="Y419" s="2">
        <v>37478</v>
      </c>
      <c r="Z419" s="2">
        <v>45936</v>
      </c>
      <c r="AA419" s="61"/>
      <c r="AB419" s="2"/>
      <c r="AC419" s="80"/>
      <c r="AF419" t="s">
        <v>3198</v>
      </c>
      <c r="AI419" s="76" t="s">
        <v>3392</v>
      </c>
      <c r="AJ419" s="2"/>
      <c r="AM419" s="3"/>
      <c r="AT419" s="1"/>
    </row>
    <row r="420" spans="1:46">
      <c r="A420" s="1">
        <v>419</v>
      </c>
      <c r="B420" t="s">
        <v>5635</v>
      </c>
      <c r="C420" s="2">
        <v>45936</v>
      </c>
      <c r="D420" s="403" t="s">
        <v>9900</v>
      </c>
      <c r="E420" s="1" t="s">
        <v>13086</v>
      </c>
      <c r="F420" s="61" t="s">
        <v>13087</v>
      </c>
      <c r="G420" t="s">
        <v>13088</v>
      </c>
      <c r="H420" s="6" t="s">
        <v>1424</v>
      </c>
      <c r="I420" s="1" t="s">
        <v>1425</v>
      </c>
      <c r="J420" s="295"/>
      <c r="K420" s="396" t="s">
        <v>10609</v>
      </c>
      <c r="L420" s="1" t="s">
        <v>13086</v>
      </c>
      <c r="M420" s="2">
        <v>45961</v>
      </c>
      <c r="N420" s="1" t="s">
        <v>35</v>
      </c>
      <c r="O420" s="61" t="s">
        <v>12352</v>
      </c>
      <c r="P420" s="14" t="s">
        <v>13089</v>
      </c>
      <c r="Q420" s="187">
        <v>115.7</v>
      </c>
      <c r="R420" s="1">
        <v>1</v>
      </c>
      <c r="S420" s="128">
        <v>0.21</v>
      </c>
      <c r="T420" s="128">
        <v>0</v>
      </c>
      <c r="U420" s="363"/>
      <c r="V420" s="126">
        <f>SUM(Q420-(Q420*T420))*S420+(Q420-(Q420*T420))</f>
        <v>139.99700000000001</v>
      </c>
      <c r="W420" t="s">
        <v>13372</v>
      </c>
      <c r="X420" s="5" t="s">
        <v>13373</v>
      </c>
      <c r="Y420" s="2">
        <v>34873</v>
      </c>
      <c r="Z420" s="2">
        <v>45936</v>
      </c>
      <c r="AA420" s="2"/>
      <c r="AB420" s="2"/>
      <c r="AC420" s="80"/>
      <c r="AF420" t="s">
        <v>3198</v>
      </c>
      <c r="AI420" s="76" t="s">
        <v>13090</v>
      </c>
      <c r="AJ420" s="2">
        <v>45959</v>
      </c>
      <c r="AM420" s="74"/>
      <c r="AT420" s="1"/>
    </row>
    <row r="421" spans="1:46">
      <c r="A421" s="1">
        <v>420</v>
      </c>
      <c r="B421" s="61" t="s">
        <v>7475</v>
      </c>
      <c r="C421" s="2">
        <v>45937</v>
      </c>
      <c r="E421" s="1" t="s">
        <v>7476</v>
      </c>
      <c r="F421" s="61" t="s">
        <v>7477</v>
      </c>
      <c r="G421" s="61" t="s">
        <v>7478</v>
      </c>
      <c r="H421" s="6" t="s">
        <v>241</v>
      </c>
      <c r="I421" s="1" t="s">
        <v>60</v>
      </c>
      <c r="J421" s="44">
        <v>679088389</v>
      </c>
      <c r="K421" s="44" t="s">
        <v>7480</v>
      </c>
      <c r="L421" s="1" t="s">
        <v>7476</v>
      </c>
      <c r="M421" s="2">
        <v>45961</v>
      </c>
      <c r="N421" s="1" t="s">
        <v>35</v>
      </c>
      <c r="O421" s="61" t="s">
        <v>12352</v>
      </c>
      <c r="P421" s="14" t="s">
        <v>13091</v>
      </c>
      <c r="Q421" s="187">
        <v>115.7</v>
      </c>
      <c r="R421" s="1">
        <v>1</v>
      </c>
      <c r="S421" s="128">
        <v>0.21</v>
      </c>
      <c r="T421" s="128">
        <v>0</v>
      </c>
      <c r="U421" s="363"/>
      <c r="V421" s="126">
        <f>SUM(Q421-(Q421*T421))*S421+(Q421-(Q421*T421))</f>
        <v>139.99700000000001</v>
      </c>
      <c r="W421" t="s">
        <v>13382</v>
      </c>
      <c r="X421" s="5" t="s">
        <v>13383</v>
      </c>
      <c r="Y421" s="2">
        <v>34930</v>
      </c>
      <c r="Z421" s="3">
        <v>45937</v>
      </c>
      <c r="AA421" s="2"/>
      <c r="AB421" s="2"/>
      <c r="AC421" s="80"/>
      <c r="AF421" t="s">
        <v>3198</v>
      </c>
      <c r="AI421" t="s">
        <v>3392</v>
      </c>
      <c r="AJ421" s="2">
        <v>45959</v>
      </c>
      <c r="AM421" s="3">
        <v>45961</v>
      </c>
    </row>
    <row r="422" spans="1:46" ht="14.25" customHeight="1">
      <c r="A422" s="1">
        <v>421</v>
      </c>
      <c r="B422" t="s">
        <v>33</v>
      </c>
      <c r="C422" s="2">
        <v>45937</v>
      </c>
      <c r="D422" s="403" t="s">
        <v>9900</v>
      </c>
      <c r="E422" s="1" t="s">
        <v>13271</v>
      </c>
      <c r="F422" s="61" t="s">
        <v>13092</v>
      </c>
      <c r="G422" t="s">
        <v>13093</v>
      </c>
      <c r="H422" s="6" t="s">
        <v>219</v>
      </c>
      <c r="I422" s="1" t="s">
        <v>38</v>
      </c>
      <c r="J422" s="8"/>
      <c r="K422" s="114" t="s">
        <v>11744</v>
      </c>
      <c r="L422" s="1" t="s">
        <v>13271</v>
      </c>
      <c r="M422" s="2">
        <v>45961</v>
      </c>
      <c r="N422" s="1" t="s">
        <v>35</v>
      </c>
      <c r="O422" s="61" t="s">
        <v>9758</v>
      </c>
      <c r="P422" s="14" t="s">
        <v>13094</v>
      </c>
      <c r="Q422" s="187">
        <v>115.7</v>
      </c>
      <c r="R422" s="1">
        <v>1</v>
      </c>
      <c r="S422" s="128">
        <v>0.21</v>
      </c>
      <c r="T422" s="128">
        <v>0</v>
      </c>
      <c r="U422" s="363"/>
      <c r="V422" s="126">
        <f>SUM(Q422-(Q422*T422))*S422+(Q422-(Q422*T422))</f>
        <v>139.99700000000001</v>
      </c>
      <c r="W422" t="s">
        <v>13339</v>
      </c>
      <c r="X422" s="5" t="s">
        <v>13340</v>
      </c>
      <c r="Y422" s="2">
        <v>37457</v>
      </c>
      <c r="Z422" s="3">
        <v>45937</v>
      </c>
      <c r="AA422" s="61"/>
      <c r="AB422" s="2"/>
      <c r="AC422" s="133"/>
      <c r="AF422" t="s">
        <v>3198</v>
      </c>
      <c r="AI422" t="s">
        <v>3470</v>
      </c>
      <c r="AJ422" s="3">
        <v>45959</v>
      </c>
      <c r="AM422" s="3">
        <v>45961</v>
      </c>
      <c r="AS422" s="1"/>
    </row>
    <row r="423" spans="1:46">
      <c r="A423" s="1">
        <v>422</v>
      </c>
      <c r="B423" t="s">
        <v>1242</v>
      </c>
      <c r="C423" s="2">
        <v>45937</v>
      </c>
      <c r="D423" s="2"/>
      <c r="E423" s="31" t="s">
        <v>1250</v>
      </c>
      <c r="F423" t="s">
        <v>13062</v>
      </c>
      <c r="H423" s="6"/>
      <c r="I423" s="1"/>
      <c r="J423" s="295"/>
      <c r="K423" s="8" t="s">
        <v>5905</v>
      </c>
      <c r="L423" s="31" t="s">
        <v>1250</v>
      </c>
      <c r="M423" s="2">
        <v>45961</v>
      </c>
      <c r="N423" s="1" t="s">
        <v>35</v>
      </c>
      <c r="O423" s="61" t="s">
        <v>7934</v>
      </c>
      <c r="P423" s="14" t="s">
        <v>13095</v>
      </c>
      <c r="Q423" s="92">
        <v>69.42</v>
      </c>
      <c r="R423" s="1">
        <v>1</v>
      </c>
      <c r="S423" s="90">
        <v>0.21</v>
      </c>
      <c r="T423" s="90">
        <v>0</v>
      </c>
      <c r="V423" s="95">
        <f t="shared" ref="V423" si="225">SUM(Q423-(Q423*T423))*S423+(Q423-(Q423*T423))</f>
        <v>83.998199999999997</v>
      </c>
      <c r="W423" t="s">
        <v>8537</v>
      </c>
      <c r="X423" s="5" t="s">
        <v>13096</v>
      </c>
      <c r="Y423" s="2">
        <v>35890</v>
      </c>
      <c r="Z423" s="3">
        <v>45937</v>
      </c>
      <c r="AA423" s="2"/>
      <c r="AB423" s="2"/>
      <c r="AC423" s="80"/>
      <c r="AF423" t="s">
        <v>3198</v>
      </c>
      <c r="AI423" s="76" t="s">
        <v>3470</v>
      </c>
      <c r="AJ423" s="2"/>
      <c r="AK423" s="74"/>
      <c r="AL423" s="74"/>
      <c r="AM423" s="74"/>
      <c r="AT423" s="1"/>
    </row>
    <row r="424" spans="1:46">
      <c r="A424" s="1">
        <v>423</v>
      </c>
      <c r="B424" t="s">
        <v>119</v>
      </c>
      <c r="C424" s="2">
        <v>45947</v>
      </c>
      <c r="D424" s="403" t="s">
        <v>9900</v>
      </c>
      <c r="E424" s="1" t="s">
        <v>13272</v>
      </c>
      <c r="F424" s="61" t="s">
        <v>13138</v>
      </c>
      <c r="G424" s="61" t="s">
        <v>13139</v>
      </c>
      <c r="H424" s="6" t="s">
        <v>5141</v>
      </c>
      <c r="I424" s="1" t="s">
        <v>5142</v>
      </c>
      <c r="J424" s="430"/>
      <c r="K424" s="396" t="s">
        <v>10432</v>
      </c>
      <c r="L424" s="1" t="s">
        <v>13272</v>
      </c>
      <c r="M424" s="2">
        <v>45961</v>
      </c>
      <c r="N424" s="1" t="s">
        <v>35</v>
      </c>
      <c r="O424" s="61" t="s">
        <v>12352</v>
      </c>
      <c r="P424" s="14" t="s">
        <v>13140</v>
      </c>
      <c r="Q424" s="187">
        <v>115.7</v>
      </c>
      <c r="R424" s="1">
        <v>1</v>
      </c>
      <c r="S424" s="128">
        <v>0.21</v>
      </c>
      <c r="T424" s="128">
        <v>0</v>
      </c>
      <c r="U424" s="363"/>
      <c r="V424" s="126">
        <f t="shared" ref="V424:V426" si="226">SUM(Q424-(Q424*T424))*S424+(Q424-(Q424*T424))</f>
        <v>139.99700000000001</v>
      </c>
      <c r="X424" s="5" t="s">
        <v>13141</v>
      </c>
      <c r="Y424" s="3">
        <v>36341</v>
      </c>
      <c r="Z424" s="2">
        <v>45950</v>
      </c>
      <c r="AA424" s="2"/>
      <c r="AB424" s="2"/>
      <c r="AC424" s="80"/>
      <c r="AF424" t="s">
        <v>3198</v>
      </c>
      <c r="AI424" s="76" t="s">
        <v>3392</v>
      </c>
      <c r="AJ424" s="3"/>
      <c r="AM424" s="3"/>
    </row>
    <row r="425" spans="1:46">
      <c r="A425" s="1">
        <v>424</v>
      </c>
      <c r="B425" t="s">
        <v>4321</v>
      </c>
      <c r="C425" s="2">
        <v>45947</v>
      </c>
      <c r="D425" s="2"/>
      <c r="E425" s="1" t="s">
        <v>6961</v>
      </c>
      <c r="F425" t="s">
        <v>6962</v>
      </c>
      <c r="G425" s="61" t="s">
        <v>6982</v>
      </c>
      <c r="H425" s="6" t="s">
        <v>226</v>
      </c>
      <c r="I425" s="1" t="s">
        <v>3118</v>
      </c>
      <c r="J425" s="8">
        <v>671758778</v>
      </c>
      <c r="K425" s="8" t="s">
        <v>5991</v>
      </c>
      <c r="L425" s="1" t="s">
        <v>6961</v>
      </c>
      <c r="M425" s="2">
        <v>45961</v>
      </c>
      <c r="N425" s="1" t="s">
        <v>35</v>
      </c>
      <c r="O425" s="61" t="s">
        <v>7934</v>
      </c>
      <c r="P425" s="14" t="s">
        <v>13142</v>
      </c>
      <c r="Q425" s="187">
        <v>115.7</v>
      </c>
      <c r="R425" s="1">
        <v>1</v>
      </c>
      <c r="S425" s="90">
        <v>0.21</v>
      </c>
      <c r="T425" s="90">
        <v>0</v>
      </c>
      <c r="U425" s="363"/>
      <c r="V425" s="95">
        <f t="shared" si="226"/>
        <v>139.99700000000001</v>
      </c>
      <c r="X425" s="5" t="s">
        <v>13143</v>
      </c>
      <c r="Y425" s="2">
        <v>30696</v>
      </c>
      <c r="Z425" s="2">
        <v>45950</v>
      </c>
      <c r="AA425" s="2"/>
      <c r="AB425" s="2"/>
      <c r="AC425" s="133"/>
      <c r="AF425" t="s">
        <v>3198</v>
      </c>
      <c r="AI425" s="76" t="s">
        <v>3470</v>
      </c>
      <c r="AJ425" s="2"/>
      <c r="AM425" s="74"/>
      <c r="AT425" s="1"/>
    </row>
    <row r="426" spans="1:46">
      <c r="A426" s="1">
        <v>425</v>
      </c>
      <c r="B426" s="61" t="s">
        <v>3526</v>
      </c>
      <c r="C426" s="2">
        <v>45947</v>
      </c>
      <c r="D426" s="2"/>
      <c r="E426" s="1" t="s">
        <v>541</v>
      </c>
      <c r="F426" s="61" t="s">
        <v>542</v>
      </c>
      <c r="G426" t="s">
        <v>7367</v>
      </c>
      <c r="H426" s="6" t="s">
        <v>294</v>
      </c>
      <c r="I426" s="1" t="s">
        <v>103</v>
      </c>
      <c r="J426" s="8"/>
      <c r="K426" t="s">
        <v>8470</v>
      </c>
      <c r="L426" t="s">
        <v>541</v>
      </c>
      <c r="M426" s="2">
        <v>45961</v>
      </c>
      <c r="N426" s="1" t="s">
        <v>35</v>
      </c>
      <c r="O426" s="61" t="s">
        <v>7934</v>
      </c>
      <c r="P426" s="14" t="s">
        <v>13144</v>
      </c>
      <c r="Q426" s="187">
        <v>69.42</v>
      </c>
      <c r="R426" s="1">
        <v>1</v>
      </c>
      <c r="S426" s="128">
        <v>0.21</v>
      </c>
      <c r="T426" s="128">
        <v>0</v>
      </c>
      <c r="U426" s="363"/>
      <c r="V426" s="126">
        <f t="shared" si="226"/>
        <v>83.998199999999997</v>
      </c>
      <c r="W426" s="1"/>
      <c r="X426" s="5" t="s">
        <v>13145</v>
      </c>
      <c r="Y426" s="2">
        <v>29587</v>
      </c>
      <c r="Z426" s="2">
        <v>45950</v>
      </c>
      <c r="AA426" s="2"/>
      <c r="AB426" s="2"/>
      <c r="AC426" s="133"/>
      <c r="AF426" t="s">
        <v>3198</v>
      </c>
      <c r="AI426" s="76" t="s">
        <v>3470</v>
      </c>
    </row>
    <row r="427" spans="1:46">
      <c r="A427" s="1">
        <v>426</v>
      </c>
      <c r="B427" t="s">
        <v>3526</v>
      </c>
      <c r="C427" s="2">
        <v>45947</v>
      </c>
      <c r="D427" s="2"/>
      <c r="E427" s="1" t="s">
        <v>3440</v>
      </c>
      <c r="F427" t="s">
        <v>3441</v>
      </c>
      <c r="G427" t="s">
        <v>7600</v>
      </c>
      <c r="H427" s="6" t="s">
        <v>242</v>
      </c>
      <c r="I427" s="1" t="s">
        <v>5083</v>
      </c>
      <c r="J427" s="44"/>
      <c r="K427" s="1" t="s">
        <v>7759</v>
      </c>
      <c r="L427" s="1" t="s">
        <v>3440</v>
      </c>
      <c r="M427" s="2">
        <v>45961</v>
      </c>
      <c r="N427" s="1" t="s">
        <v>35</v>
      </c>
      <c r="O427" s="61" t="s">
        <v>7934</v>
      </c>
      <c r="P427" s="14" t="s">
        <v>13146</v>
      </c>
      <c r="Q427" s="187">
        <v>115.7</v>
      </c>
      <c r="R427" s="1">
        <v>0</v>
      </c>
      <c r="S427" s="128">
        <v>0.21</v>
      </c>
      <c r="T427" s="128">
        <v>0</v>
      </c>
      <c r="V427" s="95">
        <f t="shared" ref="V427" si="227">SUM(Q427-(Q427*T427))*S427+(Q427-(Q427*T427))</f>
        <v>139.99700000000001</v>
      </c>
      <c r="X427" s="5" t="s">
        <v>13147</v>
      </c>
      <c r="Y427" s="2">
        <v>34346</v>
      </c>
      <c r="Z427" s="2">
        <v>45950</v>
      </c>
      <c r="AA427" s="2"/>
      <c r="AB427" s="2"/>
      <c r="AC427" s="133"/>
      <c r="AF427" t="s">
        <v>3198</v>
      </c>
      <c r="AI427" s="76" t="s">
        <v>3470</v>
      </c>
      <c r="AJ427" s="2"/>
      <c r="AM427" s="74"/>
      <c r="AT427" s="1"/>
    </row>
    <row r="428" spans="1:46">
      <c r="A428" s="1">
        <v>427</v>
      </c>
      <c r="B428" t="s">
        <v>33</v>
      </c>
      <c r="C428" s="2">
        <v>45947</v>
      </c>
      <c r="D428" s="2"/>
      <c r="E428" s="1" t="s">
        <v>2052</v>
      </c>
      <c r="F428" s="61" t="s">
        <v>2053</v>
      </c>
      <c r="G428" s="61" t="s">
        <v>3714</v>
      </c>
      <c r="H428" s="6" t="s">
        <v>241</v>
      </c>
      <c r="I428" s="1" t="s">
        <v>60</v>
      </c>
      <c r="J428" s="1">
        <v>690872936</v>
      </c>
      <c r="K428" s="114" t="s">
        <v>11744</v>
      </c>
      <c r="L428" s="1" t="s">
        <v>2052</v>
      </c>
      <c r="M428" s="2">
        <v>45961</v>
      </c>
      <c r="N428" s="1" t="s">
        <v>35</v>
      </c>
      <c r="O428" s="61" t="s">
        <v>12352</v>
      </c>
      <c r="P428" s="14" t="s">
        <v>13148</v>
      </c>
      <c r="Q428" s="187">
        <v>115.7</v>
      </c>
      <c r="R428" s="1">
        <v>0</v>
      </c>
      <c r="S428" s="128">
        <v>0.21</v>
      </c>
      <c r="T428" s="128">
        <v>0</v>
      </c>
      <c r="V428" s="95">
        <f t="shared" ref="V428" si="228">SUM(Q428-(Q428*T428))*S428+(Q428-(Q428*T428))</f>
        <v>139.99700000000001</v>
      </c>
      <c r="X428" s="5" t="s">
        <v>13149</v>
      </c>
      <c r="Y428" s="2">
        <v>35567</v>
      </c>
      <c r="Z428" s="2">
        <v>45950</v>
      </c>
      <c r="AA428" s="2"/>
      <c r="AB428" s="2"/>
      <c r="AC428" s="80"/>
      <c r="AF428" t="s">
        <v>3198</v>
      </c>
      <c r="AI428" s="76" t="s">
        <v>3392</v>
      </c>
      <c r="AJ428" s="2"/>
      <c r="AM428" s="74"/>
      <c r="AT428" s="1"/>
    </row>
    <row r="429" spans="1:46">
      <c r="A429" s="1">
        <v>428</v>
      </c>
      <c r="B429" t="s">
        <v>37</v>
      </c>
      <c r="C429" s="2">
        <v>45947</v>
      </c>
      <c r="D429" s="403" t="s">
        <v>9900</v>
      </c>
      <c r="E429" s="410"/>
      <c r="F429" s="61" t="s">
        <v>13150</v>
      </c>
      <c r="G429" t="s">
        <v>13151</v>
      </c>
      <c r="H429" s="6" t="s">
        <v>219</v>
      </c>
      <c r="I429" s="1" t="s">
        <v>38</v>
      </c>
      <c r="J429" s="295"/>
      <c r="K429" s="396"/>
      <c r="L429" s="410"/>
      <c r="M429" s="2">
        <v>45961</v>
      </c>
      <c r="N429" s="1" t="s">
        <v>35</v>
      </c>
      <c r="O429" s="61" t="s">
        <v>12352</v>
      </c>
      <c r="P429" s="14" t="s">
        <v>13152</v>
      </c>
      <c r="Q429" s="187">
        <v>115.7</v>
      </c>
      <c r="R429" s="1">
        <v>0</v>
      </c>
      <c r="S429" s="128">
        <v>0.21</v>
      </c>
      <c r="T429" s="128">
        <v>0</v>
      </c>
      <c r="V429" s="95">
        <f t="shared" ref="V429" si="229">SUM(Q429-(Q429*T429))*S429+(Q429-(Q429*T429))</f>
        <v>139.99700000000001</v>
      </c>
      <c r="X429" s="5" t="s">
        <v>13153</v>
      </c>
      <c r="Y429" s="2">
        <v>35634</v>
      </c>
      <c r="Z429" s="2">
        <v>45950</v>
      </c>
      <c r="AA429" s="2"/>
      <c r="AB429" s="2"/>
      <c r="AC429" s="80"/>
      <c r="AF429" t="s">
        <v>3198</v>
      </c>
      <c r="AI429" s="76" t="s">
        <v>3392</v>
      </c>
      <c r="AJ429" s="2"/>
      <c r="AM429" s="74"/>
      <c r="AT429" s="1"/>
    </row>
    <row r="430" spans="1:46">
      <c r="A430" s="1">
        <v>429</v>
      </c>
      <c r="B430" t="s">
        <v>37</v>
      </c>
      <c r="C430" s="2">
        <v>45950</v>
      </c>
      <c r="D430" s="403" t="s">
        <v>9900</v>
      </c>
      <c r="E430" s="1" t="s">
        <v>13154</v>
      </c>
      <c r="F430" s="61" t="s">
        <v>13155</v>
      </c>
      <c r="G430" t="s">
        <v>13156</v>
      </c>
      <c r="H430" s="6" t="s">
        <v>227</v>
      </c>
      <c r="I430" s="1" t="s">
        <v>4719</v>
      </c>
      <c r="J430" s="295"/>
      <c r="K430" s="396" t="s">
        <v>13246</v>
      </c>
      <c r="L430" s="1" t="s">
        <v>13154</v>
      </c>
      <c r="M430" s="2">
        <v>45961</v>
      </c>
      <c r="N430" s="1" t="s">
        <v>35</v>
      </c>
      <c r="O430" s="61" t="s">
        <v>12352</v>
      </c>
      <c r="P430" s="14" t="s">
        <v>13157</v>
      </c>
      <c r="Q430" s="187">
        <v>115.7</v>
      </c>
      <c r="R430" s="1">
        <v>0</v>
      </c>
      <c r="S430" s="128">
        <v>0.21</v>
      </c>
      <c r="T430" s="128">
        <v>0</v>
      </c>
      <c r="V430" s="95">
        <f t="shared" ref="V430" si="230">SUM(Q430-(Q430*T430))*S430+(Q430-(Q430*T430))</f>
        <v>139.99700000000001</v>
      </c>
      <c r="X430" s="5" t="s">
        <v>13158</v>
      </c>
      <c r="Y430" s="2">
        <v>33032</v>
      </c>
      <c r="Z430" s="2">
        <v>45950</v>
      </c>
      <c r="AA430" s="2"/>
      <c r="AB430" s="2"/>
      <c r="AC430" s="80"/>
      <c r="AF430" t="s">
        <v>3198</v>
      </c>
      <c r="AI430" s="76" t="s">
        <v>3392</v>
      </c>
      <c r="AJ430" s="2"/>
      <c r="AM430" s="74"/>
      <c r="AT430" s="1"/>
    </row>
    <row r="431" spans="1:46">
      <c r="A431" s="1">
        <v>430</v>
      </c>
      <c r="B431" t="s">
        <v>4321</v>
      </c>
      <c r="C431" s="2">
        <v>45950</v>
      </c>
      <c r="D431" s="403" t="s">
        <v>9900</v>
      </c>
      <c r="E431" s="1" t="s">
        <v>13159</v>
      </c>
      <c r="F431" t="s">
        <v>13160</v>
      </c>
      <c r="G431" s="61" t="s">
        <v>13161</v>
      </c>
      <c r="H431" s="6" t="s">
        <v>242</v>
      </c>
      <c r="I431" s="1" t="s">
        <v>5083</v>
      </c>
      <c r="J431" s="8"/>
      <c r="K431" s="8" t="s">
        <v>5991</v>
      </c>
      <c r="L431" s="1" t="s">
        <v>13159</v>
      </c>
      <c r="M431" s="2">
        <v>45961</v>
      </c>
      <c r="N431" s="1" t="s">
        <v>35</v>
      </c>
      <c r="O431" s="61" t="s">
        <v>7934</v>
      </c>
      <c r="P431" s="14" t="s">
        <v>13162</v>
      </c>
      <c r="Q431" s="187">
        <v>115.7</v>
      </c>
      <c r="R431" s="1">
        <v>1</v>
      </c>
      <c r="S431" s="90">
        <v>0.21</v>
      </c>
      <c r="T431" s="90">
        <v>0</v>
      </c>
      <c r="U431" s="363"/>
      <c r="V431" s="95">
        <f t="shared" ref="V431" si="231">SUM(Q431-(Q431*T431))*S431+(Q431-(Q431*T431))</f>
        <v>139.99700000000001</v>
      </c>
      <c r="X431" s="5" t="s">
        <v>13163</v>
      </c>
      <c r="Y431" s="2">
        <v>31926</v>
      </c>
      <c r="Z431" s="2">
        <v>45950</v>
      </c>
      <c r="AA431" s="2"/>
      <c r="AB431" s="2"/>
      <c r="AC431" s="133"/>
      <c r="AF431" t="s">
        <v>3198</v>
      </c>
      <c r="AI431" s="76" t="s">
        <v>3470</v>
      </c>
      <c r="AJ431" s="2"/>
      <c r="AM431" s="74"/>
      <c r="AT431" s="1"/>
    </row>
    <row r="432" spans="1:46">
      <c r="A432" s="1">
        <v>431</v>
      </c>
      <c r="B432" t="s">
        <v>4321</v>
      </c>
      <c r="C432" s="2">
        <v>45950</v>
      </c>
      <c r="D432" s="2"/>
      <c r="E432" s="1" t="s">
        <v>13159</v>
      </c>
      <c r="F432" t="s">
        <v>13160</v>
      </c>
      <c r="G432" s="61" t="s">
        <v>13161</v>
      </c>
      <c r="H432" s="6" t="s">
        <v>242</v>
      </c>
      <c r="I432" s="1" t="s">
        <v>5083</v>
      </c>
      <c r="J432" s="8"/>
      <c r="K432" s="8" t="s">
        <v>5991</v>
      </c>
      <c r="L432" s="1" t="s">
        <v>13159</v>
      </c>
      <c r="M432" s="2">
        <v>45961</v>
      </c>
      <c r="N432" s="1" t="s">
        <v>35</v>
      </c>
      <c r="O432" s="61" t="s">
        <v>7934</v>
      </c>
      <c r="P432" s="14" t="s">
        <v>13164</v>
      </c>
      <c r="Q432" s="187">
        <v>115.7</v>
      </c>
      <c r="R432" s="1">
        <v>1</v>
      </c>
      <c r="S432" s="90">
        <v>0.21</v>
      </c>
      <c r="T432" s="90">
        <v>0</v>
      </c>
      <c r="U432" s="363"/>
      <c r="V432" s="95">
        <f t="shared" ref="V432" si="232">SUM(Q432-(Q432*T432))*S432+(Q432-(Q432*T432))</f>
        <v>139.99700000000001</v>
      </c>
      <c r="X432" s="5" t="s">
        <v>13165</v>
      </c>
      <c r="Y432" s="2">
        <v>37246</v>
      </c>
      <c r="Z432" s="2">
        <v>45950</v>
      </c>
      <c r="AA432" s="2"/>
      <c r="AB432" s="2"/>
      <c r="AC432" s="133"/>
      <c r="AF432" t="s">
        <v>3198</v>
      </c>
      <c r="AI432" s="76" t="s">
        <v>3470</v>
      </c>
      <c r="AJ432" s="2"/>
      <c r="AM432" s="74"/>
      <c r="AT432" s="1"/>
    </row>
    <row r="433" spans="1:46">
      <c r="A433" s="1">
        <v>432</v>
      </c>
      <c r="B433" t="s">
        <v>3526</v>
      </c>
      <c r="C433" s="2">
        <v>45950</v>
      </c>
      <c r="D433" s="403" t="s">
        <v>9900</v>
      </c>
      <c r="E433" s="1" t="s">
        <v>13166</v>
      </c>
      <c r="F433" s="61" t="s">
        <v>13167</v>
      </c>
      <c r="G433" s="61" t="s">
        <v>13168</v>
      </c>
      <c r="H433" s="6" t="s">
        <v>294</v>
      </c>
      <c r="I433" s="1" t="s">
        <v>3681</v>
      </c>
      <c r="J433" s="8"/>
      <c r="K433" s="1" t="s">
        <v>7759</v>
      </c>
      <c r="L433" s="1" t="s">
        <v>13166</v>
      </c>
      <c r="M433" s="2">
        <v>45961</v>
      </c>
      <c r="N433" s="1" t="s">
        <v>35</v>
      </c>
      <c r="O433" s="61" t="s">
        <v>7934</v>
      </c>
      <c r="P433" s="14" t="s">
        <v>13169</v>
      </c>
      <c r="Q433" s="187">
        <v>115.7</v>
      </c>
      <c r="R433" s="1">
        <v>1</v>
      </c>
      <c r="S433" s="90">
        <v>0.21</v>
      </c>
      <c r="T433" s="90">
        <v>0</v>
      </c>
      <c r="U433" s="363"/>
      <c r="V433" s="95">
        <f t="shared" ref="V433" si="233">SUM(Q433-(Q433*T433))*S433+(Q433-(Q433*T433))</f>
        <v>139.99700000000001</v>
      </c>
      <c r="W433" t="s">
        <v>13170</v>
      </c>
      <c r="X433" s="5" t="s">
        <v>13171</v>
      </c>
      <c r="Y433" s="2">
        <v>34881</v>
      </c>
      <c r="Z433" s="2">
        <v>45950</v>
      </c>
      <c r="AA433" s="2"/>
      <c r="AB433" s="2"/>
      <c r="AC433" s="133"/>
      <c r="AF433" t="s">
        <v>3198</v>
      </c>
      <c r="AI433" s="76" t="s">
        <v>3470</v>
      </c>
      <c r="AJ433" s="2"/>
      <c r="AM433" s="74"/>
      <c r="AT433" s="1"/>
    </row>
    <row r="434" spans="1:46">
      <c r="A434" s="1">
        <v>433</v>
      </c>
      <c r="B434" t="s">
        <v>3526</v>
      </c>
      <c r="C434" s="2">
        <v>45950</v>
      </c>
      <c r="D434" s="2"/>
      <c r="E434" s="1" t="s">
        <v>13166</v>
      </c>
      <c r="F434" s="61" t="s">
        <v>13167</v>
      </c>
      <c r="G434" s="61" t="s">
        <v>13168</v>
      </c>
      <c r="H434" s="6" t="s">
        <v>294</v>
      </c>
      <c r="I434" s="1" t="s">
        <v>3681</v>
      </c>
      <c r="J434" s="8"/>
      <c r="K434" s="1" t="s">
        <v>7759</v>
      </c>
      <c r="L434" s="1" t="s">
        <v>13166</v>
      </c>
      <c r="M434" s="2">
        <v>45961</v>
      </c>
      <c r="N434" s="1" t="s">
        <v>35</v>
      </c>
      <c r="O434" s="61" t="s">
        <v>7934</v>
      </c>
      <c r="P434" s="14" t="s">
        <v>13172</v>
      </c>
      <c r="Q434" s="187">
        <v>115.7</v>
      </c>
      <c r="R434" s="1">
        <v>1</v>
      </c>
      <c r="S434" s="90">
        <v>0.21</v>
      </c>
      <c r="T434" s="90">
        <v>0</v>
      </c>
      <c r="U434" s="363"/>
      <c r="V434" s="95">
        <f t="shared" ref="V434:V435" si="234">SUM(Q434-(Q434*T434))*S434+(Q434-(Q434*T434))</f>
        <v>139.99700000000001</v>
      </c>
      <c r="W434" t="s">
        <v>13173</v>
      </c>
      <c r="X434" s="5" t="s">
        <v>13174</v>
      </c>
      <c r="Y434" s="2">
        <v>37521</v>
      </c>
      <c r="Z434" s="2">
        <v>45950</v>
      </c>
      <c r="AA434" s="2"/>
      <c r="AB434" s="2"/>
      <c r="AC434" s="133"/>
      <c r="AF434" t="s">
        <v>3198</v>
      </c>
      <c r="AI434" s="76" t="s">
        <v>3470</v>
      </c>
      <c r="AJ434" s="2"/>
      <c r="AM434" s="74"/>
      <c r="AT434" s="1"/>
    </row>
    <row r="435" spans="1:46">
      <c r="A435" s="1">
        <v>432</v>
      </c>
      <c r="B435" t="s">
        <v>3526</v>
      </c>
      <c r="C435" s="2">
        <v>45950</v>
      </c>
      <c r="D435" s="403" t="s">
        <v>9900</v>
      </c>
      <c r="E435" s="1" t="s">
        <v>13166</v>
      </c>
      <c r="F435" s="61" t="s">
        <v>13167</v>
      </c>
      <c r="G435" s="61" t="s">
        <v>13168</v>
      </c>
      <c r="H435" s="6" t="s">
        <v>294</v>
      </c>
      <c r="I435" s="1" t="s">
        <v>3681</v>
      </c>
      <c r="J435" s="8"/>
      <c r="K435" s="1" t="s">
        <v>7759</v>
      </c>
      <c r="L435" s="1" t="s">
        <v>13166</v>
      </c>
      <c r="M435" s="2">
        <v>45961</v>
      </c>
      <c r="N435" s="1" t="s">
        <v>35</v>
      </c>
      <c r="O435" s="61" t="s">
        <v>7934</v>
      </c>
      <c r="P435" s="14" t="s">
        <v>13175</v>
      </c>
      <c r="Q435" s="187">
        <v>115.7</v>
      </c>
      <c r="R435" s="1">
        <v>1</v>
      </c>
      <c r="S435" s="90">
        <v>0.21</v>
      </c>
      <c r="T435" s="90">
        <v>0</v>
      </c>
      <c r="U435" s="363"/>
      <c r="V435" s="95">
        <f t="shared" si="234"/>
        <v>139.99700000000001</v>
      </c>
      <c r="W435" t="s">
        <v>13176</v>
      </c>
      <c r="X435" s="5" t="s">
        <v>13177</v>
      </c>
      <c r="Y435" s="2">
        <v>34528</v>
      </c>
      <c r="Z435" s="2">
        <v>45950</v>
      </c>
      <c r="AA435" s="2"/>
      <c r="AB435" s="2"/>
      <c r="AC435" s="133"/>
      <c r="AF435" t="s">
        <v>3198</v>
      </c>
      <c r="AI435" s="76" t="s">
        <v>3470</v>
      </c>
      <c r="AJ435" s="2"/>
      <c r="AM435" s="74"/>
      <c r="AT435" s="1"/>
    </row>
    <row r="436" spans="1:46">
      <c r="A436" s="1">
        <v>433</v>
      </c>
      <c r="B436" t="s">
        <v>1242</v>
      </c>
      <c r="C436" s="2">
        <v>45950</v>
      </c>
      <c r="D436" s="2"/>
      <c r="E436" s="31" t="s">
        <v>1250</v>
      </c>
      <c r="F436" t="s">
        <v>13062</v>
      </c>
      <c r="H436" s="6"/>
      <c r="I436" s="1"/>
      <c r="J436" s="295"/>
      <c r="K436" s="8" t="s">
        <v>5905</v>
      </c>
      <c r="L436" s="31" t="s">
        <v>1250</v>
      </c>
      <c r="M436" s="2">
        <v>45961</v>
      </c>
      <c r="N436" s="1" t="s">
        <v>35</v>
      </c>
      <c r="O436" s="61" t="s">
        <v>12352</v>
      </c>
      <c r="P436" s="14" t="s">
        <v>13178</v>
      </c>
      <c r="Q436" s="187">
        <v>115.7</v>
      </c>
      <c r="R436" s="1">
        <v>1</v>
      </c>
      <c r="S436" s="90">
        <v>0.21</v>
      </c>
      <c r="T436" s="90">
        <v>0</v>
      </c>
      <c r="U436" s="363"/>
      <c r="V436" s="95">
        <f t="shared" ref="V436:V437" si="235">SUM(Q436-(Q436*T436))*S436+(Q436-(Q436*T436))</f>
        <v>139.99700000000001</v>
      </c>
      <c r="W436" t="s">
        <v>13179</v>
      </c>
      <c r="X436" s="5" t="s">
        <v>13180</v>
      </c>
      <c r="Y436" s="2">
        <v>36784</v>
      </c>
      <c r="Z436" s="2">
        <v>45950</v>
      </c>
      <c r="AA436" s="2"/>
      <c r="AB436" s="2"/>
      <c r="AC436" s="80"/>
      <c r="AF436" t="s">
        <v>3198</v>
      </c>
      <c r="AI436" s="76" t="s">
        <v>3392</v>
      </c>
      <c r="AJ436" s="2"/>
      <c r="AK436" s="74"/>
      <c r="AL436" s="74"/>
      <c r="AM436" s="74"/>
      <c r="AT436" s="1"/>
    </row>
    <row r="437" spans="1:46">
      <c r="A437" s="1">
        <v>434</v>
      </c>
      <c r="B437" t="s">
        <v>3526</v>
      </c>
      <c r="C437" s="2">
        <v>45950</v>
      </c>
      <c r="D437" s="403" t="s">
        <v>9900</v>
      </c>
      <c r="E437" s="1" t="s">
        <v>13181</v>
      </c>
      <c r="F437" s="61" t="s">
        <v>13182</v>
      </c>
      <c r="G437" s="61" t="s">
        <v>13183</v>
      </c>
      <c r="H437" s="6" t="s">
        <v>6434</v>
      </c>
      <c r="I437" s="1" t="s">
        <v>3681</v>
      </c>
      <c r="J437" s="8"/>
      <c r="K437" s="1" t="s">
        <v>7759</v>
      </c>
      <c r="L437" s="1" t="s">
        <v>13181</v>
      </c>
      <c r="M437" s="2">
        <v>45961</v>
      </c>
      <c r="N437" s="1" t="s">
        <v>35</v>
      </c>
      <c r="O437" s="61" t="s">
        <v>7934</v>
      </c>
      <c r="P437" s="14" t="s">
        <v>13184</v>
      </c>
      <c r="Q437" s="187">
        <v>115.7</v>
      </c>
      <c r="R437" s="1">
        <v>1</v>
      </c>
      <c r="S437" s="90">
        <v>0.21</v>
      </c>
      <c r="T437" s="90">
        <v>0</v>
      </c>
      <c r="U437" s="363"/>
      <c r="V437" s="95">
        <f t="shared" si="235"/>
        <v>139.99700000000001</v>
      </c>
      <c r="W437" t="s">
        <v>13185</v>
      </c>
      <c r="X437" s="5" t="s">
        <v>13186</v>
      </c>
      <c r="Y437" s="2">
        <v>36462</v>
      </c>
      <c r="Z437" s="2">
        <v>45950</v>
      </c>
      <c r="AA437" s="2"/>
      <c r="AB437" s="2"/>
      <c r="AC437" s="133"/>
      <c r="AF437" t="s">
        <v>3198</v>
      </c>
      <c r="AI437" s="76" t="s">
        <v>3470</v>
      </c>
      <c r="AJ437" s="2"/>
      <c r="AM437" s="74"/>
      <c r="AT437" s="1"/>
    </row>
    <row r="438" spans="1:46">
      <c r="A438" s="1">
        <v>435</v>
      </c>
      <c r="B438" t="s">
        <v>3526</v>
      </c>
      <c r="C438" s="2">
        <v>45950</v>
      </c>
      <c r="D438" s="2"/>
      <c r="E438" s="1" t="s">
        <v>13181</v>
      </c>
      <c r="F438" s="61" t="s">
        <v>13182</v>
      </c>
      <c r="G438" s="61" t="s">
        <v>13183</v>
      </c>
      <c r="H438" s="6" t="s">
        <v>6434</v>
      </c>
      <c r="I438" s="1" t="s">
        <v>3681</v>
      </c>
      <c r="J438" s="8"/>
      <c r="K438" s="1" t="s">
        <v>7759</v>
      </c>
      <c r="L438" s="1" t="s">
        <v>13181</v>
      </c>
      <c r="M438" s="2">
        <v>45961</v>
      </c>
      <c r="N438" s="1" t="s">
        <v>35</v>
      </c>
      <c r="O438" s="61" t="s">
        <v>7934</v>
      </c>
      <c r="P438" s="14" t="s">
        <v>13187</v>
      </c>
      <c r="Q438" s="187">
        <v>115.7</v>
      </c>
      <c r="R438" s="1">
        <v>1</v>
      </c>
      <c r="S438" s="90">
        <v>0.21</v>
      </c>
      <c r="T438" s="90">
        <v>0</v>
      </c>
      <c r="U438" s="363"/>
      <c r="V438" s="95">
        <f t="shared" ref="V438" si="236">SUM(Q438-(Q438*T438))*S438+(Q438-(Q438*T438))</f>
        <v>139.99700000000001</v>
      </c>
      <c r="W438" t="s">
        <v>13188</v>
      </c>
      <c r="X438" s="5" t="s">
        <v>13189</v>
      </c>
      <c r="Y438" s="2">
        <v>36696</v>
      </c>
      <c r="Z438" s="2">
        <v>45950</v>
      </c>
      <c r="AA438" s="2"/>
      <c r="AB438" s="2"/>
      <c r="AC438" s="133"/>
      <c r="AF438" t="s">
        <v>3198</v>
      </c>
      <c r="AI438" s="76" t="s">
        <v>3470</v>
      </c>
      <c r="AJ438" s="2"/>
      <c r="AM438" s="74"/>
      <c r="AT438" s="1"/>
    </row>
    <row r="439" spans="1:46">
      <c r="A439" s="1">
        <v>436</v>
      </c>
      <c r="B439" t="s">
        <v>82</v>
      </c>
      <c r="C439" s="2">
        <v>45950</v>
      </c>
      <c r="D439" s="403" t="s">
        <v>9900</v>
      </c>
      <c r="E439" s="1" t="s">
        <v>13190</v>
      </c>
      <c r="F439" s="61" t="s">
        <v>13191</v>
      </c>
      <c r="G439" s="61" t="s">
        <v>13192</v>
      </c>
      <c r="H439" s="6" t="s">
        <v>239</v>
      </c>
      <c r="I439" s="1" t="s">
        <v>86</v>
      </c>
      <c r="J439" s="8"/>
      <c r="K439" s="8" t="s">
        <v>5991</v>
      </c>
      <c r="L439" s="1" t="s">
        <v>13190</v>
      </c>
      <c r="M439" s="2">
        <v>45961</v>
      </c>
      <c r="N439" s="1" t="s">
        <v>35</v>
      </c>
      <c r="O439" s="61" t="s">
        <v>7934</v>
      </c>
      <c r="P439" s="14" t="s">
        <v>13193</v>
      </c>
      <c r="Q439" s="187">
        <v>115.7</v>
      </c>
      <c r="R439" s="1">
        <v>1</v>
      </c>
      <c r="S439" s="90">
        <v>0.21</v>
      </c>
      <c r="T439" s="90">
        <v>0</v>
      </c>
      <c r="U439" s="363"/>
      <c r="V439" s="95">
        <f t="shared" ref="V439" si="237">SUM(Q439-(Q439*T439))*S439+(Q439-(Q439*T439))</f>
        <v>139.99700000000001</v>
      </c>
      <c r="W439" t="s">
        <v>13194</v>
      </c>
      <c r="X439" s="5" t="s">
        <v>13195</v>
      </c>
      <c r="Y439" s="2">
        <v>36479</v>
      </c>
      <c r="Z439" s="2">
        <v>45950</v>
      </c>
      <c r="AA439" s="2"/>
      <c r="AB439" s="2"/>
      <c r="AC439" s="133"/>
      <c r="AF439" t="s">
        <v>3198</v>
      </c>
      <c r="AI439" s="76" t="s">
        <v>3470</v>
      </c>
      <c r="AJ439" s="2"/>
      <c r="AM439" s="74"/>
      <c r="AT439" s="1"/>
    </row>
    <row r="440" spans="1:46">
      <c r="A440" s="1">
        <v>437</v>
      </c>
      <c r="B440" t="s">
        <v>1414</v>
      </c>
      <c r="C440" s="2">
        <v>45950</v>
      </c>
      <c r="D440" s="2"/>
      <c r="E440" s="1" t="s">
        <v>8548</v>
      </c>
      <c r="F440" t="s">
        <v>8549</v>
      </c>
      <c r="G440" t="s">
        <v>2115</v>
      </c>
      <c r="H440" s="6" t="s">
        <v>230</v>
      </c>
      <c r="I440" s="1" t="s">
        <v>8550</v>
      </c>
      <c r="J440" s="8"/>
      <c r="K440" s="396" t="s">
        <v>8355</v>
      </c>
      <c r="L440" s="1" t="s">
        <v>8548</v>
      </c>
      <c r="M440" s="2">
        <v>45961</v>
      </c>
      <c r="N440" s="1" t="s">
        <v>35</v>
      </c>
      <c r="O440" s="14" t="s">
        <v>9758</v>
      </c>
      <c r="P440" s="14" t="s">
        <v>13196</v>
      </c>
      <c r="Q440" s="187">
        <v>115.7</v>
      </c>
      <c r="R440" s="1">
        <v>1</v>
      </c>
      <c r="S440" s="128">
        <v>0.21</v>
      </c>
      <c r="T440" s="128">
        <v>0</v>
      </c>
      <c r="V440" s="95">
        <f t="shared" ref="V440" si="238">SUM(Q440-(Q440*T440))*S440+(Q440-(Q440*T440))</f>
        <v>139.99700000000001</v>
      </c>
      <c r="X440" s="5"/>
      <c r="Y440" s="2">
        <v>38352</v>
      </c>
      <c r="Z440" s="2">
        <v>45950</v>
      </c>
      <c r="AA440" s="2"/>
      <c r="AB440" s="2"/>
      <c r="AC440" s="80"/>
      <c r="AE440" s="3"/>
      <c r="AF440" t="s">
        <v>3198</v>
      </c>
      <c r="AI440" s="76" t="s">
        <v>3470</v>
      </c>
      <c r="AJ440" s="2"/>
      <c r="AM440" s="74"/>
      <c r="AS440" t="s">
        <v>9511</v>
      </c>
      <c r="AT440" s="1"/>
    </row>
    <row r="441" spans="1:46">
      <c r="A441" s="1">
        <v>438</v>
      </c>
      <c r="B441" s="61" t="s">
        <v>1414</v>
      </c>
      <c r="C441" s="2">
        <v>45950</v>
      </c>
      <c r="D441" s="2"/>
      <c r="E441" s="1" t="s">
        <v>3559</v>
      </c>
      <c r="F441" s="61" t="s">
        <v>3560</v>
      </c>
      <c r="G441" s="61" t="s">
        <v>3561</v>
      </c>
      <c r="H441" s="6" t="s">
        <v>230</v>
      </c>
      <c r="I441" s="1" t="s">
        <v>1262</v>
      </c>
      <c r="J441" s="1">
        <v>607536828</v>
      </c>
      <c r="K441" t="s">
        <v>7850</v>
      </c>
      <c r="L441" t="s">
        <v>3559</v>
      </c>
      <c r="M441" s="2">
        <v>45961</v>
      </c>
      <c r="N441" s="1" t="s">
        <v>35</v>
      </c>
      <c r="O441" s="61" t="s">
        <v>12352</v>
      </c>
      <c r="P441" s="14" t="s">
        <v>13197</v>
      </c>
      <c r="Q441" s="187">
        <v>115.7</v>
      </c>
      <c r="R441" s="1">
        <v>1</v>
      </c>
      <c r="S441" s="90">
        <v>0.21</v>
      </c>
      <c r="T441" s="90">
        <v>0</v>
      </c>
      <c r="U441" s="1"/>
      <c r="V441" s="95">
        <f t="shared" ref="V441:V442" si="239">SUM(Q441-(Q441*T441))*S441+(Q441-(Q441*T441))</f>
        <v>139.99700000000001</v>
      </c>
      <c r="X441" s="5" t="s">
        <v>13198</v>
      </c>
      <c r="Y441" s="2">
        <v>37662</v>
      </c>
      <c r="Z441" s="2">
        <v>45950</v>
      </c>
      <c r="AA441" s="2"/>
      <c r="AB441" s="3"/>
      <c r="AC441" s="80"/>
      <c r="AF441" t="s">
        <v>3198</v>
      </c>
      <c r="AI441" s="76" t="s">
        <v>3392</v>
      </c>
      <c r="AJ441" s="2"/>
      <c r="AK441" s="2"/>
      <c r="AM441" s="2"/>
      <c r="AT441" s="1"/>
    </row>
    <row r="442" spans="1:46">
      <c r="A442" s="1">
        <v>439</v>
      </c>
      <c r="B442" t="s">
        <v>33</v>
      </c>
      <c r="C442" s="2">
        <v>45950</v>
      </c>
      <c r="D442" s="403" t="s">
        <v>9900</v>
      </c>
      <c r="E442" s="1" t="s">
        <v>13199</v>
      </c>
      <c r="F442" s="61" t="s">
        <v>13200</v>
      </c>
      <c r="G442" s="61" t="s">
        <v>13201</v>
      </c>
      <c r="H442" s="6" t="s">
        <v>221</v>
      </c>
      <c r="I442" s="1" t="s">
        <v>34</v>
      </c>
      <c r="J442" s="1"/>
      <c r="K442" s="114" t="s">
        <v>11744</v>
      </c>
      <c r="L442" s="1" t="s">
        <v>13199</v>
      </c>
      <c r="M442" s="2">
        <v>45961</v>
      </c>
      <c r="N442" s="1" t="s">
        <v>35</v>
      </c>
      <c r="O442" s="61" t="s">
        <v>12352</v>
      </c>
      <c r="P442" s="14" t="s">
        <v>13202</v>
      </c>
      <c r="Q442" s="187">
        <v>115.7</v>
      </c>
      <c r="R442" s="1">
        <v>0</v>
      </c>
      <c r="S442" s="128">
        <v>0.21</v>
      </c>
      <c r="T442" s="128">
        <v>0</v>
      </c>
      <c r="V442" s="95">
        <f t="shared" si="239"/>
        <v>139.99700000000001</v>
      </c>
      <c r="X442" s="5" t="s">
        <v>13203</v>
      </c>
      <c r="Y442" s="2">
        <v>37386</v>
      </c>
      <c r="Z442" s="2">
        <v>45950</v>
      </c>
      <c r="AA442" s="2"/>
      <c r="AB442" s="2"/>
      <c r="AC442" s="80"/>
      <c r="AF442" t="s">
        <v>3198</v>
      </c>
      <c r="AI442" s="76" t="s">
        <v>3392</v>
      </c>
      <c r="AJ442" s="2"/>
      <c r="AM442" s="74"/>
      <c r="AT442" s="1"/>
    </row>
    <row r="443" spans="1:46">
      <c r="A443" s="1">
        <v>440</v>
      </c>
      <c r="B443" t="s">
        <v>143</v>
      </c>
      <c r="C443" s="2">
        <v>45950</v>
      </c>
      <c r="D443" s="403" t="s">
        <v>9900</v>
      </c>
      <c r="E443" s="410"/>
      <c r="F443" s="61" t="s">
        <v>13204</v>
      </c>
      <c r="G443" s="61" t="s">
        <v>13205</v>
      </c>
      <c r="H443" s="6" t="s">
        <v>242</v>
      </c>
      <c r="I443" s="1" t="s">
        <v>13206</v>
      </c>
      <c r="J443" s="8"/>
      <c r="K443" s="8"/>
      <c r="L443" s="410"/>
      <c r="M443" s="2">
        <v>45961</v>
      </c>
      <c r="N443" s="1" t="s">
        <v>35</v>
      </c>
      <c r="O443" s="61" t="s">
        <v>12352</v>
      </c>
      <c r="P443" s="14" t="s">
        <v>13207</v>
      </c>
      <c r="Q443" s="187">
        <v>165.29</v>
      </c>
      <c r="R443" s="1">
        <v>0</v>
      </c>
      <c r="S443" s="90">
        <v>0.21</v>
      </c>
      <c r="T443" s="90">
        <v>0</v>
      </c>
      <c r="U443" s="363"/>
      <c r="V443" s="126">
        <f t="shared" ref="V443" si="240">SUM(Q443-(Q443*T443))*S443+(Q443-(Q443*T443))</f>
        <v>200.0009</v>
      </c>
      <c r="X443" s="5" t="s">
        <v>13208</v>
      </c>
      <c r="Y443" s="2">
        <v>37664</v>
      </c>
      <c r="Z443" s="2">
        <v>45950</v>
      </c>
      <c r="AA443" s="2"/>
      <c r="AB443" s="2"/>
      <c r="AC443" s="133"/>
      <c r="AF443" t="s">
        <v>3198</v>
      </c>
      <c r="AI443" s="76" t="s">
        <v>3392</v>
      </c>
      <c r="AJ443" s="2"/>
      <c r="AM443" s="74"/>
      <c r="AT443" s="1"/>
    </row>
    <row r="444" spans="1:46">
      <c r="A444" s="1">
        <v>441</v>
      </c>
      <c r="B444" t="s">
        <v>143</v>
      </c>
      <c r="C444" s="2">
        <v>45951</v>
      </c>
      <c r="D444" s="403" t="s">
        <v>9900</v>
      </c>
      <c r="E444" s="410"/>
      <c r="F444" s="61" t="s">
        <v>13209</v>
      </c>
      <c r="G444" s="61" t="s">
        <v>13210</v>
      </c>
      <c r="H444" s="6" t="s">
        <v>250</v>
      </c>
      <c r="I444" s="1" t="s">
        <v>5083</v>
      </c>
      <c r="J444" s="8"/>
      <c r="K444" s="8"/>
      <c r="L444" s="410"/>
      <c r="M444" s="2">
        <v>45961</v>
      </c>
      <c r="N444" s="1" t="s">
        <v>35</v>
      </c>
      <c r="O444" s="61" t="s">
        <v>12352</v>
      </c>
      <c r="P444" s="14" t="s">
        <v>13211</v>
      </c>
      <c r="Q444" s="187">
        <v>165.29</v>
      </c>
      <c r="R444" s="1">
        <v>0</v>
      </c>
      <c r="S444" s="90">
        <v>0.21</v>
      </c>
      <c r="T444" s="90">
        <v>0</v>
      </c>
      <c r="U444" s="363"/>
      <c r="V444" s="126">
        <f t="shared" ref="V444" si="241">SUM(Q444-(Q444*T444))*S444+(Q444-(Q444*T444))</f>
        <v>200.0009</v>
      </c>
      <c r="X444" s="5" t="s">
        <v>13212</v>
      </c>
      <c r="Y444" s="2">
        <v>36602</v>
      </c>
      <c r="Z444" s="2">
        <v>45951</v>
      </c>
      <c r="AA444" s="2"/>
      <c r="AB444" s="2"/>
      <c r="AC444" s="133"/>
      <c r="AF444" t="s">
        <v>3198</v>
      </c>
      <c r="AI444" s="76" t="s">
        <v>3392</v>
      </c>
      <c r="AJ444" s="2"/>
      <c r="AM444" s="74"/>
      <c r="AT444" s="1"/>
    </row>
    <row r="445" spans="1:46">
      <c r="A445" s="1">
        <v>442</v>
      </c>
      <c r="B445" t="s">
        <v>37</v>
      </c>
      <c r="C445" s="2">
        <v>45951</v>
      </c>
      <c r="D445" s="403" t="s">
        <v>9900</v>
      </c>
      <c r="E445" s="410"/>
      <c r="F445" s="61" t="s">
        <v>13213</v>
      </c>
      <c r="G445" t="s">
        <v>10562</v>
      </c>
      <c r="H445" s="6" t="s">
        <v>219</v>
      </c>
      <c r="I445" s="1" t="s">
        <v>4334</v>
      </c>
      <c r="J445" s="295"/>
      <c r="K445" s="396"/>
      <c r="L445" s="410"/>
      <c r="M445" s="2">
        <v>45961</v>
      </c>
      <c r="N445" s="1" t="s">
        <v>35</v>
      </c>
      <c r="O445" s="61" t="s">
        <v>12352</v>
      </c>
      <c r="P445" s="14" t="s">
        <v>13214</v>
      </c>
      <c r="Q445" s="187">
        <v>165.29</v>
      </c>
      <c r="R445" s="1">
        <v>0</v>
      </c>
      <c r="S445" s="90">
        <v>0.21</v>
      </c>
      <c r="T445" s="90">
        <v>0</v>
      </c>
      <c r="U445" s="363"/>
      <c r="V445" s="126">
        <f t="shared" ref="V445" si="242">SUM(Q445-(Q445*T445))*S445+(Q445-(Q445*T445))</f>
        <v>200.0009</v>
      </c>
      <c r="X445" s="5" t="s">
        <v>13215</v>
      </c>
      <c r="Y445" s="2">
        <v>34077</v>
      </c>
      <c r="Z445" s="2">
        <v>45951</v>
      </c>
      <c r="AA445" s="2"/>
      <c r="AB445" s="2"/>
      <c r="AC445" s="80"/>
      <c r="AF445" t="s">
        <v>3198</v>
      </c>
      <c r="AI445" s="76" t="s">
        <v>13218</v>
      </c>
      <c r="AJ445" s="2"/>
      <c r="AM445" s="74"/>
      <c r="AT445" s="1"/>
    </row>
    <row r="446" spans="1:46">
      <c r="A446" s="1">
        <v>443</v>
      </c>
      <c r="B446" t="s">
        <v>37</v>
      </c>
      <c r="C446" s="2">
        <v>45951</v>
      </c>
      <c r="D446" s="403" t="s">
        <v>9900</v>
      </c>
      <c r="E446" s="410"/>
      <c r="F446" s="61" t="s">
        <v>13216</v>
      </c>
      <c r="G446" t="s">
        <v>10562</v>
      </c>
      <c r="H446" s="6" t="s">
        <v>219</v>
      </c>
      <c r="I446" s="1" t="s">
        <v>4334</v>
      </c>
      <c r="J446" s="295"/>
      <c r="K446" s="396"/>
      <c r="L446" s="410"/>
      <c r="M446" s="2">
        <v>45961</v>
      </c>
      <c r="N446" s="1" t="s">
        <v>35</v>
      </c>
      <c r="O446" s="61" t="s">
        <v>12352</v>
      </c>
      <c r="P446" s="14" t="s">
        <v>13217</v>
      </c>
      <c r="Q446" s="187">
        <v>165.29</v>
      </c>
      <c r="R446" s="1">
        <v>0</v>
      </c>
      <c r="S446" s="90">
        <v>0.21</v>
      </c>
      <c r="T446" s="90">
        <v>0</v>
      </c>
      <c r="U446" s="363"/>
      <c r="V446" s="126">
        <f t="shared" ref="V446:V448" si="243">SUM(Q446-(Q446*T446))*S446+(Q446-(Q446*T446))</f>
        <v>200.0009</v>
      </c>
      <c r="X446" s="5" t="s">
        <v>13219</v>
      </c>
      <c r="Y446" s="2">
        <v>36562</v>
      </c>
      <c r="Z446" s="2">
        <v>45951</v>
      </c>
      <c r="AA446" s="2"/>
      <c r="AB446" s="2"/>
      <c r="AC446" s="80"/>
      <c r="AF446" t="s">
        <v>3198</v>
      </c>
      <c r="AI446" s="76" t="s">
        <v>3392</v>
      </c>
      <c r="AJ446" s="2"/>
      <c r="AM446" s="74"/>
      <c r="AT446" s="1"/>
    </row>
    <row r="447" spans="1:46">
      <c r="A447" s="1">
        <v>444</v>
      </c>
      <c r="B447" s="61" t="s">
        <v>33</v>
      </c>
      <c r="C447" s="2">
        <v>45951</v>
      </c>
      <c r="D447" s="2"/>
      <c r="E447" s="1" t="s">
        <v>7513</v>
      </c>
      <c r="F447" s="61" t="s">
        <v>10891</v>
      </c>
      <c r="G447" t="s">
        <v>7515</v>
      </c>
      <c r="H447" s="6" t="s">
        <v>304</v>
      </c>
      <c r="I447" s="1" t="s">
        <v>68</v>
      </c>
      <c r="J447" s="1"/>
      <c r="K447" s="114" t="s">
        <v>11744</v>
      </c>
      <c r="L447" s="1" t="s">
        <v>237</v>
      </c>
      <c r="M447" s="2">
        <v>45961</v>
      </c>
      <c r="N447" s="1" t="s">
        <v>35</v>
      </c>
      <c r="O447" s="375" t="s">
        <v>7934</v>
      </c>
      <c r="P447" s="14" t="s">
        <v>12598</v>
      </c>
      <c r="Q447" s="92">
        <v>0</v>
      </c>
      <c r="R447" s="1">
        <v>1</v>
      </c>
      <c r="S447" s="128">
        <v>0.21</v>
      </c>
      <c r="T447" s="128">
        <v>0</v>
      </c>
      <c r="U447" s="363"/>
      <c r="V447" s="126">
        <f t="shared" si="243"/>
        <v>0</v>
      </c>
      <c r="W447" t="s">
        <v>10957</v>
      </c>
      <c r="X447" s="5" t="s">
        <v>13424</v>
      </c>
      <c r="Y447" s="2">
        <v>33165</v>
      </c>
      <c r="Z447" s="2">
        <v>45951</v>
      </c>
      <c r="AA447" s="2"/>
      <c r="AB447" s="2"/>
      <c r="AC447" s="80"/>
      <c r="AD447" s="61"/>
      <c r="AF447" t="s">
        <v>3198</v>
      </c>
      <c r="AI447" s="76" t="s">
        <v>3470</v>
      </c>
      <c r="AJ447" s="2"/>
      <c r="AM447" s="3"/>
      <c r="AS447" s="1"/>
      <c r="AT447" s="1"/>
    </row>
    <row r="448" spans="1:46">
      <c r="A448" s="1">
        <v>445</v>
      </c>
      <c r="B448" t="s">
        <v>143</v>
      </c>
      <c r="C448" s="2">
        <v>45951</v>
      </c>
      <c r="D448" s="403" t="s">
        <v>9900</v>
      </c>
      <c r="E448" s="410"/>
      <c r="F448" s="61" t="s">
        <v>13220</v>
      </c>
      <c r="G448" s="61" t="s">
        <v>13221</v>
      </c>
      <c r="H448" s="6" t="s">
        <v>242</v>
      </c>
      <c r="I448" s="1" t="s">
        <v>5083</v>
      </c>
      <c r="J448" s="8"/>
      <c r="K448" s="8"/>
      <c r="L448" s="410"/>
      <c r="M448" s="2">
        <v>45961</v>
      </c>
      <c r="N448" s="1" t="s">
        <v>35</v>
      </c>
      <c r="O448" s="61" t="s">
        <v>12352</v>
      </c>
      <c r="P448" s="14" t="s">
        <v>13222</v>
      </c>
      <c r="Q448" s="187">
        <v>165.29</v>
      </c>
      <c r="R448" s="1">
        <v>0</v>
      </c>
      <c r="S448" s="90">
        <v>0.21</v>
      </c>
      <c r="T448" s="90">
        <v>0</v>
      </c>
      <c r="U448" s="363"/>
      <c r="V448" s="126">
        <f t="shared" si="243"/>
        <v>200.0009</v>
      </c>
      <c r="X448" s="5" t="s">
        <v>13223</v>
      </c>
      <c r="Y448" s="2">
        <v>36790</v>
      </c>
      <c r="Z448" s="2">
        <v>45951</v>
      </c>
      <c r="AA448" s="2"/>
      <c r="AB448" s="2"/>
      <c r="AC448" s="133"/>
      <c r="AF448" t="s">
        <v>3198</v>
      </c>
      <c r="AI448" s="76" t="s">
        <v>13228</v>
      </c>
      <c r="AJ448" s="2"/>
      <c r="AM448" s="74"/>
      <c r="AT448" s="1"/>
    </row>
    <row r="449" spans="1:46">
      <c r="A449" s="1">
        <v>446</v>
      </c>
      <c r="B449" t="s">
        <v>143</v>
      </c>
      <c r="C449" s="2">
        <v>45951</v>
      </c>
      <c r="D449" s="403" t="s">
        <v>9900</v>
      </c>
      <c r="E449" s="410"/>
      <c r="F449" s="61" t="s">
        <v>13224</v>
      </c>
      <c r="G449" s="61" t="s">
        <v>13225</v>
      </c>
      <c r="H449" s="6" t="s">
        <v>220</v>
      </c>
      <c r="I449" s="1" t="s">
        <v>39</v>
      </c>
      <c r="J449" s="8"/>
      <c r="K449" s="8"/>
      <c r="L449" s="410"/>
      <c r="M449" s="2">
        <v>45961</v>
      </c>
      <c r="N449" s="1" t="s">
        <v>35</v>
      </c>
      <c r="O449" s="61" t="s">
        <v>12352</v>
      </c>
      <c r="P449" s="14" t="s">
        <v>13226</v>
      </c>
      <c r="Q449" s="187">
        <v>165.29</v>
      </c>
      <c r="R449" s="1">
        <v>0</v>
      </c>
      <c r="S449" s="90">
        <v>0.21</v>
      </c>
      <c r="T449" s="90">
        <v>0</v>
      </c>
      <c r="U449" s="363"/>
      <c r="V449" s="126">
        <f t="shared" ref="V449" si="244">SUM(Q449-(Q449*T449))*S449+(Q449-(Q449*T449))</f>
        <v>200.0009</v>
      </c>
      <c r="X449" s="5" t="s">
        <v>13227</v>
      </c>
      <c r="Y449" s="2">
        <v>36574</v>
      </c>
      <c r="Z449" s="2">
        <v>45951</v>
      </c>
      <c r="AA449" s="2"/>
      <c r="AB449" s="2"/>
      <c r="AC449" s="133"/>
      <c r="AF449" t="s">
        <v>3198</v>
      </c>
      <c r="AI449" s="76" t="s">
        <v>10489</v>
      </c>
      <c r="AJ449" s="2"/>
      <c r="AM449" s="74"/>
      <c r="AT449" s="1"/>
    </row>
    <row r="450" spans="1:46">
      <c r="A450" s="1">
        <v>447</v>
      </c>
      <c r="B450" t="s">
        <v>143</v>
      </c>
      <c r="C450" s="2">
        <v>45951</v>
      </c>
      <c r="D450" s="403" t="s">
        <v>9900</v>
      </c>
      <c r="E450" s="410"/>
      <c r="F450" s="61" t="s">
        <v>13229</v>
      </c>
      <c r="G450" s="61" t="s">
        <v>13230</v>
      </c>
      <c r="H450" s="6" t="s">
        <v>250</v>
      </c>
      <c r="I450" s="1" t="s">
        <v>5083</v>
      </c>
      <c r="J450" s="8"/>
      <c r="K450" s="8"/>
      <c r="L450" s="410"/>
      <c r="M450" s="2">
        <v>45961</v>
      </c>
      <c r="N450" s="1" t="s">
        <v>35</v>
      </c>
      <c r="O450" s="61" t="s">
        <v>7934</v>
      </c>
      <c r="P450" s="14" t="s">
        <v>13231</v>
      </c>
      <c r="Q450" s="187">
        <v>165.29</v>
      </c>
      <c r="R450" s="1">
        <v>0</v>
      </c>
      <c r="S450" s="90">
        <v>0.21</v>
      </c>
      <c r="T450" s="90">
        <v>0</v>
      </c>
      <c r="U450" s="363"/>
      <c r="V450" s="126">
        <f t="shared" ref="V450:V454" si="245">SUM(Q450-(Q450*T450))*S450+(Q450-(Q450*T450))</f>
        <v>200.0009</v>
      </c>
      <c r="X450" s="5" t="s">
        <v>13232</v>
      </c>
      <c r="Y450" s="2">
        <v>33439</v>
      </c>
      <c r="Z450" s="2">
        <v>45951</v>
      </c>
      <c r="AA450" s="2"/>
      <c r="AB450" s="2"/>
      <c r="AC450" s="133"/>
      <c r="AF450" t="s">
        <v>3198</v>
      </c>
      <c r="AI450" s="76" t="s">
        <v>3470</v>
      </c>
      <c r="AJ450" s="2"/>
      <c r="AM450" s="74"/>
      <c r="AT450" s="1"/>
    </row>
    <row r="451" spans="1:46">
      <c r="A451" s="1">
        <v>448</v>
      </c>
      <c r="B451" t="s">
        <v>143</v>
      </c>
      <c r="C451" s="2">
        <v>45951</v>
      </c>
      <c r="D451" s="403" t="s">
        <v>9900</v>
      </c>
      <c r="E451" s="410"/>
      <c r="F451" s="61" t="s">
        <v>13233</v>
      </c>
      <c r="G451" s="61" t="s">
        <v>13234</v>
      </c>
      <c r="H451" s="6" t="s">
        <v>219</v>
      </c>
      <c r="I451" s="1" t="s">
        <v>4334</v>
      </c>
      <c r="J451" s="8"/>
      <c r="K451" s="8"/>
      <c r="L451" s="410"/>
      <c r="M451" s="2">
        <v>45961</v>
      </c>
      <c r="N451" s="1" t="s">
        <v>35</v>
      </c>
      <c r="O451" s="61" t="s">
        <v>7934</v>
      </c>
      <c r="P451" s="14" t="s">
        <v>13235</v>
      </c>
      <c r="Q451" s="187">
        <v>165.29</v>
      </c>
      <c r="R451" s="1">
        <v>0</v>
      </c>
      <c r="S451" s="90">
        <v>0.21</v>
      </c>
      <c r="T451" s="90">
        <v>0</v>
      </c>
      <c r="U451" s="363"/>
      <c r="V451" s="126">
        <f t="shared" si="245"/>
        <v>200.0009</v>
      </c>
      <c r="X451" s="5" t="s">
        <v>13236</v>
      </c>
      <c r="Y451" s="2">
        <v>36889</v>
      </c>
      <c r="Z451" s="2">
        <v>45951</v>
      </c>
      <c r="AA451" s="2"/>
      <c r="AB451" s="2"/>
      <c r="AC451" s="133"/>
      <c r="AF451" t="s">
        <v>3198</v>
      </c>
      <c r="AI451" s="76" t="s">
        <v>3470</v>
      </c>
      <c r="AJ451" s="2"/>
      <c r="AM451" s="74"/>
      <c r="AT451" s="1"/>
    </row>
    <row r="452" spans="1:46">
      <c r="A452" s="1">
        <v>449</v>
      </c>
      <c r="B452" t="s">
        <v>143</v>
      </c>
      <c r="C452" s="2">
        <v>45951</v>
      </c>
      <c r="D452" s="403" t="s">
        <v>9900</v>
      </c>
      <c r="E452" s="410"/>
      <c r="F452" s="61" t="s">
        <v>13237</v>
      </c>
      <c r="G452" s="61" t="s">
        <v>13238</v>
      </c>
      <c r="H452" s="6" t="s">
        <v>220</v>
      </c>
      <c r="I452" s="1" t="s">
        <v>13239</v>
      </c>
      <c r="J452" s="8"/>
      <c r="K452" s="8"/>
      <c r="L452" s="410"/>
      <c r="M452" s="2">
        <v>45961</v>
      </c>
      <c r="N452" s="1" t="s">
        <v>35</v>
      </c>
      <c r="O452" s="61" t="s">
        <v>7934</v>
      </c>
      <c r="P452" s="14" t="s">
        <v>13240</v>
      </c>
      <c r="Q452" s="187">
        <v>165.29</v>
      </c>
      <c r="R452" s="1">
        <v>0</v>
      </c>
      <c r="S452" s="90">
        <v>0.21</v>
      </c>
      <c r="T452" s="90">
        <v>0</v>
      </c>
      <c r="U452" s="363"/>
      <c r="V452" s="126">
        <f t="shared" si="245"/>
        <v>200.0009</v>
      </c>
      <c r="X452" s="5" t="s">
        <v>13241</v>
      </c>
      <c r="Y452" s="2">
        <v>30811</v>
      </c>
      <c r="Z452" s="2">
        <v>45951</v>
      </c>
      <c r="AA452" s="2"/>
      <c r="AB452" s="2"/>
      <c r="AC452" s="133"/>
      <c r="AF452" t="s">
        <v>3198</v>
      </c>
      <c r="AI452" s="76" t="s">
        <v>3470</v>
      </c>
      <c r="AJ452" s="2"/>
      <c r="AM452" s="74"/>
      <c r="AT452" s="1"/>
    </row>
    <row r="453" spans="1:46" s="457" customFormat="1" ht="15.75" thickBot="1">
      <c r="A453" s="456">
        <v>450</v>
      </c>
      <c r="B453" s="457" t="s">
        <v>143</v>
      </c>
      <c r="C453" s="458">
        <v>45951</v>
      </c>
      <c r="D453" s="482" t="s">
        <v>9900</v>
      </c>
      <c r="E453" s="500"/>
      <c r="F453" s="459" t="s">
        <v>13242</v>
      </c>
      <c r="G453" s="459" t="s">
        <v>13243</v>
      </c>
      <c r="H453" s="460" t="s">
        <v>1257</v>
      </c>
      <c r="I453" s="456" t="s">
        <v>1266</v>
      </c>
      <c r="J453" s="461"/>
      <c r="K453" s="461"/>
      <c r="L453" s="500"/>
      <c r="M453" s="458">
        <v>45961</v>
      </c>
      <c r="N453" s="456" t="s">
        <v>35</v>
      </c>
      <c r="O453" s="459" t="s">
        <v>7934</v>
      </c>
      <c r="P453" s="463" t="s">
        <v>13244</v>
      </c>
      <c r="Q453" s="464">
        <v>165.29</v>
      </c>
      <c r="R453" s="456">
        <v>0</v>
      </c>
      <c r="S453" s="465">
        <v>0.21</v>
      </c>
      <c r="T453" s="465">
        <v>0</v>
      </c>
      <c r="U453" s="466"/>
      <c r="V453" s="467">
        <f t="shared" si="245"/>
        <v>200.0009</v>
      </c>
      <c r="X453" s="468" t="s">
        <v>13245</v>
      </c>
      <c r="Y453" s="458">
        <v>36468</v>
      </c>
      <c r="Z453" s="458">
        <v>45951</v>
      </c>
      <c r="AA453" s="458"/>
      <c r="AB453" s="458"/>
      <c r="AC453" s="477"/>
      <c r="AF453" s="457" t="s">
        <v>3198</v>
      </c>
      <c r="AI453" s="488" t="s">
        <v>3470</v>
      </c>
      <c r="AJ453" s="458"/>
      <c r="AM453" s="478"/>
      <c r="AT453" s="456"/>
    </row>
    <row r="454" spans="1:46" ht="15.75" thickTop="1">
      <c r="A454" s="1">
        <v>451</v>
      </c>
      <c r="B454" t="s">
        <v>6684</v>
      </c>
      <c r="C454" s="2">
        <v>45951</v>
      </c>
      <c r="D454" s="2"/>
      <c r="E454" s="1" t="s">
        <v>6685</v>
      </c>
      <c r="F454" t="s">
        <v>6686</v>
      </c>
      <c r="G454" t="s">
        <v>6687</v>
      </c>
      <c r="H454" s="6" t="s">
        <v>2579</v>
      </c>
      <c r="I454" t="s">
        <v>2580</v>
      </c>
      <c r="J454" s="8"/>
      <c r="K454" s="1" t="s">
        <v>7339</v>
      </c>
      <c r="L454" t="s">
        <v>6685</v>
      </c>
      <c r="M454" s="2">
        <v>45961</v>
      </c>
      <c r="N454" s="1" t="s">
        <v>35</v>
      </c>
      <c r="O454" s="61" t="s">
        <v>12352</v>
      </c>
      <c r="P454" s="14" t="s">
        <v>13247</v>
      </c>
      <c r="Q454" s="187">
        <v>115.7</v>
      </c>
      <c r="R454" s="1">
        <v>1</v>
      </c>
      <c r="S454" s="128">
        <v>0.21</v>
      </c>
      <c r="T454" s="128">
        <v>0</v>
      </c>
      <c r="V454" s="126">
        <f t="shared" si="245"/>
        <v>139.99700000000001</v>
      </c>
      <c r="X454" s="5" t="s">
        <v>13248</v>
      </c>
      <c r="Y454" s="3" t="s">
        <v>13249</v>
      </c>
      <c r="Z454" s="2">
        <v>45951</v>
      </c>
      <c r="AA454" s="2"/>
      <c r="AB454" s="2"/>
      <c r="AC454" s="80"/>
      <c r="AF454" t="s">
        <v>3198</v>
      </c>
      <c r="AI454" s="76" t="s">
        <v>3392</v>
      </c>
      <c r="AJ454" s="3"/>
      <c r="AM454" s="3"/>
    </row>
    <row r="455" spans="1:46">
      <c r="A455" s="1">
        <v>452</v>
      </c>
      <c r="B455" t="s">
        <v>143</v>
      </c>
      <c r="C455" s="2">
        <v>45951</v>
      </c>
      <c r="D455" s="403" t="s">
        <v>9900</v>
      </c>
      <c r="E455" s="410"/>
      <c r="F455" s="61" t="s">
        <v>13250</v>
      </c>
      <c r="G455" s="61" t="s">
        <v>13251</v>
      </c>
      <c r="H455" s="6" t="s">
        <v>219</v>
      </c>
      <c r="I455" s="1" t="s">
        <v>38</v>
      </c>
      <c r="J455" s="8"/>
      <c r="K455" s="8"/>
      <c r="L455" s="410"/>
      <c r="M455" s="2">
        <v>45961</v>
      </c>
      <c r="N455" s="1" t="s">
        <v>35</v>
      </c>
      <c r="O455" s="61" t="s">
        <v>12352</v>
      </c>
      <c r="P455" s="14" t="s">
        <v>13395</v>
      </c>
      <c r="Q455" s="187">
        <v>165.29</v>
      </c>
      <c r="R455" s="1">
        <v>0</v>
      </c>
      <c r="S455" s="90">
        <v>0.21</v>
      </c>
      <c r="T455" s="90">
        <v>0</v>
      </c>
      <c r="U455" s="363"/>
      <c r="V455" s="126">
        <f t="shared" ref="V455:V456" si="246">SUM(Q455-(Q455*T455))*S455+(Q455-(Q455*T455))</f>
        <v>200.0009</v>
      </c>
      <c r="X455" s="5" t="s">
        <v>13252</v>
      </c>
      <c r="Y455" s="2">
        <v>35687</v>
      </c>
      <c r="Z455" s="2">
        <v>45951</v>
      </c>
      <c r="AA455" s="2"/>
      <c r="AB455" s="2"/>
      <c r="AC455" s="133"/>
      <c r="AF455" t="s">
        <v>3198</v>
      </c>
      <c r="AI455" s="76" t="s">
        <v>3392</v>
      </c>
      <c r="AJ455" s="2"/>
      <c r="AM455" s="74"/>
      <c r="AT455" s="1"/>
    </row>
    <row r="456" spans="1:46">
      <c r="A456" s="1">
        <v>453</v>
      </c>
      <c r="B456" t="s">
        <v>1414</v>
      </c>
      <c r="C456" s="2">
        <v>45939</v>
      </c>
      <c r="D456" s="2"/>
      <c r="E456" s="2" t="s">
        <v>11939</v>
      </c>
      <c r="F456" s="61" t="s">
        <v>11940</v>
      </c>
      <c r="G456" t="s">
        <v>11941</v>
      </c>
      <c r="H456" s="6" t="s">
        <v>219</v>
      </c>
      <c r="I456" s="1" t="s">
        <v>38</v>
      </c>
      <c r="J456" s="8"/>
      <c r="K456" s="396" t="s">
        <v>8355</v>
      </c>
      <c r="L456" s="2" t="s">
        <v>11939</v>
      </c>
      <c r="M456" s="2">
        <v>45961</v>
      </c>
      <c r="N456" s="1" t="s">
        <v>35</v>
      </c>
      <c r="O456" s="61" t="s">
        <v>12352</v>
      </c>
      <c r="P456" s="14" t="s">
        <v>13253</v>
      </c>
      <c r="Q456" s="254">
        <v>115.7</v>
      </c>
      <c r="R456" s="1">
        <v>1</v>
      </c>
      <c r="S456" s="128">
        <v>0.21</v>
      </c>
      <c r="T456" s="128">
        <v>0</v>
      </c>
      <c r="U456" s="363"/>
      <c r="V456" s="126">
        <f t="shared" si="246"/>
        <v>139.99700000000001</v>
      </c>
      <c r="X456" s="5" t="s">
        <v>13254</v>
      </c>
      <c r="Y456" s="3">
        <v>35490</v>
      </c>
      <c r="Z456" s="2">
        <v>45939</v>
      </c>
      <c r="AA456" s="2"/>
      <c r="AB456" s="2"/>
      <c r="AC456" s="80"/>
      <c r="AF456" t="s">
        <v>3198</v>
      </c>
      <c r="AI456" s="76" t="s">
        <v>3392</v>
      </c>
      <c r="AJ456" s="3"/>
      <c r="AM456" s="3"/>
    </row>
    <row r="457" spans="1:46">
      <c r="A457" s="1">
        <v>454</v>
      </c>
      <c r="B457" t="s">
        <v>13255</v>
      </c>
      <c r="C457" s="2">
        <v>45939</v>
      </c>
      <c r="D457" s="403" t="s">
        <v>9900</v>
      </c>
      <c r="E457" s="61" t="s">
        <v>13256</v>
      </c>
      <c r="F457" s="61" t="s">
        <v>13257</v>
      </c>
      <c r="G457" s="61" t="s">
        <v>13258</v>
      </c>
      <c r="H457" s="6" t="s">
        <v>239</v>
      </c>
      <c r="I457" s="1" t="s">
        <v>2585</v>
      </c>
      <c r="J457" s="8"/>
      <c r="K457" s="8" t="s">
        <v>13259</v>
      </c>
      <c r="L457" s="61" t="s">
        <v>13256</v>
      </c>
      <c r="M457" s="2">
        <v>45961</v>
      </c>
      <c r="N457" s="1" t="s">
        <v>35</v>
      </c>
      <c r="O457" s="61" t="s">
        <v>12352</v>
      </c>
      <c r="P457" s="14" t="s">
        <v>13260</v>
      </c>
      <c r="Q457" s="254">
        <v>115.7</v>
      </c>
      <c r="R457" s="1">
        <v>1</v>
      </c>
      <c r="S457" s="128">
        <v>0.21</v>
      </c>
      <c r="T457" s="128">
        <v>0</v>
      </c>
      <c r="U457" s="363"/>
      <c r="V457" s="126">
        <f t="shared" ref="V457" si="247">SUM(Q457-(Q457*T457))*S457+(Q457-(Q457*T457))</f>
        <v>139.99700000000001</v>
      </c>
      <c r="W457" t="s">
        <v>13380</v>
      </c>
      <c r="X457" s="5" t="s">
        <v>13381</v>
      </c>
      <c r="Y457" s="2">
        <v>35376</v>
      </c>
      <c r="Z457" s="2">
        <v>45939</v>
      </c>
      <c r="AA457" s="2"/>
      <c r="AB457" s="2"/>
      <c r="AC457" s="133"/>
      <c r="AF457" t="s">
        <v>3198</v>
      </c>
      <c r="AI457" s="76" t="s">
        <v>13261</v>
      </c>
      <c r="AJ457" s="2">
        <v>45959</v>
      </c>
      <c r="AM457" s="74"/>
      <c r="AT457" s="1"/>
    </row>
    <row r="458" spans="1:46">
      <c r="A458" s="1">
        <v>455</v>
      </c>
      <c r="B458" t="s">
        <v>40</v>
      </c>
      <c r="C458" s="2">
        <v>45951</v>
      </c>
      <c r="D458" s="403" t="s">
        <v>9900</v>
      </c>
      <c r="E458" s="61" t="s">
        <v>13262</v>
      </c>
      <c r="F458" s="61" t="s">
        <v>13263</v>
      </c>
      <c r="G458" s="61" t="s">
        <v>13264</v>
      </c>
      <c r="H458" s="6" t="s">
        <v>227</v>
      </c>
      <c r="I458" s="1" t="s">
        <v>4719</v>
      </c>
      <c r="J458" s="8"/>
      <c r="K458" s="301" t="s">
        <v>12623</v>
      </c>
      <c r="L458" s="61" t="s">
        <v>13262</v>
      </c>
      <c r="M458" s="2">
        <v>45961</v>
      </c>
      <c r="N458" s="1" t="s">
        <v>35</v>
      </c>
      <c r="O458" s="61" t="s">
        <v>12352</v>
      </c>
      <c r="P458" s="14" t="s">
        <v>13265</v>
      </c>
      <c r="Q458" s="254">
        <v>115.7</v>
      </c>
      <c r="R458" s="1">
        <v>1</v>
      </c>
      <c r="S458" s="128">
        <v>0.21</v>
      </c>
      <c r="T458" s="128">
        <v>0</v>
      </c>
      <c r="U458" s="363"/>
      <c r="V458" s="126">
        <f t="shared" ref="V458:V460" si="248">SUM(Q458-(Q458*T458))*S458+(Q458-(Q458*T458))</f>
        <v>139.99700000000001</v>
      </c>
      <c r="X458" s="5" t="s">
        <v>13266</v>
      </c>
      <c r="Y458" s="2">
        <v>34470</v>
      </c>
      <c r="Z458" s="2">
        <v>45951</v>
      </c>
      <c r="AA458" s="2"/>
      <c r="AB458" s="2"/>
      <c r="AC458" s="133"/>
      <c r="AF458" t="s">
        <v>3198</v>
      </c>
      <c r="AI458" s="76" t="s">
        <v>13267</v>
      </c>
      <c r="AJ458" s="2"/>
      <c r="AM458" s="74"/>
      <c r="AT458" s="1"/>
    </row>
    <row r="459" spans="1:46">
      <c r="A459" s="1">
        <v>456</v>
      </c>
      <c r="B459" t="s">
        <v>52</v>
      </c>
      <c r="C459" s="2">
        <v>45951</v>
      </c>
      <c r="D459" s="2"/>
      <c r="E459" s="1" t="s">
        <v>62</v>
      </c>
      <c r="F459" s="61" t="s">
        <v>63</v>
      </c>
      <c r="G459" s="61" t="s">
        <v>214</v>
      </c>
      <c r="H459" s="6" t="s">
        <v>219</v>
      </c>
      <c r="I459" s="1" t="s">
        <v>38</v>
      </c>
      <c r="J459" s="8">
        <v>607281764</v>
      </c>
      <c r="K459" t="s">
        <v>5906</v>
      </c>
      <c r="L459" t="s">
        <v>4432</v>
      </c>
      <c r="M459" s="2">
        <v>45961</v>
      </c>
      <c r="N459" t="s">
        <v>35</v>
      </c>
      <c r="O459" s="61" t="s">
        <v>9758</v>
      </c>
      <c r="P459" s="14" t="s">
        <v>13268</v>
      </c>
      <c r="Q459" s="92">
        <v>115.7</v>
      </c>
      <c r="R459" s="1">
        <v>1</v>
      </c>
      <c r="S459" s="128">
        <v>0.21</v>
      </c>
      <c r="T459" s="128">
        <v>0</v>
      </c>
      <c r="U459" s="1"/>
      <c r="V459" s="95">
        <f t="shared" si="248"/>
        <v>139.99700000000001</v>
      </c>
      <c r="X459" s="5" t="s">
        <v>13269</v>
      </c>
      <c r="Y459" s="2">
        <v>38696</v>
      </c>
      <c r="Z459" s="2">
        <v>45951</v>
      </c>
      <c r="AA459" s="2"/>
      <c r="AB459" s="2"/>
      <c r="AC459" s="80"/>
      <c r="AF459" t="s">
        <v>3198</v>
      </c>
      <c r="AI459" s="76" t="s">
        <v>13270</v>
      </c>
      <c r="AJ459" s="3"/>
      <c r="AM459" s="74"/>
      <c r="AS459" s="96"/>
      <c r="AT459" s="1"/>
    </row>
    <row r="460" spans="1:46">
      <c r="A460" s="1">
        <v>457</v>
      </c>
      <c r="B460" t="s">
        <v>143</v>
      </c>
      <c r="C460" s="2">
        <v>45952</v>
      </c>
      <c r="D460" s="403" t="s">
        <v>9900</v>
      </c>
      <c r="E460" s="410"/>
      <c r="F460" s="61" t="s">
        <v>13273</v>
      </c>
      <c r="G460" s="61" t="s">
        <v>13274</v>
      </c>
      <c r="H460" s="6" t="s">
        <v>242</v>
      </c>
      <c r="I460" s="1" t="s">
        <v>13206</v>
      </c>
      <c r="J460" s="8"/>
      <c r="K460" s="8"/>
      <c r="L460" s="410"/>
      <c r="M460" s="2">
        <v>45961</v>
      </c>
      <c r="N460" s="1" t="s">
        <v>35</v>
      </c>
      <c r="O460" s="61" t="s">
        <v>12352</v>
      </c>
      <c r="P460" s="14" t="s">
        <v>13394</v>
      </c>
      <c r="Q460" s="187">
        <v>165.29</v>
      </c>
      <c r="R460" s="1">
        <v>0</v>
      </c>
      <c r="S460" s="501">
        <v>0.21</v>
      </c>
      <c r="T460" s="501">
        <v>0</v>
      </c>
      <c r="U460" s="363"/>
      <c r="V460" s="126">
        <f t="shared" si="248"/>
        <v>200.0009</v>
      </c>
      <c r="X460" s="5" t="s">
        <v>13275</v>
      </c>
      <c r="Y460" s="2">
        <v>36073</v>
      </c>
      <c r="Z460" s="2">
        <v>45952</v>
      </c>
      <c r="AA460" s="2"/>
      <c r="AB460" s="2"/>
      <c r="AC460" s="133"/>
      <c r="AF460" t="s">
        <v>3198</v>
      </c>
      <c r="AI460" s="76" t="s">
        <v>3392</v>
      </c>
      <c r="AJ460" s="2"/>
      <c r="AM460" s="74"/>
      <c r="AT460" s="1"/>
    </row>
    <row r="461" spans="1:46">
      <c r="A461" s="1">
        <v>458</v>
      </c>
      <c r="B461" t="s">
        <v>143</v>
      </c>
      <c r="C461" s="2">
        <v>45952</v>
      </c>
      <c r="D461" s="403" t="s">
        <v>9900</v>
      </c>
      <c r="E461" s="410"/>
      <c r="F461" s="61" t="s">
        <v>13276</v>
      </c>
      <c r="G461" s="61" t="s">
        <v>13277</v>
      </c>
      <c r="H461" s="6" t="s">
        <v>241</v>
      </c>
      <c r="I461" s="1" t="s">
        <v>60</v>
      </c>
      <c r="J461" s="8"/>
      <c r="K461" s="8"/>
      <c r="L461" s="410"/>
      <c r="M461" s="2">
        <v>45961</v>
      </c>
      <c r="N461" s="1" t="s">
        <v>35</v>
      </c>
      <c r="O461" s="61" t="s">
        <v>12352</v>
      </c>
      <c r="P461" s="14" t="s">
        <v>13392</v>
      </c>
      <c r="Q461" s="187">
        <v>165.29</v>
      </c>
      <c r="R461" s="1">
        <v>0</v>
      </c>
      <c r="S461" s="501">
        <v>0.21</v>
      </c>
      <c r="T461" s="501">
        <v>0</v>
      </c>
      <c r="U461" s="363"/>
      <c r="V461" s="126">
        <f t="shared" ref="V461" si="249">SUM(Q461-(Q461*T461))*S461+(Q461-(Q461*T461))</f>
        <v>200.0009</v>
      </c>
      <c r="X461" s="5" t="s">
        <v>13278</v>
      </c>
      <c r="Y461" s="2">
        <v>29952</v>
      </c>
      <c r="Z461" s="2">
        <v>45952</v>
      </c>
      <c r="AA461" s="2"/>
      <c r="AB461" s="2"/>
      <c r="AC461" s="133"/>
      <c r="AF461" t="s">
        <v>3198</v>
      </c>
      <c r="AI461" s="76" t="s">
        <v>3392</v>
      </c>
      <c r="AJ461" s="2"/>
      <c r="AM461" s="74"/>
      <c r="AT461" s="1"/>
    </row>
    <row r="462" spans="1:46">
      <c r="A462" s="1">
        <v>459</v>
      </c>
      <c r="B462" t="s">
        <v>143</v>
      </c>
      <c r="C462" s="2">
        <v>45952</v>
      </c>
      <c r="D462" s="403" t="s">
        <v>9900</v>
      </c>
      <c r="E462" s="410"/>
      <c r="F462" s="61" t="s">
        <v>13279</v>
      </c>
      <c r="G462" s="61" t="s">
        <v>13280</v>
      </c>
      <c r="H462" s="6" t="s">
        <v>219</v>
      </c>
      <c r="I462" s="1" t="s">
        <v>38</v>
      </c>
      <c r="J462" s="8"/>
      <c r="K462" s="8"/>
      <c r="L462" s="410"/>
      <c r="M462" s="2">
        <v>45961</v>
      </c>
      <c r="N462" s="1" t="s">
        <v>35</v>
      </c>
      <c r="O462" s="61" t="s">
        <v>12352</v>
      </c>
      <c r="P462" s="14" t="s">
        <v>13391</v>
      </c>
      <c r="Q462" s="187">
        <v>165.29</v>
      </c>
      <c r="R462" s="1">
        <v>0</v>
      </c>
      <c r="S462" s="501">
        <v>0.21</v>
      </c>
      <c r="T462" s="501">
        <v>0</v>
      </c>
      <c r="U462" s="363"/>
      <c r="V462" s="126">
        <f t="shared" ref="V462" si="250">SUM(Q462-(Q462*T462))*S462+(Q462-(Q462*T462))</f>
        <v>200.0009</v>
      </c>
      <c r="X462" s="5" t="s">
        <v>13281</v>
      </c>
      <c r="Y462" s="2">
        <v>36545</v>
      </c>
      <c r="Z462" s="2">
        <v>45952</v>
      </c>
      <c r="AA462" s="2"/>
      <c r="AB462" s="2"/>
      <c r="AC462" s="133"/>
      <c r="AF462" t="s">
        <v>3198</v>
      </c>
      <c r="AI462" s="76" t="s">
        <v>3392</v>
      </c>
      <c r="AJ462" s="2"/>
      <c r="AM462" s="74"/>
      <c r="AT462" s="1"/>
    </row>
    <row r="463" spans="1:46">
      <c r="A463" s="1">
        <v>460</v>
      </c>
      <c r="B463" t="s">
        <v>143</v>
      </c>
      <c r="C463" s="2">
        <v>45952</v>
      </c>
      <c r="D463" s="403" t="s">
        <v>9900</v>
      </c>
      <c r="E463" s="410"/>
      <c r="F463" s="61" t="s">
        <v>13282</v>
      </c>
      <c r="G463" s="61" t="s">
        <v>13283</v>
      </c>
      <c r="H463" s="6" t="s">
        <v>219</v>
      </c>
      <c r="I463" s="1" t="s">
        <v>38</v>
      </c>
      <c r="J463" s="8"/>
      <c r="K463" s="8"/>
      <c r="L463" s="410"/>
      <c r="M463" s="2">
        <v>45961</v>
      </c>
      <c r="N463" s="1" t="s">
        <v>35</v>
      </c>
      <c r="O463" s="61" t="s">
        <v>12352</v>
      </c>
      <c r="P463" s="14" t="s">
        <v>13390</v>
      </c>
      <c r="Q463" s="187">
        <v>165.29</v>
      </c>
      <c r="R463" s="1">
        <v>0</v>
      </c>
      <c r="S463" s="501">
        <v>0.21</v>
      </c>
      <c r="T463" s="501">
        <v>0</v>
      </c>
      <c r="U463" s="363"/>
      <c r="V463" s="126">
        <f t="shared" ref="V463" si="251">SUM(Q463-(Q463*T463))*S463+(Q463-(Q463*T463))</f>
        <v>200.0009</v>
      </c>
      <c r="X463" s="5" t="s">
        <v>13284</v>
      </c>
      <c r="Y463" s="2">
        <v>36800</v>
      </c>
      <c r="Z463" s="2">
        <v>45952</v>
      </c>
      <c r="AA463" s="2"/>
      <c r="AB463" s="2"/>
      <c r="AC463" s="133"/>
      <c r="AF463" t="s">
        <v>3198</v>
      </c>
      <c r="AI463" s="76" t="s">
        <v>3392</v>
      </c>
      <c r="AJ463" s="2"/>
      <c r="AM463" s="74"/>
      <c r="AT463" s="1"/>
    </row>
    <row r="464" spans="1:46">
      <c r="A464" s="1">
        <v>461</v>
      </c>
      <c r="B464" t="s">
        <v>143</v>
      </c>
      <c r="C464" s="2">
        <v>45952</v>
      </c>
      <c r="D464" s="403" t="s">
        <v>9900</v>
      </c>
      <c r="E464" s="410"/>
      <c r="F464" s="61" t="s">
        <v>13285</v>
      </c>
      <c r="G464" s="61" t="s">
        <v>13286</v>
      </c>
      <c r="H464" s="6" t="s">
        <v>219</v>
      </c>
      <c r="I464" s="1" t="s">
        <v>38</v>
      </c>
      <c r="J464" s="8"/>
      <c r="K464" s="8"/>
      <c r="L464" s="410"/>
      <c r="M464" s="2">
        <v>45961</v>
      </c>
      <c r="N464" s="1" t="s">
        <v>35</v>
      </c>
      <c r="O464" s="61" t="s">
        <v>12352</v>
      </c>
      <c r="P464" s="14" t="s">
        <v>13389</v>
      </c>
      <c r="Q464" s="187">
        <v>165.29</v>
      </c>
      <c r="R464" s="1">
        <v>0</v>
      </c>
      <c r="S464" s="501">
        <v>0.21</v>
      </c>
      <c r="T464" s="501">
        <v>0</v>
      </c>
      <c r="U464" s="363"/>
      <c r="V464" s="126">
        <f t="shared" ref="V464" si="252">SUM(Q464-(Q464*T464))*S464+(Q464-(Q464*T464))</f>
        <v>200.0009</v>
      </c>
      <c r="X464" s="5" t="s">
        <v>13287</v>
      </c>
      <c r="Y464" s="2">
        <v>36445</v>
      </c>
      <c r="Z464" s="2">
        <v>45952</v>
      </c>
      <c r="AA464" s="2"/>
      <c r="AB464" s="2"/>
      <c r="AC464" s="133"/>
      <c r="AF464" t="s">
        <v>3198</v>
      </c>
      <c r="AI464" s="76" t="s">
        <v>3392</v>
      </c>
      <c r="AJ464" s="2"/>
      <c r="AM464" s="74"/>
      <c r="AT464" s="1"/>
    </row>
    <row r="465" spans="1:46">
      <c r="A465" s="1">
        <v>462</v>
      </c>
      <c r="B465" t="s">
        <v>143</v>
      </c>
      <c r="C465" s="2">
        <v>45952</v>
      </c>
      <c r="D465" s="403" t="s">
        <v>9900</v>
      </c>
      <c r="E465" s="410"/>
      <c r="F465" s="61" t="s">
        <v>13288</v>
      </c>
      <c r="G465" s="61" t="s">
        <v>13274</v>
      </c>
      <c r="H465" s="6" t="s">
        <v>219</v>
      </c>
      <c r="I465" s="1" t="s">
        <v>38</v>
      </c>
      <c r="J465" s="8"/>
      <c r="K465" s="8"/>
      <c r="L465" s="410"/>
      <c r="M465" s="2">
        <v>45961</v>
      </c>
      <c r="N465" s="1" t="s">
        <v>35</v>
      </c>
      <c r="O465" s="61" t="s">
        <v>12352</v>
      </c>
      <c r="P465" s="14" t="s">
        <v>13388</v>
      </c>
      <c r="Q465" s="187">
        <v>165.29</v>
      </c>
      <c r="R465" s="1">
        <v>0</v>
      </c>
      <c r="S465" s="501">
        <v>0.21</v>
      </c>
      <c r="T465" s="501">
        <v>0</v>
      </c>
      <c r="U465" s="363"/>
      <c r="V465" s="126">
        <f t="shared" ref="V465:V468" si="253">SUM(Q465-(Q465*T465))*S465+(Q465-(Q465*T465))</f>
        <v>200.0009</v>
      </c>
      <c r="X465" s="5" t="s">
        <v>13289</v>
      </c>
      <c r="Y465" s="2">
        <v>37370</v>
      </c>
      <c r="Z465" s="2">
        <v>45952</v>
      </c>
      <c r="AA465" s="2"/>
      <c r="AB465" s="2"/>
      <c r="AC465" s="133"/>
      <c r="AF465" t="s">
        <v>3198</v>
      </c>
      <c r="AI465" s="76" t="s">
        <v>3392</v>
      </c>
      <c r="AJ465" s="2"/>
      <c r="AM465" s="74"/>
      <c r="AT465" s="1"/>
    </row>
    <row r="466" spans="1:46">
      <c r="A466" s="1">
        <v>463</v>
      </c>
      <c r="B466" s="61" t="s">
        <v>33</v>
      </c>
      <c r="C466" s="2">
        <v>45952</v>
      </c>
      <c r="D466" s="403" t="s">
        <v>9900</v>
      </c>
      <c r="E466" s="1" t="s">
        <v>13290</v>
      </c>
      <c r="F466" s="61" t="s">
        <v>13291</v>
      </c>
      <c r="G466" t="s">
        <v>13292</v>
      </c>
      <c r="H466" s="6" t="s">
        <v>236</v>
      </c>
      <c r="I466" s="1" t="s">
        <v>34</v>
      </c>
      <c r="J466" s="1"/>
      <c r="K466" s="114" t="s">
        <v>11744</v>
      </c>
      <c r="L466" s="1" t="s">
        <v>237</v>
      </c>
      <c r="M466" s="2">
        <v>45961</v>
      </c>
      <c r="N466" s="1" t="s">
        <v>35</v>
      </c>
      <c r="O466" s="375" t="s">
        <v>12352</v>
      </c>
      <c r="P466" s="14" t="s">
        <v>13293</v>
      </c>
      <c r="Q466" s="92">
        <v>115.7</v>
      </c>
      <c r="R466" s="1">
        <v>1</v>
      </c>
      <c r="S466" s="128">
        <v>0.21</v>
      </c>
      <c r="T466" s="128">
        <v>0</v>
      </c>
      <c r="U466" s="363"/>
      <c r="V466" s="126">
        <f t="shared" si="253"/>
        <v>139.99700000000001</v>
      </c>
      <c r="X466" s="5" t="s">
        <v>13294</v>
      </c>
      <c r="Y466" s="2">
        <v>32220</v>
      </c>
      <c r="Z466" s="2">
        <v>45952</v>
      </c>
      <c r="AA466" s="2"/>
      <c r="AB466" s="2"/>
      <c r="AC466" s="80"/>
      <c r="AD466" s="61"/>
      <c r="AF466" t="s">
        <v>3198</v>
      </c>
      <c r="AI466" s="76" t="s">
        <v>3392</v>
      </c>
      <c r="AJ466" s="2"/>
      <c r="AM466" s="3"/>
      <c r="AS466" s="1"/>
      <c r="AT466" s="1"/>
    </row>
    <row r="467" spans="1:46">
      <c r="A467" s="1">
        <v>464</v>
      </c>
      <c r="B467" t="s">
        <v>3526</v>
      </c>
      <c r="C467" s="2">
        <v>45952</v>
      </c>
      <c r="D467" s="403" t="s">
        <v>9900</v>
      </c>
      <c r="E467" s="1" t="s">
        <v>11046</v>
      </c>
      <c r="F467" s="61" t="s">
        <v>11047</v>
      </c>
      <c r="G467" s="61" t="s">
        <v>13295</v>
      </c>
      <c r="H467" s="6" t="s">
        <v>259</v>
      </c>
      <c r="I467" s="1" t="s">
        <v>3681</v>
      </c>
      <c r="J467" s="8"/>
      <c r="K467" s="1" t="s">
        <v>7759</v>
      </c>
      <c r="L467" s="1" t="s">
        <v>11046</v>
      </c>
      <c r="M467" s="2">
        <v>45961</v>
      </c>
      <c r="N467" s="1" t="s">
        <v>35</v>
      </c>
      <c r="O467" s="61" t="s">
        <v>7934</v>
      </c>
      <c r="P467" s="14" t="s">
        <v>13296</v>
      </c>
      <c r="Q467" s="187">
        <v>115.7</v>
      </c>
      <c r="R467" s="1">
        <v>1</v>
      </c>
      <c r="S467" s="90">
        <v>0.21</v>
      </c>
      <c r="T467" s="90">
        <v>0</v>
      </c>
      <c r="U467" s="363"/>
      <c r="V467" s="95">
        <f t="shared" si="253"/>
        <v>139.99700000000001</v>
      </c>
      <c r="W467" t="s">
        <v>13298</v>
      </c>
      <c r="X467" s="5" t="s">
        <v>13297</v>
      </c>
      <c r="Y467" s="2">
        <v>29604</v>
      </c>
      <c r="Z467" s="2">
        <v>45952</v>
      </c>
      <c r="AA467" s="2"/>
      <c r="AB467" s="2"/>
      <c r="AC467" s="133"/>
      <c r="AF467" t="s">
        <v>3198</v>
      </c>
      <c r="AI467" s="76" t="s">
        <v>3470</v>
      </c>
      <c r="AJ467" s="2"/>
      <c r="AM467" s="74"/>
      <c r="AT467" s="1"/>
    </row>
    <row r="468" spans="1:46">
      <c r="A468" s="1">
        <v>465</v>
      </c>
      <c r="B468" t="s">
        <v>7245</v>
      </c>
      <c r="C468" s="2">
        <v>45952</v>
      </c>
      <c r="D468" s="2"/>
      <c r="E468" s="1" t="s">
        <v>1522</v>
      </c>
      <c r="F468" s="61" t="s">
        <v>3233</v>
      </c>
      <c r="G468" t="s">
        <v>3241</v>
      </c>
      <c r="H468" s="6" t="s">
        <v>3234</v>
      </c>
      <c r="I468" s="1" t="s">
        <v>3235</v>
      </c>
      <c r="J468" s="8">
        <v>680761760</v>
      </c>
      <c r="K468" s="1" t="s">
        <v>6232</v>
      </c>
      <c r="L468" s="1" t="s">
        <v>1522</v>
      </c>
      <c r="M468" s="2">
        <v>45961</v>
      </c>
      <c r="N468" s="1" t="s">
        <v>35</v>
      </c>
      <c r="O468" s="61" t="s">
        <v>12354</v>
      </c>
      <c r="P468" s="14" t="s">
        <v>13299</v>
      </c>
      <c r="Q468" s="187">
        <v>115.7</v>
      </c>
      <c r="R468" s="1">
        <v>1</v>
      </c>
      <c r="S468" s="128">
        <v>0.21</v>
      </c>
      <c r="T468" s="128">
        <v>0</v>
      </c>
      <c r="U468" s="363"/>
      <c r="V468" s="95">
        <f t="shared" si="253"/>
        <v>139.99700000000001</v>
      </c>
      <c r="W468" t="s">
        <v>10685</v>
      </c>
      <c r="X468" s="5" t="s">
        <v>13416</v>
      </c>
      <c r="Y468" s="3">
        <v>36284</v>
      </c>
      <c r="Z468" s="2">
        <v>45952</v>
      </c>
      <c r="AA468" s="2"/>
      <c r="AB468" s="2"/>
      <c r="AC468" s="80"/>
      <c r="AF468" t="s">
        <v>3198</v>
      </c>
      <c r="AI468" s="76" t="s">
        <v>3392</v>
      </c>
      <c r="AJ468" s="3"/>
      <c r="AM468" s="3"/>
    </row>
    <row r="469" spans="1:46">
      <c r="A469" s="1">
        <v>466</v>
      </c>
      <c r="B469" s="61" t="s">
        <v>33</v>
      </c>
      <c r="C469" s="2">
        <v>45952</v>
      </c>
      <c r="D469" s="2"/>
      <c r="E469" s="1" t="s">
        <v>4330</v>
      </c>
      <c r="F469" s="61" t="s">
        <v>9865</v>
      </c>
      <c r="G469" s="61" t="s">
        <v>4333</v>
      </c>
      <c r="H469" s="6" t="s">
        <v>219</v>
      </c>
      <c r="I469" s="1" t="s">
        <v>4334</v>
      </c>
      <c r="J469" s="1"/>
      <c r="K469" s="114" t="s">
        <v>11744</v>
      </c>
      <c r="L469" s="1" t="s">
        <v>237</v>
      </c>
      <c r="M469" s="2">
        <v>45961</v>
      </c>
      <c r="N469" s="1" t="s">
        <v>35</v>
      </c>
      <c r="O469" s="61" t="s">
        <v>12352</v>
      </c>
      <c r="P469" s="14" t="s">
        <v>13300</v>
      </c>
      <c r="Q469" s="187">
        <v>115.7</v>
      </c>
      <c r="R469" s="1">
        <v>1</v>
      </c>
      <c r="S469" s="128">
        <v>0.21</v>
      </c>
      <c r="T469" s="128">
        <v>0</v>
      </c>
      <c r="U469" s="363"/>
      <c r="V469" s="95">
        <f t="shared" ref="V469:V470" si="254">SUM(Q469-(Q469*T469))*S469+(Q469-(Q469*T469))</f>
        <v>139.99700000000001</v>
      </c>
      <c r="X469" s="5" t="s">
        <v>13301</v>
      </c>
      <c r="Y469" s="2">
        <v>37009</v>
      </c>
      <c r="Z469" s="2">
        <v>45952</v>
      </c>
      <c r="AA469" s="2"/>
      <c r="AB469" s="2"/>
      <c r="AC469" s="2"/>
      <c r="AD469" s="61"/>
      <c r="AF469" t="s">
        <v>3198</v>
      </c>
      <c r="AI469" s="76" t="s">
        <v>3392</v>
      </c>
      <c r="AJ469" s="2"/>
      <c r="AM469" s="3"/>
    </row>
    <row r="470" spans="1:46">
      <c r="A470" s="1">
        <v>467</v>
      </c>
      <c r="B470" t="s">
        <v>4321</v>
      </c>
      <c r="C470" s="2">
        <v>45952</v>
      </c>
      <c r="D470" s="2"/>
      <c r="E470" s="1" t="s">
        <v>1204</v>
      </c>
      <c r="F470" t="s">
        <v>1205</v>
      </c>
      <c r="G470" t="s">
        <v>3222</v>
      </c>
      <c r="H470" s="6" t="s">
        <v>239</v>
      </c>
      <c r="I470" t="s">
        <v>3204</v>
      </c>
      <c r="J470">
        <v>632063544</v>
      </c>
      <c r="K470" s="8" t="s">
        <v>5991</v>
      </c>
      <c r="L470" t="s">
        <v>1204</v>
      </c>
      <c r="M470" s="2">
        <v>45961</v>
      </c>
      <c r="N470" s="1" t="s">
        <v>35</v>
      </c>
      <c r="O470" s="61" t="s">
        <v>9758</v>
      </c>
      <c r="P470" s="14" t="s">
        <v>13302</v>
      </c>
      <c r="Q470" s="187">
        <v>115.7</v>
      </c>
      <c r="R470" s="1">
        <v>1</v>
      </c>
      <c r="S470" s="90">
        <v>0.21</v>
      </c>
      <c r="T470" s="90">
        <v>0</v>
      </c>
      <c r="U470" s="363"/>
      <c r="V470" s="126">
        <f t="shared" si="254"/>
        <v>139.99700000000001</v>
      </c>
      <c r="X470" s="5" t="s">
        <v>13303</v>
      </c>
      <c r="Y470" s="2">
        <v>34335</v>
      </c>
      <c r="Z470" s="2">
        <v>45952</v>
      </c>
      <c r="AA470" s="2"/>
      <c r="AB470" s="2"/>
      <c r="AC470" s="80"/>
      <c r="AE470" s="3"/>
      <c r="AF470" t="s">
        <v>3198</v>
      </c>
      <c r="AI470" s="76" t="s">
        <v>3470</v>
      </c>
      <c r="AJ470" s="2"/>
      <c r="AM470" s="3"/>
    </row>
    <row r="471" spans="1:46">
      <c r="A471" s="1">
        <v>468</v>
      </c>
      <c r="B471" s="61" t="s">
        <v>33</v>
      </c>
      <c r="C471" s="2">
        <v>45952</v>
      </c>
      <c r="D471" s="2"/>
      <c r="E471" s="1" t="s">
        <v>9513</v>
      </c>
      <c r="F471" t="s">
        <v>9514</v>
      </c>
      <c r="G471" s="61" t="s">
        <v>9515</v>
      </c>
      <c r="H471" s="6" t="s">
        <v>9516</v>
      </c>
      <c r="I471" s="1" t="s">
        <v>3681</v>
      </c>
      <c r="J471" s="44"/>
      <c r="K471" s="114" t="s">
        <v>11744</v>
      </c>
      <c r="L471" t="s">
        <v>237</v>
      </c>
      <c r="M471" s="2">
        <v>45961</v>
      </c>
      <c r="N471" s="1" t="s">
        <v>35</v>
      </c>
      <c r="O471" s="61" t="s">
        <v>12352</v>
      </c>
      <c r="P471" s="14" t="s">
        <v>13304</v>
      </c>
      <c r="Q471" s="187">
        <v>115.7</v>
      </c>
      <c r="R471" s="1">
        <v>1</v>
      </c>
      <c r="S471" s="90">
        <v>0.21</v>
      </c>
      <c r="T471" s="90">
        <v>0</v>
      </c>
      <c r="U471" s="363"/>
      <c r="V471" s="126">
        <f t="shared" ref="V471:V473" si="255">SUM(Q471-(Q471*T471))*S471+(Q471-(Q471*T471))</f>
        <v>139.99700000000001</v>
      </c>
      <c r="X471" s="5" t="s">
        <v>13305</v>
      </c>
      <c r="Y471" s="2">
        <v>32106</v>
      </c>
      <c r="Z471" s="2">
        <v>45952</v>
      </c>
      <c r="AA471" s="2"/>
      <c r="AB471" s="2"/>
      <c r="AC471" s="80"/>
      <c r="AF471" t="s">
        <v>3198</v>
      </c>
      <c r="AI471" s="76" t="s">
        <v>3392</v>
      </c>
      <c r="AJ471" s="2"/>
      <c r="AK471" s="2"/>
      <c r="AM471" s="3"/>
      <c r="AT471" s="1"/>
    </row>
    <row r="472" spans="1:46">
      <c r="A472" s="1">
        <v>469</v>
      </c>
      <c r="B472" t="s">
        <v>3526</v>
      </c>
      <c r="C472" s="2">
        <v>45952</v>
      </c>
      <c r="D472" s="2"/>
      <c r="E472" s="1" t="s">
        <v>13306</v>
      </c>
      <c r="F472" s="61" t="s">
        <v>13307</v>
      </c>
      <c r="G472" s="61" t="s">
        <v>13308</v>
      </c>
      <c r="H472" s="6" t="s">
        <v>259</v>
      </c>
      <c r="I472" s="1" t="s">
        <v>3681</v>
      </c>
      <c r="J472" s="8"/>
      <c r="K472" s="1" t="s">
        <v>7759</v>
      </c>
      <c r="L472" s="1" t="s">
        <v>13306</v>
      </c>
      <c r="M472" s="2">
        <v>45961</v>
      </c>
      <c r="N472" s="1" t="s">
        <v>35</v>
      </c>
      <c r="O472" s="61" t="s">
        <v>7934</v>
      </c>
      <c r="P472" s="14" t="s">
        <v>13309</v>
      </c>
      <c r="Q472" s="187">
        <v>115.7</v>
      </c>
      <c r="R472" s="1">
        <v>1</v>
      </c>
      <c r="S472" s="90">
        <v>0.21</v>
      </c>
      <c r="T472" s="90">
        <v>0</v>
      </c>
      <c r="U472" s="363"/>
      <c r="V472" s="95">
        <f t="shared" si="255"/>
        <v>139.99700000000001</v>
      </c>
      <c r="W472" t="s">
        <v>13310</v>
      </c>
      <c r="X472" s="5" t="s">
        <v>13311</v>
      </c>
      <c r="Y472" s="2">
        <v>37143</v>
      </c>
      <c r="Z472" s="2">
        <v>45952</v>
      </c>
      <c r="AA472" s="2"/>
      <c r="AB472" s="2"/>
      <c r="AC472" s="133"/>
      <c r="AF472" t="s">
        <v>3198</v>
      </c>
      <c r="AI472" s="76" t="s">
        <v>3470</v>
      </c>
      <c r="AJ472" s="2"/>
      <c r="AM472" s="74"/>
      <c r="AT472" s="1"/>
    </row>
    <row r="473" spans="1:46">
      <c r="A473" s="1">
        <v>470</v>
      </c>
      <c r="B473" t="s">
        <v>4321</v>
      </c>
      <c r="C473" s="2">
        <v>45952</v>
      </c>
      <c r="D473" s="2"/>
      <c r="E473" s="1" t="s">
        <v>11018</v>
      </c>
      <c r="F473" s="61" t="s">
        <v>11019</v>
      </c>
      <c r="G473" s="61" t="s">
        <v>11020</v>
      </c>
      <c r="H473" s="6" t="s">
        <v>250</v>
      </c>
      <c r="I473" s="1" t="s">
        <v>86</v>
      </c>
      <c r="J473" s="8"/>
      <c r="K473" s="8" t="s">
        <v>5991</v>
      </c>
      <c r="L473" s="1" t="s">
        <v>11018</v>
      </c>
      <c r="M473" s="2">
        <v>45961</v>
      </c>
      <c r="N473" s="1" t="s">
        <v>35</v>
      </c>
      <c r="O473" s="61" t="s">
        <v>9758</v>
      </c>
      <c r="P473" s="14" t="s">
        <v>13312</v>
      </c>
      <c r="Q473" s="187">
        <v>115.7</v>
      </c>
      <c r="R473" s="1">
        <v>1</v>
      </c>
      <c r="S473" s="90">
        <v>0.21</v>
      </c>
      <c r="T473" s="128">
        <v>0</v>
      </c>
      <c r="U473" s="363"/>
      <c r="V473" s="126">
        <f t="shared" si="255"/>
        <v>139.99700000000001</v>
      </c>
      <c r="X473" s="5" t="s">
        <v>13313</v>
      </c>
      <c r="Y473" s="2">
        <v>39332</v>
      </c>
      <c r="Z473" s="2">
        <v>45952</v>
      </c>
      <c r="AA473" s="2"/>
      <c r="AB473" s="2"/>
      <c r="AC473" s="80"/>
      <c r="AF473" t="s">
        <v>3198</v>
      </c>
      <c r="AI473" s="76" t="s">
        <v>3470</v>
      </c>
      <c r="AJ473" s="2"/>
      <c r="AM473" s="3"/>
    </row>
    <row r="474" spans="1:46">
      <c r="A474" s="1">
        <v>471</v>
      </c>
      <c r="B474" t="s">
        <v>33</v>
      </c>
      <c r="C474" s="2">
        <v>45952</v>
      </c>
      <c r="D474" s="2"/>
      <c r="E474" s="1" t="s">
        <v>8796</v>
      </c>
      <c r="F474" t="s">
        <v>8797</v>
      </c>
      <c r="G474" t="s">
        <v>8798</v>
      </c>
      <c r="H474" s="6" t="s">
        <v>236</v>
      </c>
      <c r="I474" s="1" t="s">
        <v>3851</v>
      </c>
      <c r="J474" s="295"/>
      <c r="K474" s="114" t="s">
        <v>11744</v>
      </c>
      <c r="L474" t="s">
        <v>237</v>
      </c>
      <c r="M474" s="2">
        <v>45961</v>
      </c>
      <c r="N474" s="1" t="s">
        <v>35</v>
      </c>
      <c r="O474" s="61" t="s">
        <v>7934</v>
      </c>
      <c r="P474" s="14" t="s">
        <v>13314</v>
      </c>
      <c r="Q474" s="187">
        <v>115.7</v>
      </c>
      <c r="R474" s="1">
        <v>1</v>
      </c>
      <c r="S474" s="90">
        <v>0.21</v>
      </c>
      <c r="T474" s="128">
        <v>0</v>
      </c>
      <c r="U474" s="363"/>
      <c r="V474" s="126">
        <f t="shared" ref="V474:V481" si="256">SUM(Q474-(Q474*T474))*S474+(Q474-(Q474*T474))</f>
        <v>139.99700000000001</v>
      </c>
      <c r="W474" t="s">
        <v>13315</v>
      </c>
      <c r="X474" s="5" t="s">
        <v>13316</v>
      </c>
      <c r="Y474" s="2">
        <v>33468</v>
      </c>
      <c r="Z474" s="2">
        <v>45952</v>
      </c>
      <c r="AA474" s="2"/>
      <c r="AB474" s="2"/>
      <c r="AC474" s="80"/>
      <c r="AF474" t="s">
        <v>3198</v>
      </c>
      <c r="AI474" s="76" t="s">
        <v>3470</v>
      </c>
      <c r="AJ474" s="2"/>
      <c r="AK474" s="74"/>
      <c r="AL474" s="74"/>
      <c r="AM474" s="74"/>
      <c r="AT474" s="1"/>
    </row>
    <row r="475" spans="1:46">
      <c r="A475" s="1">
        <v>472</v>
      </c>
      <c r="B475" t="s">
        <v>45</v>
      </c>
      <c r="C475" s="2">
        <v>45952</v>
      </c>
      <c r="D475" s="2"/>
      <c r="E475" s="1" t="s">
        <v>10742</v>
      </c>
      <c r="F475" s="61" t="s">
        <v>13317</v>
      </c>
      <c r="G475" s="61" t="s">
        <v>13318</v>
      </c>
      <c r="H475" s="6" t="s">
        <v>219</v>
      </c>
      <c r="I475" s="1" t="s">
        <v>38</v>
      </c>
      <c r="J475" s="8"/>
      <c r="K475" s="301" t="s">
        <v>8356</v>
      </c>
      <c r="L475" s="1" t="s">
        <v>10742</v>
      </c>
      <c r="M475" s="2">
        <v>45961</v>
      </c>
      <c r="N475" s="1" t="s">
        <v>35</v>
      </c>
      <c r="O475" s="61" t="s">
        <v>12352</v>
      </c>
      <c r="P475" s="14" t="s">
        <v>13319</v>
      </c>
      <c r="Q475" s="187">
        <v>115.7</v>
      </c>
      <c r="R475" s="1">
        <v>1</v>
      </c>
      <c r="S475" s="128">
        <v>0.21</v>
      </c>
      <c r="T475" s="128">
        <v>0</v>
      </c>
      <c r="U475" s="95"/>
      <c r="V475" s="126">
        <f t="shared" si="256"/>
        <v>139.99700000000001</v>
      </c>
      <c r="X475" s="5" t="s">
        <v>13320</v>
      </c>
      <c r="Y475" s="2">
        <v>34997</v>
      </c>
      <c r="Z475" s="2">
        <v>45952</v>
      </c>
      <c r="AA475" s="2"/>
      <c r="AB475" s="2"/>
      <c r="AC475" s="80"/>
      <c r="AD475" s="61"/>
      <c r="AF475" t="s">
        <v>3198</v>
      </c>
      <c r="AI475" s="76" t="s">
        <v>13321</v>
      </c>
      <c r="AJ475" s="2"/>
      <c r="AM475" s="74"/>
      <c r="AS475" t="s">
        <v>9511</v>
      </c>
      <c r="AT475" s="1"/>
    </row>
    <row r="476" spans="1:46">
      <c r="A476" s="1">
        <v>473</v>
      </c>
      <c r="B476" s="61" t="s">
        <v>33</v>
      </c>
      <c r="C476" s="2">
        <v>45957</v>
      </c>
      <c r="D476" s="2"/>
      <c r="E476" s="1" t="s">
        <v>4330</v>
      </c>
      <c r="F476" s="61" t="s">
        <v>9865</v>
      </c>
      <c r="G476" s="61" t="s">
        <v>4333</v>
      </c>
      <c r="H476" s="6" t="s">
        <v>219</v>
      </c>
      <c r="I476" s="1" t="s">
        <v>4334</v>
      </c>
      <c r="J476" s="1"/>
      <c r="K476" s="114" t="s">
        <v>11744</v>
      </c>
      <c r="L476" s="1" t="s">
        <v>237</v>
      </c>
      <c r="M476" s="2">
        <v>45961</v>
      </c>
      <c r="N476" s="1" t="s">
        <v>35</v>
      </c>
      <c r="O476" s="61" t="s">
        <v>12352</v>
      </c>
      <c r="P476" s="14" t="s">
        <v>13323</v>
      </c>
      <c r="Q476" s="187">
        <v>115.7</v>
      </c>
      <c r="R476" s="1">
        <v>1</v>
      </c>
      <c r="S476" s="128">
        <v>0.21</v>
      </c>
      <c r="T476" s="128">
        <v>0</v>
      </c>
      <c r="U476" s="363"/>
      <c r="V476" s="95">
        <f t="shared" si="256"/>
        <v>139.99700000000001</v>
      </c>
      <c r="X476" s="5" t="s">
        <v>13324</v>
      </c>
      <c r="Y476" s="2">
        <v>35306</v>
      </c>
      <c r="Z476" s="2">
        <v>45957</v>
      </c>
      <c r="AA476" s="2"/>
      <c r="AB476" s="2"/>
      <c r="AC476" s="2"/>
      <c r="AD476" s="61"/>
      <c r="AF476" t="s">
        <v>3198</v>
      </c>
      <c r="AI476" s="76" t="s">
        <v>3392</v>
      </c>
      <c r="AJ476" s="2"/>
      <c r="AM476" s="3"/>
    </row>
    <row r="477" spans="1:46">
      <c r="A477" s="1">
        <v>474</v>
      </c>
      <c r="B477" t="s">
        <v>7036</v>
      </c>
      <c r="C477" s="2">
        <v>45953</v>
      </c>
      <c r="D477" s="2"/>
      <c r="E477" s="1" t="s">
        <v>6375</v>
      </c>
      <c r="F477" t="s">
        <v>6376</v>
      </c>
      <c r="G477" s="61" t="s">
        <v>6377</v>
      </c>
      <c r="H477" s="6" t="s">
        <v>294</v>
      </c>
      <c r="I477" s="1" t="s">
        <v>103</v>
      </c>
      <c r="J477" s="8">
        <v>660744167</v>
      </c>
      <c r="K477" s="8" t="s">
        <v>6332</v>
      </c>
      <c r="L477" s="1" t="s">
        <v>6375</v>
      </c>
      <c r="M477" s="2">
        <v>45961</v>
      </c>
      <c r="N477" s="1" t="s">
        <v>35</v>
      </c>
      <c r="O477" s="61" t="s">
        <v>9758</v>
      </c>
      <c r="P477" s="14" t="s">
        <v>13327</v>
      </c>
      <c r="Q477" s="187">
        <v>115.7</v>
      </c>
      <c r="R477" s="1">
        <v>1</v>
      </c>
      <c r="S477" s="90">
        <v>0.21</v>
      </c>
      <c r="T477" s="90">
        <v>0</v>
      </c>
      <c r="U477" s="363"/>
      <c r="V477" s="95">
        <f t="shared" si="256"/>
        <v>139.99700000000001</v>
      </c>
      <c r="X477" s="5" t="s">
        <v>13325</v>
      </c>
      <c r="Y477" s="2">
        <v>38081</v>
      </c>
      <c r="Z477" s="2">
        <v>45953</v>
      </c>
      <c r="AA477" s="2"/>
      <c r="AB477" s="3"/>
      <c r="AC477" s="80"/>
      <c r="AF477" t="s">
        <v>3198</v>
      </c>
      <c r="AI477" s="76" t="s">
        <v>3470</v>
      </c>
      <c r="AJ477" s="2"/>
      <c r="AM477" s="3"/>
    </row>
    <row r="478" spans="1:46">
      <c r="A478" s="1">
        <v>475</v>
      </c>
      <c r="B478" t="s">
        <v>33</v>
      </c>
      <c r="C478" s="2">
        <v>45953</v>
      </c>
      <c r="D478" s="2"/>
      <c r="E478" t="s">
        <v>2169</v>
      </c>
      <c r="F478" t="s">
        <v>2170</v>
      </c>
      <c r="G478" t="s">
        <v>2171</v>
      </c>
      <c r="H478" s="6" t="s">
        <v>221</v>
      </c>
      <c r="I478" t="s">
        <v>34</v>
      </c>
      <c r="J478">
        <v>615630460</v>
      </c>
      <c r="K478" s="114" t="s">
        <v>11744</v>
      </c>
      <c r="L478" t="s">
        <v>237</v>
      </c>
      <c r="M478" s="2">
        <v>45961</v>
      </c>
      <c r="N478" s="1" t="s">
        <v>35</v>
      </c>
      <c r="O478" s="61" t="s">
        <v>12352</v>
      </c>
      <c r="P478" s="14" t="s">
        <v>13326</v>
      </c>
      <c r="Q478" s="187">
        <v>115.7</v>
      </c>
      <c r="R478" s="1">
        <v>1</v>
      </c>
      <c r="S478" s="90">
        <v>0.21</v>
      </c>
      <c r="T478" s="90">
        <v>0</v>
      </c>
      <c r="U478" s="95"/>
      <c r="V478" s="126">
        <f t="shared" si="256"/>
        <v>139.99700000000001</v>
      </c>
      <c r="X478" s="5" t="s">
        <v>13328</v>
      </c>
      <c r="Y478" s="2">
        <v>36472</v>
      </c>
      <c r="Z478" s="2">
        <v>45953</v>
      </c>
      <c r="AA478" s="2"/>
      <c r="AB478" s="2"/>
      <c r="AC478" s="80"/>
      <c r="AE478" s="3"/>
      <c r="AF478" t="s">
        <v>3198</v>
      </c>
      <c r="AI478" s="76" t="s">
        <v>3392</v>
      </c>
      <c r="AJ478" s="2"/>
      <c r="AM478" s="3"/>
    </row>
    <row r="479" spans="1:46">
      <c r="A479" s="1">
        <v>476</v>
      </c>
      <c r="B479" t="s">
        <v>40</v>
      </c>
      <c r="C479" s="2">
        <v>45958</v>
      </c>
      <c r="D479" s="403" t="s">
        <v>9900</v>
      </c>
      <c r="E479" s="61" t="s">
        <v>13329</v>
      </c>
      <c r="F479" s="61" t="s">
        <v>13330</v>
      </c>
      <c r="G479" s="61" t="s">
        <v>13331</v>
      </c>
      <c r="H479" s="6" t="s">
        <v>233</v>
      </c>
      <c r="I479" s="1" t="s">
        <v>13332</v>
      </c>
      <c r="J479" s="8"/>
      <c r="K479" s="8" t="s">
        <v>12623</v>
      </c>
      <c r="L479" s="61" t="s">
        <v>13329</v>
      </c>
      <c r="M479" s="2">
        <v>45961</v>
      </c>
      <c r="N479" s="1" t="s">
        <v>35</v>
      </c>
      <c r="O479" s="61" t="s">
        <v>12352</v>
      </c>
      <c r="P479" s="14" t="s">
        <v>13333</v>
      </c>
      <c r="Q479" s="254">
        <v>115.7</v>
      </c>
      <c r="R479" s="1">
        <v>1</v>
      </c>
      <c r="S479" s="128">
        <v>0.21</v>
      </c>
      <c r="T479" s="128">
        <v>0</v>
      </c>
      <c r="U479" s="363"/>
      <c r="V479" s="126">
        <f t="shared" si="256"/>
        <v>139.99700000000001</v>
      </c>
      <c r="X479" s="5" t="s">
        <v>13334</v>
      </c>
      <c r="Y479" s="2">
        <v>33727</v>
      </c>
      <c r="Z479" s="2">
        <v>45958</v>
      </c>
      <c r="AA479" s="2"/>
      <c r="AB479" s="2"/>
      <c r="AC479" s="133"/>
      <c r="AF479" t="s">
        <v>3198</v>
      </c>
      <c r="AI479" s="76" t="s">
        <v>3392</v>
      </c>
      <c r="AJ479" s="2"/>
      <c r="AM479" s="74"/>
      <c r="AT479" s="1"/>
    </row>
    <row r="480" spans="1:46">
      <c r="A480" s="1">
        <v>477</v>
      </c>
      <c r="B480" t="s">
        <v>37</v>
      </c>
      <c r="C480" s="2">
        <v>45958</v>
      </c>
      <c r="D480" s="2"/>
      <c r="E480" s="1" t="s">
        <v>12494</v>
      </c>
      <c r="F480" s="61" t="s">
        <v>12329</v>
      </c>
      <c r="G480" t="s">
        <v>12330</v>
      </c>
      <c r="H480" s="6" t="s">
        <v>7966</v>
      </c>
      <c r="I480" s="1" t="s">
        <v>7965</v>
      </c>
      <c r="J480" s="8" t="s">
        <v>12331</v>
      </c>
      <c r="K480" s="396"/>
      <c r="L480" s="1" t="s">
        <v>12494</v>
      </c>
      <c r="M480" s="2">
        <v>45961</v>
      </c>
      <c r="N480" s="1" t="s">
        <v>35</v>
      </c>
      <c r="O480" s="61" t="s">
        <v>7929</v>
      </c>
      <c r="P480" s="14" t="s">
        <v>12332</v>
      </c>
      <c r="Q480" s="92">
        <v>0</v>
      </c>
      <c r="R480" s="1">
        <v>1</v>
      </c>
      <c r="S480" s="90">
        <v>0.21</v>
      </c>
      <c r="T480" s="90">
        <v>0</v>
      </c>
      <c r="V480" s="95">
        <f t="shared" si="256"/>
        <v>0</v>
      </c>
      <c r="W480" t="s">
        <v>12494</v>
      </c>
      <c r="X480" s="5" t="s">
        <v>13336</v>
      </c>
      <c r="Y480" s="2">
        <v>33447</v>
      </c>
      <c r="Z480" s="2">
        <v>45958</v>
      </c>
      <c r="AA480" s="2"/>
      <c r="AB480" s="2"/>
      <c r="AC480" s="80"/>
      <c r="AF480" t="s">
        <v>3198</v>
      </c>
      <c r="AJ480" s="2"/>
      <c r="AL480" s="3"/>
      <c r="AM480" s="74"/>
      <c r="AT480" s="1"/>
    </row>
    <row r="481" spans="1:46">
      <c r="A481" s="1">
        <v>478</v>
      </c>
      <c r="B481" t="s">
        <v>83</v>
      </c>
      <c r="C481" s="2">
        <v>45959</v>
      </c>
      <c r="D481" s="403" t="s">
        <v>9900</v>
      </c>
      <c r="E481" t="s">
        <v>10516</v>
      </c>
      <c r="F481" s="61" t="s">
        <v>13354</v>
      </c>
      <c r="G481" t="s">
        <v>13355</v>
      </c>
      <c r="H481" s="6" t="s">
        <v>8073</v>
      </c>
      <c r="I481" s="1" t="s">
        <v>12519</v>
      </c>
      <c r="J481" s="8"/>
      <c r="K481" s="396"/>
      <c r="L481" t="s">
        <v>10516</v>
      </c>
      <c r="M481" s="2">
        <v>45961</v>
      </c>
      <c r="N481" s="1" t="s">
        <v>35</v>
      </c>
      <c r="O481" s="61" t="s">
        <v>7934</v>
      </c>
      <c r="P481" s="14" t="s">
        <v>13356</v>
      </c>
      <c r="Q481" s="187">
        <v>86.78</v>
      </c>
      <c r="R481" s="1">
        <v>1</v>
      </c>
      <c r="S481" s="128">
        <v>0.21</v>
      </c>
      <c r="T481" s="128">
        <v>0</v>
      </c>
      <c r="U481" s="363"/>
      <c r="V481" s="95">
        <f t="shared" si="256"/>
        <v>105.0038</v>
      </c>
      <c r="W481" t="s">
        <v>10516</v>
      </c>
      <c r="X481" s="5" t="s">
        <v>13357</v>
      </c>
      <c r="Y481" s="3">
        <v>35861</v>
      </c>
      <c r="Z481" s="2">
        <v>45959</v>
      </c>
      <c r="AB481" s="2"/>
      <c r="AC481" s="80"/>
      <c r="AF481" t="s">
        <v>3198</v>
      </c>
      <c r="AI481" s="76" t="s">
        <v>13358</v>
      </c>
      <c r="AJ481" s="3"/>
      <c r="AM481" s="3"/>
    </row>
    <row r="482" spans="1:46">
      <c r="A482" s="1">
        <v>479</v>
      </c>
      <c r="B482" t="s">
        <v>37</v>
      </c>
      <c r="C482" s="2">
        <v>45959</v>
      </c>
      <c r="D482" s="2"/>
      <c r="E482" t="s">
        <v>10399</v>
      </c>
      <c r="F482" s="61" t="s">
        <v>10385</v>
      </c>
      <c r="G482" s="61" t="s">
        <v>10377</v>
      </c>
      <c r="H482" s="6" t="s">
        <v>7966</v>
      </c>
      <c r="I482" s="1" t="s">
        <v>7965</v>
      </c>
      <c r="J482" s="1">
        <v>642984617</v>
      </c>
      <c r="K482" s="8"/>
      <c r="L482" t="s">
        <v>10399</v>
      </c>
      <c r="M482" s="2">
        <v>45961</v>
      </c>
      <c r="N482" s="1" t="s">
        <v>35</v>
      </c>
      <c r="O482" s="61" t="s">
        <v>7934</v>
      </c>
      <c r="P482" s="14" t="s">
        <v>13366</v>
      </c>
      <c r="Q482" s="187">
        <v>86.78</v>
      </c>
      <c r="R482" s="1">
        <v>1</v>
      </c>
      <c r="S482" s="128">
        <v>0.21</v>
      </c>
      <c r="T482" s="128">
        <v>0</v>
      </c>
      <c r="U482" s="363"/>
      <c r="V482" s="95">
        <f t="shared" ref="V482:V485" si="257">SUM(Q482-(Q482*T482))*S482+(Q482-(Q482*T482))</f>
        <v>105.0038</v>
      </c>
      <c r="W482" t="s">
        <v>10399</v>
      </c>
      <c r="X482" s="5" t="s">
        <v>13367</v>
      </c>
      <c r="Y482" s="2">
        <v>29072</v>
      </c>
      <c r="Z482" s="2">
        <v>45959</v>
      </c>
      <c r="AB482" s="2"/>
      <c r="AC482" s="80"/>
      <c r="AF482" t="s">
        <v>3198</v>
      </c>
      <c r="AI482" s="76" t="s">
        <v>3470</v>
      </c>
      <c r="AJ482" s="2"/>
      <c r="AM482" s="3"/>
      <c r="AT482" s="1"/>
    </row>
    <row r="483" spans="1:46">
      <c r="A483" s="1">
        <v>480</v>
      </c>
      <c r="B483" t="s">
        <v>37</v>
      </c>
      <c r="C483" s="2">
        <v>45959</v>
      </c>
      <c r="D483" s="2"/>
      <c r="E483" s="1" t="s">
        <v>10757</v>
      </c>
      <c r="F483" s="61" t="s">
        <v>10758</v>
      </c>
      <c r="G483" t="s">
        <v>10759</v>
      </c>
      <c r="H483" s="6" t="s">
        <v>221</v>
      </c>
      <c r="I483" s="1" t="s">
        <v>34</v>
      </c>
      <c r="J483" s="8"/>
      <c r="K483" s="1"/>
      <c r="L483" s="1" t="s">
        <v>10757</v>
      </c>
      <c r="M483" s="2">
        <v>45961</v>
      </c>
      <c r="N483" s="1" t="s">
        <v>35</v>
      </c>
      <c r="O483" s="61" t="s">
        <v>9758</v>
      </c>
      <c r="P483" s="14" t="s">
        <v>13368</v>
      </c>
      <c r="Q483" s="187">
        <v>115.7</v>
      </c>
      <c r="R483" s="1">
        <v>1</v>
      </c>
      <c r="S483" s="128">
        <v>0.21</v>
      </c>
      <c r="T483" s="128">
        <v>0</v>
      </c>
      <c r="V483" s="95">
        <f t="shared" si="257"/>
        <v>139.99700000000001</v>
      </c>
      <c r="X483" s="5" t="s">
        <v>13369</v>
      </c>
      <c r="Y483" s="3">
        <v>37645</v>
      </c>
      <c r="Z483" s="2">
        <v>45959</v>
      </c>
      <c r="AB483" s="2"/>
      <c r="AC483" s="80"/>
      <c r="AF483" t="s">
        <v>3198</v>
      </c>
      <c r="AI483" s="76" t="s">
        <v>12094</v>
      </c>
      <c r="AJ483" s="2"/>
      <c r="AM483" s="3"/>
    </row>
    <row r="484" spans="1:46">
      <c r="A484" s="1">
        <v>481</v>
      </c>
      <c r="B484" t="s">
        <v>143</v>
      </c>
      <c r="C484" s="2">
        <v>45959</v>
      </c>
      <c r="D484" s="403" t="s">
        <v>9900</v>
      </c>
      <c r="E484" s="410"/>
      <c r="F484" s="61" t="s">
        <v>13385</v>
      </c>
      <c r="G484" s="61" t="s">
        <v>13386</v>
      </c>
      <c r="H484" s="6" t="s">
        <v>219</v>
      </c>
      <c r="I484" s="1" t="s">
        <v>38</v>
      </c>
      <c r="J484" s="8"/>
      <c r="K484" s="8"/>
      <c r="L484" s="410"/>
      <c r="M484" s="2">
        <v>45961</v>
      </c>
      <c r="N484" s="1" t="s">
        <v>35</v>
      </c>
      <c r="O484" s="61" t="s">
        <v>12352</v>
      </c>
      <c r="P484" s="14" t="s">
        <v>13387</v>
      </c>
      <c r="Q484" s="187">
        <v>165.29</v>
      </c>
      <c r="R484" s="1">
        <v>1</v>
      </c>
      <c r="S484" s="501">
        <v>0.21</v>
      </c>
      <c r="T484" s="501">
        <v>0</v>
      </c>
      <c r="U484" s="363"/>
      <c r="V484" s="126">
        <f t="shared" si="257"/>
        <v>200.0009</v>
      </c>
      <c r="X484" s="5" t="s">
        <v>13396</v>
      </c>
      <c r="Y484" s="2">
        <v>31048</v>
      </c>
      <c r="Z484" s="2">
        <v>45959</v>
      </c>
      <c r="AA484" s="2"/>
      <c r="AB484" s="2"/>
      <c r="AC484" s="133"/>
      <c r="AF484" t="s">
        <v>3198</v>
      </c>
      <c r="AI484" s="76" t="s">
        <v>3392</v>
      </c>
      <c r="AJ484" s="2"/>
      <c r="AM484" s="74"/>
      <c r="AT484" s="1"/>
    </row>
    <row r="485" spans="1:46">
      <c r="A485" s="1">
        <v>482</v>
      </c>
      <c r="B485" t="s">
        <v>33</v>
      </c>
      <c r="C485" s="2">
        <v>45959</v>
      </c>
      <c r="D485" s="2"/>
      <c r="E485" s="1" t="s">
        <v>5309</v>
      </c>
      <c r="F485" t="s">
        <v>5310</v>
      </c>
      <c r="G485" t="s">
        <v>7842</v>
      </c>
      <c r="H485" s="6" t="s">
        <v>219</v>
      </c>
      <c r="I485" s="1" t="s">
        <v>34</v>
      </c>
      <c r="J485" s="1"/>
      <c r="K485" s="114" t="s">
        <v>11744</v>
      </c>
      <c r="L485" s="1" t="s">
        <v>237</v>
      </c>
      <c r="M485" s="2">
        <v>45961</v>
      </c>
      <c r="N485" s="1" t="s">
        <v>35</v>
      </c>
      <c r="O485" s="61" t="s">
        <v>7934</v>
      </c>
      <c r="P485" s="14" t="s">
        <v>13397</v>
      </c>
      <c r="Q485" s="92">
        <v>69.42</v>
      </c>
      <c r="R485" s="1">
        <v>1</v>
      </c>
      <c r="S485" s="90">
        <v>0.21</v>
      </c>
      <c r="T485" s="90">
        <v>0</v>
      </c>
      <c r="V485" s="95">
        <f t="shared" si="257"/>
        <v>83.998199999999997</v>
      </c>
      <c r="W485" t="s">
        <v>13398</v>
      </c>
      <c r="X485" s="5" t="s">
        <v>13399</v>
      </c>
      <c r="Y485" s="2">
        <v>32509</v>
      </c>
      <c r="Z485" s="2">
        <v>45959</v>
      </c>
      <c r="AA485" s="2"/>
      <c r="AB485" s="2"/>
      <c r="AC485" s="80"/>
      <c r="AF485" t="s">
        <v>3198</v>
      </c>
      <c r="AI485" s="76" t="s">
        <v>3470</v>
      </c>
      <c r="AJ485" s="2"/>
      <c r="AM485" s="3"/>
      <c r="AT485" s="1"/>
    </row>
    <row r="486" spans="1:46">
      <c r="A486" s="1">
        <v>483</v>
      </c>
      <c r="B486" t="s">
        <v>143</v>
      </c>
      <c r="C486" s="2">
        <v>45959</v>
      </c>
      <c r="D486" s="403" t="s">
        <v>9900</v>
      </c>
      <c r="E486" s="410"/>
      <c r="F486" s="61" t="s">
        <v>13400</v>
      </c>
      <c r="G486" s="61" t="s">
        <v>13401</v>
      </c>
      <c r="H486" s="6" t="s">
        <v>219</v>
      </c>
      <c r="I486" s="1" t="s">
        <v>38</v>
      </c>
      <c r="J486" s="8"/>
      <c r="K486" s="8"/>
      <c r="L486" s="410"/>
      <c r="M486" s="2">
        <v>45961</v>
      </c>
      <c r="N486" s="1" t="s">
        <v>35</v>
      </c>
      <c r="O486" s="61" t="s">
        <v>12352</v>
      </c>
      <c r="P486" s="14" t="s">
        <v>13402</v>
      </c>
      <c r="Q486" s="187">
        <v>165.29</v>
      </c>
      <c r="R486" s="1">
        <v>1</v>
      </c>
      <c r="S486" s="501">
        <v>0.21</v>
      </c>
      <c r="T486" s="501">
        <v>0</v>
      </c>
      <c r="U486" s="363"/>
      <c r="V486" s="126">
        <f t="shared" ref="V486:V490" si="258">SUM(Q486-(Q486*T486))*S486+(Q486-(Q486*T486))</f>
        <v>200.0009</v>
      </c>
      <c r="X486" s="5" t="s">
        <v>13403</v>
      </c>
      <c r="Y486" s="2">
        <v>37622</v>
      </c>
      <c r="Z486" s="2">
        <v>45959</v>
      </c>
      <c r="AA486" s="2"/>
      <c r="AB486" s="2"/>
      <c r="AC486" s="133"/>
      <c r="AF486" t="s">
        <v>3198</v>
      </c>
      <c r="AI486" s="76" t="s">
        <v>3392</v>
      </c>
      <c r="AJ486" s="2"/>
      <c r="AM486" s="74"/>
      <c r="AT486" s="1"/>
    </row>
    <row r="487" spans="1:46">
      <c r="A487" s="1">
        <v>484</v>
      </c>
      <c r="B487" t="s">
        <v>33</v>
      </c>
      <c r="C487" s="2">
        <v>45959</v>
      </c>
      <c r="D487" s="403" t="s">
        <v>9900</v>
      </c>
      <c r="E487" s="1" t="s">
        <v>13404</v>
      </c>
      <c r="F487" t="s">
        <v>13405</v>
      </c>
      <c r="G487" t="s">
        <v>13406</v>
      </c>
      <c r="H487" s="6" t="s">
        <v>221</v>
      </c>
      <c r="I487" s="1" t="s">
        <v>34</v>
      </c>
      <c r="J487" s="1"/>
      <c r="K487" s="114" t="s">
        <v>11744</v>
      </c>
      <c r="L487" s="1" t="s">
        <v>237</v>
      </c>
      <c r="M487" s="2">
        <v>45961</v>
      </c>
      <c r="N487" s="1" t="s">
        <v>35</v>
      </c>
      <c r="O487" s="61" t="s">
        <v>12352</v>
      </c>
      <c r="P487" s="14" t="s">
        <v>13407</v>
      </c>
      <c r="Q487" s="92">
        <v>115.7</v>
      </c>
      <c r="R487" s="1">
        <v>1</v>
      </c>
      <c r="S487" s="90">
        <v>0.21</v>
      </c>
      <c r="T487" s="90">
        <v>0</v>
      </c>
      <c r="V487" s="95">
        <f t="shared" si="258"/>
        <v>139.99700000000001</v>
      </c>
      <c r="X487" s="5" t="s">
        <v>13408</v>
      </c>
      <c r="Y487" s="2">
        <v>37294</v>
      </c>
      <c r="Z487" s="2">
        <v>45959</v>
      </c>
      <c r="AA487" s="2"/>
      <c r="AB487" s="2"/>
      <c r="AC487" s="80"/>
      <c r="AF487" t="s">
        <v>3198</v>
      </c>
      <c r="AI487" s="76" t="s">
        <v>3392</v>
      </c>
      <c r="AJ487" s="2"/>
      <c r="AM487" s="3"/>
      <c r="AT487" s="1"/>
    </row>
    <row r="488" spans="1:46">
      <c r="A488" s="1">
        <v>485</v>
      </c>
      <c r="B488" t="s">
        <v>3526</v>
      </c>
      <c r="C488" s="2">
        <v>45959</v>
      </c>
      <c r="D488" s="2"/>
      <c r="E488" t="s">
        <v>10225</v>
      </c>
      <c r="F488" s="61" t="s">
        <v>10291</v>
      </c>
      <c r="G488" t="s">
        <v>10226</v>
      </c>
      <c r="H488" s="6" t="s">
        <v>293</v>
      </c>
      <c r="I488" s="1" t="s">
        <v>10227</v>
      </c>
      <c r="J488" s="295"/>
      <c r="K488" s="8"/>
      <c r="L488" s="1" t="s">
        <v>10225</v>
      </c>
      <c r="M488" s="2">
        <v>45961</v>
      </c>
      <c r="N488" s="1" t="s">
        <v>35</v>
      </c>
      <c r="O488" s="61" t="s">
        <v>9758</v>
      </c>
      <c r="P488" s="14" t="s">
        <v>13409</v>
      </c>
      <c r="Q488" s="187">
        <v>115.7</v>
      </c>
      <c r="R488" s="1">
        <v>1</v>
      </c>
      <c r="S488" s="128">
        <v>0.21</v>
      </c>
      <c r="T488" s="128">
        <v>0</v>
      </c>
      <c r="U488" s="363"/>
      <c r="V488" s="126">
        <f t="shared" si="258"/>
        <v>139.99700000000001</v>
      </c>
      <c r="W488" s="1"/>
      <c r="X488" s="5" t="s">
        <v>13410</v>
      </c>
      <c r="Y488" s="2">
        <v>36061</v>
      </c>
      <c r="Z488" s="2">
        <v>45959</v>
      </c>
      <c r="AA488" s="2"/>
      <c r="AB488" s="2"/>
      <c r="AC488" s="133"/>
      <c r="AF488" t="s">
        <v>3198</v>
      </c>
      <c r="AI488" s="76" t="s">
        <v>3470</v>
      </c>
      <c r="AJ488" s="2"/>
      <c r="AM488" s="74"/>
      <c r="AT488" s="1"/>
    </row>
    <row r="489" spans="1:46" ht="15.75" customHeight="1">
      <c r="A489" s="1">
        <v>486</v>
      </c>
      <c r="B489" s="61" t="s">
        <v>33</v>
      </c>
      <c r="C489" s="2">
        <v>45959</v>
      </c>
      <c r="D489" s="2"/>
      <c r="E489" s="1" t="s">
        <v>2623</v>
      </c>
      <c r="F489" s="61" t="s">
        <v>12092</v>
      </c>
      <c r="G489" s="61" t="s">
        <v>5288</v>
      </c>
      <c r="H489" s="30">
        <v>4700</v>
      </c>
      <c r="I489" s="1" t="s">
        <v>34</v>
      </c>
      <c r="J489" s="44"/>
      <c r="K489" s="114" t="s">
        <v>11744</v>
      </c>
      <c r="L489" s="1" t="s">
        <v>237</v>
      </c>
      <c r="M489" s="2">
        <v>45961</v>
      </c>
      <c r="N489" s="1" t="s">
        <v>35</v>
      </c>
      <c r="O489" s="61" t="s">
        <v>9758</v>
      </c>
      <c r="P489" s="14" t="s">
        <v>13411</v>
      </c>
      <c r="Q489" s="187">
        <v>115.7</v>
      </c>
      <c r="R489" s="1">
        <v>1</v>
      </c>
      <c r="S489" s="90">
        <v>0.21</v>
      </c>
      <c r="T489" s="90">
        <v>0</v>
      </c>
      <c r="V489" s="95">
        <f t="shared" si="258"/>
        <v>139.99700000000001</v>
      </c>
      <c r="X489" s="5" t="s">
        <v>13412</v>
      </c>
      <c r="Y489" s="2">
        <v>38821</v>
      </c>
      <c r="Z489" s="2">
        <v>45959</v>
      </c>
      <c r="AA489" s="2"/>
      <c r="AB489" s="2"/>
      <c r="AC489" s="80"/>
      <c r="AD489" s="61"/>
      <c r="AF489" t="s">
        <v>3198</v>
      </c>
      <c r="AI489" s="76" t="s">
        <v>3470</v>
      </c>
      <c r="AJ489" s="2"/>
      <c r="AM489" s="74"/>
      <c r="AT489" s="1"/>
    </row>
    <row r="490" spans="1:46">
      <c r="A490" s="1">
        <v>487</v>
      </c>
      <c r="B490" t="s">
        <v>33</v>
      </c>
      <c r="C490" s="2">
        <v>45959</v>
      </c>
      <c r="D490" s="2"/>
      <c r="E490" s="1" t="s">
        <v>5309</v>
      </c>
      <c r="F490" t="s">
        <v>5310</v>
      </c>
      <c r="G490" t="s">
        <v>7842</v>
      </c>
      <c r="H490" s="6" t="s">
        <v>219</v>
      </c>
      <c r="I490" s="1" t="s">
        <v>34</v>
      </c>
      <c r="J490" s="1"/>
      <c r="K490" s="114" t="s">
        <v>11744</v>
      </c>
      <c r="L490" s="1" t="s">
        <v>237</v>
      </c>
      <c r="M490" s="2">
        <v>45961</v>
      </c>
      <c r="N490" s="1" t="s">
        <v>35</v>
      </c>
      <c r="O490" s="61" t="s">
        <v>7934</v>
      </c>
      <c r="P490" s="14" t="s">
        <v>13420</v>
      </c>
      <c r="Q490" s="92">
        <v>69.42</v>
      </c>
      <c r="R490" s="1">
        <v>1</v>
      </c>
      <c r="S490" s="90">
        <v>0.21</v>
      </c>
      <c r="T490" s="90">
        <v>0</v>
      </c>
      <c r="V490" s="95">
        <f t="shared" si="258"/>
        <v>83.998199999999997</v>
      </c>
      <c r="X490" s="5" t="s">
        <v>13421</v>
      </c>
      <c r="Y490" s="2">
        <v>34538</v>
      </c>
      <c r="Z490" s="2">
        <v>45959</v>
      </c>
      <c r="AA490" s="2"/>
      <c r="AB490" s="2"/>
      <c r="AC490" s="80"/>
      <c r="AF490" t="s">
        <v>3198</v>
      </c>
      <c r="AI490" s="76" t="s">
        <v>3470</v>
      </c>
      <c r="AJ490" s="2"/>
      <c r="AM490" s="3"/>
      <c r="AT490" s="1"/>
    </row>
    <row r="491" spans="1:46">
      <c r="A491" s="1">
        <v>488</v>
      </c>
      <c r="B491" t="s">
        <v>33</v>
      </c>
      <c r="C491" s="2">
        <v>45959</v>
      </c>
      <c r="D491" s="2"/>
      <c r="E491" s="1" t="s">
        <v>8756</v>
      </c>
      <c r="F491" t="s">
        <v>8757</v>
      </c>
      <c r="G491" t="s">
        <v>8758</v>
      </c>
      <c r="H491" s="6" t="s">
        <v>304</v>
      </c>
      <c r="I491" s="1" t="s">
        <v>3851</v>
      </c>
      <c r="J491" s="295"/>
      <c r="K491" s="114" t="s">
        <v>11744</v>
      </c>
      <c r="L491" t="s">
        <v>237</v>
      </c>
      <c r="M491" s="2">
        <v>45961</v>
      </c>
      <c r="N491" s="1" t="s">
        <v>35</v>
      </c>
      <c r="O491" s="61" t="s">
        <v>7934</v>
      </c>
      <c r="P491" s="14" t="s">
        <v>13422</v>
      </c>
      <c r="Q491" s="187">
        <v>69.42</v>
      </c>
      <c r="R491" s="1">
        <v>1</v>
      </c>
      <c r="S491" s="90">
        <v>0.21</v>
      </c>
      <c r="T491" s="90">
        <v>0</v>
      </c>
      <c r="U491" s="363"/>
      <c r="V491" s="95">
        <f t="shared" ref="V491" si="259">SUM(Q491-(Q491*T491))*S491+(Q491-(Q491*T491))</f>
        <v>83.998199999999997</v>
      </c>
      <c r="X491" s="5" t="s">
        <v>13423</v>
      </c>
      <c r="Y491" s="2">
        <v>36655</v>
      </c>
      <c r="Z491" s="2">
        <v>45959</v>
      </c>
      <c r="AA491" s="2"/>
      <c r="AB491" s="2"/>
      <c r="AC491" s="80"/>
      <c r="AF491" t="s">
        <v>3198</v>
      </c>
      <c r="AI491" s="76" t="s">
        <v>3470</v>
      </c>
      <c r="AJ491" s="2"/>
      <c r="AK491" s="74"/>
      <c r="AL491" s="74"/>
      <c r="AM491" s="74"/>
      <c r="AT491" s="1"/>
    </row>
    <row r="492" spans="1:46" ht="15.75" customHeight="1">
      <c r="A492" s="1">
        <v>489</v>
      </c>
      <c r="B492" t="s">
        <v>33</v>
      </c>
      <c r="C492" s="2">
        <v>45960</v>
      </c>
      <c r="D492" s="2"/>
      <c r="E492" s="1" t="s">
        <v>5282</v>
      </c>
      <c r="F492" t="s">
        <v>12317</v>
      </c>
      <c r="G492" t="s">
        <v>5284</v>
      </c>
      <c r="H492" s="6" t="s">
        <v>219</v>
      </c>
      <c r="I492" s="1" t="s">
        <v>38</v>
      </c>
      <c r="J492" s="1"/>
      <c r="K492" s="114" t="s">
        <v>11744</v>
      </c>
      <c r="L492" s="1" t="s">
        <v>5282</v>
      </c>
      <c r="M492" s="2">
        <v>45961</v>
      </c>
      <c r="N492" s="1" t="s">
        <v>35</v>
      </c>
      <c r="O492" s="61" t="s">
        <v>12352</v>
      </c>
      <c r="P492" s="14" t="s">
        <v>13425</v>
      </c>
      <c r="Q492" s="187">
        <v>115.7</v>
      </c>
      <c r="R492" s="1">
        <v>1</v>
      </c>
      <c r="S492" s="128">
        <v>0.21</v>
      </c>
      <c r="T492" s="128">
        <v>0</v>
      </c>
      <c r="U492" s="363"/>
      <c r="V492" s="186">
        <f t="shared" ref="V492:V496" si="260">SUM(Q492-(Q492*T492))*S492+(Q492-(Q492*T492))</f>
        <v>139.99700000000001</v>
      </c>
      <c r="X492" s="5" t="s">
        <v>13426</v>
      </c>
      <c r="Y492" s="3">
        <v>34795</v>
      </c>
      <c r="Z492" s="2">
        <v>45960</v>
      </c>
      <c r="AA492" s="2"/>
      <c r="AB492" s="2"/>
      <c r="AC492" s="80"/>
      <c r="AF492" t="s">
        <v>3198</v>
      </c>
      <c r="AI492" s="76" t="s">
        <v>3392</v>
      </c>
      <c r="AJ492" s="3"/>
      <c r="AM492" s="3"/>
    </row>
    <row r="493" spans="1:46">
      <c r="A493" s="1">
        <v>490</v>
      </c>
      <c r="B493" t="s">
        <v>6684</v>
      </c>
      <c r="C493" s="2">
        <v>45960</v>
      </c>
      <c r="D493" s="2"/>
      <c r="E493" s="1" t="s">
        <v>6685</v>
      </c>
      <c r="F493" t="s">
        <v>6686</v>
      </c>
      <c r="G493" t="s">
        <v>6687</v>
      </c>
      <c r="H493" s="6" t="s">
        <v>2579</v>
      </c>
      <c r="I493" t="s">
        <v>2580</v>
      </c>
      <c r="J493" s="8"/>
      <c r="K493" s="1" t="s">
        <v>7339</v>
      </c>
      <c r="L493" t="s">
        <v>6685</v>
      </c>
      <c r="M493" s="2">
        <v>45961</v>
      </c>
      <c r="N493" s="1" t="s">
        <v>35</v>
      </c>
      <c r="O493" s="61" t="s">
        <v>12352</v>
      </c>
      <c r="P493" s="14" t="s">
        <v>13427</v>
      </c>
      <c r="Q493" s="187">
        <v>115.7</v>
      </c>
      <c r="R493" s="1">
        <v>1</v>
      </c>
      <c r="S493" s="128">
        <v>0.21</v>
      </c>
      <c r="T493" s="128">
        <v>0</v>
      </c>
      <c r="V493" s="126">
        <f t="shared" si="260"/>
        <v>139.99700000000001</v>
      </c>
      <c r="X493" s="5" t="s">
        <v>13428</v>
      </c>
      <c r="Y493" s="3">
        <v>35523</v>
      </c>
      <c r="Z493" s="2">
        <v>45960</v>
      </c>
      <c r="AA493" s="2"/>
      <c r="AB493" s="2"/>
      <c r="AC493" s="80"/>
      <c r="AF493" t="s">
        <v>3198</v>
      </c>
      <c r="AI493" s="76" t="s">
        <v>3392</v>
      </c>
      <c r="AJ493" s="3"/>
      <c r="AM493" s="3"/>
    </row>
    <row r="494" spans="1:46">
      <c r="A494" s="1">
        <v>491</v>
      </c>
      <c r="B494" t="s">
        <v>33</v>
      </c>
      <c r="C494" s="2">
        <v>45960</v>
      </c>
      <c r="D494" s="2"/>
      <c r="E494" s="1" t="s">
        <v>13199</v>
      </c>
      <c r="F494" s="61" t="s">
        <v>13200</v>
      </c>
      <c r="G494" s="61" t="s">
        <v>13201</v>
      </c>
      <c r="H494" s="6" t="s">
        <v>221</v>
      </c>
      <c r="I494" s="1" t="s">
        <v>34</v>
      </c>
      <c r="J494" s="1"/>
      <c r="K494" s="114" t="s">
        <v>11744</v>
      </c>
      <c r="L494" s="1" t="s">
        <v>13199</v>
      </c>
      <c r="M494" s="2">
        <v>45961</v>
      </c>
      <c r="N494" s="1" t="s">
        <v>35</v>
      </c>
      <c r="O494" s="61" t="s">
        <v>12352</v>
      </c>
      <c r="P494" s="14" t="s">
        <v>13429</v>
      </c>
      <c r="Q494" s="187">
        <v>115.7</v>
      </c>
      <c r="R494" s="1">
        <v>1</v>
      </c>
      <c r="S494" s="128">
        <v>0.21</v>
      </c>
      <c r="T494" s="128">
        <v>0</v>
      </c>
      <c r="V494" s="95">
        <f t="shared" si="260"/>
        <v>139.99700000000001</v>
      </c>
      <c r="X494" s="5" t="s">
        <v>13430</v>
      </c>
      <c r="Y494" s="2">
        <v>36616</v>
      </c>
      <c r="Z494" s="2">
        <v>45960</v>
      </c>
      <c r="AA494" s="2"/>
      <c r="AB494" s="2"/>
      <c r="AC494" s="80"/>
      <c r="AF494" t="s">
        <v>3198</v>
      </c>
      <c r="AI494" s="76" t="s">
        <v>3392</v>
      </c>
      <c r="AJ494" s="2"/>
      <c r="AM494" s="74"/>
      <c r="AT494" s="1"/>
    </row>
    <row r="495" spans="1:46">
      <c r="A495" s="1">
        <v>492</v>
      </c>
      <c r="B495" t="s">
        <v>143</v>
      </c>
      <c r="C495" s="2">
        <v>45960</v>
      </c>
      <c r="D495" s="403" t="s">
        <v>9900</v>
      </c>
      <c r="E495" s="410"/>
      <c r="F495" s="61" t="s">
        <v>13431</v>
      </c>
      <c r="G495" s="61" t="s">
        <v>13432</v>
      </c>
      <c r="H495" s="6" t="s">
        <v>219</v>
      </c>
      <c r="I495" s="1" t="s">
        <v>38</v>
      </c>
      <c r="J495" s="8"/>
      <c r="K495" s="8"/>
      <c r="L495" s="410"/>
      <c r="M495" s="2">
        <v>45961</v>
      </c>
      <c r="N495" s="1" t="s">
        <v>35</v>
      </c>
      <c r="O495" s="61" t="s">
        <v>12352</v>
      </c>
      <c r="P495" s="14" t="s">
        <v>13433</v>
      </c>
      <c r="Q495" s="187">
        <v>165.29</v>
      </c>
      <c r="R495" s="1">
        <v>1</v>
      </c>
      <c r="S495" s="501">
        <v>0.21</v>
      </c>
      <c r="T495" s="501">
        <v>0</v>
      </c>
      <c r="U495" s="363"/>
      <c r="V495" s="126">
        <f t="shared" si="260"/>
        <v>200.0009</v>
      </c>
      <c r="X495" s="5" t="s">
        <v>13434</v>
      </c>
      <c r="Y495" s="2">
        <v>34586</v>
      </c>
      <c r="Z495" s="2">
        <v>45960</v>
      </c>
      <c r="AA495" s="2"/>
      <c r="AB495" s="2"/>
      <c r="AC495" s="133"/>
      <c r="AF495" t="s">
        <v>3198</v>
      </c>
      <c r="AI495" s="76" t="s">
        <v>3392</v>
      </c>
      <c r="AJ495" s="2"/>
      <c r="AM495" s="74"/>
      <c r="AT495" s="1"/>
    </row>
    <row r="496" spans="1:46" s="457" customFormat="1" ht="15.75" thickBot="1">
      <c r="A496" s="456">
        <v>493</v>
      </c>
      <c r="B496" s="457" t="s">
        <v>6684</v>
      </c>
      <c r="C496" s="458">
        <v>45960</v>
      </c>
      <c r="D496" s="458"/>
      <c r="E496" s="456" t="s">
        <v>6685</v>
      </c>
      <c r="F496" s="457" t="s">
        <v>6686</v>
      </c>
      <c r="G496" s="457" t="s">
        <v>6687</v>
      </c>
      <c r="H496" s="460" t="s">
        <v>2579</v>
      </c>
      <c r="I496" s="457" t="s">
        <v>2580</v>
      </c>
      <c r="J496" s="461"/>
      <c r="K496" s="456" t="s">
        <v>7339</v>
      </c>
      <c r="L496" s="457" t="s">
        <v>6685</v>
      </c>
      <c r="M496" s="458">
        <v>45961</v>
      </c>
      <c r="N496" s="456" t="s">
        <v>35</v>
      </c>
      <c r="O496" s="459" t="s">
        <v>7934</v>
      </c>
      <c r="P496" s="463" t="s">
        <v>13435</v>
      </c>
      <c r="Q496" s="464">
        <v>69.42</v>
      </c>
      <c r="R496" s="456">
        <v>1</v>
      </c>
      <c r="S496" s="483">
        <v>0.21</v>
      </c>
      <c r="T496" s="483">
        <v>0</v>
      </c>
      <c r="U496" s="466"/>
      <c r="V496" s="467">
        <f t="shared" si="260"/>
        <v>83.998199999999997</v>
      </c>
      <c r="W496" s="457" t="s">
        <v>11250</v>
      </c>
      <c r="X496" s="468" t="s">
        <v>13436</v>
      </c>
      <c r="Y496" s="470">
        <v>37043</v>
      </c>
      <c r="Z496" s="458">
        <v>45960</v>
      </c>
      <c r="AA496" s="458"/>
      <c r="AB496" s="458"/>
      <c r="AC496" s="469"/>
      <c r="AF496" s="457" t="s">
        <v>3198</v>
      </c>
      <c r="AI496" s="488" t="s">
        <v>3392</v>
      </c>
      <c r="AJ496" s="470"/>
      <c r="AM496" s="470"/>
    </row>
    <row r="497" spans="1:138" ht="15.75" thickTop="1">
      <c r="A497" s="1">
        <v>494</v>
      </c>
      <c r="B497" t="s">
        <v>5635</v>
      </c>
      <c r="C497" s="2">
        <v>45960</v>
      </c>
      <c r="D497" s="403" t="s">
        <v>9900</v>
      </c>
      <c r="E497" s="1" t="s">
        <v>13438</v>
      </c>
      <c r="F497" s="61" t="s">
        <v>13439</v>
      </c>
      <c r="G497" t="s">
        <v>13440</v>
      </c>
      <c r="H497" s="6" t="s">
        <v>1424</v>
      </c>
      <c r="I497" s="1" t="s">
        <v>1425</v>
      </c>
      <c r="J497" s="295"/>
      <c r="K497" s="396" t="s">
        <v>7800</v>
      </c>
      <c r="L497" s="1" t="s">
        <v>13438</v>
      </c>
      <c r="M497" s="2">
        <v>45961</v>
      </c>
      <c r="N497" s="1" t="s">
        <v>35</v>
      </c>
      <c r="O497" s="61" t="s">
        <v>12352</v>
      </c>
      <c r="P497" s="14" t="s">
        <v>13441</v>
      </c>
      <c r="Q497" s="187">
        <v>115.7</v>
      </c>
      <c r="R497" s="1">
        <v>1</v>
      </c>
      <c r="S497" s="128">
        <v>0.21</v>
      </c>
      <c r="T497" s="128">
        <v>0</v>
      </c>
      <c r="U497" s="363"/>
      <c r="V497" s="126">
        <f>SUM(Q497-(Q497*T497))*S497+(Q497-(Q497*T497))</f>
        <v>139.99700000000001</v>
      </c>
      <c r="X497" s="5" t="s">
        <v>13442</v>
      </c>
      <c r="Y497" s="2">
        <v>34099</v>
      </c>
      <c r="Z497" s="2">
        <v>45960</v>
      </c>
      <c r="AA497" s="2"/>
      <c r="AB497" s="2"/>
      <c r="AC497" s="80"/>
      <c r="AF497" t="s">
        <v>3198</v>
      </c>
      <c r="AI497" s="76" t="s">
        <v>3392</v>
      </c>
      <c r="AJ497" s="2"/>
      <c r="AM497" s="74"/>
      <c r="AT497" s="1"/>
    </row>
    <row r="498" spans="1:138">
      <c r="A498" s="1">
        <v>495</v>
      </c>
      <c r="B498" t="s">
        <v>33</v>
      </c>
      <c r="C498" s="2">
        <v>45960</v>
      </c>
      <c r="D498" s="403" t="s">
        <v>9900</v>
      </c>
      <c r="E498" s="1" t="s">
        <v>13443</v>
      </c>
      <c r="F498" s="61" t="s">
        <v>13444</v>
      </c>
      <c r="G498" s="61" t="s">
        <v>13445</v>
      </c>
      <c r="H498" s="6" t="s">
        <v>221</v>
      </c>
      <c r="I498" s="1" t="s">
        <v>34</v>
      </c>
      <c r="J498" s="1"/>
      <c r="K498" s="114" t="s">
        <v>11744</v>
      </c>
      <c r="L498" s="1" t="s">
        <v>13443</v>
      </c>
      <c r="M498" s="2">
        <v>45961</v>
      </c>
      <c r="N498" s="1" t="s">
        <v>35</v>
      </c>
      <c r="O498" s="61" t="s">
        <v>12352</v>
      </c>
      <c r="P498" s="14" t="s">
        <v>13446</v>
      </c>
      <c r="Q498" s="187">
        <v>115.7</v>
      </c>
      <c r="R498" s="1">
        <v>1</v>
      </c>
      <c r="S498" s="128">
        <v>0.21</v>
      </c>
      <c r="T498" s="128">
        <v>0</v>
      </c>
      <c r="V498" s="95">
        <f t="shared" ref="V498:V499" si="261">SUM(Q498-(Q498*T498))*S498+(Q498-(Q498*T498))</f>
        <v>139.99700000000001</v>
      </c>
      <c r="X498" s="5" t="s">
        <v>13447</v>
      </c>
      <c r="Y498" s="2">
        <v>34334</v>
      </c>
      <c r="Z498" s="2">
        <v>45960</v>
      </c>
      <c r="AA498" s="2"/>
      <c r="AB498" s="2"/>
      <c r="AC498" s="80"/>
      <c r="AF498" t="s">
        <v>3198</v>
      </c>
      <c r="AI498" s="76" t="s">
        <v>3392</v>
      </c>
      <c r="AJ498" s="2"/>
      <c r="AM498" s="74"/>
      <c r="AT498" s="1"/>
    </row>
    <row r="499" spans="1:138">
      <c r="A499" s="1">
        <v>496</v>
      </c>
      <c r="B499" t="s">
        <v>9170</v>
      </c>
      <c r="C499" s="2">
        <v>45961</v>
      </c>
      <c r="D499" s="2"/>
      <c r="E499" s="1" t="s">
        <v>256</v>
      </c>
      <c r="F499" s="31" t="s">
        <v>155</v>
      </c>
      <c r="G499" s="31" t="s">
        <v>138</v>
      </c>
      <c r="H499" s="33" t="s">
        <v>227</v>
      </c>
      <c r="I499" s="30" t="s">
        <v>203</v>
      </c>
      <c r="J499" s="30">
        <v>659409676</v>
      </c>
      <c r="K499" s="1" t="s">
        <v>9171</v>
      </c>
      <c r="L499" s="1" t="s">
        <v>256</v>
      </c>
      <c r="M499" s="2">
        <v>45961</v>
      </c>
      <c r="N499" s="1" t="s">
        <v>35</v>
      </c>
      <c r="O499" s="61" t="s">
        <v>7934</v>
      </c>
      <c r="P499" s="14" t="s">
        <v>9236</v>
      </c>
      <c r="Q499" s="187">
        <v>69.42</v>
      </c>
      <c r="R499" s="1">
        <v>1</v>
      </c>
      <c r="S499" s="90">
        <v>0.21</v>
      </c>
      <c r="T499" s="90">
        <v>0</v>
      </c>
      <c r="V499" s="95">
        <f t="shared" si="261"/>
        <v>83.998199999999997</v>
      </c>
      <c r="W499" t="s">
        <v>7379</v>
      </c>
      <c r="X499" s="5" t="s">
        <v>13450</v>
      </c>
      <c r="Y499" s="2">
        <v>33603</v>
      </c>
      <c r="Z499" s="2">
        <v>45961</v>
      </c>
      <c r="AB499" s="1"/>
      <c r="AF499" t="s">
        <v>3198</v>
      </c>
      <c r="AI499" s="76" t="s">
        <v>3470</v>
      </c>
      <c r="AJ499" s="2"/>
      <c r="AM499" s="3"/>
      <c r="AT499" s="1"/>
    </row>
    <row r="500" spans="1:138">
      <c r="A500" s="1">
        <v>497</v>
      </c>
      <c r="B500" t="s">
        <v>1414</v>
      </c>
      <c r="C500" s="2">
        <v>45961</v>
      </c>
      <c r="D500" s="61"/>
      <c r="E500" s="1" t="s">
        <v>176</v>
      </c>
      <c r="F500" s="61" t="s">
        <v>4460</v>
      </c>
      <c r="G500" s="61" t="s">
        <v>4461</v>
      </c>
      <c r="H500" s="6" t="s">
        <v>230</v>
      </c>
      <c r="I500" t="s">
        <v>1262</v>
      </c>
      <c r="J500" s="8">
        <v>637571817</v>
      </c>
      <c r="K500" s="301" t="s">
        <v>8355</v>
      </c>
      <c r="L500" t="s">
        <v>176</v>
      </c>
      <c r="M500" s="2">
        <v>45961</v>
      </c>
      <c r="N500" s="1" t="s">
        <v>35</v>
      </c>
      <c r="O500" s="61" t="s">
        <v>7934</v>
      </c>
      <c r="P500" s="14" t="s">
        <v>13448</v>
      </c>
      <c r="Q500" s="187">
        <v>69.42</v>
      </c>
      <c r="R500" s="1">
        <v>1</v>
      </c>
      <c r="S500" s="90">
        <v>0.21</v>
      </c>
      <c r="T500" s="90">
        <v>0</v>
      </c>
      <c r="V500" s="95">
        <f t="shared" ref="V500" si="262">SUM(Q500-(Q500*T500))*S500+(Q500-(Q500*T500))</f>
        <v>83.998199999999997</v>
      </c>
      <c r="W500" t="s">
        <v>13449</v>
      </c>
      <c r="X500" s="5" t="s">
        <v>13451</v>
      </c>
      <c r="Y500" s="2">
        <v>31582</v>
      </c>
      <c r="Z500" s="2">
        <v>45961</v>
      </c>
      <c r="AA500" s="2"/>
      <c r="AB500" s="2"/>
      <c r="AC500" s="133"/>
      <c r="AF500" t="s">
        <v>3198</v>
      </c>
      <c r="AI500" s="76" t="s">
        <v>3470</v>
      </c>
      <c r="AJ500" s="2"/>
      <c r="AM500" s="74"/>
      <c r="AT500" s="1"/>
    </row>
    <row r="501" spans="1:138">
      <c r="A501" s="1">
        <v>498</v>
      </c>
      <c r="B501" t="s">
        <v>119</v>
      </c>
      <c r="C501" s="2">
        <v>45961</v>
      </c>
      <c r="D501" s="61"/>
      <c r="E501" s="1" t="s">
        <v>5406</v>
      </c>
      <c r="F501" t="s">
        <v>5407</v>
      </c>
      <c r="G501" s="61" t="s">
        <v>5408</v>
      </c>
      <c r="H501" s="6" t="s">
        <v>226</v>
      </c>
      <c r="I501" s="1" t="s">
        <v>3118</v>
      </c>
      <c r="J501" s="8"/>
      <c r="K501" s="396" t="s">
        <v>10432</v>
      </c>
      <c r="L501" s="1" t="s">
        <v>5406</v>
      </c>
      <c r="M501" s="2">
        <v>45961</v>
      </c>
      <c r="N501" s="1" t="s">
        <v>35</v>
      </c>
      <c r="O501" s="61" t="s">
        <v>12352</v>
      </c>
      <c r="P501" s="14" t="s">
        <v>13452</v>
      </c>
      <c r="Q501" s="187">
        <v>115.7</v>
      </c>
      <c r="R501" s="1">
        <v>1</v>
      </c>
      <c r="S501" s="90">
        <v>0.21</v>
      </c>
      <c r="T501" s="90">
        <v>0</v>
      </c>
      <c r="U501" s="363"/>
      <c r="V501" s="126">
        <f t="shared" ref="V501:V514" si="263">SUM(Q501-(Q501*T501))*S501+(Q501-(Q501*T501))</f>
        <v>139.99700000000001</v>
      </c>
      <c r="X501" s="5" t="s">
        <v>13453</v>
      </c>
      <c r="Y501" s="2">
        <v>28578</v>
      </c>
      <c r="Z501" s="2">
        <v>45961</v>
      </c>
      <c r="AA501" s="2"/>
      <c r="AB501" s="2"/>
      <c r="AC501" s="133"/>
      <c r="AF501" t="s">
        <v>3198</v>
      </c>
      <c r="AI501" s="76" t="s">
        <v>3392</v>
      </c>
      <c r="AJ501" s="2"/>
      <c r="AM501" s="74"/>
      <c r="AT501" s="1"/>
    </row>
    <row r="502" spans="1:138">
      <c r="A502" s="1">
        <v>499</v>
      </c>
      <c r="B502" s="61" t="s">
        <v>37</v>
      </c>
      <c r="C502" s="2">
        <v>45961</v>
      </c>
      <c r="D502" s="2"/>
      <c r="E502" s="1" t="s">
        <v>9209</v>
      </c>
      <c r="F502" s="61" t="s">
        <v>9210</v>
      </c>
      <c r="G502" s="61" t="s">
        <v>7964</v>
      </c>
      <c r="H502" s="6" t="s">
        <v>7966</v>
      </c>
      <c r="I502" s="1" t="s">
        <v>7965</v>
      </c>
      <c r="J502" s="8">
        <v>602887889</v>
      </c>
      <c r="K502" s="8"/>
      <c r="L502" s="1" t="s">
        <v>9209</v>
      </c>
      <c r="M502" s="2">
        <v>45961</v>
      </c>
      <c r="N502" s="1" t="s">
        <v>35</v>
      </c>
      <c r="O502" s="61" t="s">
        <v>7934</v>
      </c>
      <c r="P502" s="14" t="s">
        <v>9211</v>
      </c>
      <c r="Q502" s="187">
        <v>69.42</v>
      </c>
      <c r="R502" s="1">
        <v>1</v>
      </c>
      <c r="S502" s="128">
        <v>0.21</v>
      </c>
      <c r="T502" s="128">
        <v>0</v>
      </c>
      <c r="U502" s="363"/>
      <c r="V502" s="95">
        <f t="shared" ref="V502:V505" si="264">SUM(Q502-(Q502*T502))*S502+(Q502-(Q502*T502))</f>
        <v>83.998199999999997</v>
      </c>
      <c r="W502" s="1" t="s">
        <v>9209</v>
      </c>
      <c r="X502" s="5" t="s">
        <v>13454</v>
      </c>
      <c r="Y502" s="2">
        <v>31467</v>
      </c>
      <c r="Z502" s="2">
        <v>45961</v>
      </c>
      <c r="AA502" s="2"/>
      <c r="AB502" s="2"/>
      <c r="AC502" s="80"/>
      <c r="AF502" t="s">
        <v>3198</v>
      </c>
      <c r="AI502" s="76" t="s">
        <v>3470</v>
      </c>
      <c r="AJ502" s="2"/>
      <c r="AM502" s="74"/>
      <c r="AT502" s="1"/>
    </row>
    <row r="503" spans="1:138">
      <c r="A503" s="1">
        <v>500</v>
      </c>
      <c r="B503" t="s">
        <v>45</v>
      </c>
      <c r="C503" s="2">
        <v>45964</v>
      </c>
      <c r="D503" s="2"/>
      <c r="E503" s="1" t="s">
        <v>13456</v>
      </c>
      <c r="F503" t="s">
        <v>13457</v>
      </c>
      <c r="G503" t="s">
        <v>13458</v>
      </c>
      <c r="H503" s="6" t="s">
        <v>241</v>
      </c>
      <c r="I503" s="1" t="s">
        <v>60</v>
      </c>
      <c r="J503" s="1"/>
      <c r="K503" s="396" t="s">
        <v>8356</v>
      </c>
      <c r="L503" s="1" t="s">
        <v>13456</v>
      </c>
      <c r="M503" s="2">
        <v>45991</v>
      </c>
      <c r="N503" s="1" t="s">
        <v>35</v>
      </c>
      <c r="O503" s="61" t="s">
        <v>12352</v>
      </c>
      <c r="P503" s="14" t="s">
        <v>13459</v>
      </c>
      <c r="Q503" s="92">
        <v>115.7</v>
      </c>
      <c r="R503" s="1">
        <v>1</v>
      </c>
      <c r="S503" s="128">
        <v>0.21</v>
      </c>
      <c r="T503" s="128">
        <v>0</v>
      </c>
      <c r="U503" s="95"/>
      <c r="V503" s="126">
        <f t="shared" si="264"/>
        <v>139.99700000000001</v>
      </c>
      <c r="X503" s="5" t="s">
        <v>13460</v>
      </c>
      <c r="Y503" s="2">
        <v>37791</v>
      </c>
      <c r="Z503" s="2">
        <v>45964</v>
      </c>
      <c r="AA503" s="2"/>
      <c r="AB503" s="3"/>
      <c r="AC503" s="80"/>
      <c r="AF503" t="s">
        <v>3198</v>
      </c>
      <c r="AI503" s="76" t="s">
        <v>3392</v>
      </c>
      <c r="AJ503" s="2"/>
      <c r="AM503" s="3"/>
    </row>
    <row r="504" spans="1:138">
      <c r="A504" s="1">
        <v>501</v>
      </c>
      <c r="B504" t="s">
        <v>6684</v>
      </c>
      <c r="C504" s="2">
        <v>45964</v>
      </c>
      <c r="D504" s="2"/>
      <c r="E504" s="1" t="s">
        <v>6685</v>
      </c>
      <c r="F504" t="s">
        <v>6686</v>
      </c>
      <c r="G504" t="s">
        <v>6687</v>
      </c>
      <c r="H504" s="6" t="s">
        <v>2579</v>
      </c>
      <c r="I504" t="s">
        <v>2580</v>
      </c>
      <c r="J504" s="8"/>
      <c r="K504" s="1" t="s">
        <v>7339</v>
      </c>
      <c r="L504" t="s">
        <v>6685</v>
      </c>
      <c r="M504" s="2">
        <v>45991</v>
      </c>
      <c r="N504" s="1" t="s">
        <v>35</v>
      </c>
      <c r="O504" s="61" t="s">
        <v>12352</v>
      </c>
      <c r="P504" s="14" t="s">
        <v>13461</v>
      </c>
      <c r="Q504" s="187">
        <v>115.7</v>
      </c>
      <c r="R504" s="1">
        <v>1</v>
      </c>
      <c r="S504" s="128">
        <v>0.21</v>
      </c>
      <c r="T504" s="128">
        <v>0</v>
      </c>
      <c r="V504" s="126">
        <f t="shared" si="264"/>
        <v>139.99700000000001</v>
      </c>
      <c r="X504" s="5" t="s">
        <v>13462</v>
      </c>
      <c r="Y504" s="3">
        <v>30292</v>
      </c>
      <c r="Z504" s="2">
        <v>45964</v>
      </c>
      <c r="AA504" s="2"/>
      <c r="AB504" s="2"/>
      <c r="AC504" s="80"/>
      <c r="AF504" t="s">
        <v>3198</v>
      </c>
      <c r="AI504" s="76" t="s">
        <v>3392</v>
      </c>
      <c r="AJ504" s="3"/>
      <c r="AM504" s="3"/>
    </row>
    <row r="505" spans="1:138">
      <c r="A505" s="1">
        <v>502</v>
      </c>
      <c r="B505" t="s">
        <v>33</v>
      </c>
      <c r="C505" s="2">
        <v>45965</v>
      </c>
      <c r="D505" s="2"/>
      <c r="E505" s="1" t="s">
        <v>9598</v>
      </c>
      <c r="F505" t="s">
        <v>164</v>
      </c>
      <c r="G505" t="s">
        <v>6943</v>
      </c>
      <c r="H505" s="6" t="s">
        <v>304</v>
      </c>
      <c r="I505" s="1" t="s">
        <v>34</v>
      </c>
      <c r="J505" s="1"/>
      <c r="K505" s="114" t="s">
        <v>11744</v>
      </c>
      <c r="L505" s="1" t="s">
        <v>237</v>
      </c>
      <c r="M505" s="2">
        <v>45991</v>
      </c>
      <c r="N505" s="1" t="s">
        <v>35</v>
      </c>
      <c r="O505" s="14" t="s">
        <v>12352</v>
      </c>
      <c r="P505" s="14" t="s">
        <v>13463</v>
      </c>
      <c r="Q505" s="187">
        <v>115.7</v>
      </c>
      <c r="R505" s="1">
        <v>1</v>
      </c>
      <c r="S505" s="128">
        <v>0.21</v>
      </c>
      <c r="T505" s="128">
        <v>0</v>
      </c>
      <c r="V505" s="126">
        <f t="shared" ref="V505" si="265">SUM(Q505-(Q505*T505))*S505+(Q505-(Q505*T505))</f>
        <v>139.99700000000001</v>
      </c>
      <c r="X505" s="5" t="s">
        <v>13464</v>
      </c>
      <c r="Y505" s="2">
        <v>37257</v>
      </c>
      <c r="Z505" s="2">
        <v>45965</v>
      </c>
      <c r="AA505" s="2"/>
      <c r="AB505" s="2"/>
      <c r="AC505" s="80"/>
      <c r="AD505" s="61"/>
      <c r="AF505" t="s">
        <v>3198</v>
      </c>
      <c r="AI505" s="76" t="s">
        <v>3392</v>
      </c>
      <c r="AJ505" s="2"/>
      <c r="AM505" s="3"/>
      <c r="AS505" s="1"/>
      <c r="AT505" s="1"/>
    </row>
    <row r="506" spans="1:138">
      <c r="A506" s="1">
        <v>503</v>
      </c>
      <c r="B506" t="s">
        <v>5635</v>
      </c>
      <c r="C506" s="2">
        <v>45965</v>
      </c>
      <c r="D506" s="403" t="s">
        <v>9900</v>
      </c>
      <c r="E506" s="61" t="s">
        <v>13465</v>
      </c>
      <c r="F506" s="61" t="s">
        <v>13466</v>
      </c>
      <c r="G506" t="s">
        <v>13467</v>
      </c>
      <c r="H506" s="6" t="s">
        <v>1424</v>
      </c>
      <c r="I506" s="1" t="s">
        <v>12519</v>
      </c>
      <c r="J506" s="295"/>
      <c r="K506" s="396" t="s">
        <v>10609</v>
      </c>
      <c r="L506" s="61" t="s">
        <v>13465</v>
      </c>
      <c r="M506" s="2">
        <v>45991</v>
      </c>
      <c r="N506" s="1" t="s">
        <v>35</v>
      </c>
      <c r="O506" s="61" t="s">
        <v>12352</v>
      </c>
      <c r="P506" s="14" t="s">
        <v>13468</v>
      </c>
      <c r="Q506" s="187">
        <v>115.7</v>
      </c>
      <c r="R506" s="1">
        <v>1</v>
      </c>
      <c r="S506" s="128">
        <v>0.21</v>
      </c>
      <c r="T506" s="128">
        <v>0</v>
      </c>
      <c r="U506" s="363"/>
      <c r="V506" s="126">
        <f>SUM(Q506-(Q506*T506))*S506+(Q506-(Q506*T506))</f>
        <v>139.99700000000001</v>
      </c>
      <c r="X506" s="5" t="s">
        <v>13469</v>
      </c>
      <c r="Y506" s="2">
        <v>36177</v>
      </c>
      <c r="Z506" s="2">
        <v>45965</v>
      </c>
      <c r="AA506" s="2"/>
      <c r="AB506" s="2"/>
      <c r="AC506" s="80"/>
      <c r="AF506" t="s">
        <v>3198</v>
      </c>
      <c r="AI506" s="76" t="s">
        <v>3392</v>
      </c>
      <c r="AJ506" s="2"/>
      <c r="AM506" s="74"/>
      <c r="AT506" s="1"/>
    </row>
    <row r="507" spans="1:138">
      <c r="A507" s="1">
        <v>504</v>
      </c>
      <c r="B507" t="s">
        <v>1414</v>
      </c>
      <c r="C507" s="2">
        <v>45965</v>
      </c>
      <c r="D507" s="403" t="s">
        <v>9900</v>
      </c>
      <c r="E507" s="1" t="s">
        <v>13470</v>
      </c>
      <c r="F507" s="61" t="s">
        <v>13471</v>
      </c>
      <c r="G507" s="61" t="s">
        <v>13472</v>
      </c>
      <c r="H507" s="6" t="s">
        <v>221</v>
      </c>
      <c r="I507" s="1" t="s">
        <v>34</v>
      </c>
      <c r="J507" s="8" t="s">
        <v>13473</v>
      </c>
      <c r="K507" s="396" t="s">
        <v>8355</v>
      </c>
      <c r="L507" s="1" t="s">
        <v>13470</v>
      </c>
      <c r="M507" s="2">
        <v>45991</v>
      </c>
      <c r="N507" s="1" t="s">
        <v>35</v>
      </c>
      <c r="O507" s="61" t="s">
        <v>12352</v>
      </c>
      <c r="P507" s="14" t="s">
        <v>13474</v>
      </c>
      <c r="Q507" s="187">
        <v>115.7</v>
      </c>
      <c r="R507" s="1">
        <v>1</v>
      </c>
      <c r="S507" s="128">
        <v>0.21</v>
      </c>
      <c r="T507" s="128">
        <v>0</v>
      </c>
      <c r="U507" s="363"/>
      <c r="V507" s="126">
        <f>SUM(Q507-(Q507*T507))*S507+(Q507-(Q507*T507))</f>
        <v>139.99700000000001</v>
      </c>
      <c r="X507" s="5" t="s">
        <v>13475</v>
      </c>
      <c r="Y507" s="2">
        <v>33621</v>
      </c>
      <c r="Z507" s="2">
        <v>45965</v>
      </c>
      <c r="AA507" s="2"/>
      <c r="AB507" s="2"/>
      <c r="AC507" s="133"/>
      <c r="AF507" t="s">
        <v>3198</v>
      </c>
      <c r="AI507" s="76" t="s">
        <v>3392</v>
      </c>
      <c r="AJ507" s="2"/>
      <c r="AM507" s="74"/>
      <c r="AT507" s="1"/>
    </row>
    <row r="508" spans="1:138" s="197" customFormat="1">
      <c r="A508" s="1">
        <v>505</v>
      </c>
      <c r="B508" s="61" t="s">
        <v>1414</v>
      </c>
      <c r="C508" s="2">
        <v>45922</v>
      </c>
      <c r="D508" s="1"/>
      <c r="E508" s="1" t="s">
        <v>1079</v>
      </c>
      <c r="F508" s="61" t="s">
        <v>41</v>
      </c>
      <c r="G508" s="61" t="s">
        <v>2115</v>
      </c>
      <c r="H508" s="1" t="s">
        <v>230</v>
      </c>
      <c r="I508" t="s">
        <v>1262</v>
      </c>
      <c r="J508" s="8">
        <v>631212115</v>
      </c>
      <c r="K508" s="8" t="s">
        <v>6306</v>
      </c>
      <c r="L508" t="s">
        <v>1079</v>
      </c>
      <c r="M508" s="2">
        <v>45991</v>
      </c>
      <c r="N508" s="1" t="s">
        <v>35</v>
      </c>
      <c r="O508" s="61" t="s">
        <v>7934</v>
      </c>
      <c r="P508" s="14" t="s">
        <v>13477</v>
      </c>
      <c r="Q508" s="187">
        <v>69.42</v>
      </c>
      <c r="R508" s="1">
        <v>1</v>
      </c>
      <c r="S508" s="128">
        <v>0.21</v>
      </c>
      <c r="T508" s="128">
        <v>0</v>
      </c>
      <c r="U508" s="363"/>
      <c r="V508" s="126">
        <f t="shared" ref="V508" si="266">SUM(Q508-(Q508*T508))*S508+(Q508-(Q508*T508))</f>
        <v>83.998199999999997</v>
      </c>
      <c r="W508"/>
      <c r="X508" s="5" t="s">
        <v>13478</v>
      </c>
      <c r="Y508" s="2">
        <v>34398</v>
      </c>
      <c r="Z508" s="2">
        <v>45922</v>
      </c>
      <c r="AA508" s="2"/>
      <c r="AB508" s="64"/>
      <c r="AC508" s="80"/>
      <c r="AD508"/>
      <c r="AE508"/>
      <c r="AF508" t="s">
        <v>3198</v>
      </c>
      <c r="AG508"/>
      <c r="AH508"/>
      <c r="AI508" s="76" t="s">
        <v>3470</v>
      </c>
      <c r="AJ508" s="3"/>
      <c r="AK508"/>
      <c r="AL508" s="2"/>
      <c r="AM508" s="3"/>
      <c r="AN508"/>
      <c r="AO508"/>
      <c r="AP508"/>
      <c r="AQ508"/>
      <c r="AR508"/>
      <c r="AS508" s="1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</row>
    <row r="509" spans="1:138">
      <c r="A509" s="1"/>
      <c r="C509" s="2"/>
      <c r="D509" s="2"/>
      <c r="E509" s="1"/>
      <c r="F509" s="61"/>
      <c r="G509" s="61"/>
      <c r="H509" s="6"/>
      <c r="I509" s="1"/>
      <c r="J509" s="8"/>
      <c r="K509" s="396"/>
      <c r="L509" s="1"/>
      <c r="M509" s="2"/>
      <c r="N509" s="1"/>
      <c r="O509" s="61"/>
      <c r="P509" s="14"/>
      <c r="Q509" s="187"/>
      <c r="R509" s="1"/>
      <c r="S509" s="90"/>
      <c r="T509" s="90"/>
      <c r="U509" s="363">
        <f t="shared" ref="U503:U509" si="267">SUM(P509-(P509*S509))*R509+(P509-(P509*S509))</f>
        <v>0</v>
      </c>
      <c r="V509" s="126">
        <f t="shared" ref="V503:V509" si="268">SUM(Q509-(Q509*T509))*S509+(Q509-(Q509*T509))</f>
        <v>0</v>
      </c>
      <c r="X509" s="5"/>
      <c r="Y509" s="2"/>
      <c r="Z509" s="2"/>
      <c r="AA509" s="2"/>
      <c r="AB509" s="2"/>
      <c r="AC509" s="133"/>
      <c r="AJ509" s="2"/>
      <c r="AM509" s="74"/>
      <c r="AT509" s="1"/>
    </row>
    <row r="510" spans="1:138">
      <c r="A510" s="1"/>
      <c r="C510" s="2"/>
      <c r="D510" s="2"/>
      <c r="E510" s="1"/>
      <c r="F510" s="61"/>
      <c r="G510" s="61"/>
      <c r="H510" s="6"/>
      <c r="I510" s="1"/>
      <c r="J510" s="8"/>
      <c r="K510" s="396"/>
      <c r="L510" s="1"/>
      <c r="M510" s="2"/>
      <c r="N510" s="1"/>
      <c r="O510" s="61"/>
      <c r="P510" s="14"/>
      <c r="Q510" s="187"/>
      <c r="R510" s="1"/>
      <c r="S510" s="90"/>
      <c r="T510" s="90"/>
      <c r="U510" s="363">
        <f t="shared" ref="U510:U513" si="269">SUM(P510-(P510*S510))*R510+(P510-(P510*S510))</f>
        <v>0</v>
      </c>
      <c r="V510" s="126">
        <f t="shared" ref="V510:V513" si="270">SUM(Q510-(Q510*T510))*S510+(Q510-(Q510*T510))</f>
        <v>0</v>
      </c>
      <c r="X510" s="5"/>
      <c r="Y510" s="2"/>
      <c r="Z510" s="2"/>
      <c r="AA510" s="2"/>
      <c r="AB510" s="2"/>
      <c r="AC510" s="133"/>
      <c r="AJ510" s="2"/>
      <c r="AM510" s="74"/>
      <c r="AT510" s="1"/>
    </row>
    <row r="511" spans="1:138">
      <c r="A511" s="1"/>
      <c r="C511" s="2"/>
      <c r="D511" s="2"/>
      <c r="E511" s="1"/>
      <c r="F511" s="61"/>
      <c r="G511" s="61"/>
      <c r="H511" s="6"/>
      <c r="I511" s="1"/>
      <c r="J511" s="8"/>
      <c r="K511" s="396"/>
      <c r="L511" s="1"/>
      <c r="M511" s="2"/>
      <c r="N511" s="1"/>
      <c r="O511" s="61"/>
      <c r="P511" s="14"/>
      <c r="Q511" s="187"/>
      <c r="R511" s="1"/>
      <c r="S511" s="90"/>
      <c r="T511" s="90"/>
      <c r="U511" s="363">
        <f t="shared" si="269"/>
        <v>0</v>
      </c>
      <c r="V511" s="126">
        <f t="shared" si="270"/>
        <v>0</v>
      </c>
      <c r="X511" s="5"/>
      <c r="Y511" s="2"/>
      <c r="Z511" s="2"/>
      <c r="AA511" s="2"/>
      <c r="AB511" s="2"/>
      <c r="AC511" s="133"/>
      <c r="AJ511" s="2"/>
      <c r="AM511" s="74"/>
      <c r="AT511" s="1"/>
    </row>
    <row r="512" spans="1:138">
      <c r="A512" s="1"/>
      <c r="C512" s="2"/>
      <c r="D512" s="2"/>
      <c r="E512" s="1"/>
      <c r="F512" s="61"/>
      <c r="G512" s="61"/>
      <c r="H512" s="6"/>
      <c r="I512" s="1"/>
      <c r="J512" s="8"/>
      <c r="K512" s="396"/>
      <c r="L512" s="1"/>
      <c r="M512" s="2"/>
      <c r="N512" s="1"/>
      <c r="O512" s="61"/>
      <c r="P512" s="14"/>
      <c r="Q512" s="187"/>
      <c r="R512" s="1"/>
      <c r="S512" s="90"/>
      <c r="T512" s="90"/>
      <c r="U512" s="363">
        <f t="shared" si="269"/>
        <v>0</v>
      </c>
      <c r="V512" s="126">
        <f t="shared" si="270"/>
        <v>0</v>
      </c>
      <c r="X512" s="5"/>
      <c r="Y512" s="2"/>
      <c r="Z512" s="2"/>
      <c r="AA512" s="2"/>
      <c r="AB512" s="2"/>
      <c r="AC512" s="133"/>
      <c r="AJ512" s="2"/>
      <c r="AM512" s="74"/>
      <c r="AT512" s="1"/>
    </row>
    <row r="513" spans="1:46">
      <c r="A513" s="1"/>
      <c r="C513" s="2"/>
      <c r="D513" s="2"/>
      <c r="E513" s="1"/>
      <c r="F513" s="61"/>
      <c r="G513" s="61"/>
      <c r="H513" s="6"/>
      <c r="I513" s="1"/>
      <c r="J513" s="8"/>
      <c r="K513" s="396"/>
      <c r="L513" s="1"/>
      <c r="M513" s="2"/>
      <c r="N513" s="1"/>
      <c r="O513" s="61"/>
      <c r="P513" s="14"/>
      <c r="Q513" s="187"/>
      <c r="R513" s="1"/>
      <c r="S513" s="90"/>
      <c r="T513" s="90"/>
      <c r="U513" s="363">
        <f t="shared" si="269"/>
        <v>0</v>
      </c>
      <c r="V513" s="126">
        <f t="shared" si="270"/>
        <v>0</v>
      </c>
      <c r="X513" s="5"/>
      <c r="Y513" s="2"/>
      <c r="Z513" s="2"/>
      <c r="AA513" s="2"/>
      <c r="AB513" s="2"/>
      <c r="AC513" s="133"/>
      <c r="AJ513" s="2"/>
      <c r="AM513" s="74"/>
      <c r="AT513" s="1"/>
    </row>
    <row r="514" spans="1:46">
      <c r="A514" s="1"/>
      <c r="C514" s="2"/>
      <c r="D514" s="61"/>
      <c r="E514" s="61"/>
      <c r="F514" s="61"/>
      <c r="G514" s="61"/>
      <c r="H514" s="6"/>
      <c r="I514" s="1"/>
      <c r="J514" s="8"/>
      <c r="K514" s="8"/>
      <c r="L514" s="61"/>
      <c r="M514" s="2"/>
      <c r="N514" s="1"/>
      <c r="O514" s="61"/>
      <c r="P514" s="14"/>
      <c r="Q514" s="187"/>
      <c r="R514" s="1"/>
      <c r="S514" s="90"/>
      <c r="T514" s="90"/>
      <c r="U514" s="363">
        <f t="shared" ref="U514" si="271">SUM(P514-(P514*S514))*R514+(P514-(P514*S514))</f>
        <v>0</v>
      </c>
      <c r="V514" s="126">
        <f t="shared" si="263"/>
        <v>0</v>
      </c>
      <c r="X514" s="5"/>
      <c r="Y514" s="2"/>
      <c r="Z514" s="2"/>
      <c r="AA514" s="2"/>
      <c r="AB514" s="2"/>
      <c r="AC514" s="133"/>
      <c r="AJ514" s="2"/>
      <c r="AM514" s="74"/>
      <c r="AT514" s="1"/>
    </row>
    <row r="515" spans="1:46">
      <c r="A515" s="1"/>
      <c r="B515" s="61"/>
      <c r="C515" s="2"/>
      <c r="D515" s="2"/>
      <c r="E515" s="1"/>
      <c r="F515" s="61"/>
      <c r="G515" s="61"/>
      <c r="H515" s="6"/>
      <c r="I515" s="1"/>
      <c r="J515" s="8"/>
      <c r="K515" s="396"/>
      <c r="L515" s="1"/>
      <c r="M515" s="2"/>
      <c r="N515" s="1"/>
      <c r="O515" s="61"/>
      <c r="P515" s="14"/>
      <c r="Q515" s="163"/>
      <c r="R515" s="1"/>
      <c r="S515" s="90"/>
      <c r="T515" s="90"/>
      <c r="U515" s="363"/>
      <c r="V515" s="126">
        <f t="shared" ref="V515" si="272">SUM(Q515-(Q515*T515))*S515+(Q515-(Q515*T515))</f>
        <v>0</v>
      </c>
      <c r="X515" s="5"/>
      <c r="Y515" s="2"/>
      <c r="Z515" s="2"/>
      <c r="AA515" s="2"/>
      <c r="AB515" s="2"/>
      <c r="AC515" s="80"/>
      <c r="AJ515" s="2"/>
      <c r="AK515" s="1"/>
      <c r="AM515" s="74"/>
      <c r="AT515" s="1"/>
    </row>
    <row r="516" spans="1:46">
      <c r="A516" s="1"/>
      <c r="B516" s="61"/>
      <c r="C516" s="2"/>
      <c r="D516" s="2"/>
      <c r="E516" s="1"/>
      <c r="F516" s="61"/>
      <c r="G516" s="61"/>
      <c r="H516" s="6"/>
      <c r="I516" s="1"/>
      <c r="J516" s="1"/>
      <c r="K516" s="1"/>
      <c r="L516" s="1"/>
      <c r="M516" s="2"/>
      <c r="N516" s="1"/>
      <c r="O516" s="61"/>
      <c r="P516" s="14"/>
      <c r="Q516" s="187"/>
      <c r="R516" s="1"/>
      <c r="S516" s="128"/>
      <c r="T516" s="128"/>
      <c r="U516" s="363"/>
      <c r="V516" s="126">
        <f t="shared" si="0"/>
        <v>0</v>
      </c>
      <c r="X516" s="5"/>
      <c r="Y516" s="2"/>
      <c r="Z516" s="2"/>
      <c r="AB516" s="2"/>
      <c r="AC516" s="133"/>
      <c r="AD516" s="61"/>
      <c r="AJ516" s="2"/>
      <c r="AM516" s="3"/>
    </row>
    <row r="517" spans="1:46" s="366" customFormat="1" ht="14.25" customHeight="1">
      <c r="A517" s="365"/>
      <c r="B517" s="338" t="s">
        <v>18</v>
      </c>
      <c r="C517" s="365"/>
      <c r="D517" s="365"/>
      <c r="E517" s="365"/>
      <c r="H517" s="365"/>
      <c r="I517" s="365"/>
      <c r="J517" s="365"/>
      <c r="L517" s="365"/>
      <c r="M517" s="365"/>
      <c r="O517" s="369"/>
      <c r="V517" s="367">
        <f>SUBTOTAL(109,Tabla268[Total])</f>
        <v>65020.112300000415</v>
      </c>
      <c r="Z517" s="365"/>
      <c r="AO517" s="366">
        <f>SUBTOTAL(103,Tabla268[Caducidad del permiso])</f>
        <v>0</v>
      </c>
    </row>
    <row r="519" spans="1:46">
      <c r="J519" t="s">
        <v>4957</v>
      </c>
    </row>
  </sheetData>
  <phoneticPr fontId="14" type="noConversion"/>
  <dataValidations count="5">
    <dataValidation type="list" allowBlank="1" showInputMessage="1" showErrorMessage="1" sqref="O121 O113:O114 O106:O109 O98 O89 O77:O79 O70:O71 O67:O68 O53 O46 O42:O43 O27:O28 O2:O19 O22:O25 O141:O143 O201 O204:O206 O209 O516 O287:O288 O296:O297 O327 O349 O352 O363 O366 O370 O372 O384 O386:O387 O389 O391 O410 O440 O503" xr:uid="{2F6AA8CA-EBE5-443C-8F2E-F2E5B9D968A7}">
      <formula1>$AS$3:$AS$22</formula1>
    </dataValidation>
    <dataValidation type="list" allowBlank="1" showInputMessage="1" showErrorMessage="1" sqref="O20:O21 O26 O115:O119 O109:O112 O99:O105 O90:O97 O80:O88 O72:O76 O69 O54:O66 O47:O52 O44:O45 O29:O41 O122:O135 O144:O149 O151 O153 O160:O166 O180 O184 O188:O198 O202:O203 O217 O221:O223 O225:O230 O232 O234:O235 O238:O239 O241:O242 O245 O247:O252 O254:O258 O261 O272:O278 O282 O286 O289:O295 O406 O336 O312:O313 O343 O345 O356:O358 O364 O368 O371 O373 O378:O381 O388 O402 O298:O304 O416:O422 O456:O459 O469:O470 O475:O477 O479:O480 O483 O485 O487 O489:O490 O497 O506:O507" xr:uid="{C76D21AC-FFB0-438E-9BD7-FD52AAC06DD9}">
      <formula1>$AS$3:$AS$23</formula1>
    </dataValidation>
    <dataValidation type="list" allowBlank="1" showInputMessage="1" showErrorMessage="1" sqref="O120" xr:uid="{80B8579B-EC10-44F4-9851-6F4894CF7B15}">
      <formula1>$AS$3:$AS$15</formula1>
    </dataValidation>
    <dataValidation type="list" allowBlank="1" showInputMessage="1" showErrorMessage="1" sqref="O136:O140 O150 O152 O168:O171 O154:O157 O174 O176:O177 O185:O186 O181:O182 O208 O210 O218:O219 O224 O233 O236:O237 O240 O246 O262:O271 O259:O260 O279 O283:O285 O305:O308 O310:O311 O316:O326 O328 O330:O333 O335 O337 O339 O342 O344 O346 O351 O353:O354 O359:O362 O365 O367 O369 O374 O377 O385 O392 O399:O401 O405 O407 O414:O415 O447 O424:O426 O431:O435 O437:O439 O441 O454 O466:O468 O472:O474 O481:O482 O488 O491:O493 O496 O504 O508" xr:uid="{E7F10906-EAA1-4AAB-AAEE-EFFE05123AB6}">
      <formula1>$AS$4:$AS$23</formula1>
    </dataValidation>
    <dataValidation type="list" allowBlank="1" showInputMessage="1" showErrorMessage="1" sqref="O158:O159 O167 O172:O173 O175 O178:O179 O183 O187 O199:O200 O207 O220 O211:O216 O231 O243:O244 O253 O280:O281 O309 O314:O315 O329 O334 O338 O340:O341 O347:O348 O350 O355 O390 O375:O376 O382:O383 O393:O398 O403:O404 O408:O409 O411:O413 O423 O427:O430 O436 O442:O446 O448:O453 O455 O460:O465 O471 O478 O484 O486 O494:O495 O498:O502 O505 O509:O515" xr:uid="{D2E3677A-5407-4BB7-ACD9-4AA46B8D021E}">
      <formula1>$AS$4:$AS$22</formula1>
    </dataValidation>
  </dataValidations>
  <hyperlinks>
    <hyperlink ref="K4" r:id="rId1" xr:uid="{1D1A203E-28DD-4A3C-B1F8-BC5E796BCC80}"/>
    <hyperlink ref="K17" r:id="rId2" xr:uid="{529BFBE2-5ED1-4A17-ADD4-43A2F16122DB}"/>
    <hyperlink ref="K22" r:id="rId3" xr:uid="{ACCC11CC-E99D-48E5-B63F-F998082DC860}"/>
    <hyperlink ref="K25" r:id="rId4" xr:uid="{ED8E4910-8A7B-4944-BB92-9F70CD0E5981}"/>
    <hyperlink ref="K44" r:id="rId5" xr:uid="{E8377285-AABD-488B-841B-1622388DFFA2}"/>
    <hyperlink ref="K48" r:id="rId6" xr:uid="{4C88606B-E567-4580-A5D6-C9C851D5282D}"/>
    <hyperlink ref="K55" r:id="rId7" xr:uid="{39D071B1-5B47-4AD5-A2F2-6F7E31020037}"/>
    <hyperlink ref="K57" r:id="rId8" display="mailto:juanmegane87@gmail.com" xr:uid="{50A0FE86-49DD-4640-8E2C-D07C478D6931}"/>
    <hyperlink ref="K63" r:id="rId9" xr:uid="{8F82FF28-ABA3-4DB2-A3B5-63FFFD6AC575}"/>
    <hyperlink ref="K69" r:id="rId10" xr:uid="{B0F3D5FC-0B8C-422C-ABD5-DA0FAFAFD7E2}"/>
    <hyperlink ref="K2" r:id="rId11" display="mailto:administracion@cohorsan.com" xr:uid="{88A9353F-32F9-4422-877B-3E408B6212E4}"/>
    <hyperlink ref="K9" r:id="rId12" display="mailto:administracion@cohorsan.com" xr:uid="{EF506361-4026-479E-9F80-2A327BFEB8E2}"/>
    <hyperlink ref="K10" r:id="rId13" display="mailto:administracion@cohorsan.com" xr:uid="{722DF65B-E3B7-4B95-9F6F-3C96ECFDFA93}"/>
    <hyperlink ref="K11" r:id="rId14" display="mailto:administracion@cohorsan.com" xr:uid="{79B189D4-DFD7-4119-A2E4-994976A7FCAF}"/>
    <hyperlink ref="K12" r:id="rId15" display="mailto:administracion@cohorsan.com" xr:uid="{78458DF0-03FF-4E99-9D44-B9F909C30894}"/>
    <hyperlink ref="K13" r:id="rId16" display="mailto:administracion@cohorsan.com" xr:uid="{6E1C5DA5-4280-4834-9AAC-D8EAAB7F8011}"/>
    <hyperlink ref="K23" r:id="rId17" display="mailto:administracion@cohorsan.com" xr:uid="{4A7981C2-5F2E-46A0-B431-0859B808FBCB}"/>
    <hyperlink ref="K16" r:id="rId18" display="mailto:administracion@cohorsan.com" xr:uid="{4E6836C2-032F-490C-AAA9-9CEDD9C3308F}"/>
    <hyperlink ref="K24" r:id="rId19" display="mailto:administracion@cohorsan.com" xr:uid="{F5B28E26-AEBE-44FF-AD52-D4330F1A0DE7}"/>
    <hyperlink ref="K28" r:id="rId20" display="mailto:administracion@cohorsan.com" xr:uid="{F3A6111D-C174-460E-9746-62EB33D8C671}"/>
    <hyperlink ref="K29" r:id="rId21" display="mailto:administracion@cohorsan.com" xr:uid="{52FE54EC-10D0-41C6-A93E-61179FE291A0}"/>
    <hyperlink ref="K31" r:id="rId22" display="mailto:administracion@cohorsan.com" xr:uid="{9C22FF33-CAC1-4136-A5A7-4EADAF4F08FF}"/>
    <hyperlink ref="K36" r:id="rId23" display="mailto:administracion@cohorsan.com" xr:uid="{40513D45-60C4-4809-B659-9DE252B417FA}"/>
    <hyperlink ref="K41" r:id="rId24" display="mailto:administracion@cohorsan.com" xr:uid="{3BC19619-D854-4127-B8A6-68B85E8319F9}"/>
    <hyperlink ref="K45" r:id="rId25" display="mailto:administracion@cohorsan.com" xr:uid="{CA3A9D1A-5CE0-43A1-A45B-05778DBCA99E}"/>
    <hyperlink ref="K52" r:id="rId26" display="mailto:administracion@cohorsan.com" xr:uid="{62D87486-7836-4B4B-8BBB-1E7FEEE47CFD}"/>
    <hyperlink ref="K50" r:id="rId27" display="mailto:administracion@cohorsan.com" xr:uid="{7DB9674F-B339-4D74-A9C0-91FD37C26D81}"/>
    <hyperlink ref="K59" r:id="rId28" display="mailto:administracion@cohorsan.com" xr:uid="{BD9F6ECA-F857-4853-8B87-4064E3CEFEE3}"/>
    <hyperlink ref="K61" r:id="rId29" display="mailto:administracion@cohorsan.com" xr:uid="{40E17501-51C7-4557-8D1B-F333BC0F39C1}"/>
    <hyperlink ref="K65" r:id="rId30" display="mailto:administracion@cohorsan.com" xr:uid="{F56F5714-CFB0-4C1F-A223-C4327A88AE35}"/>
    <hyperlink ref="K79" r:id="rId31" display="mailto:administracion@cohorsan.com" xr:uid="{9E096AE5-E85B-4777-AD55-8F3515885970}"/>
    <hyperlink ref="K80" r:id="rId32" display="mailto:administracion@cohorsan.com" xr:uid="{69E60CCA-2A2E-4A58-B9B0-BC696DB4C584}"/>
    <hyperlink ref="K81" r:id="rId33" display="mailto:administracion@cohorsan.com" xr:uid="{C42FFA4D-114E-4D88-8E59-32AFE6E3EF6D}"/>
    <hyperlink ref="K83" r:id="rId34" display="mailto:administracion@cohorsan.com" xr:uid="{56C60162-1020-48E8-965D-64EA7C99F2B9}"/>
    <hyperlink ref="K86" r:id="rId35" display="mailto:administracion@cohorsan.com" xr:uid="{97C9757B-D9E0-4EBC-8107-2FF16581D614}"/>
    <hyperlink ref="K87" r:id="rId36" display="mailto:administracion@cohorsan.com" xr:uid="{F3C5D034-BDE9-4749-BEE7-85301001BCE6}"/>
    <hyperlink ref="K88" r:id="rId37" xr:uid="{B9D0CC3D-6602-4842-99FA-3C5190476FC7}"/>
    <hyperlink ref="K94" r:id="rId38" display="mailto:administracion@cohorsan.com" xr:uid="{3E2ECBFD-976D-43DA-9653-434963587119}"/>
    <hyperlink ref="K97" r:id="rId39" display="mailto:administracion@cohorsan.com" xr:uid="{9B19434D-06C1-4691-9F02-F412C6BC50B4}"/>
    <hyperlink ref="K98" r:id="rId40" display="mailto:administracion@cohorsan.com" xr:uid="{498130AC-7043-43E0-9F1B-E97D2AAA3B4E}"/>
    <hyperlink ref="K99" r:id="rId41" display="mailto:administracion@cohorsan.com" xr:uid="{1D98A4FE-16F3-4F7E-99A7-948DB90EFE5B}"/>
    <hyperlink ref="K101" r:id="rId42" display="mailto:administracion@cohorsan.com" xr:uid="{F7FD6E6F-F986-4C83-B59A-A06C8D6EA764}"/>
    <hyperlink ref="K102" r:id="rId43" display="mailto:administracion@cohorsan.com" xr:uid="{9CBB26D4-EA87-4EB5-A742-25472D7D36B2}"/>
    <hyperlink ref="K105" r:id="rId44" xr:uid="{2284244C-DE73-432A-A1D0-6297266EE709}"/>
    <hyperlink ref="K106" r:id="rId45" xr:uid="{29C80D8B-3F6F-405B-9A16-1E588399B3F7}"/>
    <hyperlink ref="K108" r:id="rId46" display="mailto:antoniocabeogarcia@gmail.com" xr:uid="{1D0D0709-3035-4740-837B-24BD64EB0B8F}"/>
    <hyperlink ref="K107" r:id="rId47" display="mailto:antoniocabeogarcia@gmail.com" xr:uid="{3FD82335-8EFC-438F-92D9-8ADB08FFF6BD}"/>
    <hyperlink ref="K109" r:id="rId48" display="mailto:administracion@cohorsan.com" xr:uid="{69569B5F-7AD2-4DFC-BB32-93382F568623}"/>
    <hyperlink ref="K111" r:id="rId49" display="mailto:administracion@cohorsan.com" xr:uid="{37142682-F71F-4471-A4C6-04D3D9ABD9E1}"/>
    <hyperlink ref="K116" r:id="rId50" xr:uid="{0D918DF3-B58C-41E9-9D0B-8FA5F7C42132}"/>
    <hyperlink ref="K117" r:id="rId51" xr:uid="{13AB4649-CB7E-47F8-9A13-EB1EDB5FD4B8}"/>
    <hyperlink ref="K120" r:id="rId52" display="mailto:administracion@cohorsan.com" xr:uid="{DAC16F66-3E4C-47C8-A393-F6846B71B317}"/>
    <hyperlink ref="K122" r:id="rId53" display="mailto:administracion@cohorsan.com" xr:uid="{A439210F-C56A-4BEF-A822-6A2381713E3D}"/>
    <hyperlink ref="K126" r:id="rId54" xr:uid="{80E74DA8-4D00-4E87-ABA3-38EB7A26FA6C}"/>
    <hyperlink ref="K127" r:id="rId55" xr:uid="{A4B68F8D-852D-445F-B8B9-7DC998205A62}"/>
    <hyperlink ref="K128" r:id="rId56" xr:uid="{FD116594-F49B-4197-B641-11A1CDDFE6D9}"/>
    <hyperlink ref="K129" r:id="rId57" xr:uid="{21C97F24-F6D2-4B30-8FAD-3AEB90526525}"/>
    <hyperlink ref="K130" r:id="rId58" xr:uid="{380ACAE0-C637-41F5-975C-333FC8F80BF7}"/>
    <hyperlink ref="K131" r:id="rId59" xr:uid="{38058E4F-F3AE-428B-82B5-4B5BDFFDFA25}"/>
    <hyperlink ref="K132" r:id="rId60" xr:uid="{D2DFDDD4-BE75-4CB1-80D0-3BC0D1A45BB6}"/>
    <hyperlink ref="K136" r:id="rId61" xr:uid="{66659F0E-9984-4F8B-BFBE-17C552ABE37B}"/>
    <hyperlink ref="K137" r:id="rId62" xr:uid="{E0E782C7-0254-4A13-94A8-6ADB9DE37019}"/>
    <hyperlink ref="K141" r:id="rId63" display="mailto:administracion@cohorsan.com" xr:uid="{CDF74C6B-78F0-4609-BFDA-AA298BCF00B7}"/>
    <hyperlink ref="K142" r:id="rId64" display="mailto:administracion@cohorsan.com" xr:uid="{7A4FD023-F9A3-4432-8822-0323EFC365D6}"/>
    <hyperlink ref="K144" r:id="rId65" xr:uid="{5ED1FE6F-E2F9-4893-8380-614B3B8F1CD6}"/>
    <hyperlink ref="K153" r:id="rId66" xr:uid="{05C2AE93-4B4E-4F19-A543-9B29B5F75932}"/>
    <hyperlink ref="K155" r:id="rId67" xr:uid="{834AFF51-4D30-4CB0-8FE0-71DEF1F65D2E}"/>
    <hyperlink ref="K161" r:id="rId68" display="mailto:administracion@cohorsan.com" xr:uid="{12D1E4B3-BE33-4696-ACE2-BFA54D235A72}"/>
    <hyperlink ref="K162" r:id="rId69" display="mailto:administracion@cohorsan.com" xr:uid="{C30EC4F8-09B5-4133-8B0C-AC44FF54A8E8}"/>
    <hyperlink ref="K163" r:id="rId70" xr:uid="{E9F1DBF8-B964-4A57-8F3D-109FAAA98B64}"/>
    <hyperlink ref="K164" r:id="rId71" xr:uid="{B660F08C-33C4-4BDE-A480-767563A3DC3E}"/>
    <hyperlink ref="K165" r:id="rId72" xr:uid="{6C428E4F-A56C-4066-8DA4-36A16D371BEF}"/>
    <hyperlink ref="K166" r:id="rId73" xr:uid="{F8F65EF1-7894-489F-B141-A7CE0170BC8E}"/>
    <hyperlink ref="K156" r:id="rId74" xr:uid="{BC2E8429-17C0-4406-AEFA-E83D9B0B15D9}"/>
    <hyperlink ref="K171" r:id="rId75" display="mailto:administracion@cohorsan.com" xr:uid="{AFBDDB6E-82EE-45F1-B393-312C2E3A4267}"/>
    <hyperlink ref="K173" r:id="rId76" display="mailto:administracion@cohorsan.com" xr:uid="{4703FEB3-AF54-4686-9D1A-23F4FB4E47BD}"/>
    <hyperlink ref="K174" r:id="rId77" display="mailto:administracion@cohorsan.com" xr:uid="{B9F4BA88-998C-4AA6-85DD-CB66A8E3D73D}"/>
    <hyperlink ref="K175" r:id="rId78" display="mailto:administracion@cohorsan.com" xr:uid="{3F76B404-A6A3-4EBE-AC5C-6D81959535FF}"/>
    <hyperlink ref="K184" r:id="rId79" display="mailto:administracion@cohorsan.com" xr:uid="{CB141CF9-C7B8-4E9F-8D1B-07B890685CD0}"/>
    <hyperlink ref="K186" r:id="rId80" xr:uid="{99EDEC7B-D688-472C-9CE8-FB07E354696A}"/>
    <hyperlink ref="K188" r:id="rId81" xr:uid="{C9B4705D-9CD4-418B-AAA7-5F91AF683F7B}"/>
    <hyperlink ref="K189" r:id="rId82" xr:uid="{00CCF470-9B5F-40DA-B543-C40D968CC0A0}"/>
    <hyperlink ref="K195" r:id="rId83" xr:uid="{A171F40E-B01B-495B-B3C5-CCC10D8134F5}"/>
    <hyperlink ref="K196" r:id="rId84" xr:uid="{A761D307-99A4-47A2-A643-322B3513DE47}"/>
    <hyperlink ref="K202" r:id="rId85" xr:uid="{FC11D473-628E-42FE-97C8-BE1B678D0CE7}"/>
    <hyperlink ref="K204" r:id="rId86" display="mailto:administracion@cohorsan.com" xr:uid="{CBEB66E2-E07C-4C28-A848-C4736D747470}"/>
    <hyperlink ref="K206" r:id="rId87" xr:uid="{58DF6A63-C436-4145-8D40-A4F91A667F83}"/>
    <hyperlink ref="K208" r:id="rId88" xr:uid="{F2A6CE1B-2A71-4D8F-9168-4705C632B63B}"/>
    <hyperlink ref="K209" r:id="rId89" display="mailto:administracion@cohorsan.com" xr:uid="{EFB1DF95-BEC9-4890-9287-102CE760E94C}"/>
    <hyperlink ref="K211" r:id="rId90" display="mailto:administracion@cohorsan.com" xr:uid="{7E0051FA-ECAC-45CC-803A-FDCDA2E37477}"/>
    <hyperlink ref="K218" r:id="rId91" display="mailto:administracion@cohorsan.com" xr:uid="{7F26278E-9382-424D-A5C2-EBA40F905A42}"/>
    <hyperlink ref="K219" r:id="rId92" display="mailto:administracion@cohorsan.com" xr:uid="{1C0F57A3-AE78-4EA2-902B-953DA7023FD3}"/>
    <hyperlink ref="K220" r:id="rId93" display="mailto:administracion@cohorsan.com" xr:uid="{088AEAC4-D602-4A69-BDD7-90BE0070FDD6}"/>
    <hyperlink ref="K221" r:id="rId94" display="mailto:administracion@cohorsan.com" xr:uid="{1F323FD6-D10A-48EA-904D-7724CABACE58}"/>
    <hyperlink ref="K223" r:id="rId95" xr:uid="{33CC71BF-1F89-47A8-85F9-E4C8A8BC6E41}"/>
    <hyperlink ref="K229" r:id="rId96" xr:uid="{0189EB88-BE33-414A-A24F-1A99A807F357}"/>
    <hyperlink ref="K231" r:id="rId97" display="mailto:administracion@cohorsan.com" xr:uid="{5B41D8F9-6761-4C2D-B2BE-B8F25895A8B8}"/>
    <hyperlink ref="K237" r:id="rId98" xr:uid="{227DFCA7-CE1F-44EE-AE3E-1D92B6A9233E}"/>
    <hyperlink ref="K247" r:id="rId99" xr:uid="{2B23AFE8-7C8B-435A-93C8-E76F6FAC9F12}"/>
    <hyperlink ref="K248" r:id="rId100" display="mailto:administracion@cohorsan.com" xr:uid="{BCD75F6C-98EE-4327-BE43-A98E814B8811}"/>
    <hyperlink ref="K252" r:id="rId101" xr:uid="{CBC495BE-6BE4-4944-A58A-0E64CD8016CD}"/>
    <hyperlink ref="K278" r:id="rId102" display="mailto:administracion@cohorsan.com" xr:uid="{6F4573AB-D9C5-4210-9B53-9507528A01AA}"/>
    <hyperlink ref="K282" r:id="rId103" display="mailto:administracion@cohorsan.com" xr:uid="{857C1ADD-EA6B-4E02-9C78-EEB07D87E759}"/>
    <hyperlink ref="K289" r:id="rId104" xr:uid="{802D4757-37C8-447D-81B6-DCCBD7205692}"/>
    <hyperlink ref="K293" r:id="rId105" display="mailto:administracion@cohorsan.com" xr:uid="{6EABDFD1-050D-497C-88FA-B8B4D8662F9A}"/>
    <hyperlink ref="K294" r:id="rId106" display="mailto:administracion@cohorsan.com" xr:uid="{D16FC0B3-9124-4DF8-A722-21EE98183942}"/>
    <hyperlink ref="K296" r:id="rId107" xr:uid="{B7AC8477-2434-43BD-BC03-E6F3CC76F29E}"/>
    <hyperlink ref="K191" r:id="rId108" xr:uid="{C6FFE84F-4957-4392-A4F6-96C73E4557F4}"/>
    <hyperlink ref="K301" r:id="rId109" display="mailto:administracion@cohorsan.com" xr:uid="{F7208829-D8C5-48C6-A3EE-8D6E27A7FC57}"/>
    <hyperlink ref="K303" r:id="rId110" display="mailto:administracion@cohorsan.com" xr:uid="{29727731-A81B-494F-B8B5-A091089D389C}"/>
    <hyperlink ref="K305" r:id="rId111" display="mailto:administracion@cohorsan.com" xr:uid="{905191BC-5B14-48E5-833C-366FFCCFDB89}"/>
    <hyperlink ref="K307" r:id="rId112" xr:uid="{2BD51C7C-B2B6-481B-B743-3AF64A920A8B}"/>
    <hyperlink ref="K310" r:id="rId113" display="mailto:administracion@cohorsan.com" xr:uid="{35786F10-88FD-4AEA-8323-9140ADCD1295}"/>
    <hyperlink ref="K311" r:id="rId114" display="mailto:administracion@cohorsan.com" xr:uid="{534763F9-3220-4D2F-8649-9821558DA5B8}"/>
    <hyperlink ref="K313" r:id="rId115" xr:uid="{F0FC4E42-BB79-4578-88EA-337131FD744B}"/>
    <hyperlink ref="K315" r:id="rId116" xr:uid="{BF19D843-FE43-4989-91A1-24B382382A87}"/>
    <hyperlink ref="K320" r:id="rId117" display="mailto:administracion@cohorsan.com" xr:uid="{0B00FF73-592D-4981-B9CB-1C905950061F}"/>
    <hyperlink ref="K321" r:id="rId118" display="mailto:administracion@cohorsan.com" xr:uid="{034C9B5D-A506-4D47-BF66-91D25FAB9201}"/>
    <hyperlink ref="K322" r:id="rId119" display="mailto:administracion@cohorsan.com" xr:uid="{39D4FE64-48FB-4344-A32A-7CBEC250DFCD}"/>
    <hyperlink ref="K324" r:id="rId120" display="mailto:administracion@cohorsan.com" xr:uid="{822EE842-6AF5-4B84-8605-281FF640A699}"/>
    <hyperlink ref="K325" r:id="rId121" display="mailto:administracion@cohorsan.com" xr:uid="{F4FA1143-0AAA-4D6B-BF28-226B84828D3C}"/>
    <hyperlink ref="K327" r:id="rId122" display="mailto:administracion@cohorsan.com" xr:uid="{DF8F1FDD-D8E1-4B8F-AB2B-02DF0CB9F886}"/>
    <hyperlink ref="K331" r:id="rId123" display="mailto:administracion@cohorsan.com" xr:uid="{02FE20CE-B296-4BEC-B040-F800991FD450}"/>
    <hyperlink ref="K336" r:id="rId124" display="mailto:administracion@cohorsan.com" xr:uid="{DAB22F07-C262-4CDE-9EB1-28EC645BA695}"/>
    <hyperlink ref="K337" r:id="rId125" display="mailto:administracion@cohorsan.com" xr:uid="{83955BEB-C5DB-466B-8D1E-21AE6375A85F}"/>
    <hyperlink ref="K340" r:id="rId126" display="mailto:administracion@cohorsan.com" xr:uid="{55CB07FA-04FC-4EFA-99A1-DD40C7B2F29F}"/>
    <hyperlink ref="K341" r:id="rId127" display="mailto:administracion@cohorsan.com" xr:uid="{CF394005-211A-4283-85A4-756EAFA81C3F}"/>
    <hyperlink ref="K255" r:id="rId128" xr:uid="{38C7CAE6-EF23-4F4F-B980-6727ADFC10A6}"/>
    <hyperlink ref="K345" r:id="rId129" xr:uid="{C505F549-92FB-443B-B923-D325B266139B}"/>
    <hyperlink ref="K347" r:id="rId130" display="mailto:administracion@cohorsan.com" xr:uid="{02A54762-1C9F-429E-B67E-29B47B08930F}"/>
    <hyperlink ref="K349" r:id="rId131" display="mailto:administracion@cohorsan.com" xr:uid="{D1F38745-258C-4C59-9BE2-876703FB6BCF}"/>
    <hyperlink ref="K351" r:id="rId132" xr:uid="{77C25F94-FFFE-4BDB-81AD-4105FCA562A4}"/>
    <hyperlink ref="K352" r:id="rId133" display="mailto:administracion@cohorsan.com" xr:uid="{B2D08941-15D1-44A9-A90E-8B3FB6375A66}"/>
    <hyperlink ref="K354" r:id="rId134" display="mailto:administracion@cohorsan.com" xr:uid="{88D28836-2E63-4B32-808C-B5FCEC3A85D2}"/>
    <hyperlink ref="K355" r:id="rId135" display="mailto:loligarcia@bufetejuanramirez.com" xr:uid="{1AADF27E-A0CE-4D37-85A3-4CB41C77AC36}"/>
    <hyperlink ref="K356" r:id="rId136" display="mailto:administracion@cohorsan.com" xr:uid="{BD5923D0-6F16-44B7-8E4F-85D0E3D1B81B}"/>
    <hyperlink ref="K357" r:id="rId137" xr:uid="{8C74AFD8-8AEF-4DDC-82D6-5A5554667A8B}"/>
    <hyperlink ref="K363" r:id="rId138" xr:uid="{37C4C8D0-BD0A-44BE-BFBC-FCCD93D7E909}"/>
    <hyperlink ref="K364" r:id="rId139" xr:uid="{F29CB4DE-D260-48AC-A4B6-82834AA7E6B4}"/>
    <hyperlink ref="K365" r:id="rId140" display="mailto:administracion@cohorsan.com" xr:uid="{9487C329-A551-468E-8D0E-0D438B355E7D}"/>
    <hyperlink ref="K366" r:id="rId141" xr:uid="{BCE4D1FC-391A-4B33-9CF1-DB2AB57CF33E}"/>
    <hyperlink ref="K368" r:id="rId142" xr:uid="{A1F8EEA9-6010-4A65-893A-8A52DA002E3D}"/>
    <hyperlink ref="K370" r:id="rId143" display="mailto:administracion@cohorsan.com" xr:uid="{96258D16-4AF3-49C2-B8DB-655A0885964B}"/>
    <hyperlink ref="K371" r:id="rId144" display="mailto:administracion@cohorsan.com" xr:uid="{BCB67828-48E8-41CB-92D2-B290890B2BBC}"/>
    <hyperlink ref="K372" r:id="rId145" display="mailto:administracion@cohorsan.com" xr:uid="{016A83A2-3086-45A0-AD35-586F5FB8BB64}"/>
    <hyperlink ref="K373" r:id="rId146" xr:uid="{E050704A-8CEB-4ABF-B69B-6E88B8902A1D}"/>
    <hyperlink ref="K375" r:id="rId147" xr:uid="{B0569585-1DD2-4948-B307-69BABE30B81B}"/>
    <hyperlink ref="K377" r:id="rId148" xr:uid="{0D986717-2E97-4D93-85B0-B15A221F8793}"/>
    <hyperlink ref="K380" r:id="rId149" xr:uid="{8EFA2013-9C4C-48B6-BBE2-4AE4F32B94A4}"/>
    <hyperlink ref="K384" r:id="rId150" display="mailto:administracion@cohorsan.com" xr:uid="{D798581D-D6BA-4482-A151-7DBFF8C087B2}"/>
    <hyperlink ref="K387" r:id="rId151" display="mailto:administracion@cohorsan.com" xr:uid="{0B97609F-4091-4488-BB0C-41521B350A4E}"/>
    <hyperlink ref="K388" r:id="rId152" display="mailto:administracion@cohorsan.com" xr:uid="{12502842-B06B-4432-80AF-54F44F301736}"/>
    <hyperlink ref="K389" r:id="rId153" xr:uid="{0801FF7F-AE42-4640-BDB3-627C1DAF326C}"/>
    <hyperlink ref="K392" r:id="rId154" display="mailto:administracion@cohorsan.com" xr:uid="{60A92A9E-FF6A-473E-9B30-ADD4863510F4}"/>
    <hyperlink ref="K394" r:id="rId155" xr:uid="{1FCB5C3C-137E-4A42-9847-C483AD75ED08}"/>
    <hyperlink ref="K395" r:id="rId156" display="mailto:administracion@cohorsan.com" xr:uid="{0B6E6839-CB4C-4041-AD43-22137EE4D00A}"/>
    <hyperlink ref="K400" r:id="rId157" xr:uid="{38EE0DC1-2390-4985-956E-10917551DD18}"/>
    <hyperlink ref="K401" r:id="rId158" xr:uid="{5EAEE7E8-C178-46AF-838F-4190F128B6C5}"/>
    <hyperlink ref="K402" r:id="rId159" display="mailto:administracion@cohorsan.com" xr:uid="{E8C25EE2-7AB1-4531-A04E-C7C0394F3867}"/>
    <hyperlink ref="K406" r:id="rId160" xr:uid="{354960EC-2C13-4B72-91FE-BE79D19FDB64}"/>
    <hyperlink ref="K407" r:id="rId161" display="mailto:administracion@cohorsan.com" xr:uid="{CC3D6DFD-1220-41DF-98D3-9373469C2264}"/>
    <hyperlink ref="K393" r:id="rId162" xr:uid="{A0226EBA-D139-4A97-B883-7B17B169FFDC}"/>
    <hyperlink ref="K414" r:id="rId163" display="mailto:administracion@cohorsan.com" xr:uid="{1D795132-15D8-4A97-830F-8BC32CB462E7}"/>
    <hyperlink ref="K416" r:id="rId164" xr:uid="{860A5C73-AED1-4C61-9691-3222019C5BBA}"/>
    <hyperlink ref="K418" r:id="rId165" display="mailto:administracion@cohorsan.com" xr:uid="{BF64A01D-30DF-47E3-9D99-DC2ED68A8E72}"/>
    <hyperlink ref="K420" r:id="rId166" xr:uid="{08F96940-2626-4F5C-A0F5-33E630A063B4}"/>
    <hyperlink ref="K422" r:id="rId167" display="mailto:administracion@cohorsan.com" xr:uid="{6DD5D7B4-B921-43F5-9659-0CAEDBEE2437}"/>
    <hyperlink ref="K424" r:id="rId168" xr:uid="{6147D407-CD94-4F24-8BAE-5FBD787CA5AC}"/>
    <hyperlink ref="K428" r:id="rId169" display="mailto:administracion@cohorsan.com" xr:uid="{710017A3-701C-4C0E-8A52-136D240A7501}"/>
    <hyperlink ref="K440" r:id="rId170" xr:uid="{A668F730-E3CE-45A0-A59D-A9F0EA0C9AAE}"/>
    <hyperlink ref="K442" r:id="rId171" display="mailto:administracion@cohorsan.com" xr:uid="{A581435A-7A64-456A-857D-34C84976C8B9}"/>
    <hyperlink ref="K447" r:id="rId172" display="mailto:administracion@cohorsan.com" xr:uid="{385E02A6-C5AC-4D7F-95D2-7F8AD6D6B2D7}"/>
    <hyperlink ref="K430" r:id="rId173" xr:uid="{D0E5079E-59D9-47A3-846A-16A16357D1AF}"/>
    <hyperlink ref="K456" r:id="rId174" xr:uid="{781533A2-A095-4D8C-9977-4CCA0BBD2F9C}"/>
    <hyperlink ref="K466" r:id="rId175" display="mailto:administracion@cohorsan.com" xr:uid="{ACF161BB-C455-45E5-BD1F-2A0D545D7500}"/>
    <hyperlink ref="K469" r:id="rId176" display="mailto:administracion@cohorsan.com" xr:uid="{43B5B822-7A3C-4E3A-A47D-D17C36DEF776}"/>
    <hyperlink ref="K471" r:id="rId177" display="mailto:administracion@cohorsan.com" xr:uid="{511F6FF4-123E-4601-9D62-FA7CFAA74CF0}"/>
    <hyperlink ref="K474" r:id="rId178" display="mailto:administracion@cohorsan.com" xr:uid="{83062DF8-A2F7-4011-B287-4005C1DB43F5}"/>
    <hyperlink ref="K475" r:id="rId179" xr:uid="{3D8588CD-FBBC-47DA-868F-B29401F4DE0A}"/>
    <hyperlink ref="K476" r:id="rId180" display="mailto:administracion@cohorsan.com" xr:uid="{D2CABD9A-E692-4A83-8CB2-D179563FDFDF}"/>
    <hyperlink ref="K478" r:id="rId181" display="mailto:administracion@cohorsan.com" xr:uid="{0E403BAC-C666-4B7A-B739-9EC898AF8CF6}"/>
    <hyperlink ref="K458" r:id="rId182" xr:uid="{69F0C1C8-8527-4546-984F-507E2D3F1200}"/>
    <hyperlink ref="K485" r:id="rId183" display="mailto:administracion@cohorsan.com" xr:uid="{77EB62B0-6666-4A95-8D85-3345271F6FB4}"/>
    <hyperlink ref="K487" r:id="rId184" display="mailto:administracion@cohorsan.com" xr:uid="{DE566D42-C14C-4FA0-A2A1-DA8C99B8AA7C}"/>
    <hyperlink ref="K489" r:id="rId185" display="mailto:administracion@cohorsan.com" xr:uid="{351783EA-988F-4A41-813F-4E78C3545483}"/>
    <hyperlink ref="K490" r:id="rId186" display="mailto:administracion@cohorsan.com" xr:uid="{C386F0B4-6993-46B1-8E03-AD2B43281FE7}"/>
    <hyperlink ref="K491" r:id="rId187" display="mailto:administracion@cohorsan.com" xr:uid="{9F318C04-8688-4509-A430-ACE535059F0B}"/>
    <hyperlink ref="K492" r:id="rId188" display="mailto:administracion@cohorsan.com" xr:uid="{DC7C6936-0C68-4D54-ABF8-B08D4FB600A2}"/>
    <hyperlink ref="K494" r:id="rId189" display="mailto:administracion@cohorsan.com" xr:uid="{484A3220-38A1-4B33-9469-142A723D2537}"/>
    <hyperlink ref="K497" r:id="rId190" xr:uid="{CC0F4831-5643-4B82-86F8-81EEDC3DB724}"/>
    <hyperlink ref="K498" r:id="rId191" display="mailto:administracion@cohorsan.com" xr:uid="{70AAB0FB-2BDB-4FD4-8AD0-F2578F0238A5}"/>
    <hyperlink ref="K500" r:id="rId192" xr:uid="{58CFF27A-2AA9-4196-981E-11486ABAF52C}"/>
    <hyperlink ref="K501" r:id="rId193" xr:uid="{1C6F579A-5908-4147-94AF-18C184F07FC5}"/>
    <hyperlink ref="K503" r:id="rId194" xr:uid="{F1A21BF8-40C7-4181-ABEF-862C5121DC2B}"/>
    <hyperlink ref="K505" r:id="rId195" display="mailto:administracion@cohorsan.com" xr:uid="{17AE7F0D-D690-4C14-B6E1-B2B9490398B4}"/>
    <hyperlink ref="K506" r:id="rId196" xr:uid="{4FB24328-3D51-47EC-8468-7CDB25CEC0A2}"/>
    <hyperlink ref="K507" r:id="rId197" xr:uid="{23FBF1A4-ABC4-468D-934E-82B27D5CB361}"/>
  </hyperlinks>
  <pageMargins left="0.7" right="0.7" top="0.75" bottom="0.75" header="0.3" footer="0.3"/>
  <pageSetup paperSize="9" scale="10" orientation="landscape" r:id="rId198"/>
  <drawing r:id="rId199"/>
  <tableParts count="2">
    <tablePart r:id="rId200"/>
    <tablePart r:id="rId201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20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</vt:i4>
      </vt:variant>
    </vt:vector>
  </HeadingPairs>
  <TitlesOfParts>
    <vt:vector size="12" baseType="lpstr">
      <vt:lpstr>EXPT. EXTRANJERIA 17</vt:lpstr>
      <vt:lpstr>EXPT. EXTRANJERIA 18</vt:lpstr>
      <vt:lpstr>EXPT. EXTRANJERIA 19</vt:lpstr>
      <vt:lpstr>EXPT.EXTRANJERIA 20</vt:lpstr>
      <vt:lpstr>EXPT. EXTRANJERIA 21</vt:lpstr>
      <vt:lpstr>EXPT. EXTRANJERIA 22</vt:lpstr>
      <vt:lpstr>EXPT. EXTRANJERIA 23</vt:lpstr>
      <vt:lpstr>EXPT. EXTRANJERIA 24</vt:lpstr>
      <vt:lpstr>EXPT. EXTRANJERIA 25</vt:lpstr>
      <vt:lpstr>'EXPT. EXTRANJERIA 21'!Área_de_impresión</vt:lpstr>
      <vt:lpstr>'EXPT. EXTRANJERIA 22'!Área_de_impresión</vt:lpstr>
      <vt:lpstr>'EXPT. EXTRANJERIA 19'!Títulos_a_imprimir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Lourdes Sola Cuevas</dc:creator>
  <cp:lastModifiedBy>Recursos Humanos</cp:lastModifiedBy>
  <cp:lastPrinted>2025-09-23T14:25:25Z</cp:lastPrinted>
  <dcterms:created xsi:type="dcterms:W3CDTF">2019-12-13T09:05:27Z</dcterms:created>
  <dcterms:modified xsi:type="dcterms:W3CDTF">2025-11-05T12:32:05Z</dcterms:modified>
</cp:coreProperties>
</file>